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05" yWindow="15" windowWidth="14280" windowHeight="808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I125" i="1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L36"/>
  <c r="E467" s="1"/>
  <c r="M36"/>
  <c r="N36"/>
  <c r="E471" s="1"/>
  <c r="O36"/>
  <c r="P36"/>
  <c r="P372" s="1"/>
  <c r="Q36"/>
  <c r="R36"/>
  <c r="E479" s="1"/>
  <c r="S36"/>
  <c r="E481" s="1"/>
  <c r="T36"/>
  <c r="U36"/>
  <c r="E485" s="1"/>
  <c r="V36"/>
  <c r="W36"/>
  <c r="E489" s="1"/>
  <c r="X36"/>
  <c r="Y36"/>
  <c r="Y372" s="1"/>
  <c r="Y422" s="1"/>
  <c r="Z36"/>
  <c r="E495" s="1"/>
  <c r="AA36"/>
  <c r="FJ146" s="1"/>
  <c r="AB36"/>
  <c r="E499" s="1"/>
  <c r="AC36"/>
  <c r="AD36"/>
  <c r="E503" s="1"/>
  <c r="AE36"/>
  <c r="AF36"/>
  <c r="E507" s="1"/>
  <c r="AG36"/>
  <c r="AH36"/>
  <c r="AI36"/>
  <c r="E513" s="1"/>
  <c r="AJ36"/>
  <c r="E515" s="1"/>
  <c r="H516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M372"/>
  <c r="N372"/>
  <c r="N373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DD187"/>
  <c r="BA187"/>
  <c r="CM187"/>
  <c r="CL187"/>
  <c r="CK187"/>
  <c r="AY187"/>
  <c r="B182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1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0"/>
  <c r="CX184"/>
  <c r="CZ184"/>
  <c r="DF184"/>
  <c r="DL184"/>
  <c r="DT184"/>
  <c r="EA184"/>
  <c r="EI184"/>
  <c r="DD184"/>
  <c r="BA184"/>
  <c r="CM184"/>
  <c r="CL184"/>
  <c r="CK184"/>
  <c r="AY184"/>
  <c r="B184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9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6"/>
  <c r="CX179"/>
  <c r="CZ179"/>
  <c r="DP179"/>
  <c r="DR179"/>
  <c r="EF179"/>
  <c r="EH179"/>
  <c r="DD179"/>
  <c r="DC179" s="1"/>
  <c r="BA179"/>
  <c r="CM179"/>
  <c r="CL179"/>
  <c r="CK179"/>
  <c r="AY179"/>
  <c r="B183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7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2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6"/>
  <c r="CZ174"/>
  <c r="DG174"/>
  <c r="DI174"/>
  <c r="ES174" s="1"/>
  <c r="DK174"/>
  <c r="DM174"/>
  <c r="EW174" s="1"/>
  <c r="DO174"/>
  <c r="DQ174"/>
  <c r="DR174"/>
  <c r="DS174"/>
  <c r="DT174"/>
  <c r="DU174"/>
  <c r="DV174"/>
  <c r="DW174"/>
  <c r="DX174"/>
  <c r="FH174" s="1"/>
  <c r="DY174"/>
  <c r="DZ174"/>
  <c r="EA174"/>
  <c r="EB174"/>
  <c r="FL174" s="1"/>
  <c r="EC174"/>
  <c r="ED174"/>
  <c r="EE174"/>
  <c r="EF174"/>
  <c r="EG174"/>
  <c r="EH174"/>
  <c r="EI174"/>
  <c r="EJ174"/>
  <c r="FT174" s="1"/>
  <c r="DD174"/>
  <c r="DE174" s="1"/>
  <c r="DC174"/>
  <c r="BA174"/>
  <c r="CM174" s="1"/>
  <c r="CL174"/>
  <c r="CK174"/>
  <c r="AY174"/>
  <c r="B173"/>
  <c r="CZ173"/>
  <c r="DF173"/>
  <c r="DG173"/>
  <c r="DH173"/>
  <c r="DI173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0"/>
  <c r="CZ172"/>
  <c r="DD172"/>
  <c r="DE172" s="1"/>
  <c r="DC172"/>
  <c r="BA172"/>
  <c r="CM172" s="1"/>
  <c r="CL172"/>
  <c r="CK172"/>
  <c r="AY172"/>
  <c r="B168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7"/>
  <c r="CX170"/>
  <c r="CZ170"/>
  <c r="DF170"/>
  <c r="DG170"/>
  <c r="DH170"/>
  <c r="DI170"/>
  <c r="DJ170"/>
  <c r="DK170"/>
  <c r="DL170"/>
  <c r="DM170"/>
  <c r="EW170" s="1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69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1"/>
  <c r="CX168"/>
  <c r="CZ168"/>
  <c r="DZ168" s="1"/>
  <c r="DJ168"/>
  <c r="DP168"/>
  <c r="EF168"/>
  <c r="DD168"/>
  <c r="DC168" s="1"/>
  <c r="DE168"/>
  <c r="CL168"/>
  <c r="CK168"/>
  <c r="AY168"/>
  <c r="B175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58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4"/>
  <c r="CZ165"/>
  <c r="DF165"/>
  <c r="DG165"/>
  <c r="DH165"/>
  <c r="DI165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FQ165" s="1"/>
  <c r="EH165"/>
  <c r="EI165"/>
  <c r="EJ165"/>
  <c r="DD165"/>
  <c r="DE165"/>
  <c r="DC165"/>
  <c r="BA165"/>
  <c r="CM165"/>
  <c r="CL165"/>
  <c r="CK165"/>
  <c r="AY165"/>
  <c r="B165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2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1"/>
  <c r="CZ162"/>
  <c r="DF162"/>
  <c r="DG162"/>
  <c r="DH162"/>
  <c r="DI162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0"/>
  <c r="CX161"/>
  <c r="CZ161"/>
  <c r="DP161"/>
  <c r="DV161"/>
  <c r="DD161"/>
  <c r="BA161"/>
  <c r="CM161"/>
  <c r="CL161"/>
  <c r="CK161"/>
  <c r="AY161"/>
  <c r="B167"/>
  <c r="CW160"/>
  <c r="CX160"/>
  <c r="CZ160"/>
  <c r="EB160"/>
  <c r="ED160"/>
  <c r="DD160"/>
  <c r="DC160" s="1"/>
  <c r="DE160"/>
  <c r="BA160"/>
  <c r="CM160"/>
  <c r="CL160"/>
  <c r="CK160"/>
  <c r="AY160"/>
  <c r="B163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59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6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9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0"/>
  <c r="CZ155"/>
  <c r="DK155" s="1"/>
  <c r="DG155"/>
  <c r="DO155"/>
  <c r="DW155"/>
  <c r="EE155"/>
  <c r="DD155"/>
  <c r="DE155"/>
  <c r="DC155"/>
  <c r="BA155"/>
  <c r="CM155" s="1"/>
  <c r="CL155"/>
  <c r="CK155"/>
  <c r="AY155"/>
  <c r="B151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5"/>
  <c r="CZ153"/>
  <c r="DG153"/>
  <c r="DI153"/>
  <c r="ES153" s="1"/>
  <c r="DK153"/>
  <c r="DM153"/>
  <c r="EW153" s="1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2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3"/>
  <c r="CZ151"/>
  <c r="DK151" s="1"/>
  <c r="DG151"/>
  <c r="DO151"/>
  <c r="DW151"/>
  <c r="EE151"/>
  <c r="DD151"/>
  <c r="DE151"/>
  <c r="DC151"/>
  <c r="BA151"/>
  <c r="CM151" s="1"/>
  <c r="CL151"/>
  <c r="CK151"/>
  <c r="AY151"/>
  <c r="B157"/>
  <c r="CZ150"/>
  <c r="DG150" s="1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4"/>
  <c r="CW149"/>
  <c r="CX149"/>
  <c r="CZ149"/>
  <c r="DF149"/>
  <c r="DH149"/>
  <c r="DJ149"/>
  <c r="DL149"/>
  <c r="DN149"/>
  <c r="DP149"/>
  <c r="EZ149" s="1"/>
  <c r="DR149"/>
  <c r="DT149"/>
  <c r="DV149"/>
  <c r="DX149"/>
  <c r="DZ149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48"/>
  <c r="CZ147"/>
  <c r="DF147"/>
  <c r="DH147"/>
  <c r="DJ147"/>
  <c r="DL147"/>
  <c r="DN147"/>
  <c r="DP147"/>
  <c r="DR147"/>
  <c r="DT147"/>
  <c r="DV147"/>
  <c r="DX147"/>
  <c r="FH147" s="1"/>
  <c r="DZ147"/>
  <c r="EB147"/>
  <c r="ED147"/>
  <c r="EF147"/>
  <c r="EH147"/>
  <c r="EJ147"/>
  <c r="DD147"/>
  <c r="BA147"/>
  <c r="CM147"/>
  <c r="CL147"/>
  <c r="CK147"/>
  <c r="AY147"/>
  <c r="B138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0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FI145" s="1"/>
  <c r="DZ145"/>
  <c r="EA145"/>
  <c r="EB145"/>
  <c r="EC145"/>
  <c r="FM145" s="1"/>
  <c r="ED145"/>
  <c r="EE145"/>
  <c r="EF145"/>
  <c r="EG145"/>
  <c r="EH145"/>
  <c r="EI145"/>
  <c r="EJ145"/>
  <c r="DD145"/>
  <c r="DE145"/>
  <c r="DC145"/>
  <c r="BA145"/>
  <c r="CM145"/>
  <c r="CL145"/>
  <c r="CK145"/>
  <c r="AY145"/>
  <c r="B145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1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39"/>
  <c r="CX142"/>
  <c r="CZ142"/>
  <c r="DI142"/>
  <c r="DM142"/>
  <c r="EW142" s="1"/>
  <c r="DN142"/>
  <c r="DO142"/>
  <c r="DP142"/>
  <c r="EZ142" s="1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FT142" s="1"/>
  <c r="DD142"/>
  <c r="DE142"/>
  <c r="DC142"/>
  <c r="BA142"/>
  <c r="CM142"/>
  <c r="CL142"/>
  <c r="CK142"/>
  <c r="AY142"/>
  <c r="B146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2"/>
  <c r="CW140"/>
  <c r="CX140"/>
  <c r="CZ140"/>
  <c r="DO140"/>
  <c r="DQ140"/>
  <c r="DS140"/>
  <c r="DU140"/>
  <c r="DW140"/>
  <c r="DY140"/>
  <c r="FI140" s="1"/>
  <c r="EA140"/>
  <c r="EC140"/>
  <c r="EE140"/>
  <c r="EG140"/>
  <c r="EI140"/>
  <c r="DD140"/>
  <c r="DE140"/>
  <c r="DC140"/>
  <c r="BA140"/>
  <c r="CM140"/>
  <c r="CL140"/>
  <c r="CK140"/>
  <c r="AY140"/>
  <c r="B147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4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3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FI137" s="1"/>
  <c r="DZ137"/>
  <c r="EA137"/>
  <c r="EB137"/>
  <c r="EC137"/>
  <c r="ED137"/>
  <c r="EE137"/>
  <c r="EF137"/>
  <c r="EG137"/>
  <c r="EH137"/>
  <c r="EI137"/>
  <c r="EJ137"/>
  <c r="FT137" s="1"/>
  <c r="DD137"/>
  <c r="DE137"/>
  <c r="DC137"/>
  <c r="BA137"/>
  <c r="CM137" s="1"/>
  <c r="CL137"/>
  <c r="CK137"/>
  <c r="AY137"/>
  <c r="B129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4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EJ135"/>
  <c r="DD135"/>
  <c r="DC135" s="1"/>
  <c r="BA135"/>
  <c r="CM135"/>
  <c r="CL135"/>
  <c r="CK135"/>
  <c r="AY135"/>
  <c r="B135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28"/>
  <c r="CZ133"/>
  <c r="DG133" s="1"/>
  <c r="DD133"/>
  <c r="DE133"/>
  <c r="DC133"/>
  <c r="BA133"/>
  <c r="CM133" s="1"/>
  <c r="CL133"/>
  <c r="CK133"/>
  <c r="AY133"/>
  <c r="B131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6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0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7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3"/>
  <c r="CW128"/>
  <c r="CX128"/>
  <c r="CZ128"/>
  <c r="DH128"/>
  <c r="DL128"/>
  <c r="DP128"/>
  <c r="DT128"/>
  <c r="DX128"/>
  <c r="EB128"/>
  <c r="EF128"/>
  <c r="EJ128"/>
  <c r="DD128"/>
  <c r="CL128"/>
  <c r="CK128"/>
  <c r="AY128"/>
  <c r="B132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18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4"/>
  <c r="CX124"/>
  <c r="DI124" s="1"/>
  <c r="CZ124"/>
  <c r="DN124"/>
  <c r="DO124"/>
  <c r="DP124"/>
  <c r="DQ124"/>
  <c r="DR124"/>
  <c r="DS124"/>
  <c r="DT124"/>
  <c r="FD124" s="1"/>
  <c r="DU124"/>
  <c r="DV124"/>
  <c r="DW124"/>
  <c r="DX124"/>
  <c r="FH124" s="1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6"/>
  <c r="CX123"/>
  <c r="CZ123"/>
  <c r="DD123"/>
  <c r="DE123"/>
  <c r="DC123"/>
  <c r="BA123"/>
  <c r="CM123" s="1"/>
  <c r="CL123"/>
  <c r="CK123"/>
  <c r="AY123"/>
  <c r="B125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19"/>
  <c r="CW121"/>
  <c r="CX121"/>
  <c r="CZ121"/>
  <c r="DD121"/>
  <c r="BA121"/>
  <c r="CM121"/>
  <c r="CL121"/>
  <c r="CK121"/>
  <c r="AY121"/>
  <c r="B127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2"/>
  <c r="CW119"/>
  <c r="CX119"/>
  <c r="DG119" s="1"/>
  <c r="CZ119"/>
  <c r="DI119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23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1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5"/>
  <c r="CZ116"/>
  <c r="DG116" s="1"/>
  <c r="DF116"/>
  <c r="DH116"/>
  <c r="DJ116"/>
  <c r="DL116"/>
  <c r="DN116"/>
  <c r="DP116"/>
  <c r="DR116"/>
  <c r="DT116"/>
  <c r="DV116"/>
  <c r="DX116"/>
  <c r="FH116" s="1"/>
  <c r="DZ116"/>
  <c r="EB116"/>
  <c r="ED116"/>
  <c r="EF116"/>
  <c r="EH116"/>
  <c r="EJ116"/>
  <c r="DD116"/>
  <c r="DC116" s="1"/>
  <c r="BA116"/>
  <c r="CM116"/>
  <c r="CL116"/>
  <c r="CK116"/>
  <c r="AY116"/>
  <c r="B109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14"/>
  <c r="CZ114"/>
  <c r="DG114" s="1"/>
  <c r="DF114"/>
  <c r="DH114"/>
  <c r="ER114" s="1"/>
  <c r="DJ114"/>
  <c r="DL114"/>
  <c r="DN114"/>
  <c r="DP114"/>
  <c r="DR114"/>
  <c r="DT114"/>
  <c r="DV114"/>
  <c r="DX114"/>
  <c r="FH114" s="1"/>
  <c r="DZ114"/>
  <c r="EB114"/>
  <c r="ED114"/>
  <c r="EF114"/>
  <c r="EH114"/>
  <c r="EJ114"/>
  <c r="DD114"/>
  <c r="DC114" s="1"/>
  <c r="DE114"/>
  <c r="BA114"/>
  <c r="CM114"/>
  <c r="CL114"/>
  <c r="CK114"/>
  <c r="AY114"/>
  <c r="B108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7"/>
  <c r="CZ112"/>
  <c r="DG112" s="1"/>
  <c r="DF112"/>
  <c r="DH112"/>
  <c r="DJ112"/>
  <c r="DL112"/>
  <c r="DN112"/>
  <c r="DP112"/>
  <c r="DR112"/>
  <c r="FB112" s="1"/>
  <c r="DT112"/>
  <c r="FD112" s="1"/>
  <c r="DV112"/>
  <c r="DX112"/>
  <c r="DZ112"/>
  <c r="FJ112" s="1"/>
  <c r="EB112"/>
  <c r="ED112"/>
  <c r="EF112"/>
  <c r="EH112"/>
  <c r="FR112" s="1"/>
  <c r="EJ112"/>
  <c r="DD112"/>
  <c r="DC112" s="1"/>
  <c r="BA112"/>
  <c r="CM112"/>
  <c r="CL112"/>
  <c r="CK112"/>
  <c r="AY112"/>
  <c r="B111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2"/>
  <c r="CZ110"/>
  <c r="DG110" s="1"/>
  <c r="DF110"/>
  <c r="DH110"/>
  <c r="DJ110"/>
  <c r="ET110" s="1"/>
  <c r="DL110"/>
  <c r="DN110"/>
  <c r="DP110"/>
  <c r="DR110"/>
  <c r="FB110" s="1"/>
  <c r="DT110"/>
  <c r="DV110"/>
  <c r="DX110"/>
  <c r="DZ110"/>
  <c r="EB110"/>
  <c r="ED110"/>
  <c r="EF110"/>
  <c r="EH110"/>
  <c r="FR110" s="1"/>
  <c r="EJ110"/>
  <c r="DD110"/>
  <c r="DC110" s="1"/>
  <c r="DE110"/>
  <c r="BA110"/>
  <c r="CM110"/>
  <c r="CL110"/>
  <c r="CK110"/>
  <c r="AY110"/>
  <c r="B113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0"/>
  <c r="CZ108"/>
  <c r="DG108" s="1"/>
  <c r="DF108"/>
  <c r="DH108"/>
  <c r="ER108" s="1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6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0"/>
  <c r="CZ106"/>
  <c r="DG106" s="1"/>
  <c r="DF106"/>
  <c r="DH106"/>
  <c r="ER106" s="1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4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99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FR104" s="1"/>
  <c r="EJ104"/>
  <c r="FT104" s="1"/>
  <c r="DD104"/>
  <c r="DC104" s="1"/>
  <c r="BA104"/>
  <c r="CM104"/>
  <c r="CL104"/>
  <c r="CK104"/>
  <c r="AY104"/>
  <c r="B102"/>
  <c r="CZ103"/>
  <c r="DI103"/>
  <c r="DM103"/>
  <c r="DQ103"/>
  <c r="FA103" s="1"/>
  <c r="DU103"/>
  <c r="DY103"/>
  <c r="EC103"/>
  <c r="EG103"/>
  <c r="DD103"/>
  <c r="DE103"/>
  <c r="DC103"/>
  <c r="BA103"/>
  <c r="CM103" s="1"/>
  <c r="CL103"/>
  <c r="CK103"/>
  <c r="AY103"/>
  <c r="B101"/>
  <c r="CZ102"/>
  <c r="DG102" s="1"/>
  <c r="DF102"/>
  <c r="DH102"/>
  <c r="DJ102"/>
  <c r="DL102"/>
  <c r="DN102"/>
  <c r="DP102"/>
  <c r="DR102"/>
  <c r="FB102" s="1"/>
  <c r="DT102"/>
  <c r="DV102"/>
  <c r="DX102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98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3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7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5"/>
  <c r="CZ98"/>
  <c r="DI98"/>
  <c r="DM98"/>
  <c r="DQ98"/>
  <c r="DU98"/>
  <c r="DY98"/>
  <c r="EC98"/>
  <c r="EG98"/>
  <c r="DD98"/>
  <c r="DE98" s="1"/>
  <c r="DC98"/>
  <c r="CL98"/>
  <c r="CK98"/>
  <c r="AY98"/>
  <c r="B106"/>
  <c r="CZ97"/>
  <c r="DG97" s="1"/>
  <c r="DD97"/>
  <c r="DE97" s="1"/>
  <c r="DC97"/>
  <c r="BA97"/>
  <c r="CM97" s="1"/>
  <c r="CL97"/>
  <c r="CK97"/>
  <c r="AY97"/>
  <c r="B91"/>
  <c r="CZ96"/>
  <c r="DF96"/>
  <c r="DG96"/>
  <c r="DH96"/>
  <c r="DI96"/>
  <c r="DJ96"/>
  <c r="DK96"/>
  <c r="DL96"/>
  <c r="DM96"/>
  <c r="EW96" s="1"/>
  <c r="DN96"/>
  <c r="DO96"/>
  <c r="DP96"/>
  <c r="DQ96"/>
  <c r="DR96"/>
  <c r="DS96"/>
  <c r="DT96"/>
  <c r="DU96"/>
  <c r="FE96" s="1"/>
  <c r="DV96"/>
  <c r="DW96"/>
  <c r="DX96"/>
  <c r="DY96"/>
  <c r="FI96" s="1"/>
  <c r="DZ96"/>
  <c r="EA96"/>
  <c r="EB96"/>
  <c r="EC96"/>
  <c r="FM96" s="1"/>
  <c r="ED96"/>
  <c r="EE96"/>
  <c r="EF96"/>
  <c r="EG96"/>
  <c r="EH96"/>
  <c r="EI96"/>
  <c r="EJ96"/>
  <c r="DD96"/>
  <c r="DC96" s="1"/>
  <c r="BA96"/>
  <c r="CM96"/>
  <c r="CL96"/>
  <c r="CK96"/>
  <c r="AY96"/>
  <c r="B93"/>
  <c r="CZ95"/>
  <c r="DD95"/>
  <c r="DE95" s="1"/>
  <c r="DC95"/>
  <c r="BA95"/>
  <c r="CM95" s="1"/>
  <c r="CL95"/>
  <c r="CK95"/>
  <c r="AY95"/>
  <c r="B92"/>
  <c r="CZ94"/>
  <c r="DF94"/>
  <c r="DG94"/>
  <c r="DH94"/>
  <c r="DI94"/>
  <c r="DJ94"/>
  <c r="DK94"/>
  <c r="DL94"/>
  <c r="EV94" s="1"/>
  <c r="DM94"/>
  <c r="EW94" s="1"/>
  <c r="DN94"/>
  <c r="DO94"/>
  <c r="DP94"/>
  <c r="EZ94" s="1"/>
  <c r="DQ94"/>
  <c r="DR94"/>
  <c r="DS94"/>
  <c r="DT94"/>
  <c r="FD94" s="1"/>
  <c r="DU94"/>
  <c r="FE94" s="1"/>
  <c r="DV94"/>
  <c r="DW94"/>
  <c r="DX94"/>
  <c r="FH94" s="1"/>
  <c r="DY94"/>
  <c r="FI94" s="1"/>
  <c r="DZ94"/>
  <c r="EA94"/>
  <c r="EB94"/>
  <c r="EC94"/>
  <c r="FM94" s="1"/>
  <c r="ED94"/>
  <c r="EE94"/>
  <c r="EF94"/>
  <c r="EG94"/>
  <c r="EH94"/>
  <c r="EI94"/>
  <c r="EJ94"/>
  <c r="FT94" s="1"/>
  <c r="DD94"/>
  <c r="DC94" s="1"/>
  <c r="BA94"/>
  <c r="CM94"/>
  <c r="CL94"/>
  <c r="CK94"/>
  <c r="AY94"/>
  <c r="B89"/>
  <c r="CZ93"/>
  <c r="DD93"/>
  <c r="DE93" s="1"/>
  <c r="DC93"/>
  <c r="BA93"/>
  <c r="CM93" s="1"/>
  <c r="CL93"/>
  <c r="CK93"/>
  <c r="AY93"/>
  <c r="B94"/>
  <c r="CZ92"/>
  <c r="DF92"/>
  <c r="DG92"/>
  <c r="DH92"/>
  <c r="DI92"/>
  <c r="DJ92"/>
  <c r="DK92"/>
  <c r="DL92"/>
  <c r="DM92"/>
  <c r="EW92" s="1"/>
  <c r="DN92"/>
  <c r="DO92"/>
  <c r="DP92"/>
  <c r="DQ92"/>
  <c r="DR92"/>
  <c r="DS92"/>
  <c r="DT92"/>
  <c r="DU92"/>
  <c r="FE92" s="1"/>
  <c r="DV92"/>
  <c r="DW92"/>
  <c r="DX92"/>
  <c r="DY92"/>
  <c r="FI92" s="1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7"/>
  <c r="CZ91"/>
  <c r="DG91" s="1"/>
  <c r="DD91"/>
  <c r="DE91" s="1"/>
  <c r="DC91"/>
  <c r="BA91"/>
  <c r="CM91" s="1"/>
  <c r="CL91"/>
  <c r="CK91"/>
  <c r="AY91"/>
  <c r="B95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88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0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6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L99" l="1"/>
  <c r="FH101"/>
  <c r="EZ101"/>
  <c r="FS105"/>
  <c r="FH136"/>
  <c r="FT173"/>
  <c r="FP173"/>
  <c r="FH173"/>
  <c r="FD173"/>
  <c r="FH178"/>
  <c r="EZ183"/>
  <c r="FT96"/>
  <c r="ER96"/>
  <c r="FH154"/>
  <c r="FT156"/>
  <c r="FH156"/>
  <c r="EZ156"/>
  <c r="FT165"/>
  <c r="AK372"/>
  <c r="FN131"/>
  <c r="FB136"/>
  <c r="FO89"/>
  <c r="EY89"/>
  <c r="FR90"/>
  <c r="FF90"/>
  <c r="FB90"/>
  <c r="FR145"/>
  <c r="FN145"/>
  <c r="FF145"/>
  <c r="FB145"/>
  <c r="FR122"/>
  <c r="FR131"/>
  <c r="FR136"/>
  <c r="ET136"/>
  <c r="EQ162"/>
  <c r="FN157"/>
  <c r="ET96"/>
  <c r="ET108"/>
  <c r="FR147"/>
  <c r="FB147"/>
  <c r="FR150"/>
  <c r="FB150"/>
  <c r="FR154"/>
  <c r="FR156"/>
  <c r="FR157"/>
  <c r="FJ157"/>
  <c r="FB157"/>
  <c r="FR165"/>
  <c r="FR173"/>
  <c r="FM176"/>
  <c r="EW176"/>
  <c r="FR179"/>
  <c r="FM186"/>
  <c r="FI186"/>
  <c r="FM89"/>
  <c r="FM90"/>
  <c r="FI90"/>
  <c r="EW90"/>
  <c r="EQ91"/>
  <c r="EW103"/>
  <c r="EW111"/>
  <c r="EW120"/>
  <c r="FI139"/>
  <c r="EW141"/>
  <c r="FM143"/>
  <c r="FI143"/>
  <c r="ES145"/>
  <c r="EW158"/>
  <c r="EQ169"/>
  <c r="EW182"/>
  <c r="FO90"/>
  <c r="FK90"/>
  <c r="EY109"/>
  <c r="FO117"/>
  <c r="FO120"/>
  <c r="FS143"/>
  <c r="FT92"/>
  <c r="FL92"/>
  <c r="FH92"/>
  <c r="FD92"/>
  <c r="EZ92"/>
  <c r="EV92"/>
  <c r="FS94"/>
  <c r="FO94"/>
  <c r="FC94"/>
  <c r="FS96"/>
  <c r="FO96"/>
  <c r="EY96"/>
  <c r="EU96"/>
  <c r="FT99"/>
  <c r="FS100"/>
  <c r="FC100"/>
  <c r="FS101"/>
  <c r="FO101"/>
  <c r="FK101"/>
  <c r="FH102"/>
  <c r="EZ102"/>
  <c r="EZ104"/>
  <c r="FD106"/>
  <c r="FH110"/>
  <c r="EZ110"/>
  <c r="FL114"/>
  <c r="FL116"/>
  <c r="FH125"/>
  <c r="EZ126"/>
  <c r="EZ132"/>
  <c r="EZ135"/>
  <c r="FD138"/>
  <c r="FT145"/>
  <c r="FL147"/>
  <c r="FL150"/>
  <c r="EY151"/>
  <c r="FT154"/>
  <c r="EY155"/>
  <c r="FO156"/>
  <c r="FK156"/>
  <c r="FD157"/>
  <c r="EV157"/>
  <c r="FK164"/>
  <c r="FS165"/>
  <c r="FP165"/>
  <c r="FH165"/>
  <c r="FD165"/>
  <c r="EZ165"/>
  <c r="ER165"/>
  <c r="FP166"/>
  <c r="FP171"/>
  <c r="FH171"/>
  <c r="EZ171"/>
  <c r="ER171"/>
  <c r="FO173"/>
  <c r="FH175"/>
  <c r="FK184"/>
  <c r="FK185"/>
  <c r="AF372"/>
  <c r="AF382" s="1"/>
  <c r="FS90"/>
  <c r="FC90"/>
  <c r="FO109"/>
  <c r="FO119"/>
  <c r="FK140"/>
  <c r="FO143"/>
  <c r="FO144"/>
  <c r="FH90"/>
  <c r="FD90"/>
  <c r="EZ90"/>
  <c r="FH99"/>
  <c r="EZ99"/>
  <c r="FK105"/>
  <c r="FS109"/>
  <c r="FC109"/>
  <c r="FK113"/>
  <c r="FS117"/>
  <c r="EV120"/>
  <c r="FD122"/>
  <c r="EV122"/>
  <c r="FO131"/>
  <c r="FK131"/>
  <c r="FK141"/>
  <c r="FS144"/>
  <c r="FO145"/>
  <c r="FK145"/>
  <c r="FT149"/>
  <c r="FH152"/>
  <c r="FO159"/>
  <c r="EY159"/>
  <c r="FH163"/>
  <c r="FO164"/>
  <c r="FD164"/>
  <c r="FO165"/>
  <c r="FD175"/>
  <c r="FS181"/>
  <c r="FC181"/>
  <c r="FH182"/>
  <c r="EV182"/>
  <c r="FT183"/>
  <c r="FD183"/>
  <c r="FD184"/>
  <c r="FF114"/>
  <c r="FF116"/>
  <c r="EU117"/>
  <c r="EU118"/>
  <c r="FR120"/>
  <c r="FS124"/>
  <c r="FO124"/>
  <c r="FK124"/>
  <c r="FR125"/>
  <c r="FR126"/>
  <c r="FR132"/>
  <c r="FB132"/>
  <c r="FF134"/>
  <c r="FR135"/>
  <c r="FB135"/>
  <c r="FS137"/>
  <c r="FO137"/>
  <c r="FK139"/>
  <c r="FF139"/>
  <c r="EU139"/>
  <c r="FO141"/>
  <c r="FS142"/>
  <c r="FO142"/>
  <c r="FK142"/>
  <c r="FC142"/>
  <c r="FR143"/>
  <c r="FF143"/>
  <c r="FK144"/>
  <c r="FR149"/>
  <c r="FO151"/>
  <c r="FF152"/>
  <c r="FO153"/>
  <c r="FB154"/>
  <c r="FO155"/>
  <c r="EU155"/>
  <c r="FR159"/>
  <c r="ER159"/>
  <c r="ER162"/>
  <c r="FS163"/>
  <c r="FO163"/>
  <c r="FK163"/>
  <c r="FG163"/>
  <c r="FO169"/>
  <c r="ER170"/>
  <c r="FN180"/>
  <c r="FS182"/>
  <c r="FO182"/>
  <c r="FK182"/>
  <c r="FR183"/>
  <c r="FO185"/>
  <c r="AB372"/>
  <c r="AB376" s="1"/>
  <c r="M379"/>
  <c r="M422"/>
  <c r="N382"/>
  <c r="N422"/>
  <c r="P374"/>
  <c r="P422"/>
  <c r="AK381"/>
  <c r="AK422"/>
  <c r="H382"/>
  <c r="H422"/>
  <c r="FR92"/>
  <c r="FF92"/>
  <c r="FB92"/>
  <c r="FR99"/>
  <c r="FF99"/>
  <c r="EU100"/>
  <c r="FF104"/>
  <c r="EX104"/>
  <c r="EU105"/>
  <c r="FR106"/>
  <c r="FB106"/>
  <c r="FR114"/>
  <c r="FR116"/>
  <c r="FF125"/>
  <c r="FF126"/>
  <c r="FF137"/>
  <c r="FB137"/>
  <c r="FF149"/>
  <c r="FR152"/>
  <c r="FB152"/>
  <c r="EU153"/>
  <c r="FR162"/>
  <c r="FF164"/>
  <c r="EU164"/>
  <c r="FR170"/>
  <c r="FF170"/>
  <c r="FB170"/>
  <c r="EX170"/>
  <c r="FR174"/>
  <c r="FR175"/>
  <c r="FF180"/>
  <c r="EU185"/>
  <c r="FR186"/>
  <c r="FF186"/>
  <c r="FB186"/>
  <c r="AF378"/>
  <c r="AI372"/>
  <c r="AI379" s="1"/>
  <c r="FS89"/>
  <c r="FC89"/>
  <c r="EV90"/>
  <c r="FS92"/>
  <c r="FO92"/>
  <c r="FC92"/>
  <c r="FR94"/>
  <c r="FF94"/>
  <c r="FB94"/>
  <c r="FR96"/>
  <c r="FF96"/>
  <c r="FB96"/>
  <c r="EX96"/>
  <c r="FS99"/>
  <c r="FO100"/>
  <c r="EY100"/>
  <c r="FR101"/>
  <c r="FF101"/>
  <c r="FC101"/>
  <c r="FO105"/>
  <c r="EY105"/>
  <c r="EV106"/>
  <c r="EY107"/>
  <c r="FO113"/>
  <c r="FK119"/>
  <c r="FN122"/>
  <c r="FF122"/>
  <c r="FR124"/>
  <c r="ER126"/>
  <c r="FR129"/>
  <c r="FB129"/>
  <c r="ER129"/>
  <c r="FR134"/>
  <c r="FB134"/>
  <c r="FR137"/>
  <c r="EU137"/>
  <c r="FO139"/>
  <c r="FO140"/>
  <c r="FR142"/>
  <c r="FB142"/>
  <c r="EV143"/>
  <c r="FG144"/>
  <c r="FR146"/>
  <c r="FF150"/>
  <c r="FF161"/>
  <c r="FO162"/>
  <c r="EU162"/>
  <c r="FR163"/>
  <c r="FN163"/>
  <c r="FK167"/>
  <c r="FK169"/>
  <c r="EU169"/>
  <c r="FS170"/>
  <c r="FO170"/>
  <c r="FK170"/>
  <c r="EY170"/>
  <c r="EU170"/>
  <c r="FR171"/>
  <c r="FB171"/>
  <c r="EV173"/>
  <c r="FO174"/>
  <c r="FC174"/>
  <c r="FB179"/>
  <c r="FR180"/>
  <c r="FB180"/>
  <c r="EU180"/>
  <c r="FO181"/>
  <c r="EY181"/>
  <c r="FR182"/>
  <c r="FS184"/>
  <c r="FO186"/>
  <c r="FK186"/>
  <c r="FR187"/>
  <c r="M375"/>
  <c r="S372"/>
  <c r="S422" s="1"/>
  <c r="EX136"/>
  <c r="EV135"/>
  <c r="EX88"/>
  <c r="EW98"/>
  <c r="FQ174"/>
  <c r="FE180"/>
  <c r="ET146"/>
  <c r="FA98"/>
  <c r="ES158"/>
  <c r="EZ88"/>
  <c r="FJ101"/>
  <c r="FP186"/>
  <c r="FM92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W422" s="1"/>
  <c r="L372"/>
  <c r="L422" s="1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AD422" s="1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4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H378"/>
  <c r="N381"/>
  <c r="O372"/>
  <c r="O373" s="1"/>
  <c r="J372"/>
  <c r="J381" s="1"/>
  <c r="E493"/>
  <c r="H494" s="1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H379"/>
  <c r="U372"/>
  <c r="U373" s="1"/>
  <c r="E469"/>
  <c r="H468" s="1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AI375"/>
  <c r="H375"/>
  <c r="H380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FF158"/>
  <c r="FF178"/>
  <c r="EX108"/>
  <c r="EV128"/>
  <c r="FI138"/>
  <c r="FI158"/>
  <c r="FB178"/>
  <c r="FD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FF138"/>
  <c r="FM158"/>
  <c r="EY158"/>
  <c r="FJ168"/>
  <c r="FT88"/>
  <c r="FF88"/>
  <c r="FP88"/>
  <c r="FH88"/>
  <c r="ER88"/>
  <c r="FI98"/>
  <c r="ES98"/>
  <c r="FH128"/>
  <c r="FE138"/>
  <c r="EY138"/>
  <c r="EU138"/>
  <c r="FJ148"/>
  <c r="FO158"/>
  <c r="FH158"/>
  <c r="FE158"/>
  <c r="FB158"/>
  <c r="FR178"/>
  <c r="FO178"/>
  <c r="FK178"/>
  <c r="ES178"/>
  <c r="FT108"/>
  <c r="FH108"/>
  <c r="FR138"/>
  <c r="EF217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Y431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Y425" s="1"/>
  <c r="U23"/>
  <c r="U39" s="1"/>
  <c r="M23"/>
  <c r="M39" s="1"/>
  <c r="I23"/>
  <c r="I39" s="1"/>
  <c r="I425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I431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Y430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Y429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Y428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Y427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Y426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I424" s="1"/>
  <c r="Q23"/>
  <c r="Q39" s="1"/>
  <c r="D72"/>
  <c r="D535" s="1"/>
  <c r="Y22"/>
  <c r="Y38" s="1"/>
  <c r="Y424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K432" s="1"/>
  <c r="AG21"/>
  <c r="AG37" s="1"/>
  <c r="AC30"/>
  <c r="AC46" s="1"/>
  <c r="Y30"/>
  <c r="Y46" s="1"/>
  <c r="Y432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Y423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432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T380" s="1"/>
  <c r="FC169"/>
  <c r="FC156"/>
  <c r="FC153"/>
  <c r="EZ186"/>
  <c r="EZ177"/>
  <c r="EZ170"/>
  <c r="EZ152"/>
  <c r="EZ145"/>
  <c r="EZ131"/>
  <c r="EZ116"/>
  <c r="E477"/>
  <c r="H478" s="1"/>
  <c r="Q372"/>
  <c r="Q374" s="1"/>
  <c r="EZ182"/>
  <c r="EZ154"/>
  <c r="EZ146"/>
  <c r="EZ137"/>
  <c r="EZ120"/>
  <c r="AK378"/>
  <c r="AK379"/>
  <c r="AK377"/>
  <c r="AK374"/>
  <c r="AF380"/>
  <c r="AB375"/>
  <c r="R372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V372"/>
  <c r="V381" s="1"/>
  <c r="G372"/>
  <c r="G422" s="1"/>
  <c r="H514"/>
  <c r="E497"/>
  <c r="H498" s="1"/>
  <c r="E483"/>
  <c r="H484" s="1"/>
  <c r="M378"/>
  <c r="M377"/>
  <c r="AJ372"/>
  <c r="AJ379" s="1"/>
  <c r="FS164"/>
  <c r="FS162"/>
  <c r="FS139"/>
  <c r="FS180"/>
  <c r="FS169"/>
  <c r="FS156"/>
  <c r="FS153"/>
  <c r="AG372"/>
  <c r="AG377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AH372"/>
  <c r="AC372"/>
  <c r="AC42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ES125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Y382"/>
  <c r="Y380"/>
  <c r="Y376"/>
  <c r="Y378"/>
  <c r="S376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AF381"/>
  <c r="AC374"/>
  <c r="Q379"/>
  <c r="H480"/>
  <c r="H472"/>
  <c r="Z375"/>
  <c r="J375"/>
  <c r="AH23"/>
  <c r="AH39" s="1"/>
  <c r="AH30"/>
  <c r="AH46" s="1"/>
  <c r="AD23"/>
  <c r="AD39" s="1"/>
  <c r="AD30"/>
  <c r="AD46" s="1"/>
  <c r="AD432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AD428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W426" s="1"/>
  <c r="S24"/>
  <c r="S40" s="1"/>
  <c r="S426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L382" l="1"/>
  <c r="Z381"/>
  <c r="W425"/>
  <c r="W443" s="1"/>
  <c r="W430"/>
  <c r="W448" s="1"/>
  <c r="W431"/>
  <c r="W449" s="1"/>
  <c r="H476"/>
  <c r="AD374"/>
  <c r="U382"/>
  <c r="N426"/>
  <c r="N444" s="1"/>
  <c r="N425"/>
  <c r="N443" s="1"/>
  <c r="AB377"/>
  <c r="H490"/>
  <c r="AK426"/>
  <c r="AK444" s="1"/>
  <c r="N428"/>
  <c r="N446" s="1"/>
  <c r="N432"/>
  <c r="N450" s="1"/>
  <c r="AB373"/>
  <c r="U381"/>
  <c r="AB378"/>
  <c r="N424"/>
  <c r="N442" s="1"/>
  <c r="H496"/>
  <c r="AK428"/>
  <c r="AK446" s="1"/>
  <c r="AC382"/>
  <c r="N430"/>
  <c r="N448" s="1"/>
  <c r="AB379"/>
  <c r="AB374"/>
  <c r="N427"/>
  <c r="N445" s="1"/>
  <c r="AK424"/>
  <c r="AK442" s="1"/>
  <c r="N431"/>
  <c r="N449" s="1"/>
  <c r="AK429"/>
  <c r="AK447" s="1"/>
  <c r="AK431"/>
  <c r="AK449" s="1"/>
  <c r="Z373"/>
  <c r="T377"/>
  <c r="AB382"/>
  <c r="N429"/>
  <c r="N447" s="1"/>
  <c r="N423"/>
  <c r="N441" s="1"/>
  <c r="AK427"/>
  <c r="AK445" s="1"/>
  <c r="AK430"/>
  <c r="AK448" s="1"/>
  <c r="AK425"/>
  <c r="AK443" s="1"/>
  <c r="AK423"/>
  <c r="AK441" s="1"/>
  <c r="W377"/>
  <c r="M424"/>
  <c r="M442" s="1"/>
  <c r="S425"/>
  <c r="S443" s="1"/>
  <c r="AC427"/>
  <c r="AC445" s="1"/>
  <c r="L429"/>
  <c r="L447" s="1"/>
  <c r="AC431"/>
  <c r="AC449" s="1"/>
  <c r="L428"/>
  <c r="L446" s="1"/>
  <c r="AC425"/>
  <c r="AC443" s="1"/>
  <c r="L425"/>
  <c r="L443" s="1"/>
  <c r="AF374"/>
  <c r="AC376"/>
  <c r="AF373"/>
  <c r="AD375"/>
  <c r="AI374"/>
  <c r="L380"/>
  <c r="U380"/>
  <c r="S380"/>
  <c r="J380"/>
  <c r="S379"/>
  <c r="AC423"/>
  <c r="AC441" s="1"/>
  <c r="L423"/>
  <c r="L441" s="1"/>
  <c r="AD431"/>
  <c r="AD449" s="1"/>
  <c r="H429"/>
  <c r="H447" s="1"/>
  <c r="M429"/>
  <c r="M447" s="1"/>
  <c r="AC429"/>
  <c r="AC447" s="1"/>
  <c r="P429"/>
  <c r="P447" s="1"/>
  <c r="S430"/>
  <c r="S448" s="1"/>
  <c r="P424"/>
  <c r="P442" s="1"/>
  <c r="AD427"/>
  <c r="AD445" s="1"/>
  <c r="H424"/>
  <c r="H442" s="1"/>
  <c r="AF426"/>
  <c r="AF444" s="1"/>
  <c r="AI377"/>
  <c r="AF422"/>
  <c r="AF427" s="1"/>
  <c r="AF445" s="1"/>
  <c r="AF379"/>
  <c r="AC380"/>
  <c r="AF377"/>
  <c r="AF432"/>
  <c r="AF450" s="1"/>
  <c r="AD379"/>
  <c r="L374"/>
  <c r="AF376"/>
  <c r="AD429"/>
  <c r="AD447" s="1"/>
  <c r="L432"/>
  <c r="L450" s="1"/>
  <c r="H425"/>
  <c r="H443" s="1"/>
  <c r="S428"/>
  <c r="S446" s="1"/>
  <c r="AC430"/>
  <c r="AC448" s="1"/>
  <c r="S431"/>
  <c r="S449" s="1"/>
  <c r="L426"/>
  <c r="L444" s="1"/>
  <c r="H426"/>
  <c r="H444" s="1"/>
  <c r="AD424"/>
  <c r="AD442" s="1"/>
  <c r="AD426"/>
  <c r="AD444" s="1"/>
  <c r="AD425"/>
  <c r="AD443" s="1"/>
  <c r="AC381"/>
  <c r="AF375"/>
  <c r="AC378"/>
  <c r="S374"/>
  <c r="AD377"/>
  <c r="AI376"/>
  <c r="L373"/>
  <c r="S373"/>
  <c r="AF428"/>
  <c r="AF446" s="1"/>
  <c r="AF425"/>
  <c r="AF443" s="1"/>
  <c r="AA374"/>
  <c r="AA422"/>
  <c r="AA423" s="1"/>
  <c r="AA441" s="1"/>
  <c r="Z376"/>
  <c r="Z422"/>
  <c r="Z428" s="1"/>
  <c r="Z446" s="1"/>
  <c r="K378"/>
  <c r="K422"/>
  <c r="K429" s="1"/>
  <c r="K447" s="1"/>
  <c r="AE374"/>
  <c r="AE422"/>
  <c r="AE428" s="1"/>
  <c r="AE446" s="1"/>
  <c r="X373"/>
  <c r="X422"/>
  <c r="X426" s="1"/>
  <c r="X444" s="1"/>
  <c r="AH375"/>
  <c r="AH422"/>
  <c r="AH430" s="1"/>
  <c r="AH448" s="1"/>
  <c r="R379"/>
  <c r="R422"/>
  <c r="R430" s="1"/>
  <c r="R448" s="1"/>
  <c r="Q382"/>
  <c r="Q422"/>
  <c r="Q428" s="1"/>
  <c r="Q446" s="1"/>
  <c r="T381"/>
  <c r="T422"/>
  <c r="T424" s="1"/>
  <c r="T442" s="1"/>
  <c r="O381"/>
  <c r="O422"/>
  <c r="O424" s="1"/>
  <c r="O442" s="1"/>
  <c r="AI381"/>
  <c r="AI422"/>
  <c r="AI426" s="1"/>
  <c r="AI444" s="1"/>
  <c r="AI380"/>
  <c r="R429"/>
  <c r="R447" s="1"/>
  <c r="G428"/>
  <c r="G446" s="1"/>
  <c r="G382"/>
  <c r="H470"/>
  <c r="W376"/>
  <c r="Z380"/>
  <c r="AA424"/>
  <c r="AA442" s="1"/>
  <c r="R427"/>
  <c r="R445" s="1"/>
  <c r="W432"/>
  <c r="W450" s="1"/>
  <c r="AI425"/>
  <c r="AI443" s="1"/>
  <c r="W427"/>
  <c r="W445" s="1"/>
  <c r="G427"/>
  <c r="R425"/>
  <c r="R443" s="1"/>
  <c r="W378"/>
  <c r="AE382"/>
  <c r="AD430"/>
  <c r="AD448" s="1"/>
  <c r="P432"/>
  <c r="P450" s="1"/>
  <c r="S382"/>
  <c r="AD373"/>
  <c r="AD378"/>
  <c r="L379"/>
  <c r="L381"/>
  <c r="AA377"/>
  <c r="W373"/>
  <c r="S381"/>
  <c r="Z382"/>
  <c r="S377"/>
  <c r="W424"/>
  <c r="W442" s="1"/>
  <c r="H423"/>
  <c r="H441" s="1"/>
  <c r="W423"/>
  <c r="W441" s="1"/>
  <c r="T423"/>
  <c r="T441" s="1"/>
  <c r="S432"/>
  <c r="S450" s="1"/>
  <c r="AD423"/>
  <c r="AD441" s="1"/>
  <c r="M423"/>
  <c r="M441" s="1"/>
  <c r="AC432"/>
  <c r="AC450" s="1"/>
  <c r="AA432"/>
  <c r="AA450" s="1"/>
  <c r="AC424"/>
  <c r="AC442" s="1"/>
  <c r="H427"/>
  <c r="H445" s="1"/>
  <c r="S427"/>
  <c r="S445" s="1"/>
  <c r="X429"/>
  <c r="X447" s="1"/>
  <c r="AC428"/>
  <c r="AC446" s="1"/>
  <c r="P428"/>
  <c r="P446" s="1"/>
  <c r="S429"/>
  <c r="S447" s="1"/>
  <c r="H430"/>
  <c r="H448" s="1"/>
  <c r="AI430"/>
  <c r="AI448" s="1"/>
  <c r="M430"/>
  <c r="M448" s="1"/>
  <c r="P431"/>
  <c r="P449" s="1"/>
  <c r="H431"/>
  <c r="H449" s="1"/>
  <c r="X428"/>
  <c r="X446" s="1"/>
  <c r="L424"/>
  <c r="L442" s="1"/>
  <c r="P430"/>
  <c r="P448" s="1"/>
  <c r="AG378"/>
  <c r="AG422"/>
  <c r="AG426" s="1"/>
  <c r="AG444" s="1"/>
  <c r="AJ377"/>
  <c r="AJ422"/>
  <c r="AJ431" s="1"/>
  <c r="AJ449" s="1"/>
  <c r="V376"/>
  <c r="V422"/>
  <c r="V425" s="1"/>
  <c r="V443" s="1"/>
  <c r="U375"/>
  <c r="U422"/>
  <c r="U423" s="1"/>
  <c r="U441" s="1"/>
  <c r="J382"/>
  <c r="J422"/>
  <c r="J423" s="1"/>
  <c r="J441" s="1"/>
  <c r="AB380"/>
  <c r="AB422"/>
  <c r="AB428" s="1"/>
  <c r="AB446" s="1"/>
  <c r="R431"/>
  <c r="R449" s="1"/>
  <c r="G432"/>
  <c r="G450" s="1"/>
  <c r="X427"/>
  <c r="X445" s="1"/>
  <c r="AA429"/>
  <c r="AA447" s="1"/>
  <c r="G430"/>
  <c r="G448" s="1"/>
  <c r="U430"/>
  <c r="U448" s="1"/>
  <c r="W382"/>
  <c r="R423"/>
  <c r="R441" s="1"/>
  <c r="G425"/>
  <c r="G443" s="1"/>
  <c r="G429"/>
  <c r="G447" s="1"/>
  <c r="W429"/>
  <c r="W447" s="1"/>
  <c r="U431"/>
  <c r="U449" s="1"/>
  <c r="G431"/>
  <c r="G449" s="1"/>
  <c r="X430"/>
  <c r="X448" s="1"/>
  <c r="AA426"/>
  <c r="AA444" s="1"/>
  <c r="W374"/>
  <c r="Z379"/>
  <c r="AJ432"/>
  <c r="AJ450" s="1"/>
  <c r="S378"/>
  <c r="X374"/>
  <c r="AD376"/>
  <c r="L375"/>
  <c r="L377"/>
  <c r="AA375"/>
  <c r="AJ373"/>
  <c r="Z378"/>
  <c r="S375"/>
  <c r="S424"/>
  <c r="S442" s="1"/>
  <c r="S423"/>
  <c r="S441" s="1"/>
  <c r="M432"/>
  <c r="M450" s="1"/>
  <c r="H432"/>
  <c r="H450" s="1"/>
  <c r="P425"/>
  <c r="P443" s="1"/>
  <c r="AA425"/>
  <c r="AA443" s="1"/>
  <c r="M426"/>
  <c r="M444" s="1"/>
  <c r="AC426"/>
  <c r="AC444" s="1"/>
  <c r="M427"/>
  <c r="M445" s="1"/>
  <c r="H428"/>
  <c r="H446" s="1"/>
  <c r="W428"/>
  <c r="W446" s="1"/>
  <c r="M428"/>
  <c r="M446" s="1"/>
  <c r="K430"/>
  <c r="K448" s="1"/>
  <c r="L431"/>
  <c r="L449" s="1"/>
  <c r="M431"/>
  <c r="M449" s="1"/>
  <c r="AB431"/>
  <c r="AB449" s="1"/>
  <c r="P427"/>
  <c r="P445" s="1"/>
  <c r="X424"/>
  <c r="X442" s="1"/>
  <c r="M425"/>
  <c r="M443" s="1"/>
  <c r="T426"/>
  <c r="T444" s="1"/>
  <c r="L427"/>
  <c r="L445" s="1"/>
  <c r="X425"/>
  <c r="X443" s="1"/>
  <c r="P426"/>
  <c r="P444" s="1"/>
  <c r="L430"/>
  <c r="L448" s="1"/>
  <c r="Z377"/>
  <c r="DZ218"/>
  <c r="EE217"/>
  <c r="DV219"/>
  <c r="DN212"/>
  <c r="FA88"/>
  <c r="DQ212"/>
  <c r="ES168"/>
  <c r="DI220"/>
  <c r="EU88"/>
  <c r="DK212"/>
  <c r="EU98"/>
  <c r="DK213"/>
  <c r="ER118"/>
  <c r="DH215"/>
  <c r="EY88"/>
  <c r="DO212"/>
  <c r="EX98"/>
  <c r="DN213"/>
  <c r="DZ220"/>
  <c r="DG217"/>
  <c r="DH218"/>
  <c r="DR219"/>
  <c r="DO217"/>
  <c r="DV212"/>
  <c r="EI217"/>
  <c r="DI219"/>
  <c r="DL212"/>
  <c r="EZ98"/>
  <c r="DP213"/>
  <c r="EQ128"/>
  <c r="DG216"/>
  <c r="EY98"/>
  <c r="DO213"/>
  <c r="EQ148"/>
  <c r="DG218"/>
  <c r="EW88"/>
  <c r="DM212"/>
  <c r="EV98"/>
  <c r="DL213"/>
  <c r="DY213"/>
  <c r="DH216"/>
  <c r="ED214"/>
  <c r="DG215"/>
  <c r="DP212"/>
  <c r="DQ213"/>
  <c r="DF216"/>
  <c r="EJ216"/>
  <c r="DT212"/>
  <c r="DH217"/>
  <c r="DM213"/>
  <c r="G423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I442"/>
  <c r="Y448"/>
  <c r="Y443"/>
  <c r="Y447"/>
  <c r="S444"/>
  <c r="AD446"/>
  <c r="M61"/>
  <c r="I441"/>
  <c r="Y450"/>
  <c r="U61"/>
  <c r="Y446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W61"/>
  <c r="AI61"/>
  <c r="Y445"/>
  <c r="I446"/>
  <c r="I448"/>
  <c r="W444"/>
  <c r="S61"/>
  <c r="I447"/>
  <c r="I61"/>
  <c r="I450"/>
  <c r="Y441"/>
  <c r="AK61"/>
  <c r="AK450"/>
  <c r="Y442"/>
  <c r="I444"/>
  <c r="Y444"/>
  <c r="I445"/>
  <c r="I449"/>
  <c r="I443"/>
  <c r="Y449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G473"/>
  <c r="F473"/>
  <c r="G465"/>
  <c r="F465"/>
  <c r="I466" s="1"/>
  <c r="J466" s="1"/>
  <c r="G38"/>
  <c r="G424" s="1"/>
  <c r="D22"/>
  <c r="C373"/>
  <c r="D531"/>
  <c r="N61"/>
  <c r="V61"/>
  <c r="AD450"/>
  <c r="AD61"/>
  <c r="I536"/>
  <c r="J44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K426" l="1"/>
  <c r="K444" s="1"/>
  <c r="AI428"/>
  <c r="AI446" s="1"/>
  <c r="R428"/>
  <c r="R446" s="1"/>
  <c r="K423"/>
  <c r="K441" s="1"/>
  <c r="AF430"/>
  <c r="AF448" s="1"/>
  <c r="AF431"/>
  <c r="AF449" s="1"/>
  <c r="I496"/>
  <c r="J496" s="1"/>
  <c r="K498" s="1"/>
  <c r="X431"/>
  <c r="X449" s="1"/>
  <c r="AG428"/>
  <c r="AG446" s="1"/>
  <c r="AG432"/>
  <c r="AG450" s="1"/>
  <c r="R432"/>
  <c r="R450" s="1"/>
  <c r="AA428"/>
  <c r="AA446" s="1"/>
  <c r="T432"/>
  <c r="T450" s="1"/>
  <c r="T431"/>
  <c r="T449" s="1"/>
  <c r="Z431"/>
  <c r="Z449" s="1"/>
  <c r="AH426"/>
  <c r="AH444" s="1"/>
  <c r="AE426"/>
  <c r="AE444" s="1"/>
  <c r="J425"/>
  <c r="J432"/>
  <c r="V428"/>
  <c r="V446" s="1"/>
  <c r="AE430"/>
  <c r="AE448" s="1"/>
  <c r="Q426"/>
  <c r="Q444" s="1"/>
  <c r="AE429"/>
  <c r="AE447" s="1"/>
  <c r="Q423"/>
  <c r="Q441" s="1"/>
  <c r="AG425"/>
  <c r="AG443" s="1"/>
  <c r="AE431"/>
  <c r="AE449" s="1"/>
  <c r="Q430"/>
  <c r="Q448" s="1"/>
  <c r="Z427"/>
  <c r="Z445" s="1"/>
  <c r="AH425"/>
  <c r="AH443" s="1"/>
  <c r="AF424"/>
  <c r="AF442" s="1"/>
  <c r="AF429"/>
  <c r="AF447" s="1"/>
  <c r="V429"/>
  <c r="V447" s="1"/>
  <c r="V430"/>
  <c r="V448" s="1"/>
  <c r="J430"/>
  <c r="J429"/>
  <c r="AG427"/>
  <c r="AG445" s="1"/>
  <c r="AH432"/>
  <c r="AH450" s="1"/>
  <c r="O431"/>
  <c r="O449" s="1"/>
  <c r="O427"/>
  <c r="O445" s="1"/>
  <c r="Z423"/>
  <c r="Z441" s="1"/>
  <c r="O428"/>
  <c r="O446" s="1"/>
  <c r="V427"/>
  <c r="V445" s="1"/>
  <c r="Q424"/>
  <c r="Q442" s="1"/>
  <c r="Z424"/>
  <c r="Z442" s="1"/>
  <c r="AE424"/>
  <c r="AE442" s="1"/>
  <c r="I474"/>
  <c r="J474" s="1"/>
  <c r="K474" s="1"/>
  <c r="I470"/>
  <c r="J470" s="1"/>
  <c r="K472" s="1"/>
  <c r="J431"/>
  <c r="J449" s="1"/>
  <c r="O429"/>
  <c r="O447" s="1"/>
  <c r="O432"/>
  <c r="O450" s="1"/>
  <c r="AH427"/>
  <c r="AH445" s="1"/>
  <c r="Z429"/>
  <c r="Z447" s="1"/>
  <c r="Z430"/>
  <c r="Z448" s="1"/>
  <c r="Z432"/>
  <c r="Z450" s="1"/>
  <c r="O425"/>
  <c r="O443" s="1"/>
  <c r="AG424"/>
  <c r="AG442" s="1"/>
  <c r="Z426"/>
  <c r="Z444" s="1"/>
  <c r="AE423"/>
  <c r="AE441" s="1"/>
  <c r="AE425"/>
  <c r="AE443" s="1"/>
  <c r="AH431"/>
  <c r="AH449" s="1"/>
  <c r="Z425"/>
  <c r="Z443" s="1"/>
  <c r="O426"/>
  <c r="O444" s="1"/>
  <c r="V432"/>
  <c r="V450" s="1"/>
  <c r="Q429"/>
  <c r="Q447" s="1"/>
  <c r="O423"/>
  <c r="O441" s="1"/>
  <c r="AF423"/>
  <c r="AF441" s="1"/>
  <c r="AH424"/>
  <c r="AH442" s="1"/>
  <c r="AH423"/>
  <c r="AH441" s="1"/>
  <c r="AH428"/>
  <c r="AH446" s="1"/>
  <c r="Q425"/>
  <c r="Q443" s="1"/>
  <c r="I510"/>
  <c r="J510" s="1"/>
  <c r="K510" s="1"/>
  <c r="J428"/>
  <c r="AG431"/>
  <c r="AG449" s="1"/>
  <c r="AG430"/>
  <c r="AG448" s="1"/>
  <c r="AE427"/>
  <c r="AE445" s="1"/>
  <c r="Q432"/>
  <c r="Q450" s="1"/>
  <c r="J424"/>
  <c r="J442" s="1"/>
  <c r="AG429"/>
  <c r="AG447" s="1"/>
  <c r="V423"/>
  <c r="V441" s="1"/>
  <c r="U425"/>
  <c r="U443" s="1"/>
  <c r="Q431"/>
  <c r="Q449" s="1"/>
  <c r="O430"/>
  <c r="O448" s="1"/>
  <c r="Q427"/>
  <c r="Q445" s="1"/>
  <c r="AE432"/>
  <c r="AE450" s="1"/>
  <c r="AH429"/>
  <c r="AH447" s="1"/>
  <c r="V424"/>
  <c r="V442" s="1"/>
  <c r="AG423"/>
  <c r="AG441" s="1"/>
  <c r="J426"/>
  <c r="J444" s="1"/>
  <c r="AJ429"/>
  <c r="AJ447" s="1"/>
  <c r="AB427"/>
  <c r="AB445" s="1"/>
  <c r="U428"/>
  <c r="U446" s="1"/>
  <c r="AB430"/>
  <c r="AB448" s="1"/>
  <c r="AB423"/>
  <c r="AB441" s="1"/>
  <c r="I482"/>
  <c r="J482" s="1"/>
  <c r="K482" s="1"/>
  <c r="T425"/>
  <c r="T443" s="1"/>
  <c r="AA431"/>
  <c r="AA449" s="1"/>
  <c r="AA430"/>
  <c r="AA448" s="1"/>
  <c r="AI429"/>
  <c r="AI447" s="1"/>
  <c r="K427"/>
  <c r="K445" s="1"/>
  <c r="K432"/>
  <c r="K450" s="1"/>
  <c r="R426"/>
  <c r="R444" s="1"/>
  <c r="R424"/>
  <c r="R442" s="1"/>
  <c r="AJ426"/>
  <c r="AJ444" s="1"/>
  <c r="U426"/>
  <c r="U444" s="1"/>
  <c r="X432"/>
  <c r="X450" s="1"/>
  <c r="AA427"/>
  <c r="AA445" s="1"/>
  <c r="AJ427"/>
  <c r="AJ445" s="1"/>
  <c r="AB424"/>
  <c r="AB442" s="1"/>
  <c r="K431"/>
  <c r="K449" s="1"/>
  <c r="J427"/>
  <c r="J445" s="1"/>
  <c r="T430"/>
  <c r="T448" s="1"/>
  <c r="AJ428"/>
  <c r="AJ446" s="1"/>
  <c r="X423"/>
  <c r="X441" s="1"/>
  <c r="AB425"/>
  <c r="AB443" s="1"/>
  <c r="AB429"/>
  <c r="AB447" s="1"/>
  <c r="AJ424"/>
  <c r="AJ442" s="1"/>
  <c r="AB426"/>
  <c r="AB444" s="1"/>
  <c r="U427"/>
  <c r="U445" s="1"/>
  <c r="T428"/>
  <c r="T446" s="1"/>
  <c r="U429"/>
  <c r="U447" s="1"/>
  <c r="U432"/>
  <c r="U450" s="1"/>
  <c r="AI423"/>
  <c r="AI441" s="1"/>
  <c r="AI424"/>
  <c r="AI442" s="1"/>
  <c r="AB432"/>
  <c r="AB450" s="1"/>
  <c r="AJ425"/>
  <c r="AJ443" s="1"/>
  <c r="T427"/>
  <c r="T445" s="1"/>
  <c r="AI432"/>
  <c r="AI450" s="1"/>
  <c r="AJ430"/>
  <c r="AJ448" s="1"/>
  <c r="T429"/>
  <c r="T447" s="1"/>
  <c r="AJ423"/>
  <c r="AJ441" s="1"/>
  <c r="K425"/>
  <c r="K443" s="1"/>
  <c r="AI431"/>
  <c r="AI449" s="1"/>
  <c r="K428"/>
  <c r="K446" s="1"/>
  <c r="AI427"/>
  <c r="AI445" s="1"/>
  <c r="V431"/>
  <c r="V449" s="1"/>
  <c r="V426"/>
  <c r="V444" s="1"/>
  <c r="U424"/>
  <c r="U442" s="1"/>
  <c r="K424"/>
  <c r="K442" s="1"/>
  <c r="Y11"/>
  <c r="I500"/>
  <c r="J500" s="1"/>
  <c r="K502" s="1"/>
  <c r="I464"/>
  <c r="J464" s="1"/>
  <c r="K464" s="1"/>
  <c r="FU128"/>
  <c r="AD8" s="1"/>
  <c r="I504"/>
  <c r="J504" s="1"/>
  <c r="K506" s="1"/>
  <c r="FU108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DG225"/>
  <c r="FU123"/>
  <c r="FU155"/>
  <c r="DG231"/>
  <c r="DG227"/>
  <c r="I546"/>
  <c r="D43"/>
  <c r="E43" s="1"/>
  <c r="E41"/>
  <c r="D377"/>
  <c r="E377" s="1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514"/>
  <c r="D375"/>
  <c r="E375" s="1"/>
  <c r="D32"/>
  <c r="AN15" s="1"/>
  <c r="D45"/>
  <c r="E45" s="1"/>
  <c r="FU175"/>
  <c r="AD11"/>
  <c r="AC11"/>
  <c r="G445"/>
  <c r="K494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AE8"/>
  <c r="Y4"/>
  <c r="Z4"/>
  <c r="X4"/>
  <c r="Z7"/>
  <c r="X7"/>
  <c r="Y7"/>
  <c r="J61"/>
  <c r="D61" s="1"/>
  <c r="D46"/>
  <c r="E46" s="1"/>
  <c r="D406"/>
  <c r="Y9"/>
  <c r="K490"/>
  <c r="K478"/>
  <c r="K480"/>
  <c r="K468"/>
  <c r="K496" l="1"/>
  <c r="AA13"/>
  <c r="K470"/>
  <c r="K476"/>
  <c r="K512"/>
  <c r="K484"/>
  <c r="C449"/>
  <c r="C445"/>
  <c r="C429"/>
  <c r="C427"/>
  <c r="AC8"/>
  <c r="AF9"/>
  <c r="AA11"/>
  <c r="AC4"/>
  <c r="F393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<sst xmlns="http://schemas.openxmlformats.org/spreadsheetml/2006/main" count="1029" uniqueCount="150">
  <si>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</si>
  <si>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</si>
  <si>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</si>
  <si>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</si>
  <si>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</si>
  <si>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</si>
  <si>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</si>
  <si>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</si>
  <si>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</si>
  <si>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</si>
  <si>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</si>
  <si>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</si>
  <si>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</si>
  <si>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</si>
  <si>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</si>
  <si>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</si>
  <si>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</si>
  <si>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</si>
  <si>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</si>
  <si>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</si>
  <si>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</si>
  <si>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</si>
  <si>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</si>
  <si>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</si>
  <si>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</si>
  <si>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</si>
  <si>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</si>
  <si>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</si>
  <si>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</si>
  <si>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</si>
  <si>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</si>
  <si>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</si>
  <si>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</si>
  <si>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</si>
  <si>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</si>
  <si>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</si>
  <si>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</si>
  <si>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</si>
  <si>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</si>
  <si>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</si>
  <si>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</si>
  <si>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</si>
  <si>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</si>
  <si>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</si>
  <si>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</si>
  <si>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</si>
  <si>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</si>
  <si>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</si>
  <si>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</si>
  <si>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</si>
  <si>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</si>
  <si>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</si>
  <si>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</si>
  <si>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</si>
  <si>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</si>
  <si>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</si>
  <si>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</si>
  <si>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</si>
  <si>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</si>
  <si>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</si>
  <si>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</si>
  <si>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</si>
  <si>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</si>
  <si>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</si>
  <si>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</si>
  <si>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</si>
  <si>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</si>
  <si>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</si>
  <si>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</si>
  <si>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</si>
  <si>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</si>
  <si>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</si>
  <si>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</si>
  <si>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</si>
  <si>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</si>
  <si>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</si>
  <si>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</si>
  <si>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</si>
  <si>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</si>
  <si>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</si>
  <si>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</si>
  <si>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</si>
  <si>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</si>
  <si>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</si>
  <si>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</si>
  <si>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</si>
  <si>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</si>
  <si>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</si>
  <si>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</si>
  <si>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</si>
  <si>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</si>
  <si>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</si>
  <si>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</si>
  <si>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</si>
  <si>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</si>
  <si>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</si>
  <si>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</si>
  <si>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</si>
  <si>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</si>
  <si>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</si>
  <si>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</si>
  <si>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</si>
  <si>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</si>
  <si>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</si>
  <si>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</si>
  <si>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</si>
  <si>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</si>
  <si>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</si>
  <si>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</si>
  <si>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</si>
  <si>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</si>
  <si>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</si>
  <si>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</si>
  <si>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</si>
  <si>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</si>
  <si>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</si>
  <si>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</si>
  <si>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</si>
  <si>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</si>
  <si>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</si>
  <si>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</si>
  <si>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</si>
  <si>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</si>
  <si>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</si>
  <si>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</si>
  <si>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</si>
  <si>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</si>
  <si>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</si>
  <si>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</si>
  <si>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</si>
  <si>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</si>
  <si>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</si>
  <si>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</si>
  <si>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</si>
  <si>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</si>
  <si>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</si>
  <si>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</si>
  <si>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</si>
  <si>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</si>
  <si>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</si>
  <si>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</si>
  <si>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</si>
  <si>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</si>
  <si>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</si>
  <si>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</si>
  <si>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</si>
  <si>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</si>
  <si>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</si>
  <si>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</si>
  <si>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Limn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</si>
</sst>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C1338"/>
  <sheetViews>
    <sheetView tabSelected="1" topLeftCell="FX987" zoomScale="85" zoomScaleNormal="85" workbookViewId="0">
      <selection activeCell="GJ1017" sqref="GJ1017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211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11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1" t="s">
        <v>143</v>
      </c>
      <c r="GD2" s="221"/>
      <c r="GE2" s="221"/>
      <c r="GF2" s="221"/>
      <c r="GG2" s="221"/>
      <c r="GH2" s="221"/>
      <c r="GI2" s="221"/>
      <c r="GJ2" s="206"/>
      <c r="GK2" s="206"/>
      <c r="GL2" s="206"/>
      <c r="GM2" s="206"/>
      <c r="GN2" s="206"/>
    </row>
    <row r="3" spans="1:211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211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49.164503205128206</v>
      </c>
      <c r="N4" s="130">
        <v>38.187420885149407</v>
      </c>
      <c r="O4" s="130">
        <v>26.467362727339264</v>
      </c>
      <c r="P4" s="130">
        <v>260.02457799188647</v>
      </c>
      <c r="Q4" s="130">
        <v>36.615800051272018</v>
      </c>
      <c r="R4" s="130">
        <v>357.65995118451201</v>
      </c>
      <c r="S4" s="131">
        <v>28.956846359887262</v>
      </c>
      <c r="T4" s="131">
        <v>27.815670303197447</v>
      </c>
      <c r="U4" s="5"/>
      <c r="V4" s="4"/>
      <c r="W4" s="127">
        <f t="shared" ref="W4:W13" si="0">C4</f>
        <v>39646</v>
      </c>
      <c r="X4" s="132">
        <f>AVERAGE(EK88:EK97)</f>
        <v>42.708333333333336</v>
      </c>
      <c r="Y4" s="131">
        <f>COUNT(EK88:EK97)</f>
        <v>10</v>
      </c>
      <c r="Z4" s="130">
        <f>STDEV(EK88:EK97)</f>
        <v>38.178658353898484</v>
      </c>
      <c r="AA4" s="130">
        <f>Z4/SQRT(Y4)</f>
        <v>12.073151840773404</v>
      </c>
      <c r="AB4" s="131"/>
      <c r="AC4" s="130">
        <f>AVERAGE($FU88:$FU97)</f>
        <v>27.016087924028263</v>
      </c>
      <c r="AD4" s="132">
        <f>COUNT($FU88:$FU97)</f>
        <v>10</v>
      </c>
      <c r="AE4" s="130">
        <f>STDEV($FU88:$FU97)</f>
        <v>23.038786187155267</v>
      </c>
      <c r="AF4" s="130">
        <f>AE4/SQRT(AD4)</f>
        <v>7.2855038877036931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 t="s">
        <v>24</v>
      </c>
      <c r="GL4" s="210"/>
      <c r="GM4" s="210"/>
      <c r="GN4" s="206"/>
    </row>
    <row r="5" spans="1:211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49.557133653846151</v>
      </c>
      <c r="N5" s="130">
        <f t="shared" si="1"/>
        <v>38.381684820456464</v>
      </c>
      <c r="O5" s="130">
        <f t="shared" si="1"/>
        <v>26.39077055122933</v>
      </c>
      <c r="P5" s="130">
        <f t="shared" si="1"/>
        <v>261.04713030845039</v>
      </c>
      <c r="Q5" s="130">
        <f t="shared" si="1"/>
        <v>36.78458449958039</v>
      </c>
      <c r="R5" s="130">
        <f t="shared" si="1"/>
        <v>349.79051718643632</v>
      </c>
      <c r="S5" s="131">
        <f t="shared" si="1"/>
        <v>29.233520439258584</v>
      </c>
      <c r="T5" s="131">
        <f t="shared" si="1"/>
        <v>27.640456931853855</v>
      </c>
      <c r="U5" s="5"/>
      <c r="V5" s="4"/>
      <c r="W5" s="127">
        <f t="shared" si="0"/>
        <v>39673</v>
      </c>
      <c r="X5" s="132">
        <f>AVERAGE(EK98:EK107)</f>
        <v>70.416666666666657</v>
      </c>
      <c r="Y5" s="131">
        <f>COUNT(EK98:EK107)</f>
        <v>10</v>
      </c>
      <c r="Z5" s="130">
        <f>STDEV(EK98:EK107)</f>
        <v>56.201110441118651</v>
      </c>
      <c r="AA5" s="130">
        <f t="shared" ref="AA5:AA13" si="2">Z5/SQRT(Y5)</f>
        <v>17.772351602460535</v>
      </c>
      <c r="AB5" s="131"/>
      <c r="AC5" s="130">
        <f>AVERAGE($FU98:$FU107)</f>
        <v>68.197321451658269</v>
      </c>
      <c r="AD5" s="132">
        <f>COUNT($FU98:$FU107)</f>
        <v>10</v>
      </c>
      <c r="AE5" s="130">
        <f>STDEV($FU98:$FU107)</f>
        <v>66.866946072191723</v>
      </c>
      <c r="AF5" s="130">
        <f t="shared" ref="AF5:AF13" si="3">AE5/SQRT(AD5)</f>
        <v>21.145184976777564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211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59.369454460470088</v>
      </c>
      <c r="N6" s="130">
        <f t="shared" si="4"/>
        <v>46.668757916699612</v>
      </c>
      <c r="O6" s="130">
        <f t="shared" si="4"/>
        <v>63.815056366586383</v>
      </c>
      <c r="P6" s="130">
        <f t="shared" si="4"/>
        <v>325.01887867670712</v>
      </c>
      <c r="Q6" s="130">
        <f t="shared" si="4"/>
        <v>44.421835166809956</v>
      </c>
      <c r="R6" s="130">
        <f t="shared" si="4"/>
        <v>423.34266249894989</v>
      </c>
      <c r="S6" s="130">
        <f t="shared" si="4"/>
        <v>35.257739782239113</v>
      </c>
      <c r="T6" s="130">
        <f t="shared" si="4"/>
        <v>46.088892996046965</v>
      </c>
      <c r="U6" s="5"/>
      <c r="V6" s="4"/>
      <c r="W6" s="127">
        <f t="shared" si="0"/>
        <v>39714</v>
      </c>
      <c r="X6" s="132">
        <f>AVERAGE(EK108:EK117)</f>
        <v>86.458333333333343</v>
      </c>
      <c r="Y6" s="131">
        <f>COUNT(EK108:EK117)</f>
        <v>10</v>
      </c>
      <c r="Z6" s="130">
        <f>STDEV(EK108:EK117)</f>
        <v>78.421505242936405</v>
      </c>
      <c r="AA6" s="130">
        <f t="shared" si="2"/>
        <v>24.799057410651521</v>
      </c>
      <c r="AB6" s="131"/>
      <c r="AC6" s="130">
        <f>AVERAGE($FU108:$FU117)</f>
        <v>64.861204669508922</v>
      </c>
      <c r="AD6" s="132">
        <f>COUNT($FU108:$FU117)</f>
        <v>10</v>
      </c>
      <c r="AE6" s="130">
        <f>STDEV($FU108:$FU117)</f>
        <v>58.831961083987274</v>
      </c>
      <c r="AF6" s="130">
        <f t="shared" si="3"/>
        <v>18.604299623978843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3" t="s">
        <v>146</v>
      </c>
      <c r="FJ6" s="223"/>
      <c r="FK6" s="224" t="s">
        <v>147</v>
      </c>
      <c r="FL6" s="224"/>
      <c r="FM6" s="224" t="s">
        <v>148</v>
      </c>
      <c r="FN6" s="224"/>
      <c r="FO6" s="5"/>
      <c r="FY6" s="211">
        <v>1</v>
      </c>
      <c r="FZ6">
        <v>43.557278333393725</v>
      </c>
      <c r="GA6">
        <v>89.348524393824619</v>
      </c>
      <c r="GB6">
        <v>41.685093827597832</v>
      </c>
      <c r="GC6">
        <v>15.913491571282279</v>
      </c>
      <c r="GD6">
        <v>9.0180203133413883</v>
      </c>
      <c r="GE6">
        <v>11.58004057157088</v>
      </c>
      <c r="GF6">
        <v>30.643964502316134</v>
      </c>
      <c r="GG6">
        <v>20.0024518298912</v>
      </c>
      <c r="GH6">
        <v>7.0329089830516915</v>
      </c>
      <c r="GI6">
        <v>29.471373062794203</v>
      </c>
      <c r="GJ6"/>
      <c r="GK6">
        <v>46.842763607707894</v>
      </c>
      <c r="GL6">
        <v>81.298862678098274</v>
      </c>
      <c r="GM6">
        <v>73.84799808757343</v>
      </c>
      <c r="GN6">
        <v>52.548227621020324</v>
      </c>
      <c r="GO6">
        <v>39.233346402951526</v>
      </c>
      <c r="GP6">
        <v>24.846429962987667</v>
      </c>
      <c r="GQ6">
        <v>41.287152369948458</v>
      </c>
      <c r="GR6">
        <v>30.086221443085471</v>
      </c>
      <c r="GS6">
        <v>8.5637381963184342</v>
      </c>
      <c r="GT6">
        <v>41.95499973289995</v>
      </c>
      <c r="GU6"/>
      <c r="GV6"/>
      <c r="GW6"/>
      <c r="GX6"/>
      <c r="GY6"/>
      <c r="GZ6"/>
      <c r="HA6"/>
      <c r="HB6"/>
      <c r="HC6"/>
    </row>
    <row r="7" spans="1:211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40.680486111111101</v>
      </c>
      <c r="N7" s="130">
        <f t="shared" si="5"/>
        <v>30.716029676103322</v>
      </c>
      <c r="O7" s="130">
        <f t="shared" si="5"/>
        <v>3.8793371580610732</v>
      </c>
      <c r="P7" s="130">
        <f t="shared" si="5"/>
        <v>203.65242295525672</v>
      </c>
      <c r="Q7" s="130">
        <f t="shared" si="5"/>
        <v>29.544018960815805</v>
      </c>
      <c r="R7" s="130">
        <f t="shared" si="5"/>
        <v>284.67630169505753</v>
      </c>
      <c r="S7" s="130">
        <f t="shared" si="5"/>
        <v>23.801980517441358</v>
      </c>
      <c r="T7" s="130">
        <f t="shared" si="5"/>
        <v>7.6083429265903852</v>
      </c>
      <c r="U7" s="5"/>
      <c r="V7" s="4"/>
      <c r="W7" s="127">
        <f t="shared" si="0"/>
        <v>39747</v>
      </c>
      <c r="X7" s="132">
        <f>AVERAGE(EK118:EK127)</f>
        <v>49.952651515151516</v>
      </c>
      <c r="Y7" s="131">
        <f>COUNT(EK118:EK127)</f>
        <v>10</v>
      </c>
      <c r="Z7" s="130">
        <f>STDEV(EK118:EK127)</f>
        <v>44.471322051496372</v>
      </c>
      <c r="AA7" s="130">
        <f t="shared" si="2"/>
        <v>14.063066824160039</v>
      </c>
      <c r="AB7" s="131"/>
      <c r="AC7" s="130">
        <f>AVERAGE($FU118:$FU127)</f>
        <v>37.474573344102922</v>
      </c>
      <c r="AD7" s="132">
        <f>COUNT($FU118:$FU127)</f>
        <v>10</v>
      </c>
      <c r="AE7" s="130">
        <f>STDEV($FU118:$FU127)</f>
        <v>33.36246964633159</v>
      </c>
      <c r="AF7" s="130">
        <f t="shared" si="3"/>
        <v>10.550139245064003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25">
        <f>AVERAGE(FZ6:FZ1005)</f>
        <v>43.844110825855765</v>
      </c>
      <c r="FJ7" s="225"/>
      <c r="FK7" s="225">
        <f>PERCENTILE($FZ$6:$FZ$1005,0.975)</f>
        <v>62.159061753345178</v>
      </c>
      <c r="FL7" s="225"/>
      <c r="FM7" s="225">
        <f>PERCENTILE($FZ$6:$FZ$1005,0.025)</f>
        <v>27.32464900213601</v>
      </c>
      <c r="FN7" s="225"/>
      <c r="FO7" s="5"/>
      <c r="FY7" s="211">
        <v>2</v>
      </c>
      <c r="FZ7">
        <v>27.206879460278426</v>
      </c>
      <c r="GA7">
        <v>60.836165754227657</v>
      </c>
      <c r="GB7">
        <v>34.827805665482174</v>
      </c>
      <c r="GC7">
        <v>16.859901120882689</v>
      </c>
      <c r="GD7">
        <v>8.7568366148063514</v>
      </c>
      <c r="GE7">
        <v>11.519338745994098</v>
      </c>
      <c r="GF7">
        <v>28.227248058915805</v>
      </c>
      <c r="GG7">
        <v>19.742679728204298</v>
      </c>
      <c r="GH7">
        <v>14.414650879128365</v>
      </c>
      <c r="GI7">
        <v>25.960353992016238</v>
      </c>
      <c r="GJ7"/>
      <c r="GK7">
        <v>28.135720718599909</v>
      </c>
      <c r="GL7">
        <v>53.76446844894236</v>
      </c>
      <c r="GM7">
        <v>61.699842558015902</v>
      </c>
      <c r="GN7">
        <v>55.674068809912313</v>
      </c>
      <c r="GO7">
        <v>38.096676879718068</v>
      </c>
      <c r="GP7">
        <v>24.716186580117167</v>
      </c>
      <c r="GQ7">
        <v>38.031067798185958</v>
      </c>
      <c r="GR7">
        <v>29.695491294473968</v>
      </c>
      <c r="GS7">
        <v>17.518206541248368</v>
      </c>
      <c r="GT7">
        <v>36.696302899153643</v>
      </c>
      <c r="GU7"/>
      <c r="GV7"/>
      <c r="GW7"/>
      <c r="GX7"/>
      <c r="GY7"/>
      <c r="GZ7"/>
      <c r="HA7"/>
      <c r="HB7"/>
      <c r="HC7"/>
    </row>
    <row r="8" spans="1:211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69.116647241647243</v>
      </c>
      <c r="Y8" s="131">
        <f>COUNT(EK128:EK137)</f>
        <v>10</v>
      </c>
      <c r="Z8" s="130">
        <f>STDEV(EK128:EK137)</f>
        <v>43.295478695811553</v>
      </c>
      <c r="AA8" s="130">
        <f t="shared" si="2"/>
        <v>13.691232506606086</v>
      </c>
      <c r="AB8" s="131"/>
      <c r="AC8" s="130">
        <f>AVERAGE($FU128:$FU137)</f>
        <v>48.980705204588709</v>
      </c>
      <c r="AD8" s="132">
        <f>COUNT($FU128:$FU137)</f>
        <v>10</v>
      </c>
      <c r="AE8" s="130">
        <f>STDEV($FU128:$FU137)</f>
        <v>35.311198633435019</v>
      </c>
      <c r="AF8" s="130">
        <f t="shared" si="3"/>
        <v>11.166381459227976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25">
        <f>AVERAGE(GA6:GA1005)</f>
        <v>72.696796198188807</v>
      </c>
      <c r="FJ8" s="225"/>
      <c r="FK8" s="225">
        <f>PERCENTILE($GA$6:$GA$1005,0.975)</f>
        <v>100.84117386633891</v>
      </c>
      <c r="FL8" s="225"/>
      <c r="FM8" s="225">
        <f>PERCENTILE($GA$6:$GA$1005,0.025)</f>
        <v>46.865069549041642</v>
      </c>
      <c r="FN8" s="225"/>
      <c r="FO8" s="5"/>
      <c r="FY8" s="211">
        <v>3</v>
      </c>
      <c r="FZ8">
        <v>49.69969044866599</v>
      </c>
      <c r="GA8">
        <v>75.15177248212521</v>
      </c>
      <c r="GB8">
        <v>23.820053615770188</v>
      </c>
      <c r="GC8">
        <v>10.098871515457406</v>
      </c>
      <c r="GD8">
        <v>7.3885047596809992</v>
      </c>
      <c r="GE8">
        <v>11.39793509484053</v>
      </c>
      <c r="GF8">
        <v>26.847522671229079</v>
      </c>
      <c r="GG8">
        <v>19.719064082596397</v>
      </c>
      <c r="GH8">
        <v>6.9766582604996188</v>
      </c>
      <c r="GI8">
        <v>24.051073983496554</v>
      </c>
      <c r="GJ8"/>
      <c r="GK8">
        <v>54.996942465733447</v>
      </c>
      <c r="GL8">
        <v>71.088724551383365</v>
      </c>
      <c r="GM8">
        <v>42.198856050041961</v>
      </c>
      <c r="GN8">
        <v>33.339616294390694</v>
      </c>
      <c r="GO8">
        <v>32.137369683278393</v>
      </c>
      <c r="GP8">
        <v>24.455699814376167</v>
      </c>
      <c r="GQ8">
        <v>36.172139515397916</v>
      </c>
      <c r="GR8">
        <v>29.659970371872923</v>
      </c>
      <c r="GS8">
        <v>7.8146029722299923</v>
      </c>
      <c r="GT8">
        <v>34.66398213733634</v>
      </c>
      <c r="GU8"/>
      <c r="GV8"/>
      <c r="GW8"/>
      <c r="GX8"/>
      <c r="GY8"/>
      <c r="GZ8"/>
      <c r="HA8"/>
      <c r="HB8"/>
      <c r="HC8"/>
    </row>
    <row r="9" spans="1:211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32.21153846153846</v>
      </c>
      <c r="Y9" s="131">
        <f>COUNT(EK138:EK147)</f>
        <v>10</v>
      </c>
      <c r="Z9" s="130">
        <f>STDEV(EK138:EK147)</f>
        <v>26.513168025518215</v>
      </c>
      <c r="AA9" s="130">
        <f t="shared" si="2"/>
        <v>8.384199894738682</v>
      </c>
      <c r="AB9" s="131"/>
      <c r="AC9" s="130">
        <f>AVERAGE($FU138:$FU147)</f>
        <v>24.165156883357366</v>
      </c>
      <c r="AD9" s="132">
        <f>COUNT($FU138:$FU147)</f>
        <v>10</v>
      </c>
      <c r="AE9" s="130">
        <f>STDEV($FU138:$FU147)</f>
        <v>19.890228638922977</v>
      </c>
      <c r="AF9" s="130">
        <f t="shared" si="3"/>
        <v>6.2898425680507435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25">
        <f>AVERAGE(GB6:GB1005)</f>
        <v>29.488203798264241</v>
      </c>
      <c r="FJ9" s="225"/>
      <c r="FK9" s="225">
        <f>PERCENTILE($GB$6:$GB$1005,0.975)</f>
        <v>42.017932960612804</v>
      </c>
      <c r="FL9" s="225"/>
      <c r="FM9" s="225">
        <f>PERCENTILE($GB$6:$GB$1005,0.025)</f>
        <v>18.63422944317022</v>
      </c>
      <c r="FN9" s="225"/>
      <c r="FO9" s="5"/>
      <c r="FY9" s="211">
        <v>4</v>
      </c>
      <c r="FZ9">
        <v>46.149787844097318</v>
      </c>
      <c r="GA9">
        <v>69.413357728297541</v>
      </c>
      <c r="GB9">
        <v>28.642210934450933</v>
      </c>
      <c r="GC9">
        <v>13.411718579596256</v>
      </c>
      <c r="GD9">
        <v>6.8692765897567822</v>
      </c>
      <c r="GE9">
        <v>9.5301866155549071</v>
      </c>
      <c r="GF9">
        <v>22.137122621546993</v>
      </c>
      <c r="GG9">
        <v>18.963363423143608</v>
      </c>
      <c r="GH9">
        <v>16.102564721701199</v>
      </c>
      <c r="GI9">
        <v>25.100726016939412</v>
      </c>
      <c r="GJ9"/>
      <c r="GK9">
        <v>47.732854961809565</v>
      </c>
      <c r="GL9">
        <v>61.344633332005451</v>
      </c>
      <c r="GM9">
        <v>50.741637935593374</v>
      </c>
      <c r="GN9">
        <v>44.281426644843492</v>
      </c>
      <c r="GO9">
        <v>29.877692530119575</v>
      </c>
      <c r="GP9">
        <v>20.448211110668481</v>
      </c>
      <c r="GQ9">
        <v>29.825734677344474</v>
      </c>
      <c r="GR9">
        <v>28.523300848639476</v>
      </c>
      <c r="GS9">
        <v>18.722722060217425</v>
      </c>
      <c r="GT9">
        <v>35.380128433016878</v>
      </c>
      <c r="GU9"/>
      <c r="GV9"/>
      <c r="GW9"/>
      <c r="GX9"/>
      <c r="GY9"/>
      <c r="GZ9"/>
      <c r="HA9"/>
      <c r="HB9"/>
      <c r="HC9"/>
    </row>
    <row r="10" spans="1:211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30.555555555555561</v>
      </c>
      <c r="Y10" s="131">
        <f>COUNT(EK148:EK157)</f>
        <v>10</v>
      </c>
      <c r="Z10" s="130">
        <f>STDEV(EK148:EK157)</f>
        <v>30.874805275872511</v>
      </c>
      <c r="AA10" s="130">
        <f t="shared" si="2"/>
        <v>9.7634706985940447</v>
      </c>
      <c r="AB10" s="131"/>
      <c r="AC10" s="130">
        <f>AVERAGE($FU148:$FU157)</f>
        <v>22.922835385207982</v>
      </c>
      <c r="AD10" s="132">
        <f>COUNT($FU148:$FU157)</f>
        <v>10</v>
      </c>
      <c r="AE10" s="130">
        <f>STDEV($FU148:$FU157)</f>
        <v>23.162337127282129</v>
      </c>
      <c r="AF10" s="130">
        <f t="shared" si="3"/>
        <v>7.3245741254892911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25">
        <f>AVERAGE(GC6:GC1005)</f>
        <v>13.302691502518613</v>
      </c>
      <c r="FJ10" s="225"/>
      <c r="FK10" s="225">
        <f>PERCENTILE($GC$6:$GC$1005,0.975)</f>
        <v>17.889263191223648</v>
      </c>
      <c r="FL10" s="225"/>
      <c r="FM10" s="225">
        <f>PERCENTILE($GC$6:$GC$1005,0.025)</f>
        <v>9.1948981886428847</v>
      </c>
      <c r="FN10" s="225"/>
      <c r="FO10" s="5"/>
      <c r="FY10" s="211">
        <v>5</v>
      </c>
      <c r="FZ10">
        <v>62.39421833134535</v>
      </c>
      <c r="GA10">
        <v>83.896625659853683</v>
      </c>
      <c r="GB10">
        <v>27.348950447736136</v>
      </c>
      <c r="GC10">
        <v>13.104020715878606</v>
      </c>
      <c r="GD10">
        <v>9.041061061610506</v>
      </c>
      <c r="GE10">
        <v>15.222150106177853</v>
      </c>
      <c r="GF10">
        <v>30.90760629614163</v>
      </c>
      <c r="GG10">
        <v>19.199519879222606</v>
      </c>
      <c r="GH10">
        <v>9.7673215646994649</v>
      </c>
      <c r="GI10">
        <v>28.948941076040505</v>
      </c>
      <c r="GJ10"/>
      <c r="GK10">
        <v>71.727918745999389</v>
      </c>
      <c r="GL10">
        <v>83.489780781319496</v>
      </c>
      <c r="GM10">
        <v>48.450538427825947</v>
      </c>
      <c r="GN10">
        <v>43.253628865284448</v>
      </c>
      <c r="GO10">
        <v>39.316271213891646</v>
      </c>
      <c r="GP10">
        <v>32.661032935217662</v>
      </c>
      <c r="GQ10">
        <v>41.642361595958917</v>
      </c>
      <c r="GR10">
        <v>28.878510074649931</v>
      </c>
      <c r="GS10">
        <v>10.940444161121988</v>
      </c>
      <c r="GT10">
        <v>42.415506828959579</v>
      </c>
      <c r="GU10"/>
      <c r="GV10"/>
      <c r="GW10"/>
      <c r="GX10"/>
      <c r="GY10"/>
      <c r="GZ10"/>
      <c r="HA10"/>
      <c r="HB10"/>
      <c r="HC10"/>
    </row>
    <row r="11" spans="1:211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60.321969696969703</v>
      </c>
      <c r="Y11" s="131">
        <f>COUNT(EK158:EK167)</f>
        <v>10</v>
      </c>
      <c r="Z11" s="130">
        <f>STDEV(EK158:EK167)</f>
        <v>72.723121396144762</v>
      </c>
      <c r="AA11" s="130">
        <f t="shared" si="2"/>
        <v>22.997070216874164</v>
      </c>
      <c r="AB11" s="131"/>
      <c r="AC11" s="130">
        <f>AVERAGE($FU158:$FU167)</f>
        <v>45.253655393731869</v>
      </c>
      <c r="AD11" s="132">
        <f>COUNT($FU158:$FU167)</f>
        <v>10</v>
      </c>
      <c r="AE11" s="130">
        <f>STDEV($FU158:$FU167)</f>
        <v>54.557022778766914</v>
      </c>
      <c r="AF11" s="130">
        <f t="shared" si="3"/>
        <v>17.252445433859201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25">
        <f>AVERAGE(GD5:GD1005)</f>
        <v>8.4140085809693836</v>
      </c>
      <c r="FJ11" s="225"/>
      <c r="FK11" s="225">
        <f>PERCENTILE($GD$6:$GD$1005,0.975)</f>
        <v>11.317986135332376</v>
      </c>
      <c r="FL11" s="225"/>
      <c r="FM11" s="225">
        <f>PERCENTILE($GD$6:$GD$1005,0.025)</f>
        <v>5.8046974364849531</v>
      </c>
      <c r="FN11" s="225"/>
      <c r="FO11" s="5"/>
      <c r="FY11" s="211">
        <v>6</v>
      </c>
      <c r="FZ11">
        <v>46.544843288026165</v>
      </c>
      <c r="GA11">
        <v>79.670618233370789</v>
      </c>
      <c r="GB11">
        <v>34.156112234397739</v>
      </c>
      <c r="GC11">
        <v>12.097759005884404</v>
      </c>
      <c r="GD11">
        <v>6.3975277566867934</v>
      </c>
      <c r="GE11">
        <v>10.716206899901279</v>
      </c>
      <c r="GF11">
        <v>23.754125623676661</v>
      </c>
      <c r="GG11">
        <v>17.121343065727409</v>
      </c>
      <c r="GH11">
        <v>10.17240520027652</v>
      </c>
      <c r="GI11">
        <v>25.619883855878726</v>
      </c>
      <c r="GJ11"/>
      <c r="GK11">
        <v>48.129885147564927</v>
      </c>
      <c r="GL11">
        <v>70.409572779792228</v>
      </c>
      <c r="GM11">
        <v>60.509891650880874</v>
      </c>
      <c r="GN11">
        <v>39.922425209429605</v>
      </c>
      <c r="GO11">
        <v>27.80295965581907</v>
      </c>
      <c r="GP11">
        <v>22.99296643752286</v>
      </c>
      <c r="GQ11">
        <v>32.004351263541921</v>
      </c>
      <c r="GR11">
        <v>25.752668885757924</v>
      </c>
      <c r="GS11">
        <v>12.080309533821932</v>
      </c>
      <c r="GT11">
        <v>36.105479450325745</v>
      </c>
      <c r="GU11"/>
      <c r="GV11"/>
      <c r="GW11"/>
      <c r="GX11"/>
      <c r="GY11"/>
      <c r="GZ11"/>
      <c r="HA11"/>
      <c r="HB11"/>
      <c r="HC11"/>
    </row>
    <row r="12" spans="1:211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16.666666666666668</v>
      </c>
      <c r="Y12" s="131">
        <f>COUNT(EK168:EK177)</f>
        <v>10</v>
      </c>
      <c r="Z12" s="130">
        <f>STDEV(EK168:EK177)</f>
        <v>23.651925508231113</v>
      </c>
      <c r="AA12" s="130">
        <f t="shared" si="2"/>
        <v>7.4793955654645883</v>
      </c>
      <c r="AB12" s="131"/>
      <c r="AC12" s="130">
        <f>AVERAGE($FU168:$FU177)</f>
        <v>12.503364755567988</v>
      </c>
      <c r="AD12" s="132">
        <f>COUNT($FU168:$FU177)</f>
        <v>10</v>
      </c>
      <c r="AE12" s="130">
        <f>STDEV($FU168:$FU177)</f>
        <v>17.743719108056187</v>
      </c>
      <c r="AF12" s="130">
        <f t="shared" si="3"/>
        <v>5.6110566543708877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25">
        <f>AVERAGE(GE6:GE1005)</f>
        <v>10.935723378671707</v>
      </c>
      <c r="FJ12" s="225"/>
      <c r="FK12" s="225">
        <f>PERCENTILE($GE$6:$GE$1005,0.975)</f>
        <v>15.161448280601068</v>
      </c>
      <c r="FL12" s="225"/>
      <c r="FM12" s="225">
        <f>PERCENTILE($GE$6:$GE$1005,0.025)</f>
        <v>6.9803597384901606</v>
      </c>
      <c r="FN12" s="225"/>
      <c r="FO12" s="5"/>
      <c r="FY12" s="211">
        <v>7</v>
      </c>
      <c r="FZ12">
        <v>38.91673916420833</v>
      </c>
      <c r="GA12">
        <v>55.65872911423056</v>
      </c>
      <c r="GB12">
        <v>26.44667568956303</v>
      </c>
      <c r="GC12">
        <v>15.117521459769058</v>
      </c>
      <c r="GD12">
        <v>8.6014349964868302</v>
      </c>
      <c r="GE12">
        <v>10.669513187919138</v>
      </c>
      <c r="GF12">
        <v>25.371128625806342</v>
      </c>
      <c r="GG12">
        <v>18.916132131927803</v>
      </c>
      <c r="GH12">
        <v>8.7770735481765971</v>
      </c>
      <c r="GI12">
        <v>23.955852561347122</v>
      </c>
      <c r="GJ12"/>
      <c r="GK12">
        <v>42.043967379044275</v>
      </c>
      <c r="GL12">
        <v>51.525225353902016</v>
      </c>
      <c r="GM12">
        <v>46.852096910778911</v>
      </c>
      <c r="GN12">
        <v>49.92694436253845</v>
      </c>
      <c r="GO12">
        <v>37.429044364293695</v>
      </c>
      <c r="GP12">
        <v>22.892779219930173</v>
      </c>
      <c r="GQ12">
        <v>34.182967849739384</v>
      </c>
      <c r="GR12">
        <v>28.452259003437383</v>
      </c>
      <c r="GS12">
        <v>10.517388939375934</v>
      </c>
      <c r="GT12">
        <v>34.205093088646436</v>
      </c>
      <c r="GU12"/>
      <c r="GV12"/>
      <c r="GW12"/>
      <c r="GX12"/>
      <c r="GY12"/>
      <c r="GZ12"/>
      <c r="HA12"/>
      <c r="HB12"/>
      <c r="HC12"/>
    </row>
    <row r="13" spans="1:211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14.583333333333334</v>
      </c>
      <c r="Y13" s="131">
        <f>COUNT(EK178:EK187)</f>
        <v>10</v>
      </c>
      <c r="Z13" s="130">
        <f>STDEV(EK178:EK187)</f>
        <v>16.433554953054486</v>
      </c>
      <c r="AA13" s="130">
        <f t="shared" si="2"/>
        <v>5.1967463705193619</v>
      </c>
      <c r="AB13" s="131"/>
      <c r="AC13" s="130">
        <f>AVERAGE($FU178:$FU187)</f>
        <v>14.783095500967871</v>
      </c>
      <c r="AD13" s="132">
        <f>COUNT($FU178:$FU187)</f>
        <v>10</v>
      </c>
      <c r="AE13" s="130">
        <f>STDEV($FU178:$FU187)</f>
        <v>18.430670130366039</v>
      </c>
      <c r="AF13" s="130">
        <f t="shared" si="3"/>
        <v>5.8282896415189152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25">
        <f>AVERAGE(GF6:GF1005)</f>
        <v>25.649428903368491</v>
      </c>
      <c r="FJ13" s="225"/>
      <c r="FK13" s="225">
        <f>PERCENTILE($GF$6:$GF$1005,0.975)</f>
        <v>38.962741903489764</v>
      </c>
      <c r="FL13" s="225"/>
      <c r="FM13" s="225">
        <f>PERCENTILE($GF$6:$GF$1005,0.025)</f>
        <v>14.306302240445365</v>
      </c>
      <c r="FN13" s="225"/>
      <c r="FO13" s="5"/>
      <c r="FY13" s="211">
        <v>8</v>
      </c>
      <c r="FZ13">
        <v>40.181287739686674</v>
      </c>
      <c r="GA13">
        <v>65.522672709131797</v>
      </c>
      <c r="GB13">
        <v>28.551983458633632</v>
      </c>
      <c r="GC13">
        <v>13.1947701990473</v>
      </c>
      <c r="GD13">
        <v>6.741243505358498</v>
      </c>
      <c r="GE13">
        <v>13.232997975738662</v>
      </c>
      <c r="GF13">
        <v>38.4741257789332</v>
      </c>
      <c r="GG13">
        <v>25.977210168689865</v>
      </c>
      <c r="GH13">
        <v>9.7673215646994667</v>
      </c>
      <c r="GI13">
        <v>26.222919530909799</v>
      </c>
      <c r="GJ13"/>
      <c r="GK13">
        <v>41.55931861374787</v>
      </c>
      <c r="GL13">
        <v>57.906208024224242</v>
      </c>
      <c r="GM13">
        <v>50.581793783888685</v>
      </c>
      <c r="GN13">
        <v>43.568720546053484</v>
      </c>
      <c r="GO13">
        <v>29.32483058303427</v>
      </c>
      <c r="GP13">
        <v>28.393057465768976</v>
      </c>
      <c r="GQ13">
        <v>51.836866382458958</v>
      </c>
      <c r="GR13">
        <v>39.073014861149957</v>
      </c>
      <c r="GS13">
        <v>10.94044416112199</v>
      </c>
      <c r="GT13">
        <v>36.848650704850357</v>
      </c>
      <c r="GU13"/>
      <c r="GV13"/>
      <c r="GW13"/>
      <c r="GX13"/>
      <c r="GY13"/>
      <c r="GZ13"/>
      <c r="HA13"/>
      <c r="HB13"/>
      <c r="HC13"/>
    </row>
    <row r="14" spans="1:211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25">
        <f>AVERAGE(GG6:GG1005)</f>
        <v>19.46545566441317</v>
      </c>
      <c r="FJ14" s="225"/>
      <c r="FK14" s="225">
        <f>PERCENTILE($GG$6:$GG$1005,0.975)</f>
        <v>31.669171151333931</v>
      </c>
      <c r="FL14" s="225"/>
      <c r="FM14" s="225">
        <f>PERCENTILE($GG$6:$GG$1005,0.025)</f>
        <v>9.3453013581861804</v>
      </c>
      <c r="FN14" s="225"/>
      <c r="FO14" s="5"/>
      <c r="FY14" s="211">
        <v>9</v>
      </c>
      <c r="FZ14">
        <v>51.620895387653967</v>
      </c>
      <c r="GA14">
        <v>81.213455717387234</v>
      </c>
      <c r="GB14">
        <v>26.907838343740398</v>
      </c>
      <c r="GC14">
        <v>12.452761933694326</v>
      </c>
      <c r="GD14">
        <v>8.4635854162310604</v>
      </c>
      <c r="GE14">
        <v>12.261768766510134</v>
      </c>
      <c r="GF14">
        <v>32.234603325063262</v>
      </c>
      <c r="GG14">
        <v>22.812713657231281</v>
      </c>
      <c r="GH14">
        <v>9.8798230098036122</v>
      </c>
      <c r="GI14">
        <v>27.367786822354645</v>
      </c>
      <c r="GJ14"/>
      <c r="GK14">
        <v>55.186869570906353</v>
      </c>
      <c r="GL14">
        <v>74.109427943646708</v>
      </c>
      <c r="GM14">
        <v>47.669078130602955</v>
      </c>
      <c r="GN14">
        <v>41.114144379583614</v>
      </c>
      <c r="GO14">
        <v>36.816112744857122</v>
      </c>
      <c r="GP14">
        <v>26.309163339840975</v>
      </c>
      <c r="GQ14">
        <v>43.430248033544871</v>
      </c>
      <c r="GR14">
        <v>34.313211232609873</v>
      </c>
      <c r="GS14">
        <v>12.438714609298874</v>
      </c>
      <c r="GT14">
        <v>39.108204617842027</v>
      </c>
      <c r="GU14"/>
      <c r="GV14"/>
      <c r="GW14"/>
      <c r="GX14"/>
      <c r="GY14"/>
      <c r="GZ14"/>
      <c r="HA14"/>
      <c r="HB14"/>
      <c r="HC14"/>
    </row>
    <row r="15" spans="1:211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49.923878205128204</v>
      </c>
      <c r="AO15" s="163">
        <f>D48</f>
        <v>38.914995804348578</v>
      </c>
      <c r="AP15" s="163">
        <f>D63</f>
        <v>25.721528894431021</v>
      </c>
      <c r="AQ15" s="163">
        <f>C453</f>
        <v>263.68014395552603</v>
      </c>
      <c r="AR15" s="163">
        <f>G520</f>
        <v>38.094213015822596</v>
      </c>
      <c r="AS15" s="163">
        <f>I523</f>
        <v>351.18390453154865</v>
      </c>
      <c r="AT15" s="122">
        <f>G556</f>
        <v>30.268920916229948</v>
      </c>
      <c r="AU15" s="122">
        <f>I556</f>
        <v>44.529589726956878</v>
      </c>
      <c r="AV15" s="23"/>
      <c r="AW15" s="23"/>
      <c r="FG15" s="5"/>
      <c r="FH15" s="212">
        <f t="shared" si="6"/>
        <v>39949</v>
      </c>
      <c r="FI15" s="225">
        <f>AVERAGE(GH6:GH1005)</f>
        <v>11.43940032611637</v>
      </c>
      <c r="FJ15" s="225"/>
      <c r="FK15" s="225">
        <f>PERCENTILE($GH$6:$GH$1005,0.975)</f>
        <v>18.018577205052736</v>
      </c>
      <c r="FL15" s="225"/>
      <c r="FM15" s="225">
        <f>PERCENTILE($GH$6:$GH$1005,0.025)</f>
        <v>5.9864102439767493</v>
      </c>
      <c r="FN15" s="225"/>
      <c r="FO15" s="5"/>
      <c r="FY15" s="211">
        <v>10</v>
      </c>
      <c r="FZ15">
        <v>31.028011325194207</v>
      </c>
      <c r="GA15">
        <v>45.892398294250206</v>
      </c>
      <c r="GB15">
        <v>23.038082158686827</v>
      </c>
      <c r="GC15">
        <v>15.220167171812953</v>
      </c>
      <c r="GD15">
        <v>9.4385148522286233</v>
      </c>
      <c r="GE15">
        <v>10.548109536765574</v>
      </c>
      <c r="GF15">
        <v>36.830758597420974</v>
      </c>
      <c r="GG15">
        <v>30.912880100740942</v>
      </c>
      <c r="GH15">
        <v>11.511486129824371</v>
      </c>
      <c r="GI15">
        <v>25.119276045694416</v>
      </c>
      <c r="GJ15"/>
      <c r="GK15">
        <v>32.089279818833901</v>
      </c>
      <c r="GL15">
        <v>40.557789425873658</v>
      </c>
      <c r="GM15">
        <v>40.813540068601192</v>
      </c>
      <c r="GN15">
        <v>50.262126809581446</v>
      </c>
      <c r="GO15">
        <v>41.067672613233917</v>
      </c>
      <c r="GP15">
        <v>22.632292454189173</v>
      </c>
      <c r="GQ15">
        <v>49.622728873660456</v>
      </c>
      <c r="GR15">
        <v>46.496887684768453</v>
      </c>
      <c r="GS15">
        <v>12.894094904179488</v>
      </c>
      <c r="GT15">
        <v>35.297463255701793</v>
      </c>
      <c r="GU15"/>
      <c r="GV15"/>
      <c r="GW15"/>
      <c r="GX15"/>
      <c r="GY15"/>
      <c r="GZ15"/>
      <c r="HA15"/>
      <c r="HB15"/>
      <c r="HC15"/>
    </row>
    <row r="16" spans="1:211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25">
        <f>AVERAGE(GI6:GI1005)</f>
        <v>25.811311130084047</v>
      </c>
      <c r="FJ16" s="225"/>
      <c r="FK16" s="225">
        <f>PERCENTILE($GI$6:$GI$1005,0.975)</f>
        <v>30.94302014090681</v>
      </c>
      <c r="FL16" s="225"/>
      <c r="FM16" s="225">
        <f>PERCENTILE($GI$6:$GI$1005,0.025)</f>
        <v>20.949851054993402</v>
      </c>
      <c r="FN16" s="225"/>
      <c r="FO16" s="5"/>
      <c r="FY16" s="211">
        <v>11</v>
      </c>
      <c r="FZ16">
        <v>26.893027251052363</v>
      </c>
      <c r="GA16">
        <v>55.972809480270485</v>
      </c>
      <c r="GB16">
        <v>29.444232941715928</v>
      </c>
      <c r="GC16">
        <v>14.015232286329562</v>
      </c>
      <c r="GD16">
        <v>9.2382321603231521</v>
      </c>
      <c r="GE16">
        <v>11.155127792533403</v>
      </c>
      <c r="GF16">
        <v>25.327188326835422</v>
      </c>
      <c r="GG16">
        <v>16.365642406274617</v>
      </c>
      <c r="GH16">
        <v>5.9301595214246756</v>
      </c>
      <c r="GI16">
        <v>22.906214143307402</v>
      </c>
      <c r="GJ16"/>
      <c r="GK16">
        <v>27.808767401195023</v>
      </c>
      <c r="GL16">
        <v>49.466436814215854</v>
      </c>
      <c r="GM16">
        <v>52.162474839635202</v>
      </c>
      <c r="GN16">
        <v>46.282417288933537</v>
      </c>
      <c r="GO16">
        <v>40.196043820177493</v>
      </c>
      <c r="GP16">
        <v>23.934726282894172</v>
      </c>
      <c r="GQ16">
        <v>34.12376631207097</v>
      </c>
      <c r="GR16">
        <v>24.615999362524477</v>
      </c>
      <c r="GS16">
        <v>6.6424125263954927</v>
      </c>
      <c r="GT16">
        <v>32.186692979894829</v>
      </c>
      <c r="GU16"/>
      <c r="GV16"/>
      <c r="GW16"/>
      <c r="GX16"/>
      <c r="GY16"/>
      <c r="GZ16"/>
      <c r="HA16"/>
      <c r="HB16"/>
      <c r="HC16"/>
    </row>
    <row r="17" spans="1:211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57.047435897435911</v>
      </c>
      <c r="AO17">
        <v>44.050974010259139</v>
      </c>
      <c r="AP17">
        <v>27.534810550002696</v>
      </c>
      <c r="AQ17">
        <v>298.25314738906394</v>
      </c>
      <c r="AR17">
        <v>41.954999732899971</v>
      </c>
      <c r="AS17">
        <v>397.74795304220777</v>
      </c>
      <c r="AT17">
        <v>33.347549700165793</v>
      </c>
      <c r="AU17">
        <v>28.825212563806463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37.707929016479596</v>
      </c>
      <c r="GA17">
        <v>71.928866467105394</v>
      </c>
      <c r="GB17">
        <v>34.61727488857511</v>
      </c>
      <c r="GC17">
        <v>13.755678930427088</v>
      </c>
      <c r="GD17">
        <v>7.7502858763410067</v>
      </c>
      <c r="GE17">
        <v>9.9550993945923878</v>
      </c>
      <c r="GF17">
        <v>25.977504751604961</v>
      </c>
      <c r="GG17">
        <v>18.420203574161903</v>
      </c>
      <c r="GH17">
        <v>7.3254911735246013</v>
      </c>
      <c r="GI17">
        <v>25.175388734023979</v>
      </c>
      <c r="GJ17"/>
      <c r="GK17">
        <v>40.79363090348749</v>
      </c>
      <c r="GL17">
        <v>65.90409482280522</v>
      </c>
      <c r="GM17">
        <v>61.326872870704918</v>
      </c>
      <c r="GN17">
        <v>45.428993689070161</v>
      </c>
      <c r="GO17">
        <v>33.7248496920257</v>
      </c>
      <c r="GP17">
        <v>21.35991479076198</v>
      </c>
      <c r="GQ17">
        <v>34.999949069563421</v>
      </c>
      <c r="GR17">
        <v>27.706319628815425</v>
      </c>
      <c r="GS17">
        <v>8.2053331208414928</v>
      </c>
      <c r="GT17">
        <v>35.810127131324606</v>
      </c>
      <c r="GU17"/>
      <c r="GV17"/>
      <c r="GW17"/>
      <c r="GX17"/>
      <c r="GY17"/>
      <c r="GZ17"/>
      <c r="HA17"/>
      <c r="HB17"/>
      <c r="HC17"/>
    </row>
    <row r="18" spans="1:211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51.177991452991463</v>
      </c>
      <c r="AO18">
        <v>38.402803252836769</v>
      </c>
      <c r="AP18">
        <v>14.436918046203971</v>
      </c>
      <c r="AQ18">
        <v>248.35186001993617</v>
      </c>
      <c r="AR18">
        <v>36.696302899153658</v>
      </c>
      <c r="AS18">
        <v>341.00339275181341</v>
      </c>
      <c r="AT18">
        <v>29.750784843781044</v>
      </c>
      <c r="AU18">
        <v>18.290735458689408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50.135691981300653</v>
      </c>
      <c r="GA18">
        <v>63.656566743681033</v>
      </c>
      <c r="GB18">
        <v>19.509185326720871</v>
      </c>
      <c r="GC18">
        <v>10.690126048895545</v>
      </c>
      <c r="GD18">
        <v>7.526611004899042</v>
      </c>
      <c r="GE18">
        <v>10.366004060035223</v>
      </c>
      <c r="GF18">
        <v>17.980370338898425</v>
      </c>
      <c r="GG18">
        <v>14.287465592779428</v>
      </c>
      <c r="GH18">
        <v>8.7208228256245253</v>
      </c>
      <c r="GI18">
        <v>21.692955444014157</v>
      </c>
      <c r="GJ18"/>
      <c r="GK18">
        <v>55.459518606923382</v>
      </c>
      <c r="GL18">
        <v>60.929740687484376</v>
      </c>
      <c r="GM18">
        <v>34.561857690817192</v>
      </c>
      <c r="GN18">
        <v>35.307797065439146</v>
      </c>
      <c r="GO18">
        <v>32.755755395487114</v>
      </c>
      <c r="GP18">
        <v>22.24156230557767</v>
      </c>
      <c r="GQ18">
        <v>24.225269213912973</v>
      </c>
      <c r="GR18">
        <v>21.49015817363248</v>
      </c>
      <c r="GS18">
        <v>9.7682537152874929</v>
      </c>
      <c r="GT18">
        <v>31.354130924485631</v>
      </c>
      <c r="GU18"/>
      <c r="GV18"/>
      <c r="GW18"/>
      <c r="GX18"/>
      <c r="GY18"/>
      <c r="GZ18"/>
      <c r="HA18"/>
      <c r="HB18"/>
      <c r="HC18"/>
    </row>
    <row r="19" spans="1:211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45.344658119658121</v>
      </c>
      <c r="AO19">
        <v>36.652790385604121</v>
      </c>
      <c r="AP19">
        <v>41.203835589677361</v>
      </c>
      <c r="AQ19">
        <v>255.15114691436199</v>
      </c>
      <c r="AR19">
        <v>34.663982137336326</v>
      </c>
      <c r="AS19">
        <v>311.65175245924746</v>
      </c>
      <c r="AT19">
        <v>26.764638951453033</v>
      </c>
      <c r="AU19">
        <v>29.40702957741162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40.453705258014679</v>
      </c>
      <c r="GA19">
        <v>72.370989764737857</v>
      </c>
      <c r="GB19">
        <v>33.955606732581494</v>
      </c>
      <c r="GC19">
        <v>13.223988634376392</v>
      </c>
      <c r="GD19">
        <v>8.0585777312633713</v>
      </c>
      <c r="GE19">
        <v>12.976182559836888</v>
      </c>
      <c r="GF19">
        <v>19.210698710084049</v>
      </c>
      <c r="GG19">
        <v>9.8477242184942497</v>
      </c>
      <c r="GH19">
        <v>7.6743240865495794</v>
      </c>
      <c r="GI19">
        <v>24.360615514129698</v>
      </c>
      <c r="GJ19"/>
      <c r="GK19">
        <v>43.616338029206076</v>
      </c>
      <c r="GL19">
        <v>66.294824971416716</v>
      </c>
      <c r="GM19">
        <v>60.154682424870423</v>
      </c>
      <c r="GN19">
        <v>43.657544181658274</v>
      </c>
      <c r="GO19">
        <v>35.049185208227996</v>
      </c>
      <c r="GP19">
        <v>27.842027769009171</v>
      </c>
      <c r="GQ19">
        <v>25.882912268628431</v>
      </c>
      <c r="GR19">
        <v>14.812224724635939</v>
      </c>
      <c r="GS19">
        <v>8.5960632694529906</v>
      </c>
      <c r="GT19">
        <v>34.659836240077183</v>
      </c>
      <c r="GU19"/>
      <c r="GV19"/>
      <c r="GW19"/>
      <c r="GX19"/>
      <c r="GY19"/>
      <c r="GZ19"/>
      <c r="HA19"/>
      <c r="HB19"/>
      <c r="HC19"/>
    </row>
    <row r="20" spans="1:211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49.132345085470085</v>
      </c>
      <c r="AO20">
        <v>36.687834253425812</v>
      </c>
      <c r="AP20">
        <v>8.8660732207254771</v>
      </c>
      <c r="AQ20">
        <v>256.32031507508492</v>
      </c>
      <c r="AR20">
        <v>35.380128433016907</v>
      </c>
      <c r="AS20">
        <v>328.83060187980578</v>
      </c>
      <c r="AT20">
        <v>28.90356952040143</v>
      </c>
      <c r="AU20">
        <v>20.184904007566601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49.072474632406106</v>
      </c>
      <c r="GA20">
        <v>75.465852848165156</v>
      </c>
      <c r="GB20">
        <v>25.785007533569413</v>
      </c>
      <c r="GC20">
        <v>13.21125296177828</v>
      </c>
      <c r="GD20">
        <v>8.5982483861884251</v>
      </c>
      <c r="GE20">
        <v>14.204227184967184</v>
      </c>
      <c r="GF20">
        <v>31.557922720911169</v>
      </c>
      <c r="GG20">
        <v>18.136815826867107</v>
      </c>
      <c r="GH20">
        <v>10.464987390749428</v>
      </c>
      <c r="GI20">
        <v>26.716850709775237</v>
      </c>
      <c r="GJ20"/>
      <c r="GK20">
        <v>52.547423777435782</v>
      </c>
      <c r="GL20">
        <v>69.029936011697203</v>
      </c>
      <c r="GM20">
        <v>45.679906464944409</v>
      </c>
      <c r="GN20">
        <v>43.627000626283589</v>
      </c>
      <c r="GO20">
        <v>37.410839171100648</v>
      </c>
      <c r="GP20">
        <v>30.47695159169697</v>
      </c>
      <c r="GQ20">
        <v>42.518544353451368</v>
      </c>
      <c r="GR20">
        <v>27.280068557602881</v>
      </c>
      <c r="GS20">
        <v>11.721904458344989</v>
      </c>
      <c r="GT20">
        <v>37.975723645055432</v>
      </c>
      <c r="GU20"/>
      <c r="GV20"/>
      <c r="GW20"/>
      <c r="GX20"/>
      <c r="GY20"/>
      <c r="GZ20"/>
      <c r="HA20"/>
      <c r="HB20"/>
      <c r="HC20"/>
    </row>
    <row r="21" spans="1:211" s="7" customFormat="1">
      <c r="A21" s="4"/>
      <c r="B21" s="36"/>
      <c r="C21" s="48" t="s">
        <v>38</v>
      </c>
      <c r="D21" s="49">
        <f t="shared" ref="D21:D26" si="7">SUM(G21:AK21)</f>
        <v>75.520833333333329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3.6458333333333335</v>
      </c>
      <c r="J21" s="18">
        <f t="shared" si="9"/>
        <v>69.791666666666671</v>
      </c>
      <c r="K21" s="18">
        <f t="shared" si="9"/>
        <v>2.083333333333333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51.373931623931625</v>
      </c>
      <c r="AO21">
        <v>44.277599363022894</v>
      </c>
      <c r="AP21">
        <v>77.95809606323003</v>
      </c>
      <c r="AQ21">
        <v>299.83041513870637</v>
      </c>
      <c r="AR21">
        <v>42.415506828959586</v>
      </c>
      <c r="AS21">
        <v>378.51021570816198</v>
      </c>
      <c r="AT21">
        <v>31.892541597791496</v>
      </c>
      <c r="AU21">
        <v>29.660338265861451</v>
      </c>
      <c r="AV21"/>
      <c r="AW21"/>
      <c r="FY21" s="211">
        <v>16</v>
      </c>
      <c r="FZ21">
        <v>35.139696054748278</v>
      </c>
      <c r="GA21">
        <v>67.025891921082206</v>
      </c>
      <c r="GB21">
        <v>30.406659350433916</v>
      </c>
      <c r="GC21">
        <v>12.101532466838565</v>
      </c>
      <c r="GD21">
        <v>8.5554996290987599</v>
      </c>
      <c r="GE21">
        <v>12.051647062590501</v>
      </c>
      <c r="GF21">
        <v>29.360907772365419</v>
      </c>
      <c r="GG21">
        <v>22.316785099465385</v>
      </c>
      <c r="GH21">
        <v>10.464987390749426</v>
      </c>
      <c r="GI21">
        <v>25.432160165975144</v>
      </c>
      <c r="GJ21"/>
      <c r="GK21">
        <v>36.3410538394414</v>
      </c>
      <c r="GL21">
        <v>59.234690529503347</v>
      </c>
      <c r="GM21">
        <v>53.867479124485385</v>
      </c>
      <c r="GN21">
        <v>39.923367995970068</v>
      </c>
      <c r="GO21">
        <v>37.181426009035526</v>
      </c>
      <c r="GP21">
        <v>25.858320860673857</v>
      </c>
      <c r="GQ21">
        <v>39.558467470030912</v>
      </c>
      <c r="GR21">
        <v>33.567271857987919</v>
      </c>
      <c r="GS21">
        <v>11.721904458344987</v>
      </c>
      <c r="GT21">
        <v>35.734066180267646</v>
      </c>
      <c r="GU21"/>
      <c r="GV21"/>
      <c r="GW21"/>
      <c r="GX21"/>
      <c r="GY21"/>
      <c r="GZ21"/>
      <c r="HA21"/>
      <c r="HB21"/>
      <c r="HC21"/>
    </row>
    <row r="22" spans="1:211" s="7" customFormat="1">
      <c r="B22" s="36"/>
      <c r="C22" s="48" t="s">
        <v>39</v>
      </c>
      <c r="D22" s="49">
        <f t="shared" si="7"/>
        <v>80.729166666666671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0</v>
      </c>
      <c r="J22" s="18">
        <f t="shared" si="10"/>
        <v>78.645833333333343</v>
      </c>
      <c r="K22" s="18">
        <f t="shared" si="10"/>
        <v>2.083333333333333</v>
      </c>
      <c r="L22" s="18">
        <f t="shared" si="10"/>
        <v>0</v>
      </c>
      <c r="M22" s="18">
        <f t="shared" si="10"/>
        <v>0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51.409802350427341</v>
      </c>
      <c r="AO22">
        <v>37.571051001445717</v>
      </c>
      <c r="AP22">
        <v>21.372375191683052</v>
      </c>
      <c r="AQ22">
        <v>266.25082516382645</v>
      </c>
      <c r="AR22">
        <v>36.105479450325781</v>
      </c>
      <c r="AS22">
        <v>360.08122540550011</v>
      </c>
      <c r="AT22">
        <v>28.825576607388641</v>
      </c>
      <c r="AU22">
        <v>36.585945553161679</v>
      </c>
      <c r="AV22"/>
      <c r="AW22"/>
      <c r="FY22" s="211">
        <v>17</v>
      </c>
      <c r="FZ22">
        <v>49.299615137297472</v>
      </c>
      <c r="GA22">
        <v>70.739727621194945</v>
      </c>
      <c r="GB22">
        <v>23.469168987591758</v>
      </c>
      <c r="GC22">
        <v>8.8306759985711523</v>
      </c>
      <c r="GD22">
        <v>6.2174506340194089</v>
      </c>
      <c r="GE22">
        <v>14.629139964004663</v>
      </c>
      <c r="GF22">
        <v>28.464525673358754</v>
      </c>
      <c r="GG22">
        <v>17.357499521806414</v>
      </c>
      <c r="GH22">
        <v>9.4747393742265587</v>
      </c>
      <c r="GI22">
        <v>24.010316483873705</v>
      </c>
      <c r="GJ22"/>
      <c r="GK22">
        <v>50.986249813114782</v>
      </c>
      <c r="GL22">
        <v>62.516823777839946</v>
      </c>
      <c r="GM22">
        <v>41.577239904523672</v>
      </c>
      <c r="GN22">
        <v>29.124086067813966</v>
      </c>
      <c r="GO22">
        <v>27.010591173051765</v>
      </c>
      <c r="GP22">
        <v>31.388655271790466</v>
      </c>
      <c r="GQ22">
        <v>38.350756101595373</v>
      </c>
      <c r="GR22">
        <v>26.107878111768386</v>
      </c>
      <c r="GS22">
        <v>11.298849236598933</v>
      </c>
      <c r="GT22">
        <v>33.844737245776912</v>
      </c>
      <c r="GU22"/>
      <c r="GV22"/>
      <c r="GW22"/>
      <c r="GX22"/>
      <c r="GY22"/>
      <c r="GZ22"/>
      <c r="HA22"/>
      <c r="HB22"/>
      <c r="HC22"/>
    </row>
    <row r="23" spans="1:211" s="7" customFormat="1">
      <c r="B23" s="36"/>
      <c r="C23" s="48" t="s">
        <v>40</v>
      </c>
      <c r="D23" s="49">
        <f t="shared" si="7"/>
        <v>65.625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65.625</v>
      </c>
      <c r="K23" s="18">
        <f t="shared" si="11"/>
        <v>0</v>
      </c>
      <c r="L23" s="18">
        <f t="shared" si="11"/>
        <v>0</v>
      </c>
      <c r="M23" s="18">
        <f t="shared" si="11"/>
        <v>0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45.784935897435901</v>
      </c>
      <c r="AO23">
        <v>35.80277664716867</v>
      </c>
      <c r="AP23">
        <v>27.78861892128538</v>
      </c>
      <c r="AQ23">
        <v>232.43080047943479</v>
      </c>
      <c r="AR23">
        <v>34.205093088646436</v>
      </c>
      <c r="AS23">
        <v>322.5727911598882</v>
      </c>
      <c r="AT23">
        <v>27.085262893441641</v>
      </c>
      <c r="AU23">
        <v>31.623129851570464</v>
      </c>
      <c r="AV23"/>
      <c r="AW23"/>
      <c r="FY23" s="211">
        <v>18</v>
      </c>
      <c r="FZ23">
        <v>39.649434764143265</v>
      </c>
      <c r="GA23">
        <v>57.122330054114897</v>
      </c>
      <c r="GB23">
        <v>24.581974522671928</v>
      </c>
      <c r="GC23">
        <v>11.202590186805725</v>
      </c>
      <c r="GD23">
        <v>6.3070508825341287</v>
      </c>
      <c r="GE23">
        <v>8.1340446272889011</v>
      </c>
      <c r="GF23">
        <v>32.647642135389866</v>
      </c>
      <c r="GG23">
        <v>24.654734014647474</v>
      </c>
      <c r="GH23">
        <v>7.3254911735246013</v>
      </c>
      <c r="GI23">
        <v>23.367190080041169</v>
      </c>
      <c r="GJ23"/>
      <c r="GK23">
        <v>41.001077225748013</v>
      </c>
      <c r="GL23">
        <v>50.482335200605746</v>
      </c>
      <c r="GM23">
        <v>43.548651108881685</v>
      </c>
      <c r="GN23">
        <v>36.977344414994796</v>
      </c>
      <c r="GO23">
        <v>27.422216235313577</v>
      </c>
      <c r="GP23">
        <v>17.452613304646984</v>
      </c>
      <c r="GQ23">
        <v>43.986742487627914</v>
      </c>
      <c r="GR23">
        <v>37.083843195491418</v>
      </c>
      <c r="GS23">
        <v>8.2053331208414928</v>
      </c>
      <c r="GT23">
        <v>32.832804035682535</v>
      </c>
      <c r="GU23"/>
      <c r="GV23"/>
      <c r="GW23"/>
      <c r="GX23"/>
      <c r="GY23"/>
      <c r="GZ23"/>
      <c r="HA23"/>
      <c r="HB23"/>
      <c r="HC23"/>
    </row>
    <row r="24" spans="1:211" s="7" customFormat="1">
      <c r="A24" s="4"/>
      <c r="B24" s="36"/>
      <c r="C24" s="48" t="s">
        <v>41</v>
      </c>
      <c r="D24" s="49">
        <f t="shared" si="7"/>
        <v>67.654914529914521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1.0416666666666665</v>
      </c>
      <c r="J24" s="18">
        <f t="shared" si="12"/>
        <v>66.61324786324785</v>
      </c>
      <c r="K24" s="18">
        <f t="shared" si="12"/>
        <v>0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52.420886752136752</v>
      </c>
      <c r="AO24">
        <v>39.003290512629874</v>
      </c>
      <c r="AP24">
        <v>4.0231134497215972</v>
      </c>
      <c r="AQ24">
        <v>267.86653263082894</v>
      </c>
      <c r="AR24">
        <v>36.848650704850357</v>
      </c>
      <c r="AS24">
        <v>357.15077946647358</v>
      </c>
      <c r="AT24">
        <v>30.368212364101222</v>
      </c>
      <c r="AU24">
        <v>21.081447879270403</v>
      </c>
      <c r="AV24"/>
      <c r="AW24"/>
      <c r="FY24" s="211">
        <v>19</v>
      </c>
      <c r="FZ24">
        <v>40.797342485844929</v>
      </c>
      <c r="GA24">
        <v>86.656166335963775</v>
      </c>
      <c r="GB24">
        <v>36.492001330557024</v>
      </c>
      <c r="GC24">
        <v>14.970115385622897</v>
      </c>
      <c r="GD24">
        <v>8.6272911745874534</v>
      </c>
      <c r="GE24">
        <v>7.7091318482514213</v>
      </c>
      <c r="GF24">
        <v>26.750854013493068</v>
      </c>
      <c r="GG24">
        <v>24.654734014647477</v>
      </c>
      <c r="GH24">
        <v>11.511486129824371</v>
      </c>
      <c r="GI24">
        <v>27.513749724489259</v>
      </c>
      <c r="GJ24"/>
      <c r="GK24">
        <v>42.198856050041961</v>
      </c>
      <c r="GL24">
        <v>76.583109127853916</v>
      </c>
      <c r="GM24">
        <v>64.648079133902669</v>
      </c>
      <c r="GN24">
        <v>49.432405153887601</v>
      </c>
      <c r="GO24">
        <v>37.532896082537377</v>
      </c>
      <c r="GP24">
        <v>16.540909624553482</v>
      </c>
      <c r="GQ24">
        <v>36.041896132527427</v>
      </c>
      <c r="GR24">
        <v>37.083843195491426</v>
      </c>
      <c r="GS24">
        <v>12.894094904179488</v>
      </c>
      <c r="GT24">
        <v>38.663164460637788</v>
      </c>
      <c r="GU24"/>
      <c r="GV24"/>
      <c r="GW24"/>
      <c r="GX24"/>
      <c r="GY24"/>
      <c r="GZ24"/>
      <c r="HA24"/>
      <c r="HB24"/>
      <c r="HC24"/>
    </row>
    <row r="25" spans="1:211" s="7" customFormat="1">
      <c r="A25" s="4"/>
      <c r="B25" s="36"/>
      <c r="C25" s="48" t="s">
        <v>42</v>
      </c>
      <c r="D25" s="49">
        <f t="shared" si="7"/>
        <v>60.844017094017083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1.0416666666666665</v>
      </c>
      <c r="J25" s="18">
        <f t="shared" si="13"/>
        <v>59.802350427350419</v>
      </c>
      <c r="K25" s="18">
        <f t="shared" si="13"/>
        <v>0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52.672275641025649</v>
      </c>
      <c r="AO25">
        <v>41.049517460273336</v>
      </c>
      <c r="AP25">
        <v>32.979940689032091</v>
      </c>
      <c r="AQ25">
        <v>285.21523237966994</v>
      </c>
      <c r="AR25">
        <v>39.108204617842055</v>
      </c>
      <c r="AS25">
        <v>381.56133012823034</v>
      </c>
      <c r="AT25">
        <v>30.902825000953783</v>
      </c>
      <c r="AU25">
        <v>34.969552501167129</v>
      </c>
      <c r="AV25"/>
      <c r="AW25"/>
      <c r="FY25" s="211">
        <v>20</v>
      </c>
      <c r="FZ25">
        <v>41.41242002761868</v>
      </c>
      <c r="GA25">
        <v>75.770745098810664</v>
      </c>
      <c r="GB25">
        <v>33.514494628585751</v>
      </c>
      <c r="GC25">
        <v>12.557074370535947</v>
      </c>
      <c r="GD25">
        <v>8.4569357814724526</v>
      </c>
      <c r="GE25">
        <v>12.383172417663699</v>
      </c>
      <c r="GF25">
        <v>26.390543561931562</v>
      </c>
      <c r="GG25">
        <v>20.781768134951896</v>
      </c>
      <c r="GH25">
        <v>12.209151955874333</v>
      </c>
      <c r="GI25">
        <v>26.683956225661781</v>
      </c>
      <c r="GJ25"/>
      <c r="GK25">
        <v>46.429617593311825</v>
      </c>
      <c r="GL25">
        <v>71.635746759439456</v>
      </c>
      <c r="GM25">
        <v>59.373222127647416</v>
      </c>
      <c r="GN25">
        <v>41.462511994388919</v>
      </c>
      <c r="GO25">
        <v>36.79151067235145</v>
      </c>
      <c r="GP25">
        <v>26.569650105581971</v>
      </c>
      <c r="GQ25">
        <v>35.556443523646465</v>
      </c>
      <c r="GR25">
        <v>31.258411888919973</v>
      </c>
      <c r="GS25">
        <v>13.675555201402489</v>
      </c>
      <c r="GT25">
        <v>38.365269823671937</v>
      </c>
      <c r="GU25"/>
      <c r="GV25"/>
      <c r="GW25"/>
      <c r="GX25"/>
      <c r="GY25"/>
      <c r="GZ25"/>
      <c r="HA25"/>
      <c r="HB25"/>
      <c r="HC25"/>
    </row>
    <row r="26" spans="1:211" s="7" customFormat="1">
      <c r="A26" s="4"/>
      <c r="B26" s="36"/>
      <c r="C26" s="48" t="s">
        <v>118</v>
      </c>
      <c r="D26" s="49">
        <f t="shared" si="7"/>
        <v>31.383547008547012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31.383547008547012</v>
      </c>
      <c r="K26" s="18">
        <f t="shared" si="14"/>
        <v>0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49.991239316239316</v>
      </c>
      <c r="AO26">
        <v>37.173387590862355</v>
      </c>
      <c r="AP26">
        <v>4.4075401178592628</v>
      </c>
      <c r="AQ26">
        <v>239.53968421261911</v>
      </c>
      <c r="AR26">
        <v>35.2974632557018</v>
      </c>
      <c r="AS26">
        <v>340.44316722761727</v>
      </c>
      <c r="AT26">
        <v>29.023107821045524</v>
      </c>
      <c r="AU26">
        <v>24.883690986570336</v>
      </c>
      <c r="AV26"/>
      <c r="AW26"/>
      <c r="FY26" s="211">
        <v>21</v>
      </c>
      <c r="FZ26">
        <v>37.092362872513583</v>
      </c>
      <c r="GA26">
        <v>63.488905540022451</v>
      </c>
      <c r="GB26">
        <v>31.860324238601713</v>
      </c>
      <c r="GC26">
        <v>16.529903156088992</v>
      </c>
      <c r="GD26">
        <v>9.7071181804090845</v>
      </c>
      <c r="GE26">
        <v>14.054807306624339</v>
      </c>
      <c r="GF26">
        <v>36.294686949975812</v>
      </c>
      <c r="GG26">
        <v>25.150662572413371</v>
      </c>
      <c r="GH26">
        <v>15.461149618203306</v>
      </c>
      <c r="GI26">
        <v>28.971109030802669</v>
      </c>
      <c r="GJ26"/>
      <c r="GK26">
        <v>38.358481413705505</v>
      </c>
      <c r="GL26">
        <v>56.10884934061135</v>
      </c>
      <c r="GM26">
        <v>56.442746013061182</v>
      </c>
      <c r="GN26">
        <v>54.595658037806814</v>
      </c>
      <c r="GO26">
        <v>42.245306487289483</v>
      </c>
      <c r="GP26">
        <v>30.156352495400363</v>
      </c>
      <c r="GQ26">
        <v>48.900470114105858</v>
      </c>
      <c r="GR26">
        <v>37.829782570113373</v>
      </c>
      <c r="GS26">
        <v>18.690396987082867</v>
      </c>
      <c r="GT26">
        <v>40.927480203048972</v>
      </c>
      <c r="GU26"/>
      <c r="GV26"/>
      <c r="GW26"/>
      <c r="GX26"/>
      <c r="GY26"/>
      <c r="GZ26"/>
      <c r="HA26"/>
      <c r="HB26"/>
      <c r="HC26"/>
    </row>
    <row r="27" spans="1:211" s="7" customFormat="1">
      <c r="A27" s="4"/>
      <c r="B27" s="1"/>
      <c r="C27" s="48" t="s">
        <v>119</v>
      </c>
      <c r="D27" s="49">
        <f>SUM(G27:AK27)</f>
        <v>22.569444444444443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22.569444444444443</v>
      </c>
      <c r="K27" s="18">
        <f t="shared" si="15"/>
        <v>0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45.589449786324792</v>
      </c>
      <c r="AO27">
        <v>33.741973762793705</v>
      </c>
      <c r="AP27">
        <v>5.4514429917021658</v>
      </c>
      <c r="AQ27">
        <v>217.24786631006702</v>
      </c>
      <c r="AR27">
        <v>32.186692979894836</v>
      </c>
      <c r="AS27">
        <v>314.8915960049286</v>
      </c>
      <c r="AT27">
        <v>26.281380850292368</v>
      </c>
      <c r="AU27">
        <v>29.989861823766553</v>
      </c>
      <c r="AV27"/>
      <c r="AW27"/>
      <c r="FY27" s="211">
        <v>22</v>
      </c>
      <c r="FZ27">
        <v>45.437393052838082</v>
      </c>
      <c r="GA27">
        <v>73.166811700476302</v>
      </c>
      <c r="GB27">
        <v>27.348950447736147</v>
      </c>
      <c r="GC27">
        <v>11.658107765206951</v>
      </c>
      <c r="GD27">
        <v>8.3919439049535214</v>
      </c>
      <c r="GE27">
        <v>13.765306292335067</v>
      </c>
      <c r="GF27">
        <v>26.821158491846536</v>
      </c>
      <c r="GG27">
        <v>18.13681582686711</v>
      </c>
      <c r="GH27">
        <v>8.4282406351516155</v>
      </c>
      <c r="GI27">
        <v>25.235807297425289</v>
      </c>
      <c r="GJ27"/>
      <c r="GK27">
        <v>48.793264332193459</v>
      </c>
      <c r="GL27">
        <v>66.998139238917403</v>
      </c>
      <c r="GM27">
        <v>48.450538427825961</v>
      </c>
      <c r="GN27">
        <v>38.5010475925355</v>
      </c>
      <c r="GO27">
        <v>36.517340684200192</v>
      </c>
      <c r="GP27">
        <v>29.535191746325669</v>
      </c>
      <c r="GQ27">
        <v>36.136618592796879</v>
      </c>
      <c r="GR27">
        <v>27.280068557602885</v>
      </c>
      <c r="GS27">
        <v>10.126658790764433</v>
      </c>
      <c r="GT27">
        <v>36.004884165556184</v>
      </c>
      <c r="GU27"/>
      <c r="GV27"/>
      <c r="GW27"/>
      <c r="GX27"/>
      <c r="GY27"/>
      <c r="GZ27"/>
      <c r="HA27"/>
      <c r="HB27"/>
      <c r="HC27"/>
    </row>
    <row r="28" spans="1:211" s="7" customFormat="1">
      <c r="A28" s="51"/>
      <c r="B28" s="1"/>
      <c r="C28" s="48" t="s">
        <v>120</v>
      </c>
      <c r="D28" s="49">
        <f>SUM(G28:AK28)</f>
        <v>25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25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48.389289529914535</v>
      </c>
      <c r="AO28">
        <v>37.526008571940039</v>
      </c>
      <c r="AP28">
        <v>22.767694429215794</v>
      </c>
      <c r="AQ28">
        <v>252.61372280683602</v>
      </c>
      <c r="AR28">
        <v>35.810127131324599</v>
      </c>
      <c r="AS28">
        <v>330.0789926771601</v>
      </c>
      <c r="AT28">
        <v>28.592561938664527</v>
      </c>
      <c r="AU28">
        <v>25.243437279744452</v>
      </c>
      <c r="AV28"/>
      <c r="AW28"/>
      <c r="FY28" s="211">
        <v>23</v>
      </c>
      <c r="FZ28">
        <v>55.517089284610549</v>
      </c>
      <c r="GA28">
        <v>104.06663614728863</v>
      </c>
      <c r="GB28">
        <v>34.847856215663789</v>
      </c>
      <c r="GC28">
        <v>9.5302678648671986</v>
      </c>
      <c r="GD28">
        <v>6.7784403995832418</v>
      </c>
      <c r="GE28">
        <v>10.305302234458441</v>
      </c>
      <c r="GF28">
        <v>17.567331528571827</v>
      </c>
      <c r="GG28">
        <v>13.22476154042393</v>
      </c>
      <c r="GH28">
        <v>11.218903939351462</v>
      </c>
      <c r="GI28">
        <v>26.223366886009146</v>
      </c>
      <c r="GJ28"/>
      <c r="GK28">
        <v>61.014186754350547</v>
      </c>
      <c r="GL28">
        <v>96.642476270575429</v>
      </c>
      <c r="GM28">
        <v>61.735363480616932</v>
      </c>
      <c r="GN28">
        <v>31.42704721221725</v>
      </c>
      <c r="GO28">
        <v>29.443340303881946</v>
      </c>
      <c r="GP28">
        <v>22.11131892270717</v>
      </c>
      <c r="GQ28">
        <v>23.66877475982993</v>
      </c>
      <c r="GR28">
        <v>19.891716656585434</v>
      </c>
      <c r="GS28">
        <v>13.252499979656427</v>
      </c>
      <c r="GT28">
        <v>37.822833055667154</v>
      </c>
      <c r="GU28"/>
      <c r="GV28"/>
      <c r="GW28"/>
      <c r="GX28"/>
      <c r="GY28"/>
      <c r="GZ28"/>
      <c r="HA28"/>
      <c r="HB28"/>
      <c r="HC28"/>
    </row>
    <row r="29" spans="1:211" s="7" customFormat="1">
      <c r="A29" s="51"/>
      <c r="B29" s="1"/>
      <c r="C29" s="48" t="s">
        <v>121</v>
      </c>
      <c r="D29" s="49">
        <f>SUM(G29:AK29)</f>
        <v>20.833333333333332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20.3125</v>
      </c>
      <c r="K29" s="18">
        <f t="shared" si="15"/>
        <v>0.52083333333333326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39.226602564102556</v>
      </c>
      <c r="AO29">
        <v>32.809404377904741</v>
      </c>
      <c r="AP29">
        <v>25.137910937990618</v>
      </c>
      <c r="AQ29">
        <v>224.56579936684889</v>
      </c>
      <c r="AR29">
        <v>31.354130924485609</v>
      </c>
      <c r="AS29">
        <v>263.49666209545427</v>
      </c>
      <c r="AT29">
        <v>24.753967222736183</v>
      </c>
      <c r="AU29">
        <v>21.59925140616572</v>
      </c>
      <c r="AV29"/>
      <c r="AW29"/>
      <c r="FY29" s="211">
        <v>24</v>
      </c>
      <c r="FZ29">
        <v>35.366347957447402</v>
      </c>
      <c r="GA29">
        <v>88.513084186020137</v>
      </c>
      <c r="GB29">
        <v>41.434461950327517</v>
      </c>
      <c r="GC29">
        <v>11.039652303009332</v>
      </c>
      <c r="GD29">
        <v>7.4029254553524027</v>
      </c>
      <c r="GE29">
        <v>13.536507103622576</v>
      </c>
      <c r="GF29">
        <v>32.81461527147934</v>
      </c>
      <c r="GG29">
        <v>26.969067284221666</v>
      </c>
      <c r="GH29">
        <v>17.497896373801119</v>
      </c>
      <c r="GI29">
        <v>29.340829398060006</v>
      </c>
      <c r="GJ29"/>
      <c r="GK29">
        <v>36.575491928608287</v>
      </c>
      <c r="GL29">
        <v>78.224175752022205</v>
      </c>
      <c r="GM29">
        <v>73.403986555060357</v>
      </c>
      <c r="GN29">
        <v>36.462227049973116</v>
      </c>
      <c r="GO29">
        <v>32.217476799148194</v>
      </c>
      <c r="GP29">
        <v>29.044274380121472</v>
      </c>
      <c r="GQ29">
        <v>44.21170833076787</v>
      </c>
      <c r="GR29">
        <v>40.564893610393874</v>
      </c>
      <c r="GS29">
        <v>20.285642654663423</v>
      </c>
      <c r="GT29">
        <v>41.338861253649618</v>
      </c>
      <c r="GU29"/>
      <c r="GV29"/>
      <c r="GW29"/>
      <c r="GX29"/>
      <c r="GY29"/>
      <c r="GZ29"/>
      <c r="HA29"/>
      <c r="HB29"/>
      <c r="HC29"/>
    </row>
    <row r="30" spans="1:211" s="7" customFormat="1">
      <c r="A30" s="51"/>
      <c r="B30" s="1"/>
      <c r="C30" s="48" t="s">
        <v>122</v>
      </c>
      <c r="D30" s="49">
        <f>SUM(G30:AK30)</f>
        <v>49.078525641025642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0.9375</v>
      </c>
      <c r="J30" s="18">
        <f t="shared" si="16"/>
        <v>47.620192307692307</v>
      </c>
      <c r="K30" s="18">
        <f t="shared" si="16"/>
        <v>0.52083333333333326</v>
      </c>
      <c r="L30" s="18">
        <f t="shared" si="16"/>
        <v>0</v>
      </c>
      <c r="M30" s="18">
        <f t="shared" si="16"/>
        <v>0</v>
      </c>
      <c r="N30" s="18">
        <f t="shared" si="16"/>
        <v>0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47.71247329059829</v>
      </c>
      <c r="AO30">
        <v>36.056563908718324</v>
      </c>
      <c r="AP30">
        <v>36.659877525997636</v>
      </c>
      <c r="AQ30">
        <v>242.13241321006825</v>
      </c>
      <c r="AR30">
        <v>34.659836240077176</v>
      </c>
      <c r="AS30">
        <v>322.50250038993329</v>
      </c>
      <c r="AT30">
        <v>27.005043520570524</v>
      </c>
      <c r="AU30">
        <v>35.248603532885525</v>
      </c>
      <c r="AV30"/>
      <c r="AW30"/>
      <c r="FY30" s="211">
        <v>25</v>
      </c>
      <c r="FZ30">
        <v>40.123039378217236</v>
      </c>
      <c r="GA30">
        <v>58.448699947012308</v>
      </c>
      <c r="GB30">
        <v>21.153330441614102</v>
      </c>
      <c r="GC30">
        <v>10.814406786415963</v>
      </c>
      <c r="GD30">
        <v>7.5804635623500785</v>
      </c>
      <c r="GE30">
        <v>9.0305638973460027</v>
      </c>
      <c r="GF30">
        <v>28.877564483685354</v>
      </c>
      <c r="GG30">
        <v>22.316785099465385</v>
      </c>
      <c r="GH30">
        <v>8.0794077221266338</v>
      </c>
      <c r="GI30">
        <v>22.780060933845871</v>
      </c>
      <c r="GJ30"/>
      <c r="GK30">
        <v>41.487472621169438</v>
      </c>
      <c r="GL30">
        <v>51.654525646440256</v>
      </c>
      <c r="GM30">
        <v>37.474573344102922</v>
      </c>
      <c r="GN30">
        <v>35.70675634368876</v>
      </c>
      <c r="GO30">
        <v>32.977110060731505</v>
      </c>
      <c r="GP30">
        <v>19.376207882426677</v>
      </c>
      <c r="GQ30">
        <v>38.907250555678417</v>
      </c>
      <c r="GR30">
        <v>33.567271857987919</v>
      </c>
      <c r="GS30">
        <v>9.7359286421529312</v>
      </c>
      <c r="GT30">
        <v>32.116467044767042</v>
      </c>
      <c r="GU30"/>
      <c r="GV30"/>
      <c r="GW30"/>
      <c r="GX30"/>
      <c r="GY30"/>
      <c r="GZ30"/>
      <c r="HA30"/>
      <c r="HB30"/>
      <c r="HC30"/>
    </row>
    <row r="31" spans="1:211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51.618856837606835</v>
      </c>
      <c r="AO31">
        <v>39.826829865761326</v>
      </c>
      <c r="AP31">
        <v>26.391063511819986</v>
      </c>
      <c r="AQ31">
        <v>273.21364019537754</v>
      </c>
      <c r="AR31">
        <v>37.975723645055432</v>
      </c>
      <c r="AS31">
        <v>356.8594027514381</v>
      </c>
      <c r="AT31">
        <v>30.30884052098061</v>
      </c>
      <c r="AU31">
        <v>27.955294507217488</v>
      </c>
      <c r="AV31"/>
      <c r="AW31"/>
      <c r="FY31" s="211">
        <v>26</v>
      </c>
      <c r="FZ31">
        <v>29.859802794816847</v>
      </c>
      <c r="GA31">
        <v>55.795960161217501</v>
      </c>
      <c r="GB31">
        <v>30.426709900615542</v>
      </c>
      <c r="GC31">
        <v>10.803678503264521</v>
      </c>
      <c r="GD31">
        <v>5.2416169384308775</v>
      </c>
      <c r="GE31">
        <v>7.8912373249817698</v>
      </c>
      <c r="GF31">
        <v>26.777218192875608</v>
      </c>
      <c r="GG31">
        <v>22.85994494844708</v>
      </c>
      <c r="GH31">
        <v>5.232493695374715</v>
      </c>
      <c r="GI31">
        <v>21.278815381983669</v>
      </c>
      <c r="GJ31"/>
      <c r="GK31">
        <v>30.873981777452336</v>
      </c>
      <c r="GL31">
        <v>49.310144754771258</v>
      </c>
      <c r="GM31">
        <v>53.903000047086429</v>
      </c>
      <c r="GN31">
        <v>35.644441682772737</v>
      </c>
      <c r="GO31">
        <v>22.768107239893766</v>
      </c>
      <c r="GP31">
        <v>16.931639773164985</v>
      </c>
      <c r="GQ31">
        <v>36.077417055128457</v>
      </c>
      <c r="GR31">
        <v>34.384253077811962</v>
      </c>
      <c r="GS31">
        <v>5.8609522291724954</v>
      </c>
      <c r="GT31">
        <v>29.896691669746698</v>
      </c>
      <c r="GU31"/>
      <c r="GV31"/>
      <c r="GW31"/>
      <c r="GX31"/>
      <c r="GY31"/>
      <c r="GZ31"/>
      <c r="HA31"/>
      <c r="HB31"/>
      <c r="HC31"/>
    </row>
    <row r="32" spans="1:211" s="7" customFormat="1">
      <c r="A32" s="51"/>
      <c r="B32" s="1"/>
      <c r="C32" s="52" t="s">
        <v>43</v>
      </c>
      <c r="D32" s="53">
        <f>AVERAGE(D21:D31)</f>
        <v>49.923878205128204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51.268135683760683</v>
      </c>
      <c r="AO32">
        <v>37.298804832574106</v>
      </c>
      <c r="AP32">
        <v>10.65321622226597</v>
      </c>
      <c r="AQ32">
        <v>252.85576691334759</v>
      </c>
      <c r="AR32">
        <v>35.734066180267668</v>
      </c>
      <c r="AS32">
        <v>344.558523991291</v>
      </c>
      <c r="AT32">
        <v>28.800453372999531</v>
      </c>
      <c r="AU32">
        <v>26.725314464915961</v>
      </c>
      <c r="AV32"/>
      <c r="AW32"/>
      <c r="FY32" s="211">
        <v>27</v>
      </c>
      <c r="FZ32">
        <v>39.350230763123164</v>
      </c>
      <c r="GA32">
        <v>72.508220811724811</v>
      </c>
      <c r="GB32">
        <v>35.710029873473651</v>
      </c>
      <c r="GC32">
        <v>13.956144548245065</v>
      </c>
      <c r="GD32">
        <v>9.1567741531881257</v>
      </c>
      <c r="GE32">
        <v>10.001793106574528</v>
      </c>
      <c r="GF32">
        <v>23.437755471086071</v>
      </c>
      <c r="GG32">
        <v>23.07248575891818</v>
      </c>
      <c r="GH32">
        <v>15.112316705178324</v>
      </c>
      <c r="GI32">
        <v>27.410864228040683</v>
      </c>
      <c r="GJ32"/>
      <c r="GK32">
        <v>40.699712286802573</v>
      </c>
      <c r="GL32">
        <v>64.079744372285944</v>
      </c>
      <c r="GM32">
        <v>63.262763152461893</v>
      </c>
      <c r="GN32">
        <v>46.083419707630057</v>
      </c>
      <c r="GO32">
        <v>39.837202087169302</v>
      </c>
      <c r="GP32">
        <v>21.460102008354674</v>
      </c>
      <c r="GQ32">
        <v>31.578100192329373</v>
      </c>
      <c r="GR32">
        <v>34.70394138122137</v>
      </c>
      <c r="GS32">
        <v>18.299666838471367</v>
      </c>
      <c r="GT32">
        <v>38.7354889114469</v>
      </c>
      <c r="GU32"/>
      <c r="GV32"/>
      <c r="GW32"/>
      <c r="GX32"/>
      <c r="GY32"/>
      <c r="GZ32"/>
      <c r="HA32"/>
      <c r="HB32"/>
      <c r="HC32"/>
    </row>
    <row r="33" spans="1:211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48.142761752136757</v>
      </c>
      <c r="AO33">
        <v>35.220586670387419</v>
      </c>
      <c r="AP33">
        <v>18.693035431559881</v>
      </c>
      <c r="AQ33">
        <v>252.49285939594481</v>
      </c>
      <c r="AR33">
        <v>33.844737245776926</v>
      </c>
      <c r="AS33">
        <v>315.92478958764809</v>
      </c>
      <c r="AT33">
        <v>27.141661634276488</v>
      </c>
      <c r="AU33">
        <v>34.556341608629189</v>
      </c>
      <c r="AV33"/>
      <c r="AW33"/>
      <c r="FY33" s="211">
        <v>28</v>
      </c>
      <c r="FZ33">
        <v>26.896025786964433</v>
      </c>
      <c r="GA33">
        <v>51.81685048252529</v>
      </c>
      <c r="GB33">
        <v>23.14836018468576</v>
      </c>
      <c r="GC33">
        <v>10.199661926406984</v>
      </c>
      <c r="GD33">
        <v>8.449772816789304</v>
      </c>
      <c r="GE33">
        <v>10.048486818556666</v>
      </c>
      <c r="GF33">
        <v>24.378077869063656</v>
      </c>
      <c r="GG33">
        <v>20.970693299815093</v>
      </c>
      <c r="GH33">
        <v>10.870071026326483</v>
      </c>
      <c r="GI33">
        <v>21.455600378601581</v>
      </c>
      <c r="GJ33"/>
      <c r="GK33">
        <v>27.819986581138771</v>
      </c>
      <c r="GL33">
        <v>45.793573417267758</v>
      </c>
      <c r="GM33">
        <v>41.00890514290694</v>
      </c>
      <c r="GN33">
        <v>33.672511094664593</v>
      </c>
      <c r="GO33">
        <v>36.756000414301504</v>
      </c>
      <c r="GP33">
        <v>21.560289225947365</v>
      </c>
      <c r="GQ33">
        <v>32.845013098433334</v>
      </c>
      <c r="GR33">
        <v>31.542579269728336</v>
      </c>
      <c r="GS33">
        <v>12.861769831044931</v>
      </c>
      <c r="GT33">
        <v>30.258335013565091</v>
      </c>
      <c r="GU33"/>
      <c r="GV33"/>
      <c r="GW33"/>
      <c r="GX33"/>
      <c r="GY33"/>
      <c r="GZ33"/>
      <c r="HA33"/>
      <c r="HB33"/>
      <c r="HC33"/>
    </row>
    <row r="34" spans="1:211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46.33488247863248</v>
      </c>
      <c r="AO34">
        <v>33.899296032983422</v>
      </c>
      <c r="AP34">
        <v>9.9014889084630067</v>
      </c>
      <c r="AQ34">
        <v>234.99248244116194</v>
      </c>
      <c r="AR34">
        <v>32.832804035682528</v>
      </c>
      <c r="AS34">
        <v>312.76892570854744</v>
      </c>
      <c r="AT34">
        <v>26.4820968736542</v>
      </c>
      <c r="AU34">
        <v>34.759341144633773</v>
      </c>
      <c r="AV34"/>
      <c r="AW34"/>
      <c r="FY34" s="211">
        <v>29</v>
      </c>
      <c r="FZ34">
        <v>43.008123085086716</v>
      </c>
      <c r="GA34">
        <v>78.207017293486444</v>
      </c>
      <c r="GB34">
        <v>30.767569253703162</v>
      </c>
      <c r="GC34">
        <v>13.110399692063172</v>
      </c>
      <c r="GD34">
        <v>8.1094134618266782</v>
      </c>
      <c r="GE34">
        <v>10.197906696899521</v>
      </c>
      <c r="GF34">
        <v>17.980370338898432</v>
      </c>
      <c r="GG34">
        <v>15.326553999527023</v>
      </c>
      <c r="GH34">
        <v>12.963068504476368</v>
      </c>
      <c r="GI34">
        <v>24.592887416113999</v>
      </c>
      <c r="GJ34"/>
      <c r="GK34">
        <v>46.278222182564164</v>
      </c>
      <c r="GL34">
        <v>71.452462933088498</v>
      </c>
      <c r="GM34">
        <v>54.506855731304199</v>
      </c>
      <c r="GN34">
        <v>43.29773833300743</v>
      </c>
      <c r="GO34">
        <v>35.287770286471691</v>
      </c>
      <c r="GP34">
        <v>21.880888322243983</v>
      </c>
      <c r="GQ34">
        <v>24.225269213912981</v>
      </c>
      <c r="GR34">
        <v>23.053078768078478</v>
      </c>
      <c r="GS34">
        <v>15.206150722713929</v>
      </c>
      <c r="GT34">
        <v>35.100853627393398</v>
      </c>
      <c r="GU34"/>
      <c r="GV34"/>
      <c r="GW34"/>
      <c r="GX34"/>
      <c r="GY34"/>
      <c r="GZ34"/>
      <c r="HA34"/>
      <c r="HB34"/>
      <c r="HC34"/>
    </row>
    <row r="35" spans="1:211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55.183493589743577</v>
      </c>
      <c r="AO35">
        <v>41.161925386561322</v>
      </c>
      <c r="AP35">
        <v>1.3530342215624536</v>
      </c>
      <c r="AQ35">
        <v>285.68287244328167</v>
      </c>
      <c r="AR35">
        <v>38.663164460637795</v>
      </c>
      <c r="AS35">
        <v>375.96449873208979</v>
      </c>
      <c r="AT35">
        <v>32.009430604575918</v>
      </c>
      <c r="AU35">
        <v>15.887228424812777</v>
      </c>
      <c r="AV35"/>
      <c r="AW35"/>
      <c r="FY35" s="211">
        <v>30</v>
      </c>
      <c r="FZ35">
        <v>28.017635628166243</v>
      </c>
      <c r="GA35">
        <v>46.865069549041642</v>
      </c>
      <c r="GB35">
        <v>25.684754782661287</v>
      </c>
      <c r="GC35">
        <v>14.463945085360724</v>
      </c>
      <c r="GD35">
        <v>8.333155465620715</v>
      </c>
      <c r="GE35">
        <v>7.7091318482514222</v>
      </c>
      <c r="GF35">
        <v>19.2370628894666</v>
      </c>
      <c r="GG35">
        <v>18.443819219769807</v>
      </c>
      <c r="GH35">
        <v>13.311901417501348</v>
      </c>
      <c r="GI35">
        <v>21.591104796298332</v>
      </c>
      <c r="GJ35"/>
      <c r="GK35">
        <v>28.977807828457589</v>
      </c>
      <c r="GL35">
        <v>41.417395752818962</v>
      </c>
      <c r="GM35">
        <v>45.50230185193918</v>
      </c>
      <c r="GN35">
        <v>47.752924398981357</v>
      </c>
      <c r="GO35">
        <v>36.244145476242643</v>
      </c>
      <c r="GP35">
        <v>16.540909624553485</v>
      </c>
      <c r="GQ35">
        <v>25.918433191229479</v>
      </c>
      <c r="GR35">
        <v>27.741840551416473</v>
      </c>
      <c r="GS35">
        <v>15.596880871325425</v>
      </c>
      <c r="GT35">
        <v>30.447913843838858</v>
      </c>
      <c r="GU35"/>
      <c r="GV35"/>
      <c r="GW35"/>
      <c r="GX35"/>
      <c r="GY35"/>
      <c r="GZ35"/>
      <c r="HA35"/>
      <c r="HB35"/>
      <c r="HC35"/>
    </row>
    <row r="36" spans="1:211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1.1646714346682511E-5</v>
      </c>
      <c r="H36" s="59">
        <f t="shared" ref="H36:AK36" si="17">(1-($A$43/100))*($A$39*(H35^$A$41))</f>
        <v>8.4444000000000012E-4</v>
      </c>
      <c r="I36" s="59">
        <f t="shared" si="17"/>
        <v>6.1225757958347789E-2</v>
      </c>
      <c r="J36" s="59">
        <f t="shared" si="17"/>
        <v>0.75020188533407928</v>
      </c>
      <c r="K36" s="59">
        <f t="shared" si="17"/>
        <v>4.4391471715861259</v>
      </c>
      <c r="L36" s="59">
        <f t="shared" si="17"/>
        <v>17.628015506744671</v>
      </c>
      <c r="M36" s="59">
        <f t="shared" si="17"/>
        <v>54.39306410326423</v>
      </c>
      <c r="N36" s="59">
        <f t="shared" si="17"/>
        <v>141.0180433149788</v>
      </c>
      <c r="O36" s="59">
        <f t="shared" si="17"/>
        <v>321.85845088936549</v>
      </c>
      <c r="P36" s="59">
        <f t="shared" si="17"/>
        <v>666.48058921747793</v>
      </c>
      <c r="Q36" s="59">
        <f t="shared" si="17"/>
        <v>1278.1116606294734</v>
      </c>
      <c r="R36" s="59">
        <f t="shared" si="17"/>
        <v>2303.4330366622853</v>
      </c>
      <c r="S36" s="59">
        <f t="shared" si="17"/>
        <v>3943.7456508447622</v>
      </c>
      <c r="T36" s="59">
        <f t="shared" si="17"/>
        <v>6467.5339082490427</v>
      </c>
      <c r="U36" s="59">
        <f t="shared" si="17"/>
        <v>10224.452403678983</v>
      </c>
      <c r="V36" s="59">
        <f t="shared" si="17"/>
        <v>15660.757979084645</v>
      </c>
      <c r="W36" s="59">
        <f t="shared" si="17"/>
        <v>23336.208150965249</v>
      </c>
      <c r="X36" s="59">
        <f t="shared" si="17"/>
        <v>33942.445644359832</v>
      </c>
      <c r="Y36" s="59">
        <f t="shared" si="17"/>
        <v>48322.887640763322</v>
      </c>
      <c r="Z36" s="59">
        <f t="shared" si="17"/>
        <v>67494.137352448117</v>
      </c>
      <c r="AA36" s="59">
        <f t="shared" si="17"/>
        <v>92668.934651889795</v>
      </c>
      <c r="AB36" s="59">
        <f t="shared" si="17"/>
        <v>125280.6616941641</v>
      </c>
      <c r="AC36" s="59">
        <f t="shared" si="17"/>
        <v>167009.41875793086</v>
      </c>
      <c r="AD36" s="59">
        <f t="shared" si="17"/>
        <v>219809.68488549121</v>
      </c>
      <c r="AE36" s="59">
        <f t="shared" si="17"/>
        <v>285939.57731503504</v>
      </c>
      <c r="AF36" s="59">
        <f t="shared" si="17"/>
        <v>367991.7231609475</v>
      </c>
      <c r="AG36" s="59">
        <f t="shared" si="17"/>
        <v>468925.75630460773</v>
      </c>
      <c r="AH36" s="59">
        <f t="shared" si="17"/>
        <v>592102.4520031251</v>
      </c>
      <c r="AI36" s="59">
        <f t="shared" si="17"/>
        <v>741319.51130251598</v>
      </c>
      <c r="AJ36" s="59">
        <f t="shared" si="17"/>
        <v>920849.00695114571</v>
      </c>
      <c r="AK36" s="59">
        <f t="shared" si="17"/>
        <v>1135476.5021454457</v>
      </c>
      <c r="AL36" s="42"/>
      <c r="AM36" s="43">
        <v>20</v>
      </c>
      <c r="AN36">
        <v>49.620592948717949</v>
      </c>
      <c r="AO36">
        <v>40.111793969036192</v>
      </c>
      <c r="AP36">
        <v>41.966604928925221</v>
      </c>
      <c r="AQ36">
        <v>270.16026220310681</v>
      </c>
      <c r="AR36">
        <v>38.365269823671959</v>
      </c>
      <c r="AS36">
        <v>352.11095927996354</v>
      </c>
      <c r="AT36">
        <v>30.143440510990061</v>
      </c>
      <c r="AU36">
        <v>20.590194587458072</v>
      </c>
      <c r="AV36"/>
      <c r="AW36"/>
      <c r="FY36" s="211">
        <v>31</v>
      </c>
      <c r="FZ36">
        <v>41.142167971656093</v>
      </c>
      <c r="GA36">
        <v>78.511909544131967</v>
      </c>
      <c r="GB36">
        <v>34.406744111668047</v>
      </c>
      <c r="GC36">
        <v>14.003701047399455</v>
      </c>
      <c r="GD36">
        <v>7.8451102853453127</v>
      </c>
      <c r="GE36">
        <v>8.6196592319031637</v>
      </c>
      <c r="GF36">
        <v>24.430806227828754</v>
      </c>
      <c r="GG36">
        <v>17.121343065727412</v>
      </c>
      <c r="GH36">
        <v>3.5445798528018821</v>
      </c>
      <c r="GI36">
        <v>24.752597311807001</v>
      </c>
      <c r="GJ36"/>
      <c r="GK36">
        <v>46.148921890025939</v>
      </c>
      <c r="GL36">
        <v>74.058273680830766</v>
      </c>
      <c r="GM36">
        <v>60.95390318339394</v>
      </c>
      <c r="GN36">
        <v>46.232811070234064</v>
      </c>
      <c r="GO36">
        <v>34.120176463277573</v>
      </c>
      <c r="GP36">
        <v>18.49456036761098</v>
      </c>
      <c r="GQ36">
        <v>32.916054943635423</v>
      </c>
      <c r="GR36">
        <v>25.752668885757931</v>
      </c>
      <c r="GS36">
        <v>4.6564367102034376</v>
      </c>
      <c r="GT36">
        <v>35.759098638107261</v>
      </c>
      <c r="GU36"/>
      <c r="GV36"/>
      <c r="GW36"/>
      <c r="GX36"/>
      <c r="GY36"/>
      <c r="GZ36"/>
      <c r="HA36"/>
      <c r="HB36"/>
      <c r="HC36"/>
    </row>
    <row r="37" spans="1:211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61.829282097301856</v>
      </c>
      <c r="E37" s="107">
        <f t="shared" ref="E37:E46" si="19">+D37/D21</f>
        <v>0.81870497673668674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0.223218909223143</v>
      </c>
      <c r="J37" s="49">
        <f t="shared" si="21"/>
        <v>52.35783991394095</v>
      </c>
      <c r="K37" s="49">
        <f t="shared" si="21"/>
        <v>9.2482232741377608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56.339316239316247</v>
      </c>
      <c r="AO37">
        <v>42.425552366222576</v>
      </c>
      <c r="AP37">
        <v>14.060382280510762</v>
      </c>
      <c r="AQ37">
        <v>278.61102946565535</v>
      </c>
      <c r="AR37">
        <v>40.927480203049008</v>
      </c>
      <c r="AS37">
        <v>399.8727017223564</v>
      </c>
      <c r="AT37">
        <v>33.358159425009639</v>
      </c>
      <c r="AU37">
        <v>31.701497312359557</v>
      </c>
      <c r="AV37"/>
      <c r="AW37"/>
      <c r="FY37" s="211">
        <v>32</v>
      </c>
      <c r="FZ37">
        <v>51.047952192566939</v>
      </c>
      <c r="GA37">
        <v>65.601909253263898</v>
      </c>
      <c r="GB37">
        <v>21.814998597607715</v>
      </c>
      <c r="GC37">
        <v>12.533008197952402</v>
      </c>
      <c r="GD37">
        <v>7.9732381360486979</v>
      </c>
      <c r="GE37">
        <v>11.369918867651249</v>
      </c>
      <c r="GF37">
        <v>26.214782366047906</v>
      </c>
      <c r="GG37">
        <v>19.152288588006808</v>
      </c>
      <c r="GH37">
        <v>11.567736852376447</v>
      </c>
      <c r="GI37">
        <v>24.737093675512988</v>
      </c>
      <c r="GJ37"/>
      <c r="GK37">
        <v>56.389201802219162</v>
      </c>
      <c r="GL37">
        <v>62.648953341374984</v>
      </c>
      <c r="GM37">
        <v>38.646763789937417</v>
      </c>
      <c r="GN37">
        <v>41.379185109760648</v>
      </c>
      <c r="GO37">
        <v>34.682125010132772</v>
      </c>
      <c r="GP37">
        <v>24.395587483820552</v>
      </c>
      <c r="GQ37">
        <v>35.319637372972835</v>
      </c>
      <c r="GR37">
        <v>28.807468229447842</v>
      </c>
      <c r="GS37">
        <v>13.64323012826793</v>
      </c>
      <c r="GT37">
        <v>35.736191620706023</v>
      </c>
      <c r="GU37"/>
      <c r="GV37"/>
      <c r="GW37"/>
      <c r="GX37"/>
      <c r="GY37"/>
      <c r="GZ37"/>
      <c r="HA37"/>
      <c r="HB37"/>
      <c r="HC37"/>
    </row>
    <row r="38" spans="1:211" s="7" customFormat="1">
      <c r="A38" s="9" t="s">
        <v>47</v>
      </c>
      <c r="B38" s="57"/>
      <c r="C38" s="48" t="s">
        <v>39</v>
      </c>
      <c r="D38" s="49">
        <f t="shared" si="18"/>
        <v>68.24847571447421</v>
      </c>
      <c r="E38" s="107">
        <f t="shared" si="19"/>
        <v>0.84540047336639013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</v>
      </c>
      <c r="J38" s="49">
        <f t="shared" si="21"/>
        <v>59.000252440336453</v>
      </c>
      <c r="K38" s="49">
        <f t="shared" si="21"/>
        <v>9.2482232741377608</v>
      </c>
      <c r="L38" s="49">
        <f t="shared" si="21"/>
        <v>0</v>
      </c>
      <c r="M38" s="49">
        <f t="shared" si="21"/>
        <v>0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48.263408119658123</v>
      </c>
      <c r="AO38">
        <v>37.834375212871855</v>
      </c>
      <c r="AP38">
        <v>24.09569467569219</v>
      </c>
      <c r="AQ38">
        <v>258.39053541483662</v>
      </c>
      <c r="AR38">
        <v>36.00488416555617</v>
      </c>
      <c r="AS38">
        <v>330.64206645765029</v>
      </c>
      <c r="AT38">
        <v>28.745597610259779</v>
      </c>
      <c r="AU38">
        <v>29.930623111478965</v>
      </c>
      <c r="AV38"/>
      <c r="AW38"/>
      <c r="FY38" s="211">
        <v>33</v>
      </c>
      <c r="FZ38">
        <v>65.091230421339475</v>
      </c>
      <c r="GA38">
        <v>96.943856997708707</v>
      </c>
      <c r="GB38">
        <v>33.173635275498128</v>
      </c>
      <c r="GC38">
        <v>13.611030459863679</v>
      </c>
      <c r="GD38">
        <v>7.420362977911533</v>
      </c>
      <c r="GE38">
        <v>7.5270263715210737</v>
      </c>
      <c r="GF38">
        <v>23.877158460795226</v>
      </c>
      <c r="GG38">
        <v>19.482907626517402</v>
      </c>
      <c r="GH38">
        <v>13.66073433052633</v>
      </c>
      <c r="GI38">
        <v>29.158457735461059</v>
      </c>
      <c r="GJ38"/>
      <c r="GK38">
        <v>72.716825365482919</v>
      </c>
      <c r="GL38">
        <v>92.684020521644527</v>
      </c>
      <c r="GM38">
        <v>58.769366443429654</v>
      </c>
      <c r="GN38">
        <v>44.943562409291374</v>
      </c>
      <c r="GO38">
        <v>32.280353502018677</v>
      </c>
      <c r="GP38">
        <v>16.150179475941986</v>
      </c>
      <c r="GQ38">
        <v>32.170115569013468</v>
      </c>
      <c r="GR38">
        <v>29.304761145862471</v>
      </c>
      <c r="GS38">
        <v>15.987611019936928</v>
      </c>
      <c r="GT38">
        <v>42.384854379976325</v>
      </c>
      <c r="GU38"/>
      <c r="GV38"/>
      <c r="GW38"/>
      <c r="GX38"/>
      <c r="GY38"/>
      <c r="GZ38"/>
      <c r="HA38"/>
      <c r="HB38"/>
      <c r="HC38"/>
    </row>
    <row r="39" spans="1:211" s="7" customFormat="1">
      <c r="A39" s="114">
        <v>9.3000000000000005E-4</v>
      </c>
      <c r="B39" s="57"/>
      <c r="C39" s="48" t="s">
        <v>40</v>
      </c>
      <c r="D39" s="49">
        <f t="shared" si="18"/>
        <v>49.231998725048953</v>
      </c>
      <c r="E39" s="107">
        <f t="shared" si="19"/>
        <v>0.75020188533407928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49.231998725048953</v>
      </c>
      <c r="K39" s="49">
        <f t="shared" si="21"/>
        <v>0</v>
      </c>
      <c r="L39" s="49">
        <f t="shared" si="21"/>
        <v>0</v>
      </c>
      <c r="M39" s="49">
        <f t="shared" si="21"/>
        <v>0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50.047542735042732</v>
      </c>
      <c r="AO39">
        <v>39.70095573960883</v>
      </c>
      <c r="AP39">
        <v>50.747678853897256</v>
      </c>
      <c r="AQ39">
        <v>289.27995604082827</v>
      </c>
      <c r="AR39">
        <v>37.822833055667175</v>
      </c>
      <c r="AS39">
        <v>357.39463404665054</v>
      </c>
      <c r="AT39">
        <v>28.83305231544411</v>
      </c>
      <c r="AU39">
        <v>25.112711702130127</v>
      </c>
      <c r="AV39"/>
      <c r="AW39"/>
      <c r="FY39" s="211">
        <v>34</v>
      </c>
      <c r="FZ39">
        <v>49.01108360418678</v>
      </c>
      <c r="GA39">
        <v>83.375265818089133</v>
      </c>
      <c r="GB39">
        <v>30.536987926614479</v>
      </c>
      <c r="GC39">
        <v>18.562532756935322</v>
      </c>
      <c r="GD39">
        <v>10.807731217745419</v>
      </c>
      <c r="GE39">
        <v>11.458636920417316</v>
      </c>
      <c r="GF39">
        <v>29.290603294011952</v>
      </c>
      <c r="GG39">
        <v>24.158805456881577</v>
      </c>
      <c r="GH39">
        <v>14.009567243551309</v>
      </c>
      <c r="GI39">
        <v>29.372492832620338</v>
      </c>
      <c r="GJ39"/>
      <c r="GK39">
        <v>54.290478179660823</v>
      </c>
      <c r="GL39">
        <v>78.356305315557279</v>
      </c>
      <c r="GM39">
        <v>54.098365121392185</v>
      </c>
      <c r="GN39">
        <v>61.309112409404392</v>
      </c>
      <c r="GO39">
        <v>47.035166281107365</v>
      </c>
      <c r="GP39">
        <v>24.585943197246667</v>
      </c>
      <c r="GQ39">
        <v>39.46374500976146</v>
      </c>
      <c r="GR39">
        <v>36.337903820869464</v>
      </c>
      <c r="GS39">
        <v>16.378341168548427</v>
      </c>
      <c r="GT39">
        <v>42.253219152094047</v>
      </c>
      <c r="GU39"/>
      <c r="GV39"/>
      <c r="GW39"/>
      <c r="GX39"/>
      <c r="GY39"/>
      <c r="GZ39"/>
      <c r="HA39"/>
      <c r="HB39"/>
      <c r="HC39"/>
    </row>
    <row r="40" spans="1:211" s="7" customFormat="1">
      <c r="A40" s="9" t="s">
        <v>48</v>
      </c>
      <c r="B40" s="57"/>
      <c r="C40" s="48" t="s">
        <v>41</v>
      </c>
      <c r="D40" s="49">
        <f t="shared" si="18"/>
        <v>50.037160966441476</v>
      </c>
      <c r="E40" s="107">
        <f t="shared" si="19"/>
        <v>0.73959388337290533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6.3776831206612275E-2</v>
      </c>
      <c r="J40" s="49">
        <f t="shared" si="21"/>
        <v>49.973384135234866</v>
      </c>
      <c r="K40" s="49">
        <f t="shared" si="21"/>
        <v>0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57.607986111111096</v>
      </c>
      <c r="AO40">
        <v>43.232873831440841</v>
      </c>
      <c r="AP40">
        <v>9.306013786993951</v>
      </c>
      <c r="AQ40">
        <v>303.91538728334143</v>
      </c>
      <c r="AR40">
        <v>41.338861253649661</v>
      </c>
      <c r="AS40">
        <v>398.90742646467521</v>
      </c>
      <c r="AT40">
        <v>33.970704801812623</v>
      </c>
      <c r="AU40">
        <v>24.577813244604403</v>
      </c>
      <c r="AV40"/>
      <c r="AW40"/>
      <c r="FY40" s="211">
        <v>35</v>
      </c>
      <c r="FZ40">
        <v>40.427751848869256</v>
      </c>
      <c r="GA40">
        <v>84.396743460341014</v>
      </c>
      <c r="GB40">
        <v>38.597309099627623</v>
      </c>
      <c r="GC40">
        <v>12.196217616436723</v>
      </c>
      <c r="GD40">
        <v>6.922501301778647</v>
      </c>
      <c r="GE40">
        <v>10.622819475937</v>
      </c>
      <c r="GF40">
        <v>14.59696731813797</v>
      </c>
      <c r="GG40">
        <v>10.650656169162847</v>
      </c>
      <c r="GH40">
        <v>11.218903939351462</v>
      </c>
      <c r="GI40">
        <v>24.522746013266911</v>
      </c>
      <c r="GJ40"/>
      <c r="GK40">
        <v>43.606887973490274</v>
      </c>
      <c r="GL40">
        <v>76.922685013649499</v>
      </c>
      <c r="GM40">
        <v>68.377776007012443</v>
      </c>
      <c r="GN40">
        <v>40.255298680601342</v>
      </c>
      <c r="GO40">
        <v>30.096314816702346</v>
      </c>
      <c r="GP40">
        <v>22.792592002337479</v>
      </c>
      <c r="GQ40">
        <v>19.666750813445482</v>
      </c>
      <c r="GR40">
        <v>16.019936093071486</v>
      </c>
      <c r="GS40">
        <v>13.252499979656427</v>
      </c>
      <c r="GT40">
        <v>35.000045918061396</v>
      </c>
      <c r="GU40"/>
      <c r="GV40"/>
      <c r="GW40"/>
      <c r="GX40"/>
      <c r="GY40"/>
      <c r="GZ40"/>
      <c r="HA40"/>
      <c r="HB40"/>
      <c r="HC40"/>
    </row>
    <row r="41" spans="1:211" s="7" customFormat="1">
      <c r="A41" s="114">
        <v>6.18</v>
      </c>
      <c r="B41" s="57"/>
      <c r="C41" s="48" t="s">
        <v>42</v>
      </c>
      <c r="D41" s="49">
        <f t="shared" si="18"/>
        <v>44.927612869214173</v>
      </c>
      <c r="E41" s="107">
        <f t="shared" si="19"/>
        <v>0.73840642046680371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6.3776831206612275E-2</v>
      </c>
      <c r="J41" s="49">
        <f t="shared" si="22"/>
        <v>44.863836038007562</v>
      </c>
      <c r="K41" s="49">
        <f t="shared" si="22"/>
        <v>0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45.085683760683764</v>
      </c>
      <c r="AO41">
        <v>33.300356399914591</v>
      </c>
      <c r="AP41">
        <v>16.277107778579907</v>
      </c>
      <c r="AQ41">
        <v>229.20432225207895</v>
      </c>
      <c r="AR41">
        <v>32.116467044767042</v>
      </c>
      <c r="AS41">
        <v>307.42118632358665</v>
      </c>
      <c r="AT41">
        <v>25.811272477812974</v>
      </c>
      <c r="AU41">
        <v>35.796945869942846</v>
      </c>
      <c r="AV41"/>
      <c r="AW41"/>
      <c r="FY41" s="211">
        <v>36</v>
      </c>
      <c r="FZ41">
        <v>41.98487462051348</v>
      </c>
      <c r="GA41">
        <v>53.045607600501796</v>
      </c>
      <c r="GB41">
        <v>15.759732442757045</v>
      </c>
      <c r="GC41">
        <v>9.679502869286388</v>
      </c>
      <c r="GD41">
        <v>7.3817603586172931</v>
      </c>
      <c r="GE41">
        <v>16.78638945757957</v>
      </c>
      <c r="GF41">
        <v>30.52093166519758</v>
      </c>
      <c r="GG41">
        <v>15.56271045560602</v>
      </c>
      <c r="GH41">
        <v>11.567736852376445</v>
      </c>
      <c r="GI41">
        <v>22.334875623773243</v>
      </c>
      <c r="GJ41"/>
      <c r="GK41">
        <v>47.022897415486923</v>
      </c>
      <c r="GL41">
        <v>51.552217120808393</v>
      </c>
      <c r="GM41">
        <v>27.919445164421703</v>
      </c>
      <c r="GN41">
        <v>31.950667805952182</v>
      </c>
      <c r="GO41">
        <v>32.103681011002834</v>
      </c>
      <c r="GP41">
        <v>36.01730472457286</v>
      </c>
      <c r="GQ41">
        <v>41.121388064476918</v>
      </c>
      <c r="GR41">
        <v>23.40828799408893</v>
      </c>
      <c r="GS41">
        <v>13.64323012826793</v>
      </c>
      <c r="GT41">
        <v>32.362128356731262</v>
      </c>
      <c r="GU41"/>
      <c r="GV41"/>
      <c r="GW41"/>
      <c r="GX41"/>
      <c r="GY41"/>
      <c r="GZ41"/>
      <c r="HA41"/>
      <c r="HB41"/>
      <c r="HC41"/>
    </row>
    <row r="42" spans="1:211" s="7" customFormat="1">
      <c r="A42" s="9" t="s">
        <v>49</v>
      </c>
      <c r="B42" s="57"/>
      <c r="C42" s="48" t="s">
        <v>118</v>
      </c>
      <c r="D42" s="49">
        <f t="shared" si="18"/>
        <v>23.543996134282672</v>
      </c>
      <c r="E42" s="107">
        <f t="shared" si="19"/>
        <v>0.75020188533407928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23.543996134282672</v>
      </c>
      <c r="K42" s="49">
        <f t="shared" si="22"/>
        <v>0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43.701736111111117</v>
      </c>
      <c r="AO42">
        <v>31.565062930700112</v>
      </c>
      <c r="AP42">
        <v>13.915964740451182</v>
      </c>
      <c r="AQ42">
        <v>216.16747784200814</v>
      </c>
      <c r="AR42">
        <v>29.896691669746676</v>
      </c>
      <c r="AS42">
        <v>302.74248300870943</v>
      </c>
      <c r="AT42">
        <v>23.940603421477757</v>
      </c>
      <c r="AU42">
        <v>26.110826146354192</v>
      </c>
      <c r="AV42"/>
      <c r="AW42"/>
      <c r="FY42" s="211">
        <v>37</v>
      </c>
      <c r="FZ42">
        <v>34.976945113988293</v>
      </c>
      <c r="GA42">
        <v>56.149658799323475</v>
      </c>
      <c r="GB42">
        <v>31.980627539691454</v>
      </c>
      <c r="GC42">
        <v>14.814010697542985</v>
      </c>
      <c r="GD42">
        <v>8.2738339471638405</v>
      </c>
      <c r="GE42">
        <v>12.551269780799407</v>
      </c>
      <c r="GF42">
        <v>33.640692892132549</v>
      </c>
      <c r="GG42">
        <v>24.678349660255378</v>
      </c>
      <c r="GH42">
        <v>10.464987390749428</v>
      </c>
      <c r="GI42">
        <v>26.453413454822353</v>
      </c>
      <c r="GJ42"/>
      <c r="GK42">
        <v>36.17039258148111</v>
      </c>
      <c r="GL42">
        <v>49.622728873660449</v>
      </c>
      <c r="GM42">
        <v>56.655871548667442</v>
      </c>
      <c r="GN42">
        <v>48.901455558850671</v>
      </c>
      <c r="GO42">
        <v>35.977304489393376</v>
      </c>
      <c r="GP42">
        <v>26.930324088915668</v>
      </c>
      <c r="GQ42">
        <v>45.324697238933958</v>
      </c>
      <c r="GR42">
        <v>37.11936411809247</v>
      </c>
      <c r="GS42">
        <v>11.721904458344989</v>
      </c>
      <c r="GT42">
        <v>37.170034063364177</v>
      </c>
      <c r="GU42"/>
      <c r="GV42"/>
      <c r="GW42"/>
      <c r="GX42"/>
      <c r="GY42"/>
      <c r="GZ42"/>
      <c r="HA42"/>
      <c r="HB42"/>
      <c r="HC42"/>
    </row>
    <row r="43" spans="1:211" s="7" customFormat="1">
      <c r="A43" s="95">
        <v>9.1999999999999993</v>
      </c>
      <c r="B43" s="1"/>
      <c r="C43" s="48" t="s">
        <v>119</v>
      </c>
      <c r="D43" s="49">
        <f>IF(SUM(G43:AK43)&lt;0.0001, 0, SUM(G43:AK43))</f>
        <v>16.931639773164981</v>
      </c>
      <c r="E43" s="107">
        <f t="shared" si="19"/>
        <v>0.75020188533407928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16.931639773164981</v>
      </c>
      <c r="K43" s="49">
        <f t="shared" si="22"/>
        <v>0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52.966880341880334</v>
      </c>
      <c r="AO43">
        <v>39.874014093817351</v>
      </c>
      <c r="AP43">
        <v>16.553855563060367</v>
      </c>
      <c r="AQ43">
        <v>269.71661541955262</v>
      </c>
      <c r="AR43">
        <v>38.735488911446936</v>
      </c>
      <c r="AS43">
        <v>367.93097777256463</v>
      </c>
      <c r="AT43">
        <v>31.616055163414746</v>
      </c>
      <c r="AU43">
        <v>43.442162122840756</v>
      </c>
      <c r="AV43"/>
      <c r="AW43"/>
      <c r="FY43" s="211">
        <v>38</v>
      </c>
      <c r="FZ43">
        <v>50.656039415387987</v>
      </c>
      <c r="GA43">
        <v>68.215030766992669</v>
      </c>
      <c r="GB43">
        <v>24.812555849760617</v>
      </c>
      <c r="GC43">
        <v>13.082673613408442</v>
      </c>
      <c r="GD43">
        <v>8.3579454854732003</v>
      </c>
      <c r="GE43">
        <v>5.7666734297943716</v>
      </c>
      <c r="GF43">
        <v>14.983641949082022</v>
      </c>
      <c r="GG43">
        <v>15.58632610121392</v>
      </c>
      <c r="GH43">
        <v>15.404898895651231</v>
      </c>
      <c r="GI43">
        <v>24.185367720311014</v>
      </c>
      <c r="GJ43"/>
      <c r="GK43">
        <v>54.177271221660334</v>
      </c>
      <c r="GL43">
        <v>62.621961574468614</v>
      </c>
      <c r="GM43">
        <v>43.957141718793714</v>
      </c>
      <c r="GN43">
        <v>43.198483237404126</v>
      </c>
      <c r="GO43">
        <v>36.360705636702882</v>
      </c>
      <c r="GP43">
        <v>12.37312137269749</v>
      </c>
      <c r="GQ43">
        <v>20.187724344927481</v>
      </c>
      <c r="GR43">
        <v>23.443808916689978</v>
      </c>
      <c r="GS43">
        <v>17.941261762994422</v>
      </c>
      <c r="GT43">
        <v>34.524820937015768</v>
      </c>
      <c r="GU43"/>
      <c r="GV43"/>
      <c r="GW43"/>
      <c r="GX43"/>
      <c r="GY43"/>
      <c r="GZ43"/>
      <c r="HA43"/>
      <c r="HB43"/>
      <c r="HC43"/>
    </row>
    <row r="44" spans="1:211" s="7" customFormat="1">
      <c r="A44" s="4"/>
      <c r="B44" s="1"/>
      <c r="C44" s="48" t="s">
        <v>120</v>
      </c>
      <c r="D44" s="49">
        <f>IF(SUM(G44:AK44)&lt;0.0001, 0, SUM(G44:AK44))</f>
        <v>18.755047133351983</v>
      </c>
      <c r="E44" s="107">
        <f t="shared" si="19"/>
        <v>0.75020188533407928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18.755047133351983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41.984855769230762</v>
      </c>
      <c r="AO44">
        <v>31.411896308899863</v>
      </c>
      <c r="AP44">
        <v>8.2707240769872321</v>
      </c>
      <c r="AQ44">
        <v>208.23360058973523</v>
      </c>
      <c r="AR44">
        <v>30.258335013565073</v>
      </c>
      <c r="AS44">
        <v>288.70435935797366</v>
      </c>
      <c r="AT44">
        <v>24.774520280545275</v>
      </c>
      <c r="AU44">
        <v>26.833641420724835</v>
      </c>
      <c r="AV44"/>
      <c r="AW44"/>
      <c r="FY44" s="211">
        <v>39</v>
      </c>
      <c r="FZ44">
        <v>51.806457070809486</v>
      </c>
      <c r="GA44">
        <v>75.15177248212521</v>
      </c>
      <c r="GB44">
        <v>22.717273355780826</v>
      </c>
      <c r="GC44">
        <v>13.085017576453778</v>
      </c>
      <c r="GD44">
        <v>8.0454877435558849</v>
      </c>
      <c r="GE44">
        <v>8.7410628830567312</v>
      </c>
      <c r="GF44">
        <v>24.624143543300779</v>
      </c>
      <c r="GG44">
        <v>17.121343065727412</v>
      </c>
      <c r="GH44">
        <v>11.916569765401425</v>
      </c>
      <c r="GI44">
        <v>24.871775931145677</v>
      </c>
      <c r="GJ44"/>
      <c r="GK44">
        <v>57.181881279385919</v>
      </c>
      <c r="GL44">
        <v>71.088724551383365</v>
      </c>
      <c r="GM44">
        <v>40.24520530698446</v>
      </c>
      <c r="GN44">
        <v>43.206224976945371</v>
      </c>
      <c r="GO44">
        <v>35.000891856103884</v>
      </c>
      <c r="GP44">
        <v>18.755047133351983</v>
      </c>
      <c r="GQ44">
        <v>33.176541709376423</v>
      </c>
      <c r="GR44">
        <v>25.752668885757931</v>
      </c>
      <c r="GS44">
        <v>14.03396027687943</v>
      </c>
      <c r="GT44">
        <v>35.927696085746021</v>
      </c>
      <c r="GU44"/>
      <c r="GV44"/>
      <c r="GW44"/>
      <c r="GX44"/>
      <c r="GY44"/>
      <c r="GZ44"/>
      <c r="HA44"/>
      <c r="HB44"/>
      <c r="HC44"/>
    </row>
    <row r="45" spans="1:211" s="7" customFormat="1">
      <c r="A45" s="4"/>
      <c r="B45" s="1"/>
      <c r="C45" s="48" t="s">
        <v>121</v>
      </c>
      <c r="D45" s="49">
        <f>IF(SUM(G45:AK45)&lt;0.0001, 0, SUM(G45:AK45))</f>
        <v>17.550531614382926</v>
      </c>
      <c r="E45" s="107">
        <f t="shared" si="19"/>
        <v>0.84242551749038053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15.238475795848485</v>
      </c>
      <c r="K45" s="49">
        <f t="shared" si="24"/>
        <v>2.3120558185344402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47.304567307692309</v>
      </c>
      <c r="AO45">
        <v>37.028929012077882</v>
      </c>
      <c r="AP45">
        <v>27.677846830360728</v>
      </c>
      <c r="AQ45">
        <v>254.26330974208147</v>
      </c>
      <c r="AR45">
        <v>35.100853627393398</v>
      </c>
      <c r="AS45">
        <v>334.63805689290422</v>
      </c>
      <c r="AT45">
        <v>27.932703404867862</v>
      </c>
      <c r="AU45">
        <v>24.424133318215191</v>
      </c>
      <c r="AV45"/>
      <c r="AW45"/>
      <c r="FY45" s="211">
        <v>40</v>
      </c>
      <c r="FZ45">
        <v>46.000219304966564</v>
      </c>
      <c r="GA45">
        <v>70.770157777866572</v>
      </c>
      <c r="GB45">
        <v>32.862851747682946</v>
      </c>
      <c r="GC45">
        <v>15.168024138802785</v>
      </c>
      <c r="GD45">
        <v>8.4526079958203333</v>
      </c>
      <c r="GE45">
        <v>12.854778908683322</v>
      </c>
      <c r="GF45">
        <v>30.564871964168489</v>
      </c>
      <c r="GG45">
        <v>24.087958520057878</v>
      </c>
      <c r="GH45">
        <v>11.218903939351462</v>
      </c>
      <c r="GI45">
        <v>27.800773125460729</v>
      </c>
      <c r="GJ45"/>
      <c r="GK45">
        <v>52.974618242772401</v>
      </c>
      <c r="GL45">
        <v>69.55279572384373</v>
      </c>
      <c r="GM45">
        <v>58.21879214311344</v>
      </c>
      <c r="GN45">
        <v>50.074546133021293</v>
      </c>
      <c r="GO45">
        <v>36.759664914952495</v>
      </c>
      <c r="GP45">
        <v>27.581541003268168</v>
      </c>
      <c r="GQ45">
        <v>41.180589602145318</v>
      </c>
      <c r="GR45">
        <v>36.23134105306633</v>
      </c>
      <c r="GS45">
        <v>13.252499979656427</v>
      </c>
      <c r="GT45">
        <v>40.477232976528022</v>
      </c>
      <c r="GU45"/>
      <c r="GV45"/>
      <c r="GW45"/>
      <c r="GX45"/>
      <c r="GY45"/>
      <c r="GZ45"/>
      <c r="HA45"/>
      <c r="HB45"/>
      <c r="HC45"/>
    </row>
    <row r="46" spans="1:211" s="7" customFormat="1">
      <c r="A46" s="4"/>
      <c r="B46" s="1"/>
      <c r="C46" s="48" t="s">
        <v>122</v>
      </c>
      <c r="D46" s="49">
        <f>IF(SUM(G46:AK46)&lt;0.0001, 0, SUM(G46:AK46))</f>
        <v>38.094213015822575</v>
      </c>
      <c r="E46" s="107">
        <f t="shared" si="19"/>
        <v>0.77618902602035222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5.7399148085951049E-2</v>
      </c>
      <c r="J46" s="49">
        <f t="shared" si="25"/>
        <v>35.724758049202187</v>
      </c>
      <c r="K46" s="49">
        <f t="shared" si="25"/>
        <v>2.3120558185344402</v>
      </c>
      <c r="L46" s="49">
        <f t="shared" si="25"/>
        <v>0</v>
      </c>
      <c r="M46" s="49">
        <f t="shared" si="25"/>
        <v>0</v>
      </c>
      <c r="N46" s="49">
        <f t="shared" si="25"/>
        <v>0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42.474358974358971</v>
      </c>
      <c r="AO46">
        <v>31.614055339080345</v>
      </c>
      <c r="AP46">
        <v>8.3678581641538941</v>
      </c>
      <c r="AQ46">
        <v>203.65758068213813</v>
      </c>
      <c r="AR46">
        <v>30.447913843838847</v>
      </c>
      <c r="AS46">
        <v>296.58514234063335</v>
      </c>
      <c r="AT46">
        <v>24.731503116158745</v>
      </c>
      <c r="AU46">
        <v>14.443503673531463</v>
      </c>
      <c r="AV46"/>
      <c r="AW46"/>
      <c r="FY46" s="211">
        <v>41</v>
      </c>
      <c r="FZ46">
        <v>31.135512440396834</v>
      </c>
      <c r="GA46">
        <v>81.792810062006637</v>
      </c>
      <c r="GB46">
        <v>43.008430139585052</v>
      </c>
      <c r="GC46">
        <v>14.655385632769228</v>
      </c>
      <c r="GD46">
        <v>6.4543852765795338</v>
      </c>
      <c r="GE46">
        <v>7.4056227203675071</v>
      </c>
      <c r="GF46">
        <v>25.371128625806332</v>
      </c>
      <c r="GG46">
        <v>20.99430894542299</v>
      </c>
      <c r="GH46">
        <v>10.926321748878555</v>
      </c>
      <c r="GI46">
        <v>26.070179472302208</v>
      </c>
      <c r="GJ46"/>
      <c r="GK46">
        <v>32.199314264159511</v>
      </c>
      <c r="GL46">
        <v>72.285077493127432</v>
      </c>
      <c r="GM46">
        <v>76.19237897924242</v>
      </c>
      <c r="GN46">
        <v>48.381382155704792</v>
      </c>
      <c r="GO46">
        <v>28.06341442790681</v>
      </c>
      <c r="GP46">
        <v>15.889692710200986</v>
      </c>
      <c r="GQ46">
        <v>34.18296784973937</v>
      </c>
      <c r="GR46">
        <v>31.578100192329373</v>
      </c>
      <c r="GS46">
        <v>13.610905055133372</v>
      </c>
      <c r="GT46">
        <v>36.849796115236302</v>
      </c>
      <c r="GU46"/>
      <c r="GV46"/>
      <c r="GW46"/>
      <c r="GX46"/>
      <c r="GY46"/>
      <c r="GZ46"/>
      <c r="HA46"/>
      <c r="HB46"/>
      <c r="HC46"/>
    </row>
    <row r="47" spans="1:211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46.64524572649573</v>
      </c>
      <c r="AO47">
        <v>37.90929058330773</v>
      </c>
      <c r="AP47">
        <v>41.612075791787682</v>
      </c>
      <c r="AQ47">
        <v>254.37861865026909</v>
      </c>
      <c r="AR47">
        <v>35.759098638107268</v>
      </c>
      <c r="AS47">
        <v>324.3780866268545</v>
      </c>
      <c r="AT47">
        <v>27.609439316947203</v>
      </c>
      <c r="AU47">
        <v>15.994977228498129</v>
      </c>
      <c r="AV47"/>
      <c r="AW47"/>
      <c r="FY47" s="211">
        <v>42</v>
      </c>
      <c r="FZ47">
        <v>52.245112668001795</v>
      </c>
      <c r="GA47">
        <v>105.8351293378185</v>
      </c>
      <c r="GB47">
        <v>40.451984991427899</v>
      </c>
      <c r="GC47">
        <v>13.982842606880308</v>
      </c>
      <c r="GD47">
        <v>8.2408898214856414</v>
      </c>
      <c r="GE47">
        <v>7.5270263715210737</v>
      </c>
      <c r="GF47">
        <v>21.504382316365817</v>
      </c>
      <c r="GG47">
        <v>22.293169453857491</v>
      </c>
      <c r="GH47">
        <v>18.949478748453117</v>
      </c>
      <c r="GI47">
        <v>30.073671687776805</v>
      </c>
      <c r="GJ47"/>
      <c r="GK47">
        <v>57.625169079260267</v>
      </c>
      <c r="GL47">
        <v>98.205396865021441</v>
      </c>
      <c r="GM47">
        <v>71.663461347609129</v>
      </c>
      <c r="GN47">
        <v>46.18311953512589</v>
      </c>
      <c r="GO47">
        <v>35.864291519522197</v>
      </c>
      <c r="GP47">
        <v>16.150179475941986</v>
      </c>
      <c r="GQ47">
        <v>28.973232534919386</v>
      </c>
      <c r="GR47">
        <v>33.531750935386881</v>
      </c>
      <c r="GS47">
        <v>22.597698473197866</v>
      </c>
      <c r="GT47">
        <v>43.344770590901774</v>
      </c>
      <c r="GU47"/>
      <c r="GV47"/>
      <c r="GW47"/>
      <c r="GX47"/>
      <c r="GY47"/>
      <c r="GZ47"/>
      <c r="HA47"/>
      <c r="HB47"/>
      <c r="HC47"/>
    </row>
    <row r="48" spans="1:211" s="7" customFormat="1">
      <c r="A48" s="4"/>
      <c r="B48" s="1"/>
      <c r="C48" s="60" t="s">
        <v>50</v>
      </c>
      <c r="D48" s="53">
        <f>AVERAGE(D37:D47)</f>
        <v>38.914995804348578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45.834668803418808</v>
      </c>
      <c r="AO48">
        <v>37.164834388864016</v>
      </c>
      <c r="AP48">
        <v>46.887152101848756</v>
      </c>
      <c r="AQ48">
        <v>252.01292672703505</v>
      </c>
      <c r="AR48">
        <v>35.736191620706009</v>
      </c>
      <c r="AS48">
        <v>328.5278442733449</v>
      </c>
      <c r="AT48">
        <v>27.378365557948992</v>
      </c>
      <c r="AU48">
        <v>35.460557993800904</v>
      </c>
      <c r="AV48"/>
      <c r="AW48"/>
      <c r="FY48" s="211">
        <v>43</v>
      </c>
      <c r="FZ48">
        <v>45.039339072997151</v>
      </c>
      <c r="GA48">
        <v>53.359687966541728</v>
      </c>
      <c r="GB48">
        <v>17.744736910737892</v>
      </c>
      <c r="GC48">
        <v>11.640371918215653</v>
      </c>
      <c r="GD48">
        <v>9.670932176526426</v>
      </c>
      <c r="GE48">
        <v>13.676588239568996</v>
      </c>
      <c r="GF48">
        <v>30.204561512606983</v>
      </c>
      <c r="GG48">
        <v>24.371346267352674</v>
      </c>
      <c r="GH48">
        <v>13.716985053078405</v>
      </c>
      <c r="GI48">
        <v>25.05865969208223</v>
      </c>
      <c r="GJ48"/>
      <c r="GK48">
        <v>48.385014966494325</v>
      </c>
      <c r="GL48">
        <v>49.493428581122217</v>
      </c>
      <c r="GM48">
        <v>31.436016501925199</v>
      </c>
      <c r="GN48">
        <v>38.430948533873874</v>
      </c>
      <c r="GO48">
        <v>42.070476911150216</v>
      </c>
      <c r="GP48">
        <v>29.344836032899551</v>
      </c>
      <c r="GQ48">
        <v>40.695136993264363</v>
      </c>
      <c r="GR48">
        <v>36.657592124278871</v>
      </c>
      <c r="GS48">
        <v>16.736746244025369</v>
      </c>
      <c r="GT48">
        <v>35.864678323371898</v>
      </c>
      <c r="GU48"/>
      <c r="GV48"/>
      <c r="GW48"/>
      <c r="GX48"/>
      <c r="GY48"/>
      <c r="GZ48"/>
      <c r="HA48"/>
      <c r="HB48"/>
      <c r="HC48"/>
    </row>
    <row r="49" spans="1:211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52.181704059829066</v>
      </c>
      <c r="AO49">
        <v>43.739164983259833</v>
      </c>
      <c r="AP49">
        <v>59.135504572264296</v>
      </c>
      <c r="AQ49">
        <v>309.94640065714259</v>
      </c>
      <c r="AR49">
        <v>42.384854379976339</v>
      </c>
      <c r="AS49">
        <v>391.68744812946642</v>
      </c>
      <c r="AT49">
        <v>32.329382178590571</v>
      </c>
      <c r="AU49">
        <v>33.633035240530191</v>
      </c>
      <c r="AV49"/>
      <c r="AW49"/>
      <c r="FY49" s="211">
        <v>44</v>
      </c>
      <c r="FZ49">
        <v>35.959103359017902</v>
      </c>
      <c r="GA49">
        <v>44.919727039458785</v>
      </c>
      <c r="GB49">
        <v>25.253667953756363</v>
      </c>
      <c r="GC49">
        <v>15.347367718391419</v>
      </c>
      <c r="GD49">
        <v>8.1910333676188767</v>
      </c>
      <c r="GE49">
        <v>12.201066940933352</v>
      </c>
      <c r="GF49">
        <v>30.687904801287051</v>
      </c>
      <c r="GG49">
        <v>22.812713657231281</v>
      </c>
      <c r="GH49">
        <v>13.368152140053423</v>
      </c>
      <c r="GI49">
        <v>24.790283681372895</v>
      </c>
      <c r="GJ49"/>
      <c r="GK49">
        <v>37.186290967871017</v>
      </c>
      <c r="GL49">
        <v>39.698183098928368</v>
      </c>
      <c r="GM49">
        <v>44.738602016016713</v>
      </c>
      <c r="GN49">
        <v>50.686090234024896</v>
      </c>
      <c r="GO49">
        <v>35.64297951248215</v>
      </c>
      <c r="GP49">
        <v>26.178919956970475</v>
      </c>
      <c r="GQ49">
        <v>41.346353907616866</v>
      </c>
      <c r="GR49">
        <v>34.313211232609873</v>
      </c>
      <c r="GS49">
        <v>16.346016095413873</v>
      </c>
      <c r="GT49">
        <v>35.052048499880122</v>
      </c>
      <c r="GU49"/>
      <c r="GV49"/>
      <c r="GW49"/>
      <c r="GX49"/>
      <c r="GY49"/>
      <c r="GZ49"/>
      <c r="HA49"/>
      <c r="HB49"/>
      <c r="HC49"/>
    </row>
    <row r="50" spans="1:211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56.003685897435901</v>
      </c>
      <c r="AO50">
        <v>45.410857965564212</v>
      </c>
      <c r="AP50">
        <v>43.538749822068255</v>
      </c>
      <c r="AQ50">
        <v>300.5837070710536</v>
      </c>
      <c r="AR50">
        <v>42.253219152094076</v>
      </c>
      <c r="AS50">
        <v>389.2383141750866</v>
      </c>
      <c r="AT50">
        <v>33.409576737648209</v>
      </c>
      <c r="AU50">
        <v>20.722718704722809</v>
      </c>
      <c r="AV50"/>
      <c r="AW50"/>
      <c r="FY50" s="211">
        <v>45</v>
      </c>
      <c r="FZ50">
        <v>34.375538576036</v>
      </c>
      <c r="GA50">
        <v>46.865069549041635</v>
      </c>
      <c r="GB50">
        <v>23.138334909594946</v>
      </c>
      <c r="GC50">
        <v>13.008419055618807</v>
      </c>
      <c r="GD50">
        <v>9.16279594251756</v>
      </c>
      <c r="GE50">
        <v>11.654750510742307</v>
      </c>
      <c r="GF50">
        <v>15.370316580026074</v>
      </c>
      <c r="GG50">
        <v>11.429972474223545</v>
      </c>
      <c r="GH50">
        <v>7.3817418960766732</v>
      </c>
      <c r="GI50">
        <v>20.712414856858778</v>
      </c>
      <c r="GJ50"/>
      <c r="GK50">
        <v>35.556443523646465</v>
      </c>
      <c r="GL50">
        <v>41.417395752818955</v>
      </c>
      <c r="GM50">
        <v>40.991144681606414</v>
      </c>
      <c r="GN50">
        <v>42.949392047304286</v>
      </c>
      <c r="GO50">
        <v>39.859071781013341</v>
      </c>
      <c r="GP50">
        <v>25.006729511135976</v>
      </c>
      <c r="GQ50">
        <v>20.708697876409481</v>
      </c>
      <c r="GR50">
        <v>17.192126538905988</v>
      </c>
      <c r="GS50">
        <v>8.9544683449299356</v>
      </c>
      <c r="GT50">
        <v>29.21396524152113</v>
      </c>
      <c r="GU50"/>
      <c r="GV50"/>
      <c r="GW50"/>
      <c r="GX50"/>
      <c r="GY50"/>
      <c r="GZ50"/>
      <c r="HA50"/>
      <c r="HB50"/>
      <c r="HC50"/>
    </row>
    <row r="51" spans="1:211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47.477777777777789</v>
      </c>
      <c r="AO51">
        <v>36.59907872980282</v>
      </c>
      <c r="AP51">
        <v>30.857759402663262</v>
      </c>
      <c r="AQ51">
        <v>254.15261624290946</v>
      </c>
      <c r="AR51">
        <v>35.000045918061417</v>
      </c>
      <c r="AS51">
        <v>351.35986246456912</v>
      </c>
      <c r="AT51">
        <v>27.41495243822153</v>
      </c>
      <c r="AU51">
        <v>22.073358191836647</v>
      </c>
      <c r="AV51"/>
      <c r="AW51"/>
      <c r="FY51" s="211">
        <v>46</v>
      </c>
      <c r="FZ51">
        <v>48.18916636619732</v>
      </c>
      <c r="GA51">
        <v>62.644277216823554</v>
      </c>
      <c r="GB51">
        <v>25.905310834659161</v>
      </c>
      <c r="GC51">
        <v>17.123803783752034</v>
      </c>
      <c r="GD51">
        <v>9.6264025342078519</v>
      </c>
      <c r="GE51">
        <v>10.548109536765574</v>
      </c>
      <c r="GF51">
        <v>19.377671846173527</v>
      </c>
      <c r="GG51">
        <v>11.382741183007742</v>
      </c>
      <c r="GH51">
        <v>8.0794077221266338</v>
      </c>
      <c r="GI51">
        <v>24.557791052343934</v>
      </c>
      <c r="GJ51"/>
      <c r="GK51">
        <v>51.638409817799555</v>
      </c>
      <c r="GL51">
        <v>57.698761701963704</v>
      </c>
      <c r="GM51">
        <v>45.893032000550683</v>
      </c>
      <c r="GN51">
        <v>56.545697602968737</v>
      </c>
      <c r="GO51">
        <v>41.881021326060221</v>
      </c>
      <c r="GP51">
        <v>22.632292454189173</v>
      </c>
      <c r="GQ51">
        <v>26.107878111768382</v>
      </c>
      <c r="GR51">
        <v>17.121084693703892</v>
      </c>
      <c r="GS51">
        <v>9.7359286421529312</v>
      </c>
      <c r="GT51">
        <v>35.051253979666356</v>
      </c>
      <c r="GU51"/>
      <c r="GV51"/>
      <c r="GW51"/>
      <c r="GX51"/>
      <c r="GY51"/>
      <c r="GZ51"/>
      <c r="HA51"/>
      <c r="HB51"/>
      <c r="HC51"/>
    </row>
    <row r="52" spans="1:211" s="7" customFormat="1">
      <c r="A52" s="4"/>
      <c r="B52" s="36"/>
      <c r="C52" s="48" t="s">
        <v>38</v>
      </c>
      <c r="D52" s="49">
        <f>SUM(G52:AK52)</f>
        <v>19.917569972697343</v>
      </c>
      <c r="E52" s="19">
        <f>F374</f>
        <v>1.1931042246385068E-2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7.1907324375599435E-2</v>
      </c>
      <c r="J52" s="49">
        <f t="shared" si="26"/>
        <v>16.866457198452785</v>
      </c>
      <c r="K52" s="49">
        <f t="shared" si="26"/>
        <v>2.9792054498689597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40.933066239316233</v>
      </c>
      <c r="AO52">
        <v>33.710124778580997</v>
      </c>
      <c r="AP52">
        <v>39.239781647939758</v>
      </c>
      <c r="AQ52">
        <v>224.62412194620885</v>
      </c>
      <c r="AR52">
        <v>32.362128356731247</v>
      </c>
      <c r="AS52">
        <v>305.37494863960586</v>
      </c>
      <c r="AT52">
        <v>24.842254711012416</v>
      </c>
      <c r="AU52">
        <v>19.059943221511574</v>
      </c>
      <c r="AV52"/>
      <c r="AW52"/>
      <c r="FY52" s="211">
        <v>47</v>
      </c>
      <c r="FZ52">
        <v>38.603375557174502</v>
      </c>
      <c r="GA52">
        <v>60.394042456595152</v>
      </c>
      <c r="GB52">
        <v>28.331427406635758</v>
      </c>
      <c r="GC52">
        <v>12.80181168850517</v>
      </c>
      <c r="GD52">
        <v>6.9817083047308977</v>
      </c>
      <c r="GE52">
        <v>7.4056227203675071</v>
      </c>
      <c r="GF52">
        <v>20.44102708126967</v>
      </c>
      <c r="GG52">
        <v>17.357499521806414</v>
      </c>
      <c r="GH52">
        <v>10.172405200276522</v>
      </c>
      <c r="GI52">
        <v>22.711080824059124</v>
      </c>
      <c r="GJ52"/>
      <c r="GK52">
        <v>39.921402008151496</v>
      </c>
      <c r="GL52">
        <v>53.373738300330835</v>
      </c>
      <c r="GM52">
        <v>50.191063635277182</v>
      </c>
      <c r="GN52">
        <v>42.270840681784506</v>
      </c>
      <c r="GO52">
        <v>30.371331610434297</v>
      </c>
      <c r="GP52">
        <v>15.889692710200986</v>
      </c>
      <c r="GQ52">
        <v>27.540555323343884</v>
      </c>
      <c r="GR52">
        <v>26.107878111768386</v>
      </c>
      <c r="GS52">
        <v>12.080309533821932</v>
      </c>
      <c r="GT52">
        <v>32.02093242220576</v>
      </c>
      <c r="GU52"/>
      <c r="GV52"/>
      <c r="GW52"/>
      <c r="GX52"/>
      <c r="GY52"/>
      <c r="GZ52"/>
      <c r="HA52"/>
      <c r="HB52"/>
      <c r="HC52"/>
    </row>
    <row r="53" spans="1:211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52.537126068376075</v>
      </c>
      <c r="AO53">
        <v>38.559407701970422</v>
      </c>
      <c r="AP53">
        <v>7.7138729784465543</v>
      </c>
      <c r="AQ53">
        <v>253.98378927646917</v>
      </c>
      <c r="AR53">
        <v>37.170034063364199</v>
      </c>
      <c r="AS53">
        <v>371.77742502100153</v>
      </c>
      <c r="AT53">
        <v>30.104051280438838</v>
      </c>
      <c r="AU53">
        <v>37.299034614213006</v>
      </c>
      <c r="AV53"/>
      <c r="AW53"/>
      <c r="FY53" s="211">
        <v>48</v>
      </c>
      <c r="FZ53">
        <v>43.264215535035603</v>
      </c>
      <c r="GA53">
        <v>75.868357873731554</v>
      </c>
      <c r="GB53">
        <v>30.316431874616601</v>
      </c>
      <c r="GC53">
        <v>10.99540697367938</v>
      </c>
      <c r="GD53">
        <v>7.4830725037230321</v>
      </c>
      <c r="GE53">
        <v>10.351995946440583</v>
      </c>
      <c r="GF53">
        <v>24.624143543300779</v>
      </c>
      <c r="GG53">
        <v>22.057012997778486</v>
      </c>
      <c r="GH53">
        <v>12.265402678426408</v>
      </c>
      <c r="GI53">
        <v>25.341647925305786</v>
      </c>
      <c r="GJ53"/>
      <c r="GK53">
        <v>44.737717453902725</v>
      </c>
      <c r="GL53">
        <v>67.049293501733331</v>
      </c>
      <c r="GM53">
        <v>53.707634972780674</v>
      </c>
      <c r="GN53">
        <v>36.281530642822446</v>
      </c>
      <c r="GO53">
        <v>32.527242361758105</v>
      </c>
      <c r="GP53">
        <v>22.211506140299864</v>
      </c>
      <c r="GQ53">
        <v>33.176541709376423</v>
      </c>
      <c r="GR53">
        <v>33.176541709376423</v>
      </c>
      <c r="GS53">
        <v>14.42469042549093</v>
      </c>
      <c r="GT53">
        <v>35.714765384661774</v>
      </c>
      <c r="GU53"/>
      <c r="GV53"/>
      <c r="GW53"/>
      <c r="GX53"/>
      <c r="GY53"/>
      <c r="GZ53"/>
      <c r="HA53"/>
      <c r="HB53"/>
      <c r="HC53"/>
    </row>
    <row r="54" spans="1:211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45.2227297008547</v>
      </c>
      <c r="AO54">
        <v>34.878630072335483</v>
      </c>
      <c r="AP54">
        <v>33.492695226792172</v>
      </c>
      <c r="AQ54">
        <v>241.0511532270755</v>
      </c>
      <c r="AR54">
        <v>34.524820937015754</v>
      </c>
      <c r="AS54">
        <v>324.91218546894203</v>
      </c>
      <c r="AT54">
        <v>26.825075677765167</v>
      </c>
      <c r="AU54">
        <v>47.027052276987902</v>
      </c>
      <c r="AV54"/>
      <c r="AW54"/>
      <c r="FY54" s="211">
        <v>49</v>
      </c>
      <c r="FZ54">
        <v>38.940038508796107</v>
      </c>
      <c r="GA54">
        <v>78.383866612539435</v>
      </c>
      <c r="GB54">
        <v>28.100846079547072</v>
      </c>
      <c r="GC54">
        <v>9.1423723874837926</v>
      </c>
      <c r="GD54">
        <v>6.7161020542386405</v>
      </c>
      <c r="GE54">
        <v>12.672673431952974</v>
      </c>
      <c r="GF54">
        <v>37.604107859309082</v>
      </c>
      <c r="GG54">
        <v>25.457665965316068</v>
      </c>
      <c r="GH54">
        <v>9.4184886516744868</v>
      </c>
      <c r="GI54">
        <v>25.633234462469826</v>
      </c>
      <c r="GJ54"/>
      <c r="GK54">
        <v>42.072705776075665</v>
      </c>
      <c r="GL54">
        <v>71.608754992533107</v>
      </c>
      <c r="GM54">
        <v>49.78257302536516</v>
      </c>
      <c r="GN54">
        <v>30.165090344237505</v>
      </c>
      <c r="GO54">
        <v>29.193729730031997</v>
      </c>
      <c r="GP54">
        <v>27.190810854656672</v>
      </c>
      <c r="GQ54">
        <v>50.664675936624455</v>
      </c>
      <c r="GR54">
        <v>38.291554563926958</v>
      </c>
      <c r="GS54">
        <v>10.54971401251049</v>
      </c>
      <c r="GT54">
        <v>36.452679696121542</v>
      </c>
      <c r="GU54"/>
      <c r="GV54"/>
      <c r="GW54"/>
      <c r="GX54"/>
      <c r="GY54"/>
      <c r="GZ54"/>
      <c r="HA54"/>
      <c r="HB54"/>
      <c r="HC54"/>
    </row>
    <row r="55" spans="1:211" s="7" customFormat="1">
      <c r="A55" s="4"/>
      <c r="B55" s="36"/>
      <c r="C55" s="48" t="s">
        <v>41</v>
      </c>
      <c r="D55" s="49">
        <f t="shared" si="27"/>
        <v>0</v>
      </c>
      <c r="E55" s="19">
        <f t="shared" si="29"/>
        <v>0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45.690277777777773</v>
      </c>
      <c r="AO55">
        <v>37.436884206191486</v>
      </c>
      <c r="AP55">
        <v>36.279799576561309</v>
      </c>
      <c r="AQ55">
        <v>258.08090341735721</v>
      </c>
      <c r="AR55">
        <v>35.927696085746007</v>
      </c>
      <c r="AS55">
        <v>336.63829084792923</v>
      </c>
      <c r="AT55">
        <v>27.869978714759956</v>
      </c>
      <c r="AU55">
        <v>20.763485033167175</v>
      </c>
      <c r="AV55"/>
      <c r="AW55"/>
      <c r="FY55" s="211">
        <v>50</v>
      </c>
      <c r="FZ55">
        <v>31.977730487061976</v>
      </c>
      <c r="GA55">
        <v>75.907976145797619</v>
      </c>
      <c r="GB55">
        <v>38.918117902533623</v>
      </c>
      <c r="GC55">
        <v>12.145966372465109</v>
      </c>
      <c r="GD55">
        <v>7.1887551468995969</v>
      </c>
      <c r="GE55">
        <v>10.776908725478064</v>
      </c>
      <c r="GF55">
        <v>20.634364396741699</v>
      </c>
      <c r="GG55">
        <v>17.877043725180208</v>
      </c>
      <c r="GH55">
        <v>16.800230547751156</v>
      </c>
      <c r="GI55">
        <v>25.572400388367036</v>
      </c>
      <c r="GJ55"/>
      <c r="GK55">
        <v>34.868901843108382</v>
      </c>
      <c r="GL55">
        <v>69.420666160308713</v>
      </c>
      <c r="GM55">
        <v>68.946110768629168</v>
      </c>
      <c r="GN55">
        <v>40.093166882127534</v>
      </c>
      <c r="GO55">
        <v>31.259386669113695</v>
      </c>
      <c r="GP55">
        <v>23.123209820393363</v>
      </c>
      <c r="GQ55">
        <v>27.801042089084884</v>
      </c>
      <c r="GR55">
        <v>26.889338408991385</v>
      </c>
      <c r="GS55">
        <v>19.504182357440421</v>
      </c>
      <c r="GT55">
        <v>36.475924745475304</v>
      </c>
      <c r="GU55"/>
      <c r="GV55"/>
      <c r="GW55"/>
      <c r="GX55"/>
      <c r="GY55"/>
      <c r="GZ55"/>
      <c r="HA55"/>
      <c r="HB55"/>
      <c r="HC55"/>
    </row>
    <row r="56" spans="1:211" s="7" customFormat="1">
      <c r="A56" s="4"/>
      <c r="B56" s="36"/>
      <c r="C56" s="48" t="s">
        <v>42</v>
      </c>
      <c r="D56" s="49">
        <f t="shared" si="27"/>
        <v>1.1006548689758853</v>
      </c>
      <c r="E56" s="19">
        <f t="shared" si="29"/>
        <v>1.0207668872629337E-3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1.5624306592864116E-3</v>
      </c>
      <c r="J56" s="49">
        <f t="shared" si="32"/>
        <v>1.0990924383165988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50.789797008547012</v>
      </c>
      <c r="AO56">
        <v>42.630362177236762</v>
      </c>
      <c r="AP56">
        <v>63.843869236176339</v>
      </c>
      <c r="AQ56">
        <v>279.78114742286112</v>
      </c>
      <c r="AR56">
        <v>40.477232976528029</v>
      </c>
      <c r="AS56">
        <v>377.41769285513038</v>
      </c>
      <c r="AT56">
        <v>30.996289323676304</v>
      </c>
      <c r="AU56">
        <v>16.584255033343307</v>
      </c>
      <c r="AV56"/>
      <c r="AW56"/>
      <c r="FY56" s="211">
        <v>51</v>
      </c>
      <c r="FZ56">
        <v>44.219931768727541</v>
      </c>
      <c r="GA56">
        <v>64.412770407353435</v>
      </c>
      <c r="GB56">
        <v>24.251140444675126</v>
      </c>
      <c r="GC56">
        <v>14.241017160991404</v>
      </c>
      <c r="GD56">
        <v>9.2719739148411975</v>
      </c>
      <c r="GE56">
        <v>10.169890469710232</v>
      </c>
      <c r="GF56">
        <v>34.747988426199598</v>
      </c>
      <c r="GG56">
        <v>29.56678830109065</v>
      </c>
      <c r="GH56">
        <v>12.209151955874331</v>
      </c>
      <c r="GI56">
        <v>26.922885934486189</v>
      </c>
      <c r="GJ56"/>
      <c r="GK56">
        <v>47.539777838064722</v>
      </c>
      <c r="GL56">
        <v>59.261682296409717</v>
      </c>
      <c r="GM56">
        <v>42.962555885964441</v>
      </c>
      <c r="GN56">
        <v>47.031989170553238</v>
      </c>
      <c r="GO56">
        <v>40.347224774902649</v>
      </c>
      <c r="GP56">
        <v>21.820775991688361</v>
      </c>
      <c r="GQ56">
        <v>46.81657598817786</v>
      </c>
      <c r="GR56">
        <v>44.472195096508862</v>
      </c>
      <c r="GS56">
        <v>13.675555201402485</v>
      </c>
      <c r="GT56">
        <v>38.268337937702427</v>
      </c>
      <c r="GU56"/>
      <c r="GV56"/>
      <c r="GW56"/>
      <c r="GX56"/>
      <c r="GY56"/>
      <c r="GZ56"/>
      <c r="HA56"/>
      <c r="HB56"/>
      <c r="HC56"/>
    </row>
    <row r="57" spans="1:211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52.1875</v>
      </c>
      <c r="AO57">
        <v>38.923302924278033</v>
      </c>
      <c r="AP57">
        <v>18.063982571129742</v>
      </c>
      <c r="AQ57">
        <v>267.81408506411492</v>
      </c>
      <c r="AR57">
        <v>36.849796115236323</v>
      </c>
      <c r="AS57">
        <v>350.18642507901956</v>
      </c>
      <c r="AT57">
        <v>29.7389859532184</v>
      </c>
      <c r="AU57">
        <v>18.652740717613469</v>
      </c>
      <c r="AV57"/>
      <c r="AW57"/>
      <c r="FY57" s="211">
        <v>52</v>
      </c>
      <c r="FZ57">
        <v>41.852052829195493</v>
      </c>
      <c r="GA57">
        <v>63.754179518601923</v>
      </c>
      <c r="GB57">
        <v>30.978100030610221</v>
      </c>
      <c r="GC57">
        <v>15.464065046059268</v>
      </c>
      <c r="GD57">
        <v>8.2771153237673438</v>
      </c>
      <c r="GE57">
        <v>6.7238945254282534</v>
      </c>
      <c r="GF57">
        <v>12.470256847945684</v>
      </c>
      <c r="GG57">
        <v>10.650656169162847</v>
      </c>
      <c r="GH57">
        <v>11.331405384455609</v>
      </c>
      <c r="GI57">
        <v>23.355470641550177</v>
      </c>
      <c r="GJ57"/>
      <c r="GK57">
        <v>43.2816812862104</v>
      </c>
      <c r="GL57">
        <v>56.343287429778236</v>
      </c>
      <c r="GM57">
        <v>54.879825418615177</v>
      </c>
      <c r="GN57">
        <v>51.060002707876329</v>
      </c>
      <c r="GO57">
        <v>36.004596282356303</v>
      </c>
      <c r="GP57">
        <v>14.426959333347678</v>
      </c>
      <c r="GQ57">
        <v>16.801396390294485</v>
      </c>
      <c r="GR57">
        <v>16.019936093071486</v>
      </c>
      <c r="GS57">
        <v>14.750770427833313</v>
      </c>
      <c r="GT57">
        <v>33.143653961061936</v>
      </c>
      <c r="GU57"/>
      <c r="GV57"/>
      <c r="GW57"/>
      <c r="GX57"/>
      <c r="GY57"/>
      <c r="GZ57"/>
      <c r="HA57"/>
      <c r="HB57"/>
      <c r="HC57"/>
    </row>
    <row r="58" spans="1:211" s="7" customFormat="1">
      <c r="A58" s="4"/>
      <c r="B58" s="1"/>
      <c r="C58" s="48" t="s">
        <v>119</v>
      </c>
      <c r="D58" s="49">
        <f t="shared" si="27"/>
        <v>0</v>
      </c>
      <c r="E58" s="19">
        <f t="shared" si="29"/>
        <v>0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56.217013888888893</v>
      </c>
      <c r="AO58">
        <v>45.413907035688673</v>
      </c>
      <c r="AP58">
        <v>56.968348173753739</v>
      </c>
      <c r="AQ58">
        <v>321.10368800358845</v>
      </c>
      <c r="AR58">
        <v>43.344770590901788</v>
      </c>
      <c r="AS58">
        <v>426.53047690058304</v>
      </c>
      <c r="AT58">
        <v>33.774169315070388</v>
      </c>
      <c r="AU58">
        <v>35.742786719671606</v>
      </c>
      <c r="AV58"/>
      <c r="AW58"/>
      <c r="FY58" s="211">
        <v>53</v>
      </c>
      <c r="FZ58">
        <v>55.593128521035844</v>
      </c>
      <c r="GA58">
        <v>90.763318946248518</v>
      </c>
      <c r="GB58">
        <v>34.366643011304795</v>
      </c>
      <c r="GC58">
        <v>14.956327367709134</v>
      </c>
      <c r="GD58">
        <v>9.2057460966634448</v>
      </c>
      <c r="GE58">
        <v>12.369164304069061</v>
      </c>
      <c r="GF58">
        <v>20.274053945180192</v>
      </c>
      <c r="GG58">
        <v>14.263849947171526</v>
      </c>
      <c r="GH58">
        <v>9.4184886516744868</v>
      </c>
      <c r="GI58">
        <v>27.885657428479568</v>
      </c>
      <c r="GJ58"/>
      <c r="GK58">
        <v>59.296720730584951</v>
      </c>
      <c r="GL58">
        <v>82.549199153655067</v>
      </c>
      <c r="GM58">
        <v>60.882861338191837</v>
      </c>
      <c r="GN58">
        <v>49.386865509527269</v>
      </c>
      <c r="GO58">
        <v>40.050327622775569</v>
      </c>
      <c r="GP58">
        <v>26.539593940304172</v>
      </c>
      <c r="GQ58">
        <v>27.315589480203926</v>
      </c>
      <c r="GR58">
        <v>21.454637251031432</v>
      </c>
      <c r="GS58">
        <v>10.54971401251049</v>
      </c>
      <c r="GT58">
        <v>39.619042636853358</v>
      </c>
      <c r="GU58"/>
      <c r="GV58"/>
      <c r="GW58"/>
      <c r="GX58"/>
      <c r="GY58"/>
      <c r="GZ58"/>
      <c r="HA58"/>
      <c r="HB58"/>
      <c r="HC58"/>
    </row>
    <row r="59" spans="1:211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46.869391025641029</v>
      </c>
      <c r="AO59">
        <v>36.911487521240595</v>
      </c>
      <c r="AP59">
        <v>27.909032007436732</v>
      </c>
      <c r="AQ59">
        <v>244.48320880970812</v>
      </c>
      <c r="AR59">
        <v>35.864678323371912</v>
      </c>
      <c r="AS59">
        <v>330.56263165705752</v>
      </c>
      <c r="AT59">
        <v>28.43456146686621</v>
      </c>
      <c r="AU59">
        <v>34.649001460315382</v>
      </c>
      <c r="AV59"/>
      <c r="AW59"/>
      <c r="FY59" s="211">
        <v>54</v>
      </c>
      <c r="FZ59">
        <v>45.772034672932087</v>
      </c>
      <c r="GA59">
        <v>77.813700383314412</v>
      </c>
      <c r="GB59">
        <v>25.68475478266129</v>
      </c>
      <c r="GC59">
        <v>13.812197641225422</v>
      </c>
      <c r="GD59">
        <v>9.8065941723798584</v>
      </c>
      <c r="GE59">
        <v>10.669513187919138</v>
      </c>
      <c r="GF59">
        <v>23.947462939148693</v>
      </c>
      <c r="GG59">
        <v>17.121343065727412</v>
      </c>
      <c r="GH59">
        <v>9.7673215646994684</v>
      </c>
      <c r="GI59">
        <v>25.436114814625196</v>
      </c>
      <c r="GJ59"/>
      <c r="GK59">
        <v>47.342124813198062</v>
      </c>
      <c r="GL59">
        <v>68.768506155623925</v>
      </c>
      <c r="GM59">
        <v>45.502301851939187</v>
      </c>
      <c r="GN59">
        <v>45.607985820508368</v>
      </c>
      <c r="GO59">
        <v>42.665214001944832</v>
      </c>
      <c r="GP59">
        <v>22.892779219930173</v>
      </c>
      <c r="GQ59">
        <v>32.264838029282927</v>
      </c>
      <c r="GR59">
        <v>25.752668885757931</v>
      </c>
      <c r="GS59">
        <v>10.940444161121992</v>
      </c>
      <c r="GT59">
        <v>35.742984571497402</v>
      </c>
      <c r="GU59"/>
      <c r="GV59"/>
      <c r="GW59"/>
      <c r="GX59"/>
      <c r="GY59"/>
      <c r="GZ59"/>
      <c r="HA59"/>
      <c r="HB59"/>
      <c r="HC59"/>
    </row>
    <row r="60" spans="1:211" s="7" customFormat="1">
      <c r="A60" s="4"/>
      <c r="B60" s="1"/>
      <c r="C60" s="48" t="s">
        <v>121</v>
      </c>
      <c r="D60" s="49">
        <f t="shared" si="27"/>
        <v>4.7033040527577947</v>
      </c>
      <c r="E60" s="19">
        <f t="shared" si="29"/>
        <v>7.0522740850577723E-3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4.0837045021320106</v>
      </c>
      <c r="K60" s="49">
        <f t="shared" si="36"/>
        <v>0.61959955062578376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48.037900641025644</v>
      </c>
      <c r="AO60">
        <v>36.118869552181437</v>
      </c>
      <c r="AP60">
        <v>15.776369467021084</v>
      </c>
      <c r="AQ60">
        <v>233.53102065912134</v>
      </c>
      <c r="AR60">
        <v>35.052048499880129</v>
      </c>
      <c r="AS60">
        <v>347.91527053293288</v>
      </c>
      <c r="AT60">
        <v>28.399415539309498</v>
      </c>
      <c r="AU60">
        <v>35.457767858130623</v>
      </c>
      <c r="AV60"/>
      <c r="AW60"/>
      <c r="FY60" s="211">
        <v>55</v>
      </c>
      <c r="FZ60">
        <v>60.148977317414136</v>
      </c>
      <c r="GA60">
        <v>89.299718006364202</v>
      </c>
      <c r="GB60">
        <v>25.343895429573667</v>
      </c>
      <c r="GC60">
        <v>10.91579941419954</v>
      </c>
      <c r="GD60">
        <v>8.818014035597713</v>
      </c>
      <c r="GE60">
        <v>9.8663813418263189</v>
      </c>
      <c r="GF60">
        <v>24.958089815479735</v>
      </c>
      <c r="GG60">
        <v>19.152288588006805</v>
      </c>
      <c r="GH60">
        <v>9.8798230098036122</v>
      </c>
      <c r="GI60">
        <v>26.999043633682291</v>
      </c>
      <c r="GJ60"/>
      <c r="GK60">
        <v>65.809832964442208</v>
      </c>
      <c r="GL60">
        <v>83.592089306951351</v>
      </c>
      <c r="GM60">
        <v>44.89844616772141</v>
      </c>
      <c r="GN60">
        <v>36.030119812300256</v>
      </c>
      <c r="GO60">
        <v>38.34990929601468</v>
      </c>
      <c r="GP60">
        <v>21.169559077335862</v>
      </c>
      <c r="GQ60">
        <v>33.626473395656333</v>
      </c>
      <c r="GR60">
        <v>28.807468229447835</v>
      </c>
      <c r="GS60">
        <v>12.438714609298874</v>
      </c>
      <c r="GT60">
        <v>39.024675286626696</v>
      </c>
      <c r="GU60"/>
      <c r="GV60"/>
      <c r="GW60"/>
      <c r="GX60"/>
      <c r="GY60"/>
      <c r="GZ60"/>
      <c r="HA60"/>
      <c r="HB60"/>
      <c r="HC60"/>
    </row>
    <row r="61" spans="1:211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40.349358974358978</v>
      </c>
      <c r="AO61">
        <v>30.184943529929193</v>
      </c>
      <c r="AP61">
        <v>6.7792613476902748</v>
      </c>
      <c r="AQ61">
        <v>193.09935435073632</v>
      </c>
      <c r="AR61">
        <v>29.213965241521102</v>
      </c>
      <c r="AS61">
        <v>281.18866022010371</v>
      </c>
      <c r="AT61">
        <v>23.906488846573911</v>
      </c>
      <c r="AU61">
        <v>26.51296300595196</v>
      </c>
      <c r="AV61"/>
      <c r="AW61"/>
      <c r="FY61" s="211">
        <v>56</v>
      </c>
      <c r="FZ61">
        <v>43.987771396396475</v>
      </c>
      <c r="GA61">
        <v>95.321782969560161</v>
      </c>
      <c r="GB61">
        <v>35.509524371657413</v>
      </c>
      <c r="GC61">
        <v>12.080436799430517</v>
      </c>
      <c r="GD61">
        <v>8.2717134951135769</v>
      </c>
      <c r="GE61">
        <v>9.8336957434388221</v>
      </c>
      <c r="GF61">
        <v>34.51071081175666</v>
      </c>
      <c r="GG61">
        <v>28.574931185558857</v>
      </c>
      <c r="GH61">
        <v>11.511486129824371</v>
      </c>
      <c r="GI61">
        <v>29.000021883463226</v>
      </c>
      <c r="GJ61"/>
      <c r="GK61">
        <v>45.487289335522419</v>
      </c>
      <c r="GL61">
        <v>84.241420040639312</v>
      </c>
      <c r="GM61">
        <v>62.907553926451442</v>
      </c>
      <c r="GN61">
        <v>39.853692340098789</v>
      </c>
      <c r="GO61">
        <v>35.946390853983793</v>
      </c>
      <c r="GP61">
        <v>21.099428025020984</v>
      </c>
      <c r="GQ61">
        <v>46.496887684768453</v>
      </c>
      <c r="GR61">
        <v>42.98031634726496</v>
      </c>
      <c r="GS61">
        <v>12.894094904179488</v>
      </c>
      <c r="GT61">
        <v>40.746443340981124</v>
      </c>
      <c r="GU61"/>
      <c r="GV61"/>
      <c r="GW61"/>
      <c r="GX61"/>
      <c r="GY61"/>
      <c r="GZ61"/>
      <c r="HA61"/>
      <c r="HB61"/>
      <c r="HC61"/>
    </row>
    <row r="62" spans="1:211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46.659989316239319</v>
      </c>
      <c r="AO62">
        <v>36.430536033082362</v>
      </c>
      <c r="AP62">
        <v>23.702106042567458</v>
      </c>
      <c r="AQ62">
        <v>237.4346820760573</v>
      </c>
      <c r="AR62">
        <v>35.051253979666363</v>
      </c>
      <c r="AS62">
        <v>339.28530464480076</v>
      </c>
      <c r="AT62">
        <v>27.749578183314856</v>
      </c>
      <c r="AU62">
        <v>30.149227894925669</v>
      </c>
      <c r="AV62"/>
      <c r="AW62"/>
      <c r="FY62" s="211">
        <v>57</v>
      </c>
      <c r="FZ62">
        <v>58.571065134901971</v>
      </c>
      <c r="GA62">
        <v>81.96047126566522</v>
      </c>
      <c r="GB62">
        <v>29.073297763355868</v>
      </c>
      <c r="GC62">
        <v>15.081672613193282</v>
      </c>
      <c r="GD62">
        <v>6.7936587240944952</v>
      </c>
      <c r="GE62">
        <v>9.8336957434388204</v>
      </c>
      <c r="GF62">
        <v>32.427940640535283</v>
      </c>
      <c r="GG62">
        <v>20.994308945422993</v>
      </c>
      <c r="GH62">
        <v>10.116154477724445</v>
      </c>
      <c r="GI62">
        <v>27.884961550623377</v>
      </c>
      <c r="GJ62"/>
      <c r="GK62">
        <v>64.171916358845849</v>
      </c>
      <c r="GL62">
        <v>77.105968840000457</v>
      </c>
      <c r="GM62">
        <v>51.505337771515862</v>
      </c>
      <c r="GN62">
        <v>49.808541287201621</v>
      </c>
      <c r="GO62">
        <v>29.561615404605732</v>
      </c>
      <c r="GP62">
        <v>21.099428025020977</v>
      </c>
      <c r="GQ62">
        <v>43.690734799285863</v>
      </c>
      <c r="GR62">
        <v>31.57810019232938</v>
      </c>
      <c r="GS62">
        <v>11.331174309733488</v>
      </c>
      <c r="GT62">
        <v>40.052155728797359</v>
      </c>
      <c r="GU62"/>
      <c r="GV62"/>
      <c r="GW62"/>
      <c r="GX62"/>
      <c r="GY62"/>
      <c r="GZ62"/>
      <c r="HA62"/>
      <c r="HB62"/>
      <c r="HC62"/>
    </row>
    <row r="63" spans="1:211" s="7" customFormat="1">
      <c r="A63" s="4"/>
      <c r="B63" s="1"/>
      <c r="C63" s="52" t="s">
        <v>53</v>
      </c>
      <c r="D63" s="53">
        <f>SUM(D52:D62)</f>
        <v>25.721528894431021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44.367361111111109</v>
      </c>
      <c r="AO63">
        <v>32.976774433731933</v>
      </c>
      <c r="AP63">
        <v>11.337302208040112</v>
      </c>
      <c r="AQ63">
        <v>225.20000076142071</v>
      </c>
      <c r="AR63">
        <v>32.02093242220576</v>
      </c>
      <c r="AS63">
        <v>312.86348538089891</v>
      </c>
      <c r="AT63">
        <v>25.898843876513428</v>
      </c>
      <c r="AU63">
        <v>31.202125249413516</v>
      </c>
      <c r="AV63"/>
      <c r="AW63"/>
      <c r="FY63" s="211">
        <v>58</v>
      </c>
      <c r="FZ63">
        <v>44.548576316997377</v>
      </c>
      <c r="GA63">
        <v>64.107878156707883</v>
      </c>
      <c r="GB63">
        <v>28.983070287538556</v>
      </c>
      <c r="GC63">
        <v>14.051269709201925</v>
      </c>
      <c r="GD63">
        <v>8.2795793223314789</v>
      </c>
      <c r="GE63">
        <v>16.482880329695647</v>
      </c>
      <c r="GF63">
        <v>39.317779519174763</v>
      </c>
      <c r="GG63">
        <v>26.992682929829559</v>
      </c>
      <c r="GH63">
        <v>11.218903939351462</v>
      </c>
      <c r="GI63">
        <v>28.340276702011742</v>
      </c>
      <c r="GJ63"/>
      <c r="GK63">
        <v>46.066199959181823</v>
      </c>
      <c r="GL63">
        <v>56.655871548667434</v>
      </c>
      <c r="GM63">
        <v>51.345493619811151</v>
      </c>
      <c r="GN63">
        <v>46.389922843277155</v>
      </c>
      <c r="GO63">
        <v>36.010982497117844</v>
      </c>
      <c r="GP63">
        <v>35.366087810220343</v>
      </c>
      <c r="GQ63">
        <v>52.973535905692401</v>
      </c>
      <c r="GR63">
        <v>40.600414532994911</v>
      </c>
      <c r="GS63">
        <v>13.252499979656427</v>
      </c>
      <c r="GT63">
        <v>39.929742392291928</v>
      </c>
      <c r="GU63"/>
      <c r="GV63"/>
      <c r="GW63"/>
      <c r="GX63"/>
      <c r="GY63"/>
      <c r="GZ63"/>
      <c r="HA63"/>
      <c r="HB63"/>
      <c r="HC63"/>
    </row>
    <row r="64" spans="1:211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50.992094017094033</v>
      </c>
      <c r="AO64">
        <v>37.300746430220272</v>
      </c>
      <c r="AP64">
        <v>21.990726387262626</v>
      </c>
      <c r="AQ64">
        <v>262.56768785203826</v>
      </c>
      <c r="AR64">
        <v>35.714765384661781</v>
      </c>
      <c r="AS64">
        <v>364.53164265591562</v>
      </c>
      <c r="AT64">
        <v>28.528218108951233</v>
      </c>
      <c r="AU64">
        <v>38.013428519032303</v>
      </c>
      <c r="AV64"/>
      <c r="AW64"/>
      <c r="FY64" s="211">
        <v>59</v>
      </c>
      <c r="FZ64">
        <v>30.217255157306383</v>
      </c>
      <c r="GA64">
        <v>88.601508845546633</v>
      </c>
      <c r="GB64">
        <v>51.82064694440912</v>
      </c>
      <c r="GC64">
        <v>14.734541018242284</v>
      </c>
      <c r="GD64">
        <v>6.1591834093646556</v>
      </c>
      <c r="GE64">
        <v>10.076503045745952</v>
      </c>
      <c r="GF64">
        <v>28.464525673358757</v>
      </c>
      <c r="GG64">
        <v>22.812713657231285</v>
      </c>
      <c r="GH64">
        <v>9.4184886516744868</v>
      </c>
      <c r="GI64">
        <v>28.287163359978475</v>
      </c>
      <c r="GJ64"/>
      <c r="GK64">
        <v>31.247192708976211</v>
      </c>
      <c r="GL64">
        <v>78.30232178174451</v>
      </c>
      <c r="GM64">
        <v>91.803824462401863</v>
      </c>
      <c r="GN64">
        <v>48.65050012477208</v>
      </c>
      <c r="GO64">
        <v>26.787372263828622</v>
      </c>
      <c r="GP64">
        <v>21.620401556502976</v>
      </c>
      <c r="GQ64">
        <v>38.35075610159538</v>
      </c>
      <c r="GR64">
        <v>34.313211232609881</v>
      </c>
      <c r="GS64">
        <v>10.54971401251049</v>
      </c>
      <c r="GT64">
        <v>39.747771909862514</v>
      </c>
      <c r="GU64"/>
      <c r="GV64"/>
      <c r="GW64"/>
      <c r="GX64"/>
      <c r="GY64"/>
      <c r="GZ64"/>
      <c r="HA64"/>
      <c r="HB64"/>
      <c r="HC64"/>
    </row>
    <row r="65" spans="1:211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50.324225427350427</v>
      </c>
      <c r="AO65">
        <v>38.59722889320836</v>
      </c>
      <c r="AP65">
        <v>22.81401682812297</v>
      </c>
      <c r="AQ65">
        <v>272.06939601332749</v>
      </c>
      <c r="AR65">
        <v>36.452679696121564</v>
      </c>
      <c r="AS65">
        <v>352.26699885894612</v>
      </c>
      <c r="AT65">
        <v>28.914851453082353</v>
      </c>
      <c r="AU65">
        <v>16.548126240464068</v>
      </c>
      <c r="AV65"/>
      <c r="AW65"/>
      <c r="FY65" s="211">
        <v>60</v>
      </c>
      <c r="FZ65">
        <v>25.01591106752009</v>
      </c>
      <c r="GA65">
        <v>52.524247758737239</v>
      </c>
      <c r="GB65">
        <v>25.574476756662357</v>
      </c>
      <c r="GC65">
        <v>10.164640360906036</v>
      </c>
      <c r="GD65">
        <v>9.2381373940180485</v>
      </c>
      <c r="GE65">
        <v>13.826008117911851</v>
      </c>
      <c r="GF65">
        <v>24.650507722683333</v>
      </c>
      <c r="GG65">
        <v>16.105870304587722</v>
      </c>
      <c r="GH65">
        <v>9.0696557386495034</v>
      </c>
      <c r="GI65">
        <v>22.023952740958688</v>
      </c>
      <c r="GJ65"/>
      <c r="GK65">
        <v>25.86948585665321</v>
      </c>
      <c r="GL65">
        <v>46.418741655046162</v>
      </c>
      <c r="GM65">
        <v>45.306936777633439</v>
      </c>
      <c r="GN65">
        <v>33.556840397989397</v>
      </c>
      <c r="GO65">
        <v>40.186957220407599</v>
      </c>
      <c r="GP65">
        <v>29.665435129196172</v>
      </c>
      <c r="GQ65">
        <v>33.212062631977474</v>
      </c>
      <c r="GR65">
        <v>24.225269213912981</v>
      </c>
      <c r="GS65">
        <v>10.158983863898989</v>
      </c>
      <c r="GT65">
        <v>30.946885270114144</v>
      </c>
      <c r="GU65"/>
      <c r="GV65"/>
      <c r="GW65"/>
      <c r="GX65"/>
      <c r="GY65"/>
      <c r="GZ65"/>
      <c r="HA65"/>
      <c r="HB65"/>
      <c r="HC65"/>
    </row>
    <row r="66" spans="1:211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48.909455128205138</v>
      </c>
      <c r="AO66">
        <v>37.838192974467283</v>
      </c>
      <c r="AP66">
        <v>28.115831981249499</v>
      </c>
      <c r="AQ66">
        <v>257.79949383827608</v>
      </c>
      <c r="AR66">
        <v>36.475924745475318</v>
      </c>
      <c r="AS66">
        <v>344.14784652003806</v>
      </c>
      <c r="AT66">
        <v>28.776742623402615</v>
      </c>
      <c r="AU66">
        <v>10.83637264367821</v>
      </c>
      <c r="AV66"/>
      <c r="AW66"/>
      <c r="FY66" s="211">
        <v>61</v>
      </c>
      <c r="FZ66">
        <v>40.483490276618866</v>
      </c>
      <c r="GA66">
        <v>82.677056657271578</v>
      </c>
      <c r="GB66">
        <v>42.226458682501693</v>
      </c>
      <c r="GC66">
        <v>17.276386445939895</v>
      </c>
      <c r="GD66">
        <v>9.9145164538451542</v>
      </c>
      <c r="GE66">
        <v>11.566032457976235</v>
      </c>
      <c r="GF66">
        <v>30.327594349725548</v>
      </c>
      <c r="GG66">
        <v>24.394961912960571</v>
      </c>
      <c r="GH66">
        <v>15.922483976332433</v>
      </c>
      <c r="GI66">
        <v>31.182147883156293</v>
      </c>
      <c r="GJ66"/>
      <c r="GK66">
        <v>41.871902732637075</v>
      </c>
      <c r="GL66">
        <v>73.066537790350438</v>
      </c>
      <c r="GM66">
        <v>74.807062997801651</v>
      </c>
      <c r="GN66">
        <v>57.061174383474246</v>
      </c>
      <c r="GO66">
        <v>43.147902238510909</v>
      </c>
      <c r="GP66">
        <v>24.816373797709854</v>
      </c>
      <c r="GQ66">
        <v>40.860901298735911</v>
      </c>
      <c r="GR66">
        <v>36.693113046879915</v>
      </c>
      <c r="GS66">
        <v>20.579397583871248</v>
      </c>
      <c r="GT66">
        <v>44.253433370311363</v>
      </c>
      <c r="GU66"/>
      <c r="GV66"/>
      <c r="GW66"/>
      <c r="GX66"/>
      <c r="GY66"/>
      <c r="GZ66"/>
      <c r="HA66"/>
      <c r="HB66"/>
      <c r="HC66"/>
    </row>
    <row r="67" spans="1:211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51.463274572649574</v>
      </c>
      <c r="AO67">
        <v>40.219667018137478</v>
      </c>
      <c r="AP67">
        <v>12.140764457816273</v>
      </c>
      <c r="AQ67">
        <v>270.01353878394963</v>
      </c>
      <c r="AR67">
        <v>38.268337937702448</v>
      </c>
      <c r="AS67">
        <v>362.85888381744195</v>
      </c>
      <c r="AT67">
        <v>31.100040501738736</v>
      </c>
      <c r="AU67">
        <v>15.966410649967825</v>
      </c>
      <c r="AV67"/>
      <c r="AW67"/>
      <c r="FY67" s="211">
        <v>62</v>
      </c>
      <c r="FZ67">
        <v>37.943720657752785</v>
      </c>
      <c r="GA67">
        <v>61.72041234949257</v>
      </c>
      <c r="GB67">
        <v>25.905310834659161</v>
      </c>
      <c r="GC67">
        <v>12.697298512718875</v>
      </c>
      <c r="GD67">
        <v>8.5875276307399702</v>
      </c>
      <c r="GE67">
        <v>13.433780937261869</v>
      </c>
      <c r="GF67">
        <v>34.167976479783526</v>
      </c>
      <c r="GG67">
        <v>23.332257860605079</v>
      </c>
      <c r="GH67">
        <v>14.358400156576293</v>
      </c>
      <c r="GI67">
        <v>26.296494095525887</v>
      </c>
      <c r="GJ67"/>
      <c r="GK67">
        <v>39.235606957738426</v>
      </c>
      <c r="GL67">
        <v>54.545928746165345</v>
      </c>
      <c r="GM67">
        <v>45.893032000550683</v>
      </c>
      <c r="GN67">
        <v>41.925650177533321</v>
      </c>
      <c r="GO67">
        <v>37.359845433968168</v>
      </c>
      <c r="GP67">
        <v>28.823862501417555</v>
      </c>
      <c r="GQ67">
        <v>46.035115690954868</v>
      </c>
      <c r="GR67">
        <v>35.094671529832873</v>
      </c>
      <c r="GS67">
        <v>16.769071317159927</v>
      </c>
      <c r="GT67">
        <v>37.058534280074412</v>
      </c>
      <c r="GU67"/>
      <c r="GV67"/>
      <c r="GW67"/>
      <c r="GX67"/>
      <c r="GY67"/>
      <c r="GZ67"/>
      <c r="HA67"/>
      <c r="HB67"/>
      <c r="HC67"/>
    </row>
    <row r="68" spans="1:211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44.783600427350429</v>
      </c>
      <c r="AO68">
        <v>33.671210933044527</v>
      </c>
      <c r="AP68">
        <v>20.120560431600104</v>
      </c>
      <c r="AQ68">
        <v>224.85719631677679</v>
      </c>
      <c r="AR68">
        <v>33.14365396106195</v>
      </c>
      <c r="AS68">
        <v>308.99690895918127</v>
      </c>
      <c r="AT68">
        <v>26.478716468028647</v>
      </c>
      <c r="AU68">
        <v>39.32770643217205</v>
      </c>
      <c r="AV68"/>
      <c r="AW68"/>
      <c r="FY68" s="211">
        <v>63</v>
      </c>
      <c r="FZ68">
        <v>32.335671451743757</v>
      </c>
      <c r="GA68">
        <v>46.688220229988652</v>
      </c>
      <c r="GB68">
        <v>18.085596263825511</v>
      </c>
      <c r="GC68">
        <v>11.740008591614679</v>
      </c>
      <c r="GD68">
        <v>8.364318706070005</v>
      </c>
      <c r="GE68">
        <v>14.068815420218979</v>
      </c>
      <c r="GF68">
        <v>25.907200273251501</v>
      </c>
      <c r="GG68">
        <v>12.209288779284238</v>
      </c>
      <c r="GH68">
        <v>7.6743240865495812</v>
      </c>
      <c r="GI68">
        <v>20.691694910793174</v>
      </c>
      <c r="GJ68"/>
      <c r="GK68">
        <v>33.446500721144368</v>
      </c>
      <c r="GL68">
        <v>41.261103693374359</v>
      </c>
      <c r="GM68">
        <v>32.039872186142965</v>
      </c>
      <c r="GN68">
        <v>38.771553080035766</v>
      </c>
      <c r="GO68">
        <v>36.397116023088955</v>
      </c>
      <c r="GP68">
        <v>30.186408660678165</v>
      </c>
      <c r="GQ68">
        <v>34.905226609293969</v>
      </c>
      <c r="GR68">
        <v>18.364316984740483</v>
      </c>
      <c r="GS68">
        <v>8.5960632694529924</v>
      </c>
      <c r="GT68">
        <v>29.076955761824653</v>
      </c>
      <c r="GU68"/>
      <c r="GV68"/>
      <c r="GW68"/>
      <c r="GX68"/>
      <c r="GY68"/>
      <c r="GZ68"/>
      <c r="HA68"/>
      <c r="HB68"/>
      <c r="HC68"/>
    </row>
    <row r="69" spans="1:211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54.077297008547006</v>
      </c>
      <c r="AO69">
        <v>41.764455167563803</v>
      </c>
      <c r="AP69">
        <v>21.057713774474188</v>
      </c>
      <c r="AQ69">
        <v>289.09637821953658</v>
      </c>
      <c r="AR69">
        <v>39.619042636853379</v>
      </c>
      <c r="AS69">
        <v>392.22070338707647</v>
      </c>
      <c r="AT69">
        <v>31.729923065199063</v>
      </c>
      <c r="AU69">
        <v>31.678390605500947</v>
      </c>
      <c r="AV69"/>
      <c r="AW69"/>
      <c r="FY69" s="211">
        <v>64</v>
      </c>
      <c r="FZ69">
        <v>50.173783664932216</v>
      </c>
      <c r="GA69">
        <v>63.086400514456031</v>
      </c>
      <c r="GB69">
        <v>16.541703899840407</v>
      </c>
      <c r="GC69">
        <v>11.694909610388606</v>
      </c>
      <c r="GD69">
        <v>8.2405383902182674</v>
      </c>
      <c r="GE69">
        <v>9.2733711996531341</v>
      </c>
      <c r="GF69">
        <v>24.597779363918228</v>
      </c>
      <c r="GG69">
        <v>18.136815826867107</v>
      </c>
      <c r="GH69">
        <v>11.972820487953497</v>
      </c>
      <c r="GI69">
        <v>23.272709161452049</v>
      </c>
      <c r="GJ69"/>
      <c r="GK69">
        <v>53.687725807666979</v>
      </c>
      <c r="GL69">
        <v>58.089491850575214</v>
      </c>
      <c r="GM69">
        <v>29.304761145862471</v>
      </c>
      <c r="GN69">
        <v>38.614918032538455</v>
      </c>
      <c r="GO69">
        <v>35.849750826980149</v>
      </c>
      <c r="GP69">
        <v>19.897181413908672</v>
      </c>
      <c r="GQ69">
        <v>33.141020786775371</v>
      </c>
      <c r="GR69">
        <v>27.280068557602881</v>
      </c>
      <c r="GS69">
        <v>14.783095500967869</v>
      </c>
      <c r="GT69">
        <v>33.353270813650568</v>
      </c>
      <c r="GU69"/>
      <c r="GV69"/>
      <c r="GW69"/>
      <c r="GX69"/>
      <c r="GY69"/>
      <c r="GZ69"/>
      <c r="HA69"/>
      <c r="HB69"/>
      <c r="HC69"/>
    </row>
    <row r="70" spans="1:211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64.583333333333343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7.291666666666667</v>
      </c>
      <c r="J70" s="18">
        <f t="shared" si="40"/>
        <v>57.291666666666671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50.747596153846153</v>
      </c>
      <c r="AO70">
        <v>37.747984751080487</v>
      </c>
      <c r="AP70">
        <v>4.7752553144402228</v>
      </c>
      <c r="AQ70">
        <v>259.83103722463295</v>
      </c>
      <c r="AR70">
        <v>35.742984571497423</v>
      </c>
      <c r="AS70">
        <v>342.00790037196418</v>
      </c>
      <c r="AT70">
        <v>29.443026921945474</v>
      </c>
      <c r="AU70">
        <v>18.885890410366727</v>
      </c>
      <c r="AV70"/>
      <c r="AW70"/>
      <c r="FY70" s="211">
        <v>65</v>
      </c>
      <c r="FZ70">
        <v>50.728447382871153</v>
      </c>
      <c r="GA70">
        <v>79.307731479870412</v>
      </c>
      <c r="GB70">
        <v>27.238672421737203</v>
      </c>
      <c r="GC70">
        <v>11.634994591229281</v>
      </c>
      <c r="GD70">
        <v>6.9002502975958713</v>
      </c>
      <c r="GE70">
        <v>10.926328603820913</v>
      </c>
      <c r="GF70">
        <v>29.000597320803916</v>
      </c>
      <c r="GG70">
        <v>16.365642406274617</v>
      </c>
      <c r="GH70">
        <v>9.125906461201577</v>
      </c>
      <c r="GI70">
        <v>25.537535937503812</v>
      </c>
      <c r="GJ70"/>
      <c r="GK70">
        <v>56.070317646186098</v>
      </c>
      <c r="GL70">
        <v>74.761587948331467</v>
      </c>
      <c r="GM70">
        <v>48.255173353520199</v>
      </c>
      <c r="GN70">
        <v>38.413188072573341</v>
      </c>
      <c r="GO70">
        <v>30.012489877426102</v>
      </c>
      <c r="GP70">
        <v>23.443808916689978</v>
      </c>
      <c r="GQ70">
        <v>39.073014861149964</v>
      </c>
      <c r="GR70">
        <v>24.615999362524477</v>
      </c>
      <c r="GS70">
        <v>10.908119087987433</v>
      </c>
      <c r="GT70">
        <v>36.863822965253952</v>
      </c>
      <c r="GU70"/>
      <c r="GV70"/>
      <c r="GW70"/>
      <c r="GX70"/>
      <c r="GY70"/>
      <c r="GZ70"/>
      <c r="HA70"/>
      <c r="HB70"/>
      <c r="HC70"/>
    </row>
    <row r="71" spans="1:211" s="7" customFormat="1">
      <c r="A71" s="4"/>
      <c r="B71" s="66"/>
      <c r="C71" s="71">
        <f t="shared" si="38"/>
        <v>39673</v>
      </c>
      <c r="D71" s="72">
        <f t="shared" si="39"/>
        <v>86.458333333333343</v>
      </c>
      <c r="E71" s="64"/>
      <c r="F71" s="64"/>
      <c r="G71" s="18">
        <f>AVERAGE(E238:E247)</f>
        <v>0</v>
      </c>
      <c r="H71" s="18">
        <f t="shared" ref="H71:AK71" si="41">AVERAGE(F238:F247)</f>
        <v>0</v>
      </c>
      <c r="I71" s="18">
        <f t="shared" si="41"/>
        <v>0</v>
      </c>
      <c r="J71" s="18">
        <f t="shared" si="41"/>
        <v>82.291666666666671</v>
      </c>
      <c r="K71" s="18">
        <f t="shared" si="41"/>
        <v>4.1666666666666661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49.672115384615381</v>
      </c>
      <c r="AO71">
        <v>40.374728814579548</v>
      </c>
      <c r="AP71">
        <v>42.388244898527205</v>
      </c>
      <c r="AQ71">
        <v>285.38203059194802</v>
      </c>
      <c r="AR71">
        <v>39.024675286626724</v>
      </c>
      <c r="AS71">
        <v>373.95595683963768</v>
      </c>
      <c r="AT71">
        <v>30.032415628129232</v>
      </c>
      <c r="AU71">
        <v>33.237178619583439</v>
      </c>
      <c r="AV71"/>
      <c r="AW71"/>
      <c r="FY71" s="211">
        <v>66</v>
      </c>
      <c r="FZ71">
        <v>42.357607924239041</v>
      </c>
      <c r="GA71">
        <v>73.480892066516233</v>
      </c>
      <c r="GB71">
        <v>30.988125305701033</v>
      </c>
      <c r="GC71">
        <v>11.578840870376046</v>
      </c>
      <c r="GD71">
        <v>7.3831976973323306</v>
      </c>
      <c r="GE71">
        <v>11.201821504515541</v>
      </c>
      <c r="GF71">
        <v>24.501110706182224</v>
      </c>
      <c r="GG71">
        <v>18.656360030240908</v>
      </c>
      <c r="GH71">
        <v>13.660734330526333</v>
      </c>
      <c r="GI71">
        <v>25.514108929441573</v>
      </c>
      <c r="GJ71"/>
      <c r="GK71">
        <v>43.799965097235123</v>
      </c>
      <c r="GL71">
        <v>64.939350699231241</v>
      </c>
      <c r="GM71">
        <v>54.897585879915702</v>
      </c>
      <c r="GN71">
        <v>38.204680488709627</v>
      </c>
      <c r="GO71">
        <v>32.088250854675763</v>
      </c>
      <c r="GP71">
        <v>24.034913500486862</v>
      </c>
      <c r="GQ71">
        <v>33.010777403904882</v>
      </c>
      <c r="GR71">
        <v>28.061528854825884</v>
      </c>
      <c r="GS71">
        <v>15.987611019936931</v>
      </c>
      <c r="GT71">
        <v>35.95683805113368</v>
      </c>
      <c r="GU71"/>
      <c r="GV71"/>
      <c r="GW71"/>
      <c r="GX71"/>
      <c r="GY71"/>
      <c r="GZ71"/>
      <c r="HA71"/>
      <c r="HB71"/>
      <c r="HC71"/>
    </row>
    <row r="72" spans="1:211" s="7" customFormat="1">
      <c r="A72" s="4"/>
      <c r="B72" s="66"/>
      <c r="C72" s="71">
        <f t="shared" si="38"/>
        <v>39714</v>
      </c>
      <c r="D72" s="72">
        <f t="shared" si="39"/>
        <v>75</v>
      </c>
      <c r="E72" s="64"/>
      <c r="F72" s="64"/>
      <c r="G72" s="18">
        <f>AVERAGE(E248:E257)</f>
        <v>0</v>
      </c>
      <c r="H72" s="18">
        <f t="shared" ref="H72:AK72" si="42">AVERAGE(F248:F257)</f>
        <v>0</v>
      </c>
      <c r="I72" s="18">
        <f t="shared" si="42"/>
        <v>0</v>
      </c>
      <c r="J72" s="18">
        <f t="shared" si="42"/>
        <v>75</v>
      </c>
      <c r="K72" s="18">
        <f t="shared" si="42"/>
        <v>0</v>
      </c>
      <c r="L72" s="18">
        <f t="shared" si="42"/>
        <v>0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59.508386752136744</v>
      </c>
      <c r="AO72">
        <v>43.265351679891076</v>
      </c>
      <c r="AP72">
        <v>21.862697401929232</v>
      </c>
      <c r="AQ72">
        <v>308.60207478620009</v>
      </c>
      <c r="AR72">
        <v>40.746443340981131</v>
      </c>
      <c r="AS72">
        <v>387.99794545888523</v>
      </c>
      <c r="AT72">
        <v>32.853711711830293</v>
      </c>
      <c r="AU72">
        <v>28.590707255139531</v>
      </c>
      <c r="AV72"/>
      <c r="AW72"/>
      <c r="FY72" s="211">
        <v>67</v>
      </c>
      <c r="FZ72">
        <v>63.417955398110806</v>
      </c>
      <c r="GA72">
        <v>88.592320730152252</v>
      </c>
      <c r="GB72">
        <v>31.188630807517281</v>
      </c>
      <c r="GC72">
        <v>13.850579027143123</v>
      </c>
      <c r="GD72">
        <v>7.1535958028660351</v>
      </c>
      <c r="GE72">
        <v>11.836855987472656</v>
      </c>
      <c r="GF72">
        <v>32.770674972508431</v>
      </c>
      <c r="GG72">
        <v>24.418577558568472</v>
      </c>
      <c r="GH72">
        <v>10.116154477724448</v>
      </c>
      <c r="GI72">
        <v>29.418328286595841</v>
      </c>
      <c r="GJ72"/>
      <c r="GK72">
        <v>69.187631459588715</v>
      </c>
      <c r="GL72">
        <v>82.966921069172969</v>
      </c>
      <c r="GM72">
        <v>55.252795105926154</v>
      </c>
      <c r="GN72">
        <v>45.723233114393231</v>
      </c>
      <c r="GO72">
        <v>31.106373464063036</v>
      </c>
      <c r="GP72">
        <v>25.397459659747479</v>
      </c>
      <c r="GQ72">
        <v>44.152506793099462</v>
      </c>
      <c r="GR72">
        <v>36.72863396948096</v>
      </c>
      <c r="GS72">
        <v>11.331174309733489</v>
      </c>
      <c r="GT72">
        <v>42.206096226482174</v>
      </c>
      <c r="GU72"/>
      <c r="GV72"/>
      <c r="GW72"/>
      <c r="GX72"/>
      <c r="GY72"/>
      <c r="GZ72"/>
      <c r="HA72"/>
      <c r="HB72"/>
      <c r="HC72"/>
    </row>
    <row r="73" spans="1:211" s="7" customFormat="1">
      <c r="A73" s="4"/>
      <c r="B73" s="66"/>
      <c r="C73" s="71">
        <f t="shared" si="38"/>
        <v>39747</v>
      </c>
      <c r="D73" s="72">
        <f t="shared" si="39"/>
        <v>56.249999999999986</v>
      </c>
      <c r="E73" s="64"/>
      <c r="F73" s="64"/>
      <c r="G73" s="18">
        <f>AVERAGE(E258:E267)</f>
        <v>0</v>
      </c>
      <c r="H73" s="18">
        <f t="shared" ref="H73:AK73" si="43">AVERAGE(F258:F267)</f>
        <v>0</v>
      </c>
      <c r="I73" s="18">
        <f t="shared" si="43"/>
        <v>0</v>
      </c>
      <c r="J73" s="18">
        <f t="shared" si="43"/>
        <v>56.249999999999986</v>
      </c>
      <c r="K73" s="18">
        <f t="shared" si="43"/>
        <v>0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52.201388888888893</v>
      </c>
      <c r="AO73">
        <v>41.990497271733659</v>
      </c>
      <c r="AP73">
        <v>39.65219469273989</v>
      </c>
      <c r="AQ73">
        <v>292.73722685895575</v>
      </c>
      <c r="AR73">
        <v>40.052155728797374</v>
      </c>
      <c r="AS73">
        <v>365.41753617315698</v>
      </c>
      <c r="AT73">
        <v>31.353409458152345</v>
      </c>
      <c r="AU73">
        <v>34.360259549931243</v>
      </c>
      <c r="AV73"/>
      <c r="AW73"/>
      <c r="FY73" s="211">
        <v>68</v>
      </c>
      <c r="FZ73">
        <v>43.955820915426898</v>
      </c>
      <c r="GA73">
        <v>71.44712489740688</v>
      </c>
      <c r="GB73">
        <v>29.885345045711674</v>
      </c>
      <c r="GC73">
        <v>11.024248256415293</v>
      </c>
      <c r="GD73">
        <v>8.0322082232382002</v>
      </c>
      <c r="GE73">
        <v>12.523253553610123</v>
      </c>
      <c r="GF73">
        <v>19.404036025556074</v>
      </c>
      <c r="GG73">
        <v>13.224761540423934</v>
      </c>
      <c r="GH73">
        <v>8.7208228256245235</v>
      </c>
      <c r="GI73">
        <v>24.090186418831678</v>
      </c>
      <c r="GJ73"/>
      <c r="GK73">
        <v>45.455400919919107</v>
      </c>
      <c r="GL73">
        <v>63.141992015618342</v>
      </c>
      <c r="GM73">
        <v>52.943935136858201</v>
      </c>
      <c r="GN73">
        <v>36.392149320413665</v>
      </c>
      <c r="GO73">
        <v>34.934425304440005</v>
      </c>
      <c r="GP73">
        <v>26.870211758360053</v>
      </c>
      <c r="GQ73">
        <v>26.143399034369427</v>
      </c>
      <c r="GR73">
        <v>19.891716656585437</v>
      </c>
      <c r="GS73">
        <v>9.7682537152874911</v>
      </c>
      <c r="GT73">
        <v>33.849082822174843</v>
      </c>
      <c r="GU73"/>
      <c r="GV73"/>
      <c r="GW73"/>
      <c r="GX73"/>
      <c r="GY73"/>
      <c r="GZ73"/>
      <c r="HA73"/>
      <c r="HB73"/>
      <c r="HC73"/>
    </row>
    <row r="74" spans="1:211" s="7" customFormat="1">
      <c r="A74" s="4"/>
      <c r="B74" s="66"/>
      <c r="C74" s="71">
        <f t="shared" si="38"/>
        <v>39775</v>
      </c>
      <c r="D74" s="72">
        <f t="shared" si="39"/>
        <v>79.059829059829042</v>
      </c>
      <c r="E74" s="64"/>
      <c r="F74" s="64"/>
      <c r="G74" s="18">
        <f>AVERAGE(E268:E277)</f>
        <v>0</v>
      </c>
      <c r="H74" s="18">
        <f t="shared" ref="H74:AK74" si="44">AVERAGE(F268:F277)</f>
        <v>0</v>
      </c>
      <c r="I74" s="18">
        <f t="shared" si="44"/>
        <v>2.083333333333333</v>
      </c>
      <c r="J74" s="18">
        <f t="shared" si="44"/>
        <v>76.976495726495713</v>
      </c>
      <c r="K74" s="18">
        <f t="shared" si="44"/>
        <v>0</v>
      </c>
      <c r="L74" s="18">
        <f t="shared" si="44"/>
        <v>0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56.647302350427346</v>
      </c>
      <c r="AO74">
        <v>41.859075108891147</v>
      </c>
      <c r="AP74">
        <v>19.215652160948725</v>
      </c>
      <c r="AQ74">
        <v>282.32289721284036</v>
      </c>
      <c r="AR74">
        <v>39.929742392291963</v>
      </c>
      <c r="AS74">
        <v>368.78487356826662</v>
      </c>
      <c r="AT74">
        <v>32.222904713566358</v>
      </c>
      <c r="AU74">
        <v>38.380563724031532</v>
      </c>
      <c r="AV74"/>
      <c r="AW74"/>
      <c r="FY74" s="211">
        <v>69</v>
      </c>
      <c r="FZ74">
        <v>53.058867371801682</v>
      </c>
      <c r="GA74">
        <v>80.63410137276783</v>
      </c>
      <c r="GB74">
        <v>31.09840333169997</v>
      </c>
      <c r="GC74">
        <v>13.325456283573578</v>
      </c>
      <c r="GD74">
        <v>8.7463922735196959</v>
      </c>
      <c r="GE74">
        <v>17.986417855520578</v>
      </c>
      <c r="GF74">
        <v>23.437755471086074</v>
      </c>
      <c r="GG74">
        <v>10.343652776260148</v>
      </c>
      <c r="GH74">
        <v>8.3719899125995436</v>
      </c>
      <c r="GI74">
        <v>26.788901369579062</v>
      </c>
      <c r="GJ74"/>
      <c r="GK74">
        <v>58.478475369061712</v>
      </c>
      <c r="GL74">
        <v>75.933778394165969</v>
      </c>
      <c r="GM74">
        <v>55.09295095422145</v>
      </c>
      <c r="GN74">
        <v>43.984995553711109</v>
      </c>
      <c r="GO74">
        <v>38.03387482870518</v>
      </c>
      <c r="GP74">
        <v>38.592116216705044</v>
      </c>
      <c r="GQ74">
        <v>31.57810019232938</v>
      </c>
      <c r="GR74">
        <v>15.558164099257894</v>
      </c>
      <c r="GS74">
        <v>9.3775235666759915</v>
      </c>
      <c r="GT74">
        <v>38.512184982198747</v>
      </c>
      <c r="GU74"/>
      <c r="GV74"/>
      <c r="GW74"/>
      <c r="GX74"/>
      <c r="GY74"/>
      <c r="GZ74"/>
      <c r="HA74"/>
      <c r="HB74"/>
      <c r="HC74"/>
    </row>
    <row r="75" spans="1:211" s="7" customFormat="1">
      <c r="A75" s="4"/>
      <c r="B75" s="66"/>
      <c r="C75" s="71">
        <f t="shared" si="38"/>
        <v>39799</v>
      </c>
      <c r="D75" s="72">
        <f t="shared" si="39"/>
        <v>42.628205128205131</v>
      </c>
      <c r="E75" s="64"/>
      <c r="F75" s="64"/>
      <c r="G75" s="18">
        <f>AVERAGE(E278:E287)</f>
        <v>0</v>
      </c>
      <c r="H75" s="18">
        <f t="shared" ref="H75:AK75" si="45">AVERAGE(F278:F287)</f>
        <v>0</v>
      </c>
      <c r="I75" s="18">
        <f t="shared" si="45"/>
        <v>0</v>
      </c>
      <c r="J75" s="18">
        <f t="shared" si="45"/>
        <v>42.628205128205131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56.990678418803419</v>
      </c>
      <c r="AO75">
        <v>42.137306615480455</v>
      </c>
      <c r="AP75">
        <v>7.094453199044497</v>
      </c>
      <c r="AQ75">
        <v>290.59252976285808</v>
      </c>
      <c r="AR75">
        <v>39.747771909862536</v>
      </c>
      <c r="AS75">
        <v>374.66124720781932</v>
      </c>
      <c r="AT75">
        <v>32.463336576512695</v>
      </c>
      <c r="AU75">
        <v>28.736601247401357</v>
      </c>
      <c r="AV75"/>
      <c r="AW75"/>
      <c r="FY75" s="211">
        <v>70</v>
      </c>
      <c r="FZ75">
        <v>37.106522478527303</v>
      </c>
      <c r="GA75">
        <v>54.686057859439124</v>
      </c>
      <c r="GB75">
        <v>17.313650081832961</v>
      </c>
      <c r="GC75">
        <v>8.5234404259832353</v>
      </c>
      <c r="GD75">
        <v>5.3401689216111645</v>
      </c>
      <c r="GE75">
        <v>6.1775780952372079</v>
      </c>
      <c r="GF75">
        <v>22.330459937019018</v>
      </c>
      <c r="GG75">
        <v>21.820856541699492</v>
      </c>
      <c r="GH75">
        <v>11.860319042849353</v>
      </c>
      <c r="GI75">
        <v>19.252498570724899</v>
      </c>
      <c r="GJ75"/>
      <c r="GK75">
        <v>40.179681845652837</v>
      </c>
      <c r="GL75">
        <v>50.665619026956719</v>
      </c>
      <c r="GM75">
        <v>30.672316666002718</v>
      </c>
      <c r="GN75">
        <v>28.128536119342062</v>
      </c>
      <c r="GO75">
        <v>23.21435309642051</v>
      </c>
      <c r="GP75">
        <v>13.25476888751318</v>
      </c>
      <c r="GQ75">
        <v>30.086221443085474</v>
      </c>
      <c r="GR75">
        <v>32.821332483365971</v>
      </c>
      <c r="GS75">
        <v>13.284825052790989</v>
      </c>
      <c r="GT75">
        <v>27.487479620790509</v>
      </c>
      <c r="GU75"/>
      <c r="GV75"/>
      <c r="GW75"/>
      <c r="GX75"/>
      <c r="GY75"/>
      <c r="GZ75"/>
      <c r="HA75"/>
      <c r="HB75"/>
      <c r="HC75"/>
    </row>
    <row r="76" spans="1:211" s="7" customFormat="1">
      <c r="A76" s="4"/>
      <c r="B76" s="66"/>
      <c r="C76" s="71">
        <f t="shared" si="38"/>
        <v>39847</v>
      </c>
      <c r="D76" s="72">
        <f>SUM(G76:AK76)</f>
        <v>20.138888888888889</v>
      </c>
      <c r="E76" s="64"/>
      <c r="F76" s="64"/>
      <c r="G76" s="18">
        <f>AVERAGE(E288:E297)</f>
        <v>0</v>
      </c>
      <c r="H76" s="18">
        <f t="shared" ref="H76:AK76" si="46">AVERAGE(F288:F297)</f>
        <v>0</v>
      </c>
      <c r="I76" s="18">
        <f t="shared" si="46"/>
        <v>0</v>
      </c>
      <c r="J76" s="18">
        <f t="shared" si="46"/>
        <v>20.138888888888889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43.302804487179493</v>
      </c>
      <c r="AO76">
        <v>31.95475980168295</v>
      </c>
      <c r="AP76">
        <v>5.7537141636984348</v>
      </c>
      <c r="AQ76">
        <v>208.19340796263486</v>
      </c>
      <c r="AR76">
        <v>30.946885270114127</v>
      </c>
      <c r="AS76">
        <v>313.5575971364193</v>
      </c>
      <c r="AT76">
        <v>25.219602602077348</v>
      </c>
      <c r="AU76">
        <v>23.239269833991909</v>
      </c>
      <c r="AV76"/>
      <c r="AW76"/>
      <c r="FY76" s="211">
        <v>71</v>
      </c>
      <c r="FZ76">
        <v>36.577668038895986</v>
      </c>
      <c r="GA76">
        <v>79.710236505436853</v>
      </c>
      <c r="GB76">
        <v>32.742548446593197</v>
      </c>
      <c r="GC76">
        <v>16.57954002057852</v>
      </c>
      <c r="GD76">
        <v>11.989336315444788</v>
      </c>
      <c r="GE76">
        <v>9.6842758650959713</v>
      </c>
      <c r="GF76">
        <v>21.188012163775227</v>
      </c>
      <c r="GG76">
        <v>18.372972282946105</v>
      </c>
      <c r="GH76">
        <v>14.819734514705415</v>
      </c>
      <c r="GI76">
        <v>27.49923446474957</v>
      </c>
      <c r="GJ76"/>
      <c r="GK76">
        <v>39.632659637596745</v>
      </c>
      <c r="GL76">
        <v>72.780945438367596</v>
      </c>
      <c r="GM76">
        <v>58.005666607507166</v>
      </c>
      <c r="GN76">
        <v>54.759600757503947</v>
      </c>
      <c r="GO76">
        <v>52.177502922274108</v>
      </c>
      <c r="GP76">
        <v>20.778828928724366</v>
      </c>
      <c r="GQ76">
        <v>28.546981463706835</v>
      </c>
      <c r="GR76">
        <v>27.635277783613336</v>
      </c>
      <c r="GS76">
        <v>18.658071913948305</v>
      </c>
      <c r="GT76">
        <v>39.404176509006632</v>
      </c>
      <c r="GU76"/>
      <c r="GV76"/>
      <c r="GW76"/>
      <c r="GX76"/>
      <c r="GY76"/>
      <c r="GZ76"/>
      <c r="HA76"/>
      <c r="HB76"/>
      <c r="HC76"/>
    </row>
    <row r="77" spans="1:211" s="7" customFormat="1">
      <c r="A77" s="4"/>
      <c r="B77" s="66"/>
      <c r="C77" s="71">
        <f t="shared" si="38"/>
        <v>39910</v>
      </c>
      <c r="D77" s="72">
        <f>SUM(G77:AK77)</f>
        <v>25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25</v>
      </c>
      <c r="K77" s="18">
        <f t="shared" si="47"/>
        <v>0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59.823450854700852</v>
      </c>
      <c r="AO77">
        <v>45.715779924028261</v>
      </c>
      <c r="AP77">
        <v>17.165500410382741</v>
      </c>
      <c r="AQ77">
        <v>305.9711290963283</v>
      </c>
      <c r="AR77">
        <v>44.253433370311399</v>
      </c>
      <c r="AS77">
        <v>421.33816318866127</v>
      </c>
      <c r="AT77">
        <v>36.110428619539512</v>
      </c>
      <c r="AU77">
        <v>28.597266700948257</v>
      </c>
      <c r="AV77"/>
      <c r="AW77"/>
      <c r="FY77" s="211">
        <v>72</v>
      </c>
      <c r="FZ77">
        <v>40.137198984230963</v>
      </c>
      <c r="GA77">
        <v>68.215030766992669</v>
      </c>
      <c r="GB77">
        <v>33.083407799680813</v>
      </c>
      <c r="GC77">
        <v>12.6725672645358</v>
      </c>
      <c r="GD77">
        <v>8.7128203024123287</v>
      </c>
      <c r="GE77">
        <v>11.883549699454797</v>
      </c>
      <c r="GF77">
        <v>25.828107735103849</v>
      </c>
      <c r="GG77">
        <v>22.009781706562684</v>
      </c>
      <c r="GH77">
        <v>10.521238113301502</v>
      </c>
      <c r="GI77">
        <v>26.243877257801049</v>
      </c>
      <c r="GJ77"/>
      <c r="GK77">
        <v>43.308673053116777</v>
      </c>
      <c r="GL77">
        <v>62.621961574468614</v>
      </c>
      <c r="GM77">
        <v>58.609522291724943</v>
      </c>
      <c r="GN77">
        <v>41.855487131565184</v>
      </c>
      <c r="GO77">
        <v>37.918129480172389</v>
      </c>
      <c r="GP77">
        <v>25.49764687734017</v>
      </c>
      <c r="GQ77">
        <v>34.798663841490828</v>
      </c>
      <c r="GR77">
        <v>33.105499864174327</v>
      </c>
      <c r="GS77">
        <v>12.471039682433432</v>
      </c>
      <c r="GT77">
        <v>37.421205669787668</v>
      </c>
      <c r="GU77"/>
      <c r="GV77"/>
      <c r="GW77"/>
      <c r="GX77"/>
      <c r="GY77"/>
      <c r="GZ77"/>
      <c r="HA77"/>
      <c r="HB77"/>
      <c r="HC77"/>
    </row>
    <row r="78" spans="1:211" s="7" customFormat="1">
      <c r="A78" s="4"/>
      <c r="B78" s="66"/>
      <c r="C78" s="71">
        <f t="shared" si="38"/>
        <v>39949</v>
      </c>
      <c r="D78" s="72">
        <f>SUM(G78:AK78)</f>
        <v>24.999999999999996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0</v>
      </c>
      <c r="J78" s="18">
        <f t="shared" si="48"/>
        <v>24.999999999999996</v>
      </c>
      <c r="K78" s="18">
        <f t="shared" si="48"/>
        <v>0</v>
      </c>
      <c r="L78" s="18">
        <f t="shared" si="48"/>
        <v>0</v>
      </c>
      <c r="M78" s="18">
        <f t="shared" si="48"/>
        <v>0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51.600801282051279</v>
      </c>
      <c r="AO78">
        <v>38.274131863539552</v>
      </c>
      <c r="AP78">
        <v>13.759653964543974</v>
      </c>
      <c r="AQ78">
        <v>258.44317951511601</v>
      </c>
      <c r="AR78">
        <v>37.058534280074412</v>
      </c>
      <c r="AS78">
        <v>367.15662660228759</v>
      </c>
      <c r="AT78">
        <v>29.982138398117982</v>
      </c>
      <c r="AU78">
        <v>29.220902296449765</v>
      </c>
      <c r="AV78"/>
      <c r="AW78"/>
      <c r="FY78" s="211">
        <v>73</v>
      </c>
      <c r="FZ78">
        <v>39.076980171248479</v>
      </c>
      <c r="GA78">
        <v>63.488905540022436</v>
      </c>
      <c r="GB78">
        <v>29.103373588628312</v>
      </c>
      <c r="GC78">
        <v>17.312073087040371</v>
      </c>
      <c r="GD78">
        <v>9.4551626307014089</v>
      </c>
      <c r="GE78">
        <v>10.305302234458441</v>
      </c>
      <c r="GF78">
        <v>33.517660055013977</v>
      </c>
      <c r="GG78">
        <v>25.174278218021271</v>
      </c>
      <c r="GH78">
        <v>11.567736852376445</v>
      </c>
      <c r="GI78">
        <v>27.237067727230304</v>
      </c>
      <c r="GJ78"/>
      <c r="GK78">
        <v>40.407797403572928</v>
      </c>
      <c r="GL78">
        <v>56.108849340611336</v>
      </c>
      <c r="GM78">
        <v>51.558619155417432</v>
      </c>
      <c r="GN78">
        <v>57.1636812414893</v>
      </c>
      <c r="GO78">
        <v>41.131449444440534</v>
      </c>
      <c r="GP78">
        <v>22.11131892270717</v>
      </c>
      <c r="GQ78">
        <v>45.15893293346241</v>
      </c>
      <c r="GR78">
        <v>37.865303492714418</v>
      </c>
      <c r="GS78">
        <v>13.64323012826793</v>
      </c>
      <c r="GT78">
        <v>38.380005813032248</v>
      </c>
      <c r="GU78"/>
      <c r="GV78"/>
      <c r="GW78"/>
      <c r="GX78"/>
      <c r="GY78"/>
      <c r="GZ78"/>
      <c r="HA78"/>
      <c r="HB78"/>
      <c r="HC78"/>
    </row>
    <row r="79" spans="1:211" s="7" customFormat="1">
      <c r="A79" s="4"/>
      <c r="B79" s="66"/>
      <c r="C79" s="71">
        <f t="shared" si="38"/>
        <v>39987</v>
      </c>
      <c r="D79" s="72">
        <f>SUM(G79:AK79)</f>
        <v>16.666666666666668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15.625</v>
      </c>
      <c r="K79" s="18">
        <f t="shared" si="49"/>
        <v>1.0416666666666665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40.500373931623926</v>
      </c>
      <c r="AO79">
        <v>30.304511698977667</v>
      </c>
      <c r="AP79">
        <v>0.56003738107755319</v>
      </c>
      <c r="AQ79">
        <v>197.76513871334009</v>
      </c>
      <c r="AR79">
        <v>29.076955761824642</v>
      </c>
      <c r="AS79">
        <v>283.00814847640385</v>
      </c>
      <c r="AT79">
        <v>24.158363502133877</v>
      </c>
      <c r="AU79">
        <v>8.9066284429468929</v>
      </c>
      <c r="AV79"/>
      <c r="AW79"/>
      <c r="FY79" s="211">
        <v>74</v>
      </c>
      <c r="FZ79">
        <v>38.402532932782982</v>
      </c>
      <c r="GA79">
        <v>81.036606398334243</v>
      </c>
      <c r="GB79">
        <v>36.271445278559156</v>
      </c>
      <c r="GC79">
        <v>11.575843994379257</v>
      </c>
      <c r="GD79">
        <v>7.3014435268359863</v>
      </c>
      <c r="GE79">
        <v>14.372324548102892</v>
      </c>
      <c r="GF79">
        <v>24.887785337126274</v>
      </c>
      <c r="GG79">
        <v>15.019550606624323</v>
      </c>
      <c r="GH79">
        <v>16.395146912174102</v>
      </c>
      <c r="GI79">
        <v>26.652038343120214</v>
      </c>
      <c r="GJ79"/>
      <c r="GK79">
        <v>41.52253354944763</v>
      </c>
      <c r="GL79">
        <v>73.953135884202098</v>
      </c>
      <c r="GM79">
        <v>64.257348985291173</v>
      </c>
      <c r="GN79">
        <v>38.217822998267593</v>
      </c>
      <c r="GO79">
        <v>31.758479842200565</v>
      </c>
      <c r="GP79">
        <v>30.837625575030664</v>
      </c>
      <c r="GQ79">
        <v>33.531750935386881</v>
      </c>
      <c r="GR79">
        <v>22.591306774264886</v>
      </c>
      <c r="GS79">
        <v>18.36431698474048</v>
      </c>
      <c r="GT79">
        <v>37.886886059413342</v>
      </c>
      <c r="GU79"/>
      <c r="GV79"/>
      <c r="GW79"/>
      <c r="GX79"/>
      <c r="GY79"/>
      <c r="GZ79"/>
      <c r="HA79"/>
      <c r="HB79"/>
      <c r="HC79"/>
    </row>
    <row r="80" spans="1:211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43.818376068376075</v>
      </c>
      <c r="AO80">
        <v>34.400128473652863</v>
      </c>
      <c r="AP80">
        <v>31.772956598138414</v>
      </c>
      <c r="AQ80">
        <v>236.99083211967954</v>
      </c>
      <c r="AR80">
        <v>33.353270813650553</v>
      </c>
      <c r="AS80">
        <v>321.95210236910788</v>
      </c>
      <c r="AT80">
        <v>26.060096356371442</v>
      </c>
      <c r="AU80">
        <v>33.224541677261982</v>
      </c>
      <c r="AV80"/>
      <c r="AW80"/>
      <c r="FY80" s="211">
        <v>75</v>
      </c>
      <c r="FZ80">
        <v>53.834674522807845</v>
      </c>
      <c r="GA80">
        <v>83.198416499036142</v>
      </c>
      <c r="GB80">
        <v>29.765041744621918</v>
      </c>
      <c r="GC80">
        <v>14.055556157403267</v>
      </c>
      <c r="GD80">
        <v>8.5996659757039389</v>
      </c>
      <c r="GE80">
        <v>6.7845963510050353</v>
      </c>
      <c r="GF80">
        <v>24.404442048446207</v>
      </c>
      <c r="GG80">
        <v>23.592029962291974</v>
      </c>
      <c r="GH80">
        <v>12.32165340097848</v>
      </c>
      <c r="GI80">
        <v>27.333375537204017</v>
      </c>
      <c r="GJ80"/>
      <c r="GK80">
        <v>59.277454883372329</v>
      </c>
      <c r="GL80">
        <v>78.200013256112669</v>
      </c>
      <c r="GM80">
        <v>52.73080960125192</v>
      </c>
      <c r="GN80">
        <v>46.411760543467921</v>
      </c>
      <c r="GO80">
        <v>37.412671421426147</v>
      </c>
      <c r="GP80">
        <v>14.557202716218177</v>
      </c>
      <c r="GQ80">
        <v>32.880534021034379</v>
      </c>
      <c r="GR80">
        <v>35.485401678444369</v>
      </c>
      <c r="GS80">
        <v>15.173825649579371</v>
      </c>
      <c r="GT80">
        <v>39.495059115332822</v>
      </c>
      <c r="GU80"/>
      <c r="GV80"/>
      <c r="GW80"/>
      <c r="GX80"/>
      <c r="GY80"/>
      <c r="GZ80"/>
      <c r="HA80"/>
      <c r="HB80"/>
      <c r="HC80"/>
    </row>
    <row r="81" spans="1:211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46.696180555555557</v>
      </c>
      <c r="AO81">
        <v>38.241752209164297</v>
      </c>
      <c r="AP81">
        <v>34.361381624423473</v>
      </c>
      <c r="AQ81">
        <v>266.76610690290875</v>
      </c>
      <c r="AR81">
        <v>36.863822965253959</v>
      </c>
      <c r="AS81">
        <v>355.29557809694774</v>
      </c>
      <c r="AT81">
        <v>28.768372234528631</v>
      </c>
      <c r="AU81">
        <v>22.564653863700823</v>
      </c>
      <c r="AV81"/>
      <c r="AW81"/>
      <c r="FY81" s="211">
        <v>76</v>
      </c>
      <c r="FZ81">
        <v>45.265990975696297</v>
      </c>
      <c r="GA81">
        <v>60.698934707240689</v>
      </c>
      <c r="GB81">
        <v>25.133364652666611</v>
      </c>
      <c r="GC81">
        <v>17.446857043471404</v>
      </c>
      <c r="GD81">
        <v>9.4744639403485298</v>
      </c>
      <c r="GE81">
        <v>9.3480811388245577</v>
      </c>
      <c r="GF81">
        <v>24.694448021654242</v>
      </c>
      <c r="GG81">
        <v>19.955220538675395</v>
      </c>
      <c r="GH81">
        <v>12.265402678426408</v>
      </c>
      <c r="GI81">
        <v>25.525411615321207</v>
      </c>
      <c r="GJ81"/>
      <c r="GK81">
        <v>48.619453055661225</v>
      </c>
      <c r="GL81">
        <v>55.97954904807311</v>
      </c>
      <c r="GM81">
        <v>44.52547648041044</v>
      </c>
      <c r="GN81">
        <v>57.612691470330908</v>
      </c>
      <c r="GO81">
        <v>41.219785689948452</v>
      </c>
      <c r="GP81">
        <v>20.057480962056982</v>
      </c>
      <c r="GQ81">
        <v>33.271264169645875</v>
      </c>
      <c r="GR81">
        <v>30.015179597883375</v>
      </c>
      <c r="GS81">
        <v>14.42469042549093</v>
      </c>
      <c r="GT81">
        <v>36.41213396423138</v>
      </c>
      <c r="GU81"/>
      <c r="GV81"/>
      <c r="GW81"/>
      <c r="GX81"/>
      <c r="GY81"/>
      <c r="GZ81"/>
      <c r="HA81"/>
      <c r="HB81"/>
      <c r="HC81"/>
    </row>
    <row r="82" spans="1:211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50.827270299145297</v>
      </c>
      <c r="AO82">
        <v>37.098150185005572</v>
      </c>
      <c r="AP82">
        <v>19.175866984877999</v>
      </c>
      <c r="AQ82">
        <v>259.32279936507126</v>
      </c>
      <c r="AR82">
        <v>35.956838051133694</v>
      </c>
      <c r="AS82">
        <v>350.38384845749715</v>
      </c>
      <c r="AT82">
        <v>28.661108290164179</v>
      </c>
      <c r="AU82">
        <v>33.395632759620582</v>
      </c>
      <c r="AV82"/>
      <c r="AW82"/>
      <c r="FY82" s="211">
        <v>77</v>
      </c>
      <c r="FZ82">
        <v>45.224900756152657</v>
      </c>
      <c r="GA82">
        <v>94.605197577953831</v>
      </c>
      <c r="GB82">
        <v>40.692591593607403</v>
      </c>
      <c r="GC82">
        <v>11.244367881084415</v>
      </c>
      <c r="GD82">
        <v>5.5266390140748785</v>
      </c>
      <c r="GE82">
        <v>6.1915862088318496</v>
      </c>
      <c r="GF82">
        <v>26.074173409340975</v>
      </c>
      <c r="GG82">
        <v>23.096101404526085</v>
      </c>
      <c r="GH82">
        <v>8.023156999574562</v>
      </c>
      <c r="GI82">
        <v>26.510613939059382</v>
      </c>
      <c r="GJ82"/>
      <c r="GK82">
        <v>50.380026674973891</v>
      </c>
      <c r="GL82">
        <v>88.28085109028936</v>
      </c>
      <c r="GM82">
        <v>72.089712418821676</v>
      </c>
      <c r="GN82">
        <v>37.115329537406552</v>
      </c>
      <c r="GO82">
        <v>24.025869558921315</v>
      </c>
      <c r="GP82">
        <v>13.284825052790985</v>
      </c>
      <c r="GQ82">
        <v>35.130192452433924</v>
      </c>
      <c r="GR82">
        <v>34.739462303822421</v>
      </c>
      <c r="GS82">
        <v>8.9867934180644919</v>
      </c>
      <c r="GT82">
        <v>38.122518904643059</v>
      </c>
      <c r="GU82"/>
      <c r="GV82"/>
      <c r="GW82"/>
      <c r="GX82"/>
      <c r="GY82"/>
      <c r="GZ82"/>
      <c r="HA82"/>
      <c r="HB82"/>
      <c r="HC82"/>
    </row>
    <row r="83" spans="1:211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55.831597222222229</v>
      </c>
      <c r="AO83">
        <v>44.405282517168772</v>
      </c>
      <c r="AP83">
        <v>39.807182517793265</v>
      </c>
      <c r="AQ83">
        <v>312.76367304865931</v>
      </c>
      <c r="AR83">
        <v>42.206096226482195</v>
      </c>
      <c r="AS83">
        <v>396.1889943650923</v>
      </c>
      <c r="AT83">
        <v>32.900419881295257</v>
      </c>
      <c r="AU83">
        <v>33.582886244402374</v>
      </c>
      <c r="AV83"/>
      <c r="AW83"/>
      <c r="FY83" s="211">
        <v>78</v>
      </c>
      <c r="FZ83">
        <v>37.103523942615226</v>
      </c>
      <c r="GA83">
        <v>102.61222332279868</v>
      </c>
      <c r="GB83">
        <v>44.642549979387475</v>
      </c>
      <c r="GC83">
        <v>11.444318466130078</v>
      </c>
      <c r="GD83">
        <v>9.4500253517634203</v>
      </c>
      <c r="GE83">
        <v>12.247760652915492</v>
      </c>
      <c r="GF83">
        <v>16.02063300479562</v>
      </c>
      <c r="GG83">
        <v>12.705217337050135</v>
      </c>
      <c r="GH83">
        <v>10.17240520027652</v>
      </c>
      <c r="GI83">
        <v>27.231355843697564</v>
      </c>
      <c r="GJ83"/>
      <c r="GK83">
        <v>40.168462665709086</v>
      </c>
      <c r="GL83">
        <v>93.020767136443268</v>
      </c>
      <c r="GM83">
        <v>79.087334171227624</v>
      </c>
      <c r="GN83">
        <v>37.791095201509272</v>
      </c>
      <c r="GO83">
        <v>41.117766222030262</v>
      </c>
      <c r="GP83">
        <v>26.279107174563165</v>
      </c>
      <c r="GQ83">
        <v>21.584880633901935</v>
      </c>
      <c r="GR83">
        <v>19.110256359362435</v>
      </c>
      <c r="GS83">
        <v>12.080309533821929</v>
      </c>
      <c r="GT83">
        <v>38.807750645338167</v>
      </c>
      <c r="GU83"/>
      <c r="GV83"/>
      <c r="GW83"/>
      <c r="GX83"/>
      <c r="GY83"/>
      <c r="GZ83"/>
      <c r="HA83"/>
      <c r="HB83"/>
      <c r="HC83"/>
    </row>
    <row r="84" spans="1:211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47.615625000000001</v>
      </c>
      <c r="AO84">
        <v>34.939056668402657</v>
      </c>
      <c r="AP84">
        <v>11.149192708672205</v>
      </c>
      <c r="AQ84">
        <v>242.3078077022453</v>
      </c>
      <c r="AR84">
        <v>33.849082822174857</v>
      </c>
      <c r="AS84">
        <v>331.95779750881394</v>
      </c>
      <c r="AT84">
        <v>27.38733100766461</v>
      </c>
      <c r="AU84">
        <v>36.979417689243405</v>
      </c>
      <c r="AV84"/>
      <c r="AW84"/>
      <c r="AX84" s="157" t="s">
        <v>111</v>
      </c>
      <c r="CJ84" s="157" t="s">
        <v>112</v>
      </c>
      <c r="FY84" s="211">
        <v>79</v>
      </c>
      <c r="FZ84">
        <v>47.087857333671209</v>
      </c>
      <c r="GA84">
        <v>95.361401241626197</v>
      </c>
      <c r="GB84">
        <v>44.752828005386405</v>
      </c>
      <c r="GC84">
        <v>14.045829523450026</v>
      </c>
      <c r="GD84">
        <v>7.7884422980627708</v>
      </c>
      <c r="GE84">
        <v>11.276531443686967</v>
      </c>
      <c r="GF84">
        <v>17.08398823989176</v>
      </c>
      <c r="GG84">
        <v>12.964989438737033</v>
      </c>
      <c r="GH84">
        <v>11.567736852376445</v>
      </c>
      <c r="GI84">
        <v>28.125244710386244</v>
      </c>
      <c r="GJ84"/>
      <c r="GK84">
        <v>50.498107787568358</v>
      </c>
      <c r="GL84">
        <v>86.612792699214666</v>
      </c>
      <c r="GM84">
        <v>79.282699245533365</v>
      </c>
      <c r="GN84">
        <v>46.375794888974362</v>
      </c>
      <c r="GO84">
        <v>33.877894890729614</v>
      </c>
      <c r="GP84">
        <v>24.195213048635168</v>
      </c>
      <c r="GQ84">
        <v>23.01755784547743</v>
      </c>
      <c r="GR84">
        <v>19.500986507973934</v>
      </c>
      <c r="GS84">
        <v>13.64323012826793</v>
      </c>
      <c r="GT84">
        <v>40.063897979515332</v>
      </c>
      <c r="GU84"/>
      <c r="GV84"/>
      <c r="GW84"/>
      <c r="GX84"/>
      <c r="GY84"/>
      <c r="GZ84"/>
      <c r="HA84"/>
      <c r="HB84"/>
      <c r="HC84"/>
    </row>
    <row r="85" spans="1:211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50.463141025641036</v>
      </c>
      <c r="AO85">
        <v>40.514216415703252</v>
      </c>
      <c r="AP85">
        <v>34.890335803694569</v>
      </c>
      <c r="AQ85">
        <v>273.79193801840808</v>
      </c>
      <c r="AR85">
        <v>38.512184982198747</v>
      </c>
      <c r="AS85">
        <v>354.25581588851065</v>
      </c>
      <c r="AT85">
        <v>30.03008844610213</v>
      </c>
      <c r="AU85">
        <v>22.396860012353716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39.076491569056223</v>
      </c>
      <c r="GA85">
        <v>51.237496137905879</v>
      </c>
      <c r="GB85">
        <v>19.388882025631119</v>
      </c>
      <c r="GC85">
        <v>11.592326757110239</v>
      </c>
      <c r="GD85">
        <v>8.8683838193890239</v>
      </c>
      <c r="GE85">
        <v>9.6562596379066861</v>
      </c>
      <c r="GF85">
        <v>19.790710656500128</v>
      </c>
      <c r="GG85">
        <v>15.043166252232224</v>
      </c>
      <c r="GH85">
        <v>11.331405384455609</v>
      </c>
      <c r="GI85">
        <v>21.742231858494975</v>
      </c>
      <c r="GJ85"/>
      <c r="GK85">
        <v>42.203409457060815</v>
      </c>
      <c r="GL85">
        <v>47.617923867787027</v>
      </c>
      <c r="GM85">
        <v>34.348732155210918</v>
      </c>
      <c r="GN85">
        <v>38.276103078497712</v>
      </c>
      <c r="GO85">
        <v>38.58212948859903</v>
      </c>
      <c r="GP85">
        <v>20.718716598168751</v>
      </c>
      <c r="GQ85">
        <v>26.66437256585143</v>
      </c>
      <c r="GR85">
        <v>22.626827696865934</v>
      </c>
      <c r="GS85">
        <v>14.750770427833313</v>
      </c>
      <c r="GT85">
        <v>31.30988281891111</v>
      </c>
      <c r="GU85"/>
      <c r="GV85"/>
      <c r="GW85"/>
      <c r="GX85"/>
      <c r="GY85"/>
      <c r="GZ85"/>
      <c r="HA85"/>
      <c r="HB85"/>
      <c r="HC85"/>
    </row>
    <row r="86" spans="1:211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37.121394230769226</v>
      </c>
      <c r="AO86">
        <v>28.979513424192099</v>
      </c>
      <c r="AP86">
        <v>17.382228009822015</v>
      </c>
      <c r="AQ86">
        <v>204.41155195492374</v>
      </c>
      <c r="AR86">
        <v>27.487479620790491</v>
      </c>
      <c r="AS86">
        <v>257.56163649660311</v>
      </c>
      <c r="AT86">
        <v>21.703022185707045</v>
      </c>
      <c r="AU86">
        <v>12.747515454139936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9" t="s">
        <v>123</v>
      </c>
      <c r="CX86" s="21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28.714893609027268</v>
      </c>
      <c r="GA86">
        <v>64.107878156707883</v>
      </c>
      <c r="GB86">
        <v>36.612304631646758</v>
      </c>
      <c r="GC86">
        <v>17.654555289370059</v>
      </c>
      <c r="GD86">
        <v>10.961269048976956</v>
      </c>
      <c r="GE86">
        <v>12.719367143935113</v>
      </c>
      <c r="GF86">
        <v>28.974233141421372</v>
      </c>
      <c r="GG86">
        <v>19.978836184283299</v>
      </c>
      <c r="GH86">
        <v>10.116154477724448</v>
      </c>
      <c r="GI86">
        <v>27.414098318544156</v>
      </c>
      <c r="GJ86"/>
      <c r="GK86">
        <v>29.687422133102146</v>
      </c>
      <c r="GL86">
        <v>56.655871548667434</v>
      </c>
      <c r="GM86">
        <v>64.861204669508922</v>
      </c>
      <c r="GN86">
        <v>58.287165596960428</v>
      </c>
      <c r="GO86">
        <v>47.677339253894324</v>
      </c>
      <c r="GP86">
        <v>27.290998072249355</v>
      </c>
      <c r="GQ86">
        <v>39.03749393854892</v>
      </c>
      <c r="GR86">
        <v>30.05070052048443</v>
      </c>
      <c r="GS86">
        <v>11.331174309733489</v>
      </c>
      <c r="GT86">
        <v>38.518926860957563</v>
      </c>
      <c r="GU86"/>
      <c r="GV86"/>
      <c r="GW86"/>
      <c r="GX86"/>
      <c r="GY86"/>
      <c r="GZ86"/>
      <c r="HA86"/>
      <c r="HB86"/>
      <c r="HC86"/>
    </row>
    <row r="87" spans="1:211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51.908226495726488</v>
      </c>
      <c r="AO87">
        <v>41.237971196224905</v>
      </c>
      <c r="AP87">
        <v>25.607393487680632</v>
      </c>
      <c r="AQ87">
        <v>269.1635586182216</v>
      </c>
      <c r="AR87">
        <v>39.404176509006668</v>
      </c>
      <c r="AS87">
        <v>388.79404566104444</v>
      </c>
      <c r="AT87">
        <v>31.499107975884588</v>
      </c>
      <c r="AU87">
        <v>11.038754388484051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41.180748257479884</v>
      </c>
      <c r="GA87">
        <v>70.739727621194945</v>
      </c>
      <c r="GB87">
        <v>26.23614491265597</v>
      </c>
      <c r="GC87">
        <v>9.3836870262707333</v>
      </c>
      <c r="GD87">
        <v>7.3954110594018774</v>
      </c>
      <c r="GE87">
        <v>11.108434080551262</v>
      </c>
      <c r="GF87">
        <v>25.17779131033431</v>
      </c>
      <c r="GG87">
        <v>20.214992640362297</v>
      </c>
      <c r="GH87">
        <v>12.265402678426405</v>
      </c>
      <c r="GI87">
        <v>24.060151339231883</v>
      </c>
      <c r="GJ87"/>
      <c r="GK87">
        <v>42.581517037281635</v>
      </c>
      <c r="GL87">
        <v>62.516823777839946</v>
      </c>
      <c r="GM87">
        <v>46.479127223467934</v>
      </c>
      <c r="GN87">
        <v>30.977474941421175</v>
      </c>
      <c r="GO87">
        <v>32.167425848556199</v>
      </c>
      <c r="GP87">
        <v>23.834539065301477</v>
      </c>
      <c r="GQ87">
        <v>33.922481083998377</v>
      </c>
      <c r="GR87">
        <v>30.405909746494881</v>
      </c>
      <c r="GS87">
        <v>14.424690425490926</v>
      </c>
      <c r="GT87">
        <v>33.915048323759017</v>
      </c>
      <c r="GU87"/>
      <c r="GV87"/>
      <c r="GW87"/>
      <c r="GX87"/>
      <c r="GY87"/>
      <c r="GZ87"/>
      <c r="HA87"/>
      <c r="HB87"/>
      <c r="HC87"/>
    </row>
    <row r="88" spans="1:211" s="7" customFormat="1">
      <c r="A88" s="128"/>
      <c r="B88" s="76">
        <f t="shared" ref="B88:B119" ca="1" si="50">IF(C88="", "", RAND())</f>
        <v>0.52994705032253542</v>
      </c>
      <c r="C88">
        <v>10</v>
      </c>
      <c r="D88">
        <v>39646</v>
      </c>
      <c r="E88">
        <v>0</v>
      </c>
      <c r="F88">
        <v>0</v>
      </c>
      <c r="G88">
        <v>20.833333333333332</v>
      </c>
      <c r="H88">
        <v>72.916666666666671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49.507852564102564</v>
      </c>
      <c r="AO88">
        <v>38.76078294662743</v>
      </c>
      <c r="AP88">
        <v>28.684669888135584</v>
      </c>
      <c r="AQ88">
        <v>259.30757963007648</v>
      </c>
      <c r="AR88">
        <v>37.421205669787689</v>
      </c>
      <c r="AS88">
        <v>345.3234064584309</v>
      </c>
      <c r="AT88">
        <v>29.89349940376859</v>
      </c>
      <c r="AU88">
        <v>38.71142481775933</v>
      </c>
      <c r="AV88"/>
      <c r="AW88"/>
      <c r="AX88" s="128"/>
      <c r="AY88" s="76">
        <f ca="1">IF(AZ88="", "", RAND())</f>
        <v>0.98284137637041358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9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0.47736653039171917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0.78798062254040069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0</v>
      </c>
      <c r="DI88" s="161">
        <f t="shared" si="53"/>
        <v>93.75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93.75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</v>
      </c>
      <c r="ES88" s="139">
        <f t="shared" ref="ES88:ES119" si="59">IF(DI88="", "", DI88*J$36)</f>
        <v>70.331426750069937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70.331426750069937</v>
      </c>
      <c r="FV88" s="149"/>
      <c r="FY88" s="211">
        <v>83</v>
      </c>
      <c r="FZ88">
        <v>49.958781434526948</v>
      </c>
      <c r="GA88">
        <v>68.215030766992669</v>
      </c>
      <c r="GB88">
        <v>24.581974522671931</v>
      </c>
      <c r="GC88">
        <v>15.062746540707199</v>
      </c>
      <c r="GD88">
        <v>9.1469576573306384</v>
      </c>
      <c r="GE88">
        <v>9.1659756620942083</v>
      </c>
      <c r="GF88">
        <v>9.9568717468093428</v>
      </c>
      <c r="GG88">
        <v>7.0138467455462647</v>
      </c>
      <c r="GH88">
        <v>10.464987390749428</v>
      </c>
      <c r="GI88">
        <v>22.739596636962766</v>
      </c>
      <c r="GJ88"/>
      <c r="GK88">
        <v>53.467656917015759</v>
      </c>
      <c r="GL88">
        <v>62.621961574468614</v>
      </c>
      <c r="GM88">
        <v>43.548651108881693</v>
      </c>
      <c r="GN88">
        <v>49.722990743110756</v>
      </c>
      <c r="GO88">
        <v>39.777132414818027</v>
      </c>
      <c r="GP88">
        <v>19.666750813445478</v>
      </c>
      <c r="GQ88">
        <v>13.415068435661485</v>
      </c>
      <c r="GR88">
        <v>10.54971401251049</v>
      </c>
      <c r="GS88">
        <v>11.721904458344989</v>
      </c>
      <c r="GT88">
        <v>32.38608266694439</v>
      </c>
      <c r="GU88"/>
      <c r="GV88"/>
      <c r="GW88"/>
      <c r="GX88"/>
      <c r="GY88"/>
      <c r="GZ88"/>
      <c r="HA88"/>
      <c r="HB88"/>
      <c r="HC88"/>
    </row>
    <row r="89" spans="1:211" s="7" customFormat="1">
      <c r="A89" s="115"/>
      <c r="B89" s="76">
        <f t="shared" ca="1" si="50"/>
        <v>8.8020953297473392E-2</v>
      </c>
      <c r="C89">
        <v>4</v>
      </c>
      <c r="D89">
        <v>39646</v>
      </c>
      <c r="E89">
        <v>0</v>
      </c>
      <c r="F89">
        <v>0</v>
      </c>
      <c r="G89">
        <v>0</v>
      </c>
      <c r="H89">
        <v>41.666666666666664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54.477003205128213</v>
      </c>
      <c r="AO89">
        <v>40.352918787571575</v>
      </c>
      <c r="AP89">
        <v>18.576446130891789</v>
      </c>
      <c r="AQ89">
        <v>266.23854010474145</v>
      </c>
      <c r="AR89">
        <v>38.380005813032255</v>
      </c>
      <c r="AS89">
        <v>369.1274693534445</v>
      </c>
      <c r="AT89">
        <v>31.098291508101848</v>
      </c>
      <c r="AU89">
        <v>25.416948211525803</v>
      </c>
      <c r="AV89"/>
      <c r="AW89"/>
      <c r="AX89" s="150"/>
      <c r="AY89" s="76">
        <f t="shared" ref="AY89:AY151" ca="1" si="88">IF(AZ89="", "", RAND())</f>
        <v>0.6559453745522712</v>
      </c>
      <c r="AZ89">
        <v>2</v>
      </c>
      <c r="BA89" s="129">
        <f t="shared" ref="BA89:BA97" si="89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90">IF(AZ89="", "", RAND())</f>
        <v>0.46003751048644248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0.10445902464338719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1">
        <v>84</v>
      </c>
      <c r="FZ89">
        <v>49.01108360418678</v>
      </c>
      <c r="GA89">
        <v>78.95403284176443</v>
      </c>
      <c r="GB89">
        <v>25.805058083751039</v>
      </c>
      <c r="GC89">
        <v>13.225466782877531</v>
      </c>
      <c r="GD89">
        <v>10.299594983736554</v>
      </c>
      <c r="GE89">
        <v>13.6439026411815</v>
      </c>
      <c r="GF89">
        <v>31.584286900293719</v>
      </c>
      <c r="GG89">
        <v>20.758152489343995</v>
      </c>
      <c r="GH89">
        <v>8.7770735481765936</v>
      </c>
      <c r="GI89">
        <v>27.470358922646334</v>
      </c>
      <c r="GJ89"/>
      <c r="GK89">
        <v>54.290478179660816</v>
      </c>
      <c r="GL89">
        <v>74.449003829442262</v>
      </c>
      <c r="GM89">
        <v>45.715427387545454</v>
      </c>
      <c r="GN89">
        <v>43.681626870413801</v>
      </c>
      <c r="GO89">
        <v>44.823761150970491</v>
      </c>
      <c r="GP89">
        <v>29.274704980584666</v>
      </c>
      <c r="GQ89">
        <v>42.554065276052413</v>
      </c>
      <c r="GR89">
        <v>31.222890966318928</v>
      </c>
      <c r="GS89">
        <v>10.51738893937593</v>
      </c>
      <c r="GT89">
        <v>39.580224186721026</v>
      </c>
      <c r="GU89"/>
      <c r="GV89"/>
      <c r="GW89"/>
      <c r="GX89"/>
      <c r="GY89"/>
      <c r="GZ89"/>
      <c r="HA89"/>
      <c r="HB89"/>
      <c r="HC89"/>
    </row>
    <row r="90" spans="1:211" s="7" customFormat="1">
      <c r="A90" s="115"/>
      <c r="B90" s="76">
        <f t="shared" ca="1" si="50"/>
        <v>0.10988325785603692</v>
      </c>
      <c r="C90">
        <v>5</v>
      </c>
      <c r="D90">
        <v>39646</v>
      </c>
      <c r="E90">
        <v>0</v>
      </c>
      <c r="F90">
        <v>0</v>
      </c>
      <c r="G90">
        <v>0</v>
      </c>
      <c r="H90">
        <v>20.833333333333332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50.542574786324785</v>
      </c>
      <c r="AO90">
        <v>39.292120758824524</v>
      </c>
      <c r="AP90">
        <v>15.788780252870049</v>
      </c>
      <c r="AQ90">
        <v>271.91471787803943</v>
      </c>
      <c r="AR90">
        <v>37.886886059413357</v>
      </c>
      <c r="AS90">
        <v>357.13120298104701</v>
      </c>
      <c r="AT90">
        <v>30.600740615244224</v>
      </c>
      <c r="AU90">
        <v>11.815895858846389</v>
      </c>
      <c r="AV90"/>
      <c r="AW90"/>
      <c r="AX90" s="150"/>
      <c r="AY90" s="76">
        <f t="shared" ca="1" si="88"/>
        <v>0.65039544539565153</v>
      </c>
      <c r="AZ90">
        <v>3</v>
      </c>
      <c r="BA90" s="129">
        <f t="shared" si="89"/>
        <v>39646</v>
      </c>
      <c r="BB90">
        <v>0</v>
      </c>
      <c r="BC90">
        <v>0</v>
      </c>
      <c r="BD90">
        <v>5</v>
      </c>
      <c r="BE90">
        <v>4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90"/>
        <v>0.53000118139012464</v>
      </c>
      <c r="CL90" s="179">
        <f t="shared" si="91"/>
        <v>3</v>
      </c>
      <c r="CM90" s="180">
        <f t="shared" si="92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0.21047084216963174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52.083333333333336</v>
      </c>
      <c r="DI90" s="161">
        <f t="shared" si="98"/>
        <v>41.666666666666664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93.75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3.1888415603306139</v>
      </c>
      <c r="ES90" s="139">
        <f t="shared" si="59"/>
        <v>31.258411888919969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34.447253449250582</v>
      </c>
      <c r="FV90" s="149"/>
      <c r="FY90" s="211">
        <v>85</v>
      </c>
      <c r="FZ90">
        <v>45.242691631108514</v>
      </c>
      <c r="GA90">
        <v>65.827564959777334</v>
      </c>
      <c r="GB90">
        <v>27.118369120647461</v>
      </c>
      <c r="GC90">
        <v>11.126129546149894</v>
      </c>
      <c r="GD90">
        <v>6.9155950020577697</v>
      </c>
      <c r="GE90">
        <v>11.458636920417316</v>
      </c>
      <c r="GF90">
        <v>23.174113677260586</v>
      </c>
      <c r="GG90">
        <v>14.00407784548463</v>
      </c>
      <c r="GH90">
        <v>9.4747393742265587</v>
      </c>
      <c r="GI90">
        <v>23.69960087282039</v>
      </c>
      <c r="GJ90"/>
      <c r="GK90">
        <v>48.590714658629864</v>
      </c>
      <c r="GL90">
        <v>60.512018771966524</v>
      </c>
      <c r="GM90">
        <v>48.042047817913939</v>
      </c>
      <c r="GN90">
        <v>36.720966881797317</v>
      </c>
      <c r="GO90">
        <v>30.06625865142454</v>
      </c>
      <c r="GP90">
        <v>24.585943197246667</v>
      </c>
      <c r="GQ90">
        <v>31.222890966318928</v>
      </c>
      <c r="GR90">
        <v>21.063907102419936</v>
      </c>
      <c r="GS90">
        <v>11.298849236598933</v>
      </c>
      <c r="GT90">
        <v>33.84415226617724</v>
      </c>
      <c r="GU90"/>
      <c r="GV90"/>
      <c r="GW90"/>
      <c r="GX90"/>
      <c r="GY90"/>
      <c r="GZ90"/>
      <c r="HA90"/>
      <c r="HB90"/>
      <c r="HC90"/>
    </row>
    <row r="91" spans="1:211" s="7" customFormat="1">
      <c r="A91" s="77"/>
      <c r="B91" s="76">
        <f t="shared" ca="1" si="50"/>
        <v>0.90251868036589467</v>
      </c>
      <c r="C91">
        <v>9</v>
      </c>
      <c r="D91">
        <v>39646</v>
      </c>
      <c r="E91">
        <v>0</v>
      </c>
      <c r="F91">
        <v>0</v>
      </c>
      <c r="G91">
        <v>0</v>
      </c>
      <c r="H91">
        <v>31.25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50.463862179487187</v>
      </c>
      <c r="AO91">
        <v>41.162473288624007</v>
      </c>
      <c r="AP91">
        <v>48.170691616193764</v>
      </c>
      <c r="AQ91">
        <v>283.88945219949881</v>
      </c>
      <c r="AR91">
        <v>39.495059115332843</v>
      </c>
      <c r="AS91">
        <v>380.23197382144849</v>
      </c>
      <c r="AT91">
        <v>30.608495781248781</v>
      </c>
      <c r="AU91">
        <v>36.610548885577572</v>
      </c>
      <c r="AV91"/>
      <c r="AW91"/>
      <c r="AX91" s="151"/>
      <c r="AY91" s="76">
        <f t="shared" ca="1" si="88"/>
        <v>0.75615265753744887</v>
      </c>
      <c r="AZ91">
        <v>4</v>
      </c>
      <c r="BA91" s="129">
        <f t="shared" si="89"/>
        <v>39646</v>
      </c>
      <c r="BB91">
        <v>0</v>
      </c>
      <c r="BC91">
        <v>0</v>
      </c>
      <c r="BD91">
        <v>0</v>
      </c>
      <c r="BE91">
        <v>4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90"/>
        <v>0.9616006598727429</v>
      </c>
      <c r="CL91" s="179">
        <f t="shared" si="91"/>
        <v>4</v>
      </c>
      <c r="CM91" s="180">
        <f t="shared" si="92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0.24547848372919479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41.666666666666664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41.666666666666664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31.258411888919969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31.258411888919969</v>
      </c>
      <c r="FV91" s="149"/>
      <c r="FY91" s="211">
        <v>86</v>
      </c>
      <c r="FZ91">
        <v>37.051272652969956</v>
      </c>
      <c r="GA91">
        <v>53.182838647488744</v>
      </c>
      <c r="GB91">
        <v>19.829994129626868</v>
      </c>
      <c r="GC91">
        <v>12.68728395575928</v>
      </c>
      <c r="GD91">
        <v>8.1112693641611635</v>
      </c>
      <c r="GE91">
        <v>8.0733428017121192</v>
      </c>
      <c r="GF91">
        <v>35.187391415908756</v>
      </c>
      <c r="GG91">
        <v>29.094475388932651</v>
      </c>
      <c r="GH91">
        <v>13.019319227028442</v>
      </c>
      <c r="GI91">
        <v>24.285977305108634</v>
      </c>
      <c r="GJ91"/>
      <c r="GK91">
        <v>40.119055033018164</v>
      </c>
      <c r="GL91">
        <v>49.337136521677621</v>
      </c>
      <c r="GM91">
        <v>35.130192452433924</v>
      </c>
      <c r="GN91">
        <v>41.881053319713473</v>
      </c>
      <c r="GO91">
        <v>35.274161715919028</v>
      </c>
      <c r="GP91">
        <v>17.322369921776485</v>
      </c>
      <c r="GQ91">
        <v>47.408591364861955</v>
      </c>
      <c r="GR91">
        <v>43.761776644487959</v>
      </c>
      <c r="GS91">
        <v>15.95528594680237</v>
      </c>
      <c r="GT91">
        <v>34.77745730260709</v>
      </c>
      <c r="GU91"/>
      <c r="GV91"/>
      <c r="GW91"/>
      <c r="GX91"/>
      <c r="GY91"/>
      <c r="GZ91"/>
      <c r="HA91"/>
      <c r="HB91"/>
      <c r="HC91"/>
    </row>
    <row r="92" spans="1:211" s="7" customFormat="1">
      <c r="A92" s="77"/>
      <c r="B92" s="76">
        <f t="shared" ca="1" si="50"/>
        <v>0.18735429072262111</v>
      </c>
      <c r="C92">
        <v>6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48.8073985042735</v>
      </c>
      <c r="AO92">
        <v>38.213770486373264</v>
      </c>
      <c r="AP92">
        <v>19.659416395929803</v>
      </c>
      <c r="AQ92">
        <v>249.80817531232535</v>
      </c>
      <c r="AR92">
        <v>36.41213396423138</v>
      </c>
      <c r="AS92">
        <v>334.24137017328542</v>
      </c>
      <c r="AT92">
        <v>29.101731505222343</v>
      </c>
      <c r="AU92">
        <v>18.378957432427171</v>
      </c>
      <c r="AV92"/>
      <c r="AW92"/>
      <c r="AX92" s="151"/>
      <c r="AY92" s="76">
        <f t="shared" ca="1" si="88"/>
        <v>0.88941128230946553</v>
      </c>
      <c r="AZ92">
        <v>5</v>
      </c>
      <c r="BA92" s="129">
        <f t="shared" si="89"/>
        <v>39646</v>
      </c>
      <c r="BB92">
        <v>0</v>
      </c>
      <c r="BC92">
        <v>0</v>
      </c>
      <c r="BD92">
        <v>0</v>
      </c>
      <c r="BE92">
        <v>2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90"/>
        <v>0.25970548296146601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0.2613422402905563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20.833333333333332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20.833333333333332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15.629205944459985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15.629205944459985</v>
      </c>
      <c r="FV92" s="149"/>
      <c r="FY92" s="211">
        <v>87</v>
      </c>
      <c r="FZ92">
        <v>48.038553699923483</v>
      </c>
      <c r="GA92">
        <v>91.519522609920955</v>
      </c>
      <c r="GB92">
        <v>37.594781590546383</v>
      </c>
      <c r="GC92">
        <v>13.289544578232272</v>
      </c>
      <c r="GD92">
        <v>9.769409142601134</v>
      </c>
      <c r="GE92">
        <v>12.976182559836888</v>
      </c>
      <c r="GF92">
        <v>38.351092941814635</v>
      </c>
      <c r="GG92">
        <v>29.850176048385446</v>
      </c>
      <c r="GH92">
        <v>8.7208228256245235</v>
      </c>
      <c r="GI92">
        <v>31.343521048431093</v>
      </c>
      <c r="GJ92"/>
      <c r="GK92">
        <v>49.686505704867066</v>
      </c>
      <c r="GL92">
        <v>80.881140762580429</v>
      </c>
      <c r="GM92">
        <v>66.601729876960164</v>
      </c>
      <c r="GN92">
        <v>43.870224985372026</v>
      </c>
      <c r="GO92">
        <v>42.490373761254489</v>
      </c>
      <c r="GP92">
        <v>27.842027769009171</v>
      </c>
      <c r="GQ92">
        <v>51.67110207698741</v>
      </c>
      <c r="GR92">
        <v>44.89844616772141</v>
      </c>
      <c r="GS92">
        <v>9.7682537152874893</v>
      </c>
      <c r="GT92">
        <v>44.043593027071317</v>
      </c>
      <c r="GU92"/>
      <c r="GV92"/>
      <c r="GW92"/>
      <c r="GX92"/>
      <c r="GY92"/>
      <c r="GZ92"/>
      <c r="HA92"/>
      <c r="HB92"/>
      <c r="HC92"/>
    </row>
    <row r="93" spans="1:211" s="7" customFormat="1">
      <c r="A93" s="77"/>
      <c r="B93" s="76">
        <f t="shared" ca="1" si="50"/>
        <v>4.6065941420092571E-4</v>
      </c>
      <c r="C93">
        <v>2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49.73020833333333</v>
      </c>
      <c r="AO93">
        <v>40.215558141216768</v>
      </c>
      <c r="AP93">
        <v>29.363695058730336</v>
      </c>
      <c r="AQ93">
        <v>287.18932878420605</v>
      </c>
      <c r="AR93">
        <v>38.122518904643059</v>
      </c>
      <c r="AS93">
        <v>346.1891323243205</v>
      </c>
      <c r="AT93">
        <v>30.05855391720382</v>
      </c>
      <c r="AU93">
        <v>4.8807121032913763</v>
      </c>
      <c r="AV93"/>
      <c r="AW93"/>
      <c r="AX93" s="151"/>
      <c r="AY93" s="76">
        <f t="shared" ca="1" si="88"/>
        <v>0.15458484720841414</v>
      </c>
      <c r="AZ93">
        <v>6</v>
      </c>
      <c r="BA93" s="129">
        <f t="shared" si="89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90"/>
        <v>0.35406237582090849</v>
      </c>
      <c r="CL93" s="179">
        <f t="shared" si="91"/>
        <v>6</v>
      </c>
      <c r="CM93" s="180">
        <f t="shared" si="92"/>
        <v>39646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0.38758877012389004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0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0</v>
      </c>
      <c r="FV93" s="149"/>
      <c r="FY93" s="211">
        <v>88</v>
      </c>
      <c r="FZ93">
        <v>36.650708739409204</v>
      </c>
      <c r="GA93">
        <v>80.289590850056257</v>
      </c>
      <c r="GB93">
        <v>33.925530907309053</v>
      </c>
      <c r="GC93">
        <v>9.7978669217519681</v>
      </c>
      <c r="GD93">
        <v>7.2594923985861692</v>
      </c>
      <c r="GE93">
        <v>11.808839760283371</v>
      </c>
      <c r="GF93">
        <v>22.330459937019015</v>
      </c>
      <c r="GG93">
        <v>19.2231355248305</v>
      </c>
      <c r="GH93">
        <v>12.209151955874331</v>
      </c>
      <c r="GI93">
        <v>24.671540454790257</v>
      </c>
      <c r="GJ93"/>
      <c r="GK93">
        <v>37.903974433887399</v>
      </c>
      <c r="GL93">
        <v>70.956594987848334</v>
      </c>
      <c r="GM93">
        <v>60.101401040968845</v>
      </c>
      <c r="GN93">
        <v>32.337765447565943</v>
      </c>
      <c r="GO93">
        <v>31.567234664989421</v>
      </c>
      <c r="GP93">
        <v>25.337347329191861</v>
      </c>
      <c r="GQ93">
        <v>30.086221443085471</v>
      </c>
      <c r="GR93">
        <v>28.914030997250972</v>
      </c>
      <c r="GS93">
        <v>13.675555201402485</v>
      </c>
      <c r="GT93">
        <v>34.666877356866735</v>
      </c>
      <c r="GU93"/>
      <c r="GV93"/>
      <c r="GW93"/>
      <c r="GX93"/>
      <c r="GY93"/>
      <c r="GZ93"/>
      <c r="HA93"/>
      <c r="HB93"/>
      <c r="HC93"/>
    </row>
    <row r="94" spans="1:211" s="7" customFormat="1">
      <c r="A94" s="77"/>
      <c r="B94" s="76">
        <f t="shared" ca="1" si="50"/>
        <v>0.54481433005778634</v>
      </c>
      <c r="C94">
        <v>7</v>
      </c>
      <c r="D94">
        <v>39646</v>
      </c>
      <c r="E94">
        <v>0</v>
      </c>
      <c r="F94">
        <v>0</v>
      </c>
      <c r="G94">
        <v>0</v>
      </c>
      <c r="H94">
        <v>10.416666666666666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52.690998931623923</v>
      </c>
      <c r="AO94">
        <v>40.904772974390717</v>
      </c>
      <c r="AP94">
        <v>29.869197708020565</v>
      </c>
      <c r="AQ94">
        <v>283.63001310143022</v>
      </c>
      <c r="AR94">
        <v>38.807750645338203</v>
      </c>
      <c r="AS94">
        <v>369.19001164185312</v>
      </c>
      <c r="AT94">
        <v>30.857663425213087</v>
      </c>
      <c r="AU94">
        <v>24.948295881650168</v>
      </c>
      <c r="AV94"/>
      <c r="AW94"/>
      <c r="AX94" s="151"/>
      <c r="AY94" s="76">
        <f t="shared" ca="1" si="88"/>
        <v>0.84549671077282751</v>
      </c>
      <c r="AZ94">
        <v>7</v>
      </c>
      <c r="BA94" s="129">
        <f t="shared" si="89"/>
        <v>39646</v>
      </c>
      <c r="BB94">
        <v>0</v>
      </c>
      <c r="BC94">
        <v>0</v>
      </c>
      <c r="BD94">
        <v>0</v>
      </c>
      <c r="BE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90"/>
        <v>0.55861919863266385</v>
      </c>
      <c r="CL94" s="179">
        <f t="shared" si="91"/>
        <v>7</v>
      </c>
      <c r="CM94" s="180">
        <f t="shared" si="92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0.43813058077403899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0</v>
      </c>
      <c r="DI94" s="161">
        <f t="shared" si="98"/>
        <v>10.416666666666666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10.416666666666666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</v>
      </c>
      <c r="ES94" s="139">
        <f t="shared" si="59"/>
        <v>7.8146029722299923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7.8146029722299923</v>
      </c>
      <c r="FV94" s="149"/>
      <c r="FY94" s="211">
        <v>89</v>
      </c>
      <c r="FZ94">
        <v>39.823835377197142</v>
      </c>
      <c r="GA94">
        <v>60.570891775648143</v>
      </c>
      <c r="GB94">
        <v>24.902783325577925</v>
      </c>
      <c r="GC94">
        <v>13.538856267409191</v>
      </c>
      <c r="GD94">
        <v>8.6604050836763289</v>
      </c>
      <c r="GE94">
        <v>10.973022315803053</v>
      </c>
      <c r="GF94">
        <v>27.014495807318561</v>
      </c>
      <c r="GG94">
        <v>22.293169453857487</v>
      </c>
      <c r="GH94">
        <v>15.112316705178324</v>
      </c>
      <c r="GI94">
        <v>25.13464207883629</v>
      </c>
      <c r="GJ94"/>
      <c r="GK94">
        <v>41.186107682223991</v>
      </c>
      <c r="GL94">
        <v>53.530030359775438</v>
      </c>
      <c r="GM94">
        <v>44.116985870498411</v>
      </c>
      <c r="GN94">
        <v>44.709022576284667</v>
      </c>
      <c r="GO94">
        <v>37.681344658600914</v>
      </c>
      <c r="GP94">
        <v>23.543996134282668</v>
      </c>
      <c r="GQ94">
        <v>36.397105358537878</v>
      </c>
      <c r="GR94">
        <v>33.531750935386874</v>
      </c>
      <c r="GS94">
        <v>18.299666838471367</v>
      </c>
      <c r="GT94">
        <v>35.536242081666515</v>
      </c>
      <c r="GU94"/>
      <c r="GV94"/>
      <c r="GW94"/>
      <c r="GX94"/>
      <c r="GY94"/>
      <c r="GZ94"/>
      <c r="HA94"/>
      <c r="HB94"/>
      <c r="HC94"/>
    </row>
    <row r="95" spans="1:211" s="7" customFormat="1">
      <c r="A95" s="77"/>
      <c r="B95" s="76">
        <f t="shared" ca="1" si="50"/>
        <v>0.64836074783101538</v>
      </c>
      <c r="C95">
        <v>8</v>
      </c>
      <c r="D95">
        <v>39646</v>
      </c>
      <c r="E95">
        <v>0</v>
      </c>
      <c r="F95">
        <v>0</v>
      </c>
      <c r="G95">
        <v>0</v>
      </c>
      <c r="H95">
        <v>41.666666666666664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53.855769230769226</v>
      </c>
      <c r="AO95">
        <v>41.706817502189026</v>
      </c>
      <c r="AP95">
        <v>26.843648000649218</v>
      </c>
      <c r="AQ95">
        <v>290.05484908727504</v>
      </c>
      <c r="AR95">
        <v>40.063897979515374</v>
      </c>
      <c r="AS95">
        <v>381.09310455272669</v>
      </c>
      <c r="AT95">
        <v>31.817428387514564</v>
      </c>
      <c r="AU95">
        <v>30.040975047416875</v>
      </c>
      <c r="AV95"/>
      <c r="AW95"/>
      <c r="AX95" s="151"/>
      <c r="AY95" s="76">
        <f t="shared" ca="1" si="88"/>
        <v>0.52444210904214206</v>
      </c>
      <c r="AZ95">
        <v>8</v>
      </c>
      <c r="BA95" s="129">
        <f t="shared" si="89"/>
        <v>39646</v>
      </c>
      <c r="BB95">
        <v>0</v>
      </c>
      <c r="BC95">
        <v>0</v>
      </c>
      <c r="BD95">
        <v>0</v>
      </c>
      <c r="BE95">
        <v>4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90"/>
        <v>0.94351382999333677</v>
      </c>
      <c r="CL95" s="179">
        <f t="shared" si="91"/>
        <v>8</v>
      </c>
      <c r="CM95" s="180">
        <f t="shared" si="92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7.1352483303561698E-2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41.666666666666664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41.666666666666664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31.258411888919969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31.258411888919969</v>
      </c>
      <c r="FV95" s="149"/>
      <c r="FY95" s="211">
        <v>90</v>
      </c>
      <c r="FZ95">
        <v>45.512455084878873</v>
      </c>
      <c r="GA95">
        <v>74.709649184492747</v>
      </c>
      <c r="GB95">
        <v>24.912808600668736</v>
      </c>
      <c r="GC95">
        <v>11.011036084514242</v>
      </c>
      <c r="GD95">
        <v>8.9685152907419994</v>
      </c>
      <c r="GE95">
        <v>11.00570791419055</v>
      </c>
      <c r="GF95">
        <v>24.712024141242608</v>
      </c>
      <c r="GG95">
        <v>18.065968890043404</v>
      </c>
      <c r="GH95">
        <v>8.4282406351516155</v>
      </c>
      <c r="GI95">
        <v>24.532233056983294</v>
      </c>
      <c r="GJ95"/>
      <c r="GK95">
        <v>50.667022415403643</v>
      </c>
      <c r="GL95">
        <v>70.697994402771883</v>
      </c>
      <c r="GM95">
        <v>44.134746331798937</v>
      </c>
      <c r="GN95">
        <v>36.363872082705925</v>
      </c>
      <c r="GO95">
        <v>39.026575088453527</v>
      </c>
      <c r="GP95">
        <v>23.614127186597553</v>
      </c>
      <c r="GQ95">
        <v>33.294944784713238</v>
      </c>
      <c r="GR95">
        <v>27.173505789799744</v>
      </c>
      <c r="GS95">
        <v>10.126658790764434</v>
      </c>
      <c r="GT95">
        <v>35.449989482226748</v>
      </c>
      <c r="GU95"/>
      <c r="GV95"/>
      <c r="GW95"/>
      <c r="GX95"/>
      <c r="GY95"/>
      <c r="GZ95"/>
      <c r="HA95"/>
      <c r="HB95"/>
      <c r="HC95"/>
    </row>
    <row r="96" spans="1:211" s="7" customFormat="1">
      <c r="A96" s="77"/>
      <c r="B96" s="76">
        <f t="shared" ca="1" si="50"/>
        <v>0.46337897899771541</v>
      </c>
      <c r="C96">
        <v>3</v>
      </c>
      <c r="D96">
        <v>39646</v>
      </c>
      <c r="E96">
        <v>0</v>
      </c>
      <c r="F96">
        <v>0</v>
      </c>
      <c r="G96">
        <v>52.083333333333336</v>
      </c>
      <c r="H96">
        <v>41.666666666666664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40.212019230769236</v>
      </c>
      <c r="AO96">
        <v>31.709886815478598</v>
      </c>
      <c r="AP96">
        <v>37.468443312882975</v>
      </c>
      <c r="AQ96">
        <v>207.7273540986821</v>
      </c>
      <c r="AR96">
        <v>31.309882818911085</v>
      </c>
      <c r="AS96">
        <v>293.19032400237472</v>
      </c>
      <c r="AT96">
        <v>24.036667780867749</v>
      </c>
      <c r="AU96">
        <v>35.102611682953508</v>
      </c>
      <c r="AV96"/>
      <c r="AW96"/>
      <c r="AX96" s="151"/>
      <c r="AY96" s="76">
        <f t="shared" ca="1" si="88"/>
        <v>0.25905120668167303</v>
      </c>
      <c r="AZ96">
        <v>9</v>
      </c>
      <c r="BA96" s="129">
        <f t="shared" si="89"/>
        <v>39646</v>
      </c>
      <c r="BB96">
        <v>0</v>
      </c>
      <c r="BC96">
        <v>0</v>
      </c>
      <c r="BD96">
        <v>0</v>
      </c>
      <c r="BE96">
        <v>3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90"/>
        <v>0.35170341646302994</v>
      </c>
      <c r="CL96" s="179">
        <f t="shared" si="91"/>
        <v>9</v>
      </c>
      <c r="CM96" s="180">
        <f t="shared" si="92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0.76503795942480135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0</v>
      </c>
      <c r="DI96" s="161">
        <f t="shared" si="98"/>
        <v>31.25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31.25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</v>
      </c>
      <c r="ES96" s="139">
        <f t="shared" si="59"/>
        <v>23.443808916689978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23.443808916689978</v>
      </c>
      <c r="FV96" s="149"/>
      <c r="FY96" s="211">
        <v>91</v>
      </c>
      <c r="FZ96">
        <v>50.135691981300653</v>
      </c>
      <c r="GA96">
        <v>83.994238434774559</v>
      </c>
      <c r="GB96">
        <v>35.399246345658469</v>
      </c>
      <c r="GC96">
        <v>13.793283731387417</v>
      </c>
      <c r="GD96">
        <v>7.0882524950797263</v>
      </c>
      <c r="GE96">
        <v>10.594803248747715</v>
      </c>
      <c r="GF96">
        <v>23.850794281412679</v>
      </c>
      <c r="GG96">
        <v>20.498380387657097</v>
      </c>
      <c r="GH96">
        <v>15.056065982626254</v>
      </c>
      <c r="GI96">
        <v>27.58082613992908</v>
      </c>
      <c r="GJ96"/>
      <c r="GK96">
        <v>55.459518606923382</v>
      </c>
      <c r="GL96">
        <v>78.903327523613342</v>
      </c>
      <c r="GM96">
        <v>62.712188852145687</v>
      </c>
      <c r="GN96">
        <v>45.530155686856588</v>
      </c>
      <c r="GO96">
        <v>30.817662783369723</v>
      </c>
      <c r="GP96">
        <v>22.732479671781864</v>
      </c>
      <c r="GQ96">
        <v>32.134594646412424</v>
      </c>
      <c r="GR96">
        <v>30.832160817707422</v>
      </c>
      <c r="GS96">
        <v>17.550531614382926</v>
      </c>
      <c r="GT96">
        <v>39.734899300646823</v>
      </c>
      <c r="GU96"/>
      <c r="GV96"/>
      <c r="GW96"/>
      <c r="GX96"/>
      <c r="GY96"/>
      <c r="GZ96"/>
      <c r="HA96"/>
      <c r="HB96"/>
      <c r="HC96"/>
    </row>
    <row r="97" spans="1:211" s="7" customFormat="1">
      <c r="A97" s="77"/>
      <c r="B97" s="76">
        <f t="shared" ca="1" si="50"/>
        <v>0.47761065206079234</v>
      </c>
      <c r="C97">
        <v>1</v>
      </c>
      <c r="D97">
        <v>39646</v>
      </c>
      <c r="E97">
        <v>0</v>
      </c>
      <c r="F97">
        <v>0</v>
      </c>
      <c r="G97">
        <v>0</v>
      </c>
      <c r="H97">
        <v>93.75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55.092147435897438</v>
      </c>
      <c r="AO97">
        <v>40.339829690410703</v>
      </c>
      <c r="AP97">
        <v>11.547901361508629</v>
      </c>
      <c r="AQ97">
        <v>257.25359000163729</v>
      </c>
      <c r="AR97">
        <v>38.518926860957592</v>
      </c>
      <c r="AS97">
        <v>357.26379638569711</v>
      </c>
      <c r="AT97">
        <v>31.139867104593929</v>
      </c>
      <c r="AU97">
        <v>25.420490302081227</v>
      </c>
      <c r="AV97"/>
      <c r="AW97"/>
      <c r="AX97" s="151"/>
      <c r="AY97" s="76">
        <f t="shared" ca="1" si="88"/>
        <v>0.397407664295093</v>
      </c>
      <c r="AZ97">
        <v>10</v>
      </c>
      <c r="BA97" s="129">
        <f t="shared" si="89"/>
        <v>39646</v>
      </c>
      <c r="BB97">
        <v>0</v>
      </c>
      <c r="BC97">
        <v>0</v>
      </c>
      <c r="BD97">
        <v>2</v>
      </c>
      <c r="BE97">
        <v>7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90"/>
        <v>0.47361090004894102</v>
      </c>
      <c r="CL97" s="179">
        <f t="shared" si="91"/>
        <v>10</v>
      </c>
      <c r="CM97" s="180">
        <f t="shared" si="92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0.20904728759093061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20.833333333333332</v>
      </c>
      <c r="DI97" s="161">
        <f t="shared" si="98"/>
        <v>72.916666666666671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93.75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1.2755366241322454</v>
      </c>
      <c r="ES97" s="139">
        <f t="shared" si="59"/>
        <v>54.702220805609954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55.977757429742198</v>
      </c>
      <c r="FV97" s="149"/>
      <c r="FY97" s="211">
        <v>92</v>
      </c>
      <c r="FZ97">
        <v>46.430712367969321</v>
      </c>
      <c r="GA97">
        <v>74.974923163072233</v>
      </c>
      <c r="GB97">
        <v>31.750046212602772</v>
      </c>
      <c r="GC97">
        <v>17.113274194020129</v>
      </c>
      <c r="GD97">
        <v>11.361909449893474</v>
      </c>
      <c r="GE97">
        <v>12.719367143935113</v>
      </c>
      <c r="GF97">
        <v>29.5278809084549</v>
      </c>
      <c r="GG97">
        <v>23.332257860605079</v>
      </c>
      <c r="GH97">
        <v>10.5212381133015</v>
      </c>
      <c r="GI97">
        <v>29.131206569045411</v>
      </c>
      <c r="GJ97"/>
      <c r="GK97">
        <v>51.619143970586933</v>
      </c>
      <c r="GL97">
        <v>70.932432491938783</v>
      </c>
      <c r="GM97">
        <v>56.24738093875542</v>
      </c>
      <c r="GN97">
        <v>56.52244039069172</v>
      </c>
      <c r="GO97">
        <v>49.446945846429628</v>
      </c>
      <c r="GP97">
        <v>27.290998072249355</v>
      </c>
      <c r="GQ97">
        <v>39.783433313170875</v>
      </c>
      <c r="GR97">
        <v>35.094671529832873</v>
      </c>
      <c r="GS97">
        <v>12.471039682433428</v>
      </c>
      <c r="GT97">
        <v>41.913588750275245</v>
      </c>
      <c r="GU97"/>
      <c r="GV97"/>
      <c r="GW97"/>
      <c r="GX97"/>
      <c r="GY97"/>
      <c r="GZ97"/>
      <c r="HA97"/>
      <c r="HB97"/>
      <c r="HC97"/>
    </row>
    <row r="98" spans="1:211" s="7" customFormat="1">
      <c r="A98" s="128"/>
      <c r="B98" s="76">
        <f t="shared" ca="1" si="50"/>
        <v>0.67081436017886431</v>
      </c>
      <c r="C98">
        <v>1</v>
      </c>
      <c r="D98">
        <v>39673</v>
      </c>
      <c r="E98">
        <v>0</v>
      </c>
      <c r="F98">
        <v>0</v>
      </c>
      <c r="G98">
        <v>0</v>
      </c>
      <c r="H98">
        <v>114.58333333333333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47.619791666666671</v>
      </c>
      <c r="AO98">
        <v>35.122503747361165</v>
      </c>
      <c r="AP98">
        <v>17.787123754596877</v>
      </c>
      <c r="AQ98">
        <v>247.76249092590953</v>
      </c>
      <c r="AR98">
        <v>33.915048323759024</v>
      </c>
      <c r="AS98">
        <v>316.16143472742471</v>
      </c>
      <c r="AT98">
        <v>27.234037276303997</v>
      </c>
      <c r="AU98">
        <v>38.160294585417887</v>
      </c>
      <c r="AV98"/>
      <c r="AW98"/>
      <c r="AX98" s="128"/>
      <c r="AY98" s="76">
        <f t="shared" ca="1" si="88"/>
        <v>0.90533496002025426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11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90"/>
        <v>6.1001421017645718E-2</v>
      </c>
      <c r="CL98" s="179">
        <f t="shared" si="91"/>
        <v>1</v>
      </c>
      <c r="CM98" s="180">
        <f t="shared" si="92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0.24058495044260519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114.58333333333333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114.58333333333333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85.96063269452992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85.96063269452992</v>
      </c>
      <c r="FV98" s="149"/>
      <c r="FY98" s="211">
        <v>93</v>
      </c>
      <c r="FZ98">
        <v>34.93585489444466</v>
      </c>
      <c r="GA98">
        <v>59.107290835763813</v>
      </c>
      <c r="GB98">
        <v>24.241115169584305</v>
      </c>
      <c r="GC98">
        <v>11.189692308732321</v>
      </c>
      <c r="GD98">
        <v>7.1474792472314999</v>
      </c>
      <c r="GE98">
        <v>9.8803894554209624</v>
      </c>
      <c r="GF98">
        <v>29.650913745573458</v>
      </c>
      <c r="GG98">
        <v>24.13518981127368</v>
      </c>
      <c r="GH98">
        <v>11.567736852376445</v>
      </c>
      <c r="GI98">
        <v>23.176060443730705</v>
      </c>
      <c r="GJ98"/>
      <c r="GK98">
        <v>37.930966200793769</v>
      </c>
      <c r="GL98">
        <v>54.572920513071722</v>
      </c>
      <c r="GM98">
        <v>42.944795424663909</v>
      </c>
      <c r="GN98">
        <v>36.930904642298358</v>
      </c>
      <c r="GO98">
        <v>31.075417170449104</v>
      </c>
      <c r="GP98">
        <v>21.199615242613675</v>
      </c>
      <c r="GQ98">
        <v>39.949197618642415</v>
      </c>
      <c r="GR98">
        <v>36.302382898268419</v>
      </c>
      <c r="GS98">
        <v>13.64323012826793</v>
      </c>
      <c r="GT98">
        <v>33.108721308563439</v>
      </c>
      <c r="GU98"/>
      <c r="GV98"/>
      <c r="GW98"/>
      <c r="GX98"/>
      <c r="GY98"/>
      <c r="GZ98"/>
      <c r="HA98"/>
      <c r="HB98"/>
      <c r="HC98"/>
    </row>
    <row r="99" spans="1:211" s="7" customFormat="1">
      <c r="A99" s="1"/>
      <c r="B99" s="76">
        <f t="shared" ca="1" si="50"/>
        <v>3.2626235478767196E-2</v>
      </c>
      <c r="C99">
        <v>7</v>
      </c>
      <c r="D99">
        <v>39673</v>
      </c>
      <c r="E99">
        <v>0</v>
      </c>
      <c r="F99">
        <v>0</v>
      </c>
      <c r="G99">
        <v>0</v>
      </c>
      <c r="H99">
        <v>114.58333333333333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43.789636752136758</v>
      </c>
      <c r="AO99">
        <v>33.687791314520169</v>
      </c>
      <c r="AP99">
        <v>23.341620939024008</v>
      </c>
      <c r="AQ99">
        <v>226.30676910439141</v>
      </c>
      <c r="AR99">
        <v>32.386082666944382</v>
      </c>
      <c r="AS99">
        <v>311.75337306257319</v>
      </c>
      <c r="AT99">
        <v>25.409648057349994</v>
      </c>
      <c r="AU99">
        <v>32.236014589749267</v>
      </c>
      <c r="AV99"/>
      <c r="AW99"/>
      <c r="AX99" s="146"/>
      <c r="AY99" s="76">
        <f t="shared" ca="1" si="88"/>
        <v>0.46424675334258447</v>
      </c>
      <c r="AZ99">
        <v>2</v>
      </c>
      <c r="BA99" s="129">
        <f t="shared" ref="BA99:BA107" si="127">IF(AZ99="", "",$C$5)</f>
        <v>39673</v>
      </c>
      <c r="BB99">
        <v>0</v>
      </c>
      <c r="BC99">
        <v>0</v>
      </c>
      <c r="BD99">
        <v>0</v>
      </c>
      <c r="BE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90"/>
        <v>0.48463427648717095</v>
      </c>
      <c r="CL99" s="179">
        <f t="shared" si="91"/>
        <v>2</v>
      </c>
      <c r="CM99" s="180">
        <f t="shared" si="92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0.55546972009844442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10.416666666666666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10.416666666666666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7.8146029722299923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7.8146029722299923</v>
      </c>
      <c r="FV99" s="149"/>
      <c r="FY99" s="211">
        <v>94</v>
      </c>
      <c r="FZ99">
        <v>43.20896570947825</v>
      </c>
      <c r="GA99">
        <v>55.795960161217494</v>
      </c>
      <c r="GB99">
        <v>22.606995329781892</v>
      </c>
      <c r="GC99">
        <v>16.67025301580297</v>
      </c>
      <c r="GD99">
        <v>11.432761217084671</v>
      </c>
      <c r="GE99">
        <v>10.790916839072706</v>
      </c>
      <c r="GF99">
        <v>29.308179413600321</v>
      </c>
      <c r="GG99">
        <v>26.425907435239964</v>
      </c>
      <c r="GH99">
        <v>14.358400156576293</v>
      </c>
      <c r="GI99">
        <v>27.070951659538842</v>
      </c>
      <c r="GJ99"/>
      <c r="GK99">
        <v>44.677090641268045</v>
      </c>
      <c r="GL99">
        <v>49.310144754771244</v>
      </c>
      <c r="GM99">
        <v>40.049840232678712</v>
      </c>
      <c r="GN99">
        <v>55.051531206955723</v>
      </c>
      <c r="GO99">
        <v>49.746618035422671</v>
      </c>
      <c r="GP99">
        <v>23.153265985671172</v>
      </c>
      <c r="GQ99">
        <v>39.48742562482883</v>
      </c>
      <c r="GR99">
        <v>39.747912390569823</v>
      </c>
      <c r="GS99">
        <v>16.769071317159927</v>
      </c>
      <c r="GT99">
        <v>38.146009170271647</v>
      </c>
      <c r="GU99"/>
      <c r="GV99"/>
      <c r="GW99"/>
      <c r="GX99"/>
      <c r="GY99"/>
      <c r="GZ99"/>
      <c r="HA99"/>
      <c r="HB99"/>
      <c r="HC99"/>
    </row>
    <row r="100" spans="1:211" s="7" customFormat="1">
      <c r="A100" s="1"/>
      <c r="B100" s="76">
        <f t="shared" ca="1" si="50"/>
        <v>0.89292379566222913</v>
      </c>
      <c r="C100">
        <v>2</v>
      </c>
      <c r="D100">
        <v>39673</v>
      </c>
      <c r="E100">
        <v>0</v>
      </c>
      <c r="F100">
        <v>0</v>
      </c>
      <c r="G100">
        <v>0</v>
      </c>
      <c r="H100">
        <v>10.416666666666666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50.938514957264957</v>
      </c>
      <c r="AO100">
        <v>41.610957176708574</v>
      </c>
      <c r="AP100">
        <v>34.594052148831473</v>
      </c>
      <c r="AQ100">
        <v>279.52901079795845</v>
      </c>
      <c r="AR100">
        <v>39.58022418672104</v>
      </c>
      <c r="AS100">
        <v>354.6035450085721</v>
      </c>
      <c r="AT100">
        <v>31.13701963783188</v>
      </c>
      <c r="AU100">
        <v>17.605261606280951</v>
      </c>
      <c r="AV100"/>
      <c r="AW100"/>
      <c r="AX100" s="146"/>
      <c r="AY100" s="76">
        <f t="shared" ca="1" si="88"/>
        <v>0.56497934959490337</v>
      </c>
      <c r="AZ100">
        <v>3</v>
      </c>
      <c r="BA100" s="129">
        <f t="shared" si="127"/>
        <v>39673</v>
      </c>
      <c r="BB100">
        <v>0</v>
      </c>
      <c r="BC100">
        <v>0</v>
      </c>
      <c r="BD100">
        <v>0</v>
      </c>
      <c r="BE100">
        <v>7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90"/>
        <v>0.82176971070338922</v>
      </c>
      <c r="CL100" s="179">
        <f t="shared" si="91"/>
        <v>3</v>
      </c>
      <c r="CM100" s="180">
        <f t="shared" si="92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0.77317073359217603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72.916666666666671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72.916666666666671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54.702220805609954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54.702220805609954</v>
      </c>
      <c r="FV100" s="149"/>
      <c r="FY100" s="211">
        <v>95</v>
      </c>
      <c r="FZ100">
        <v>42.941223587235477</v>
      </c>
      <c r="GA100">
        <v>78.825989910171899</v>
      </c>
      <c r="GB100">
        <v>28.652236209541748</v>
      </c>
      <c r="GC100">
        <v>10.603275744212077</v>
      </c>
      <c r="GD100">
        <v>8.5052048624130254</v>
      </c>
      <c r="GE100">
        <v>13.172296150161879</v>
      </c>
      <c r="GF100">
        <v>22.400764415372485</v>
      </c>
      <c r="GG100">
        <v>15.043166252232224</v>
      </c>
      <c r="GH100">
        <v>9.7673215646994667</v>
      </c>
      <c r="GI100">
        <v>24.609563208064294</v>
      </c>
      <c r="GJ100"/>
      <c r="GK100">
        <v>46.203226171413803</v>
      </c>
      <c r="GL100">
        <v>71.999485141144604</v>
      </c>
      <c r="GM100">
        <v>50.7593983968939</v>
      </c>
      <c r="GN100">
        <v>34.986383157215094</v>
      </c>
      <c r="GO100">
        <v>36.97555482287364</v>
      </c>
      <c r="GP100">
        <v>28.262814082898476</v>
      </c>
      <c r="GQ100">
        <v>30.180943903354933</v>
      </c>
      <c r="GR100">
        <v>22.626827696865934</v>
      </c>
      <c r="GS100">
        <v>10.94044416112199</v>
      </c>
      <c r="GT100">
        <v>35.011913491131658</v>
      </c>
      <c r="GU100"/>
      <c r="GV100"/>
      <c r="GW100"/>
      <c r="GX100"/>
      <c r="GY100"/>
      <c r="GZ100"/>
      <c r="HA100"/>
      <c r="HB100"/>
      <c r="HC100"/>
    </row>
    <row r="101" spans="1:211" s="7" customFormat="1">
      <c r="A101" s="1"/>
      <c r="B101" s="76">
        <f t="shared" ca="1" si="50"/>
        <v>0.62582554977512905</v>
      </c>
      <c r="C101">
        <v>9</v>
      </c>
      <c r="D101">
        <v>39673</v>
      </c>
      <c r="E101">
        <v>0</v>
      </c>
      <c r="F101">
        <v>0</v>
      </c>
      <c r="G101">
        <v>0</v>
      </c>
      <c r="H101">
        <v>41.666666666666664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44.633894230769229</v>
      </c>
      <c r="AO101">
        <v>34.594774955049388</v>
      </c>
      <c r="AP101">
        <v>26.847735993709254</v>
      </c>
      <c r="AQ101">
        <v>238.04151894995044</v>
      </c>
      <c r="AR101">
        <v>33.844152266177211</v>
      </c>
      <c r="AS101">
        <v>313.11788099614427</v>
      </c>
      <c r="AT101">
        <v>26.517539939093847</v>
      </c>
      <c r="AU101">
        <v>34.467888559421304</v>
      </c>
      <c r="AV101"/>
      <c r="AW101"/>
      <c r="AX101" s="146"/>
      <c r="AY101" s="76">
        <f t="shared" ca="1" si="88"/>
        <v>0.48369592510038606</v>
      </c>
      <c r="AZ101">
        <v>4</v>
      </c>
      <c r="BA101" s="129">
        <f t="shared" si="127"/>
        <v>39673</v>
      </c>
      <c r="BB101">
        <v>0</v>
      </c>
      <c r="BC101">
        <v>0</v>
      </c>
      <c r="BD101">
        <v>0</v>
      </c>
      <c r="BE101">
        <v>3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90"/>
        <v>0.445245583421225</v>
      </c>
      <c r="CL101" s="179">
        <f t="shared" si="91"/>
        <v>4</v>
      </c>
      <c r="CM101" s="180">
        <f t="shared" si="92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0.83927995764140317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31.25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31.25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23.443808916689978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23.443808916689978</v>
      </c>
      <c r="FV101" s="149"/>
      <c r="FY101" s="211">
        <v>96</v>
      </c>
      <c r="FZ101">
        <v>50.286793249766745</v>
      </c>
      <c r="GA101">
        <v>83.286841158562638</v>
      </c>
      <c r="GB101">
        <v>30.426709900615542</v>
      </c>
      <c r="GC101">
        <v>15.935351660999627</v>
      </c>
      <c r="GD101">
        <v>9.7568324848181973</v>
      </c>
      <c r="GE101">
        <v>6.7238945254282543</v>
      </c>
      <c r="GF101">
        <v>15.053946427435486</v>
      </c>
      <c r="GG101">
        <v>11.66612893030254</v>
      </c>
      <c r="GH101">
        <v>5.9301595214246756</v>
      </c>
      <c r="GI101">
        <v>24.842377778199634</v>
      </c>
      <c r="GJ101"/>
      <c r="GK101">
        <v>55.615810666367985</v>
      </c>
      <c r="GL101">
        <v>78.27815928583496</v>
      </c>
      <c r="GM101">
        <v>53.903000047086429</v>
      </c>
      <c r="GN101">
        <v>52.624268162550962</v>
      </c>
      <c r="GO101">
        <v>42.452988594674686</v>
      </c>
      <c r="GP101">
        <v>14.42695933334768</v>
      </c>
      <c r="GQ101">
        <v>20.282446805196933</v>
      </c>
      <c r="GR101">
        <v>17.547335764916436</v>
      </c>
      <c r="GS101">
        <v>6.6424125263954927</v>
      </c>
      <c r="GT101">
        <v>35.779331727944303</v>
      </c>
      <c r="GU101"/>
      <c r="GV101"/>
      <c r="GW101"/>
      <c r="GX101"/>
      <c r="GY101"/>
      <c r="GZ101"/>
      <c r="HA101"/>
      <c r="HB101"/>
      <c r="HC101"/>
    </row>
    <row r="102" spans="1:211" s="7" customFormat="1">
      <c r="A102" s="1"/>
      <c r="B102" s="76">
        <f t="shared" ca="1" si="50"/>
        <v>0.94409803091845967</v>
      </c>
      <c r="C102">
        <v>10</v>
      </c>
      <c r="D102">
        <v>39673</v>
      </c>
      <c r="E102">
        <v>0</v>
      </c>
      <c r="F102">
        <v>0</v>
      </c>
      <c r="G102">
        <v>0</v>
      </c>
      <c r="H102">
        <v>37.5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46.165972222222223</v>
      </c>
      <c r="AO102">
        <v>36.096708022329807</v>
      </c>
      <c r="AP102">
        <v>27.83004467273248</v>
      </c>
      <c r="AQ102">
        <v>240.52316488869664</v>
      </c>
      <c r="AR102">
        <v>34.777457302607075</v>
      </c>
      <c r="AS102">
        <v>325.75877652003237</v>
      </c>
      <c r="AT102">
        <v>27.24828670766026</v>
      </c>
      <c r="AU102">
        <v>18.615075994007043</v>
      </c>
      <c r="AV102"/>
      <c r="AW102"/>
      <c r="AX102" s="146"/>
      <c r="AY102" s="76">
        <f t="shared" ca="1" si="88"/>
        <v>0.83028896284980291</v>
      </c>
      <c r="AZ102">
        <v>5</v>
      </c>
      <c r="BA102" s="129">
        <f t="shared" si="127"/>
        <v>39673</v>
      </c>
      <c r="BB102">
        <v>0</v>
      </c>
      <c r="BC102">
        <v>0</v>
      </c>
      <c r="BD102">
        <v>0</v>
      </c>
      <c r="BE102">
        <v>4</v>
      </c>
      <c r="BF102">
        <v>4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90"/>
        <v>0.88596645573799826</v>
      </c>
      <c r="CL102" s="179">
        <f t="shared" si="91"/>
        <v>5</v>
      </c>
      <c r="CM102" s="180">
        <f t="shared" si="92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0.71685546654592525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41.666666666666664</v>
      </c>
      <c r="DJ102" s="161">
        <f t="shared" si="99"/>
        <v>41.666666666666664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83.333333333333329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31.258411888919969</v>
      </c>
      <c r="ET102" s="139">
        <f t="shared" si="60"/>
        <v>184.96446548275523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216.2228773716752</v>
      </c>
      <c r="FV102" s="149"/>
      <c r="FY102" s="211">
        <v>97</v>
      </c>
      <c r="FZ102">
        <v>47.85501334829555</v>
      </c>
      <c r="GA102">
        <v>68.480304745572141</v>
      </c>
      <c r="GB102">
        <v>24.702277823761673</v>
      </c>
      <c r="GC102">
        <v>13.933958002051996</v>
      </c>
      <c r="GD102">
        <v>9.0348576244243759</v>
      </c>
      <c r="GE102">
        <v>12.597963492781549</v>
      </c>
      <c r="GF102">
        <v>35.187391415908756</v>
      </c>
      <c r="GG102">
        <v>27.535842778811258</v>
      </c>
      <c r="GH102">
        <v>9.7673215646994649</v>
      </c>
      <c r="GI102">
        <v>27.12005332951032</v>
      </c>
      <c r="GJ102"/>
      <c r="GK102">
        <v>51.293937283307045</v>
      </c>
      <c r="GL102">
        <v>62.8563996636355</v>
      </c>
      <c r="GM102">
        <v>43.761776644487952</v>
      </c>
      <c r="GN102">
        <v>46.017821290649039</v>
      </c>
      <c r="GO102">
        <v>39.315296433697924</v>
      </c>
      <c r="GP102">
        <v>27.030511306508362</v>
      </c>
      <c r="GQ102">
        <v>47.408591364861955</v>
      </c>
      <c r="GR102">
        <v>41.417395752818962</v>
      </c>
      <c r="GS102">
        <v>10.940444161121988</v>
      </c>
      <c r="GT102">
        <v>38.544009177495376</v>
      </c>
      <c r="GU102"/>
      <c r="GV102"/>
      <c r="GW102"/>
      <c r="GX102"/>
      <c r="GY102"/>
      <c r="GZ102"/>
      <c r="HA102"/>
      <c r="HB102"/>
      <c r="HC102"/>
    </row>
    <row r="103" spans="1:211" s="7" customFormat="1">
      <c r="A103" s="1"/>
      <c r="B103" s="76">
        <f t="shared" ca="1" si="50"/>
        <v>0.69165919140490217</v>
      </c>
      <c r="C103">
        <v>6</v>
      </c>
      <c r="D103">
        <v>39673</v>
      </c>
      <c r="E103">
        <v>0</v>
      </c>
      <c r="F103">
        <v>0</v>
      </c>
      <c r="G103">
        <v>0</v>
      </c>
      <c r="H103">
        <v>10.416666666666666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62.296741452991455</v>
      </c>
      <c r="AO103">
        <v>46.175339784711099</v>
      </c>
      <c r="AP103">
        <v>5.2577282810500696</v>
      </c>
      <c r="AQ103">
        <v>321.45360704531686</v>
      </c>
      <c r="AR103">
        <v>44.043593027071346</v>
      </c>
      <c r="AS103">
        <v>426.28529739602726</v>
      </c>
      <c r="AT103">
        <v>36.17245231217175</v>
      </c>
      <c r="AU103">
        <v>33.672274801983519</v>
      </c>
      <c r="AV103"/>
      <c r="AW103"/>
      <c r="AX103" s="146"/>
      <c r="AY103" s="76">
        <f ca="1">IF(AZ103="", "", RAND())</f>
        <v>9.5271608561311005E-2</v>
      </c>
      <c r="AZ103">
        <v>6</v>
      </c>
      <c r="BA103" s="129">
        <f t="shared" si="127"/>
        <v>39673</v>
      </c>
      <c r="BB103">
        <v>0</v>
      </c>
      <c r="BC103">
        <v>0</v>
      </c>
      <c r="BD103">
        <v>0</v>
      </c>
      <c r="BE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90"/>
        <v>0.39428027014626288</v>
      </c>
      <c r="CL103" s="179">
        <f t="shared" si="91"/>
        <v>6</v>
      </c>
      <c r="CM103" s="180">
        <f t="shared" si="92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0.5215361239463796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0</v>
      </c>
      <c r="DI103" s="161">
        <f t="shared" si="98"/>
        <v>10.416666666666666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10.416666666666666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</v>
      </c>
      <c r="ES103" s="139">
        <f t="shared" si="59"/>
        <v>7.8146029722299923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7.8146029722299923</v>
      </c>
      <c r="FV103" s="149"/>
      <c r="FY103" s="211">
        <v>98</v>
      </c>
      <c r="FZ103">
        <v>38.981128728339741</v>
      </c>
      <c r="GA103">
        <v>58.625549266065292</v>
      </c>
      <c r="GB103">
        <v>22.797475556507326</v>
      </c>
      <c r="GC103">
        <v>10.943965504212976</v>
      </c>
      <c r="GD103">
        <v>7.9151446744971379</v>
      </c>
      <c r="GE103">
        <v>12.80808519670118</v>
      </c>
      <c r="GF103">
        <v>19.790710656500128</v>
      </c>
      <c r="GG103">
        <v>13.744305743797728</v>
      </c>
      <c r="GH103">
        <v>7.6743240865495794</v>
      </c>
      <c r="GI103">
        <v>21.402997394892754</v>
      </c>
      <c r="GJ103"/>
      <c r="GK103">
        <v>40.312132156763006</v>
      </c>
      <c r="GL103">
        <v>51.810817705884851</v>
      </c>
      <c r="GM103">
        <v>40.387288997388644</v>
      </c>
      <c r="GN103">
        <v>36.103947358919392</v>
      </c>
      <c r="GO103">
        <v>34.398943074069216</v>
      </c>
      <c r="GP103">
        <v>27.481353785675473</v>
      </c>
      <c r="GQ103">
        <v>26.66437256585143</v>
      </c>
      <c r="GR103">
        <v>20.673176953808433</v>
      </c>
      <c r="GS103">
        <v>8.5960632694529906</v>
      </c>
      <c r="GT103">
        <v>30.071760012705056</v>
      </c>
      <c r="GU103"/>
      <c r="GV103"/>
      <c r="GW103"/>
      <c r="GX103"/>
      <c r="GY103"/>
      <c r="GZ103"/>
      <c r="HA103"/>
      <c r="HB103"/>
      <c r="HC103"/>
    </row>
    <row r="104" spans="1:211" s="7" customFormat="1">
      <c r="A104" s="1"/>
      <c r="B104" s="76">
        <f t="shared" ca="1" si="50"/>
        <v>0.49120641052249625</v>
      </c>
      <c r="C104">
        <v>4</v>
      </c>
      <c r="D104">
        <v>39673</v>
      </c>
      <c r="E104">
        <v>0</v>
      </c>
      <c r="F104">
        <v>0</v>
      </c>
      <c r="G104">
        <v>0</v>
      </c>
      <c r="H104">
        <v>31.25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49.644871794871804</v>
      </c>
      <c r="AO104">
        <v>36.554700290305746</v>
      </c>
      <c r="AP104">
        <v>9.8570714625299587</v>
      </c>
      <c r="AQ104">
        <v>258.16631744991008</v>
      </c>
      <c r="AR104">
        <v>34.666877356866749</v>
      </c>
      <c r="AS104">
        <v>348.9406425932608</v>
      </c>
      <c r="AT104">
        <v>28.240014042889303</v>
      </c>
      <c r="AU104">
        <v>23.879092938205506</v>
      </c>
      <c r="AV104"/>
      <c r="AW104"/>
      <c r="AX104" s="146"/>
      <c r="AY104" s="76">
        <f ca="1">IF(AZ104="", "", RAND())</f>
        <v>0.41167572256903373</v>
      </c>
      <c r="AZ104">
        <v>7</v>
      </c>
      <c r="BA104" s="129">
        <f t="shared" si="127"/>
        <v>39673</v>
      </c>
      <c r="BB104">
        <v>0</v>
      </c>
      <c r="BC104">
        <v>0</v>
      </c>
      <c r="BD104">
        <v>0</v>
      </c>
      <c r="BE104">
        <v>11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90"/>
        <v>0.89545424146166663</v>
      </c>
      <c r="CL104" s="179">
        <f t="shared" si="91"/>
        <v>7</v>
      </c>
      <c r="CM104" s="180">
        <f t="shared" si="92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0.59265108836252733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114.58333333333333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114.58333333333333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85.96063269452992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85.96063269452992</v>
      </c>
      <c r="FV104" s="149"/>
      <c r="FY104" s="211">
        <v>99</v>
      </c>
      <c r="FZ104">
        <v>38.175881030083836</v>
      </c>
      <c r="GA104">
        <v>61.31790732392615</v>
      </c>
      <c r="GB104">
        <v>29.003120837720189</v>
      </c>
      <c r="GC104">
        <v>18.922813665021845</v>
      </c>
      <c r="GD104">
        <v>10.628167425002584</v>
      </c>
      <c r="GE104">
        <v>10.06249493215131</v>
      </c>
      <c r="GF104">
        <v>20.660728576124246</v>
      </c>
      <c r="GG104">
        <v>16.082254658979817</v>
      </c>
      <c r="GH104">
        <v>12.670486314003458</v>
      </c>
      <c r="GI104">
        <v>25.48450799766114</v>
      </c>
      <c r="GJ104"/>
      <c r="GK104">
        <v>41.288095460280729</v>
      </c>
      <c r="GL104">
        <v>56.526571256129216</v>
      </c>
      <c r="GM104">
        <v>51.38101454241221</v>
      </c>
      <c r="GN104">
        <v>62.49906331653942</v>
      </c>
      <c r="GO104">
        <v>46.253705983884373</v>
      </c>
      <c r="GP104">
        <v>21.590345391225171</v>
      </c>
      <c r="GQ104">
        <v>27.836563011685929</v>
      </c>
      <c r="GR104">
        <v>24.189748291311929</v>
      </c>
      <c r="GS104">
        <v>15.564555798190868</v>
      </c>
      <c r="GT104">
        <v>36.464786959290819</v>
      </c>
      <c r="GU104"/>
      <c r="GV104"/>
      <c r="GW104"/>
      <c r="GX104"/>
      <c r="GY104"/>
      <c r="GZ104"/>
      <c r="HA104"/>
      <c r="HB104"/>
      <c r="HC104"/>
    </row>
    <row r="105" spans="1:211" s="7" customFormat="1">
      <c r="A105" s="1"/>
      <c r="B105" s="76">
        <f t="shared" ca="1" si="50"/>
        <v>0.3574893460273918</v>
      </c>
      <c r="C105">
        <v>3</v>
      </c>
      <c r="D105">
        <v>39673</v>
      </c>
      <c r="E105">
        <v>0</v>
      </c>
      <c r="F105">
        <v>0</v>
      </c>
      <c r="G105">
        <v>0</v>
      </c>
      <c r="H105">
        <v>72.916666666666671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49.007211538461533</v>
      </c>
      <c r="AO105">
        <v>36.853225249572873</v>
      </c>
      <c r="AP105">
        <v>14.91318740582334</v>
      </c>
      <c r="AQ105">
        <v>248.02441819050244</v>
      </c>
      <c r="AR105">
        <v>35.536242081666522</v>
      </c>
      <c r="AS105">
        <v>326.78463119351801</v>
      </c>
      <c r="AT105">
        <v>28.835611154619244</v>
      </c>
      <c r="AU105">
        <v>24.301764256537574</v>
      </c>
      <c r="AV105"/>
      <c r="AW105"/>
      <c r="AX105" s="146"/>
      <c r="AY105" s="76">
        <f ca="1">IF(AZ105="", "", RAND())</f>
        <v>0.33819178284370022</v>
      </c>
      <c r="AZ105">
        <v>8</v>
      </c>
      <c r="BA105" s="129">
        <f t="shared" si="127"/>
        <v>39673</v>
      </c>
      <c r="BB105">
        <v>0</v>
      </c>
      <c r="BC105">
        <v>0</v>
      </c>
      <c r="BD105">
        <v>0</v>
      </c>
      <c r="BE105">
        <v>18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90"/>
        <v>0.50131065435401223</v>
      </c>
      <c r="CL105" s="179">
        <f t="shared" si="91"/>
        <v>8</v>
      </c>
      <c r="CM105" s="180">
        <f t="shared" si="92"/>
        <v>39673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0.1780378129140594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0</v>
      </c>
      <c r="DI105" s="161">
        <f t="shared" si="98"/>
        <v>187.5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187.5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0</v>
      </c>
      <c r="ES105" s="139">
        <f t="shared" si="59"/>
        <v>140.66285350013987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140.66285350013987</v>
      </c>
      <c r="FV105" s="149"/>
      <c r="FY105" s="211">
        <v>100</v>
      </c>
      <c r="FZ105">
        <v>36.740418979655963</v>
      </c>
      <c r="GA105">
        <v>75.9964008053241</v>
      </c>
      <c r="GB105">
        <v>31.529490160604901</v>
      </c>
      <c r="GC105">
        <v>11.320666316264949</v>
      </c>
      <c r="GD105">
        <v>7.153244371598662</v>
      </c>
      <c r="GE105">
        <v>11.276531443686968</v>
      </c>
      <c r="GF105">
        <v>26.364179382549011</v>
      </c>
      <c r="GG105">
        <v>19.719064082596397</v>
      </c>
      <c r="GH105">
        <v>12.265402678426405</v>
      </c>
      <c r="GI105">
        <v>24.76289848629186</v>
      </c>
      <c r="GJ105"/>
      <c r="GK105">
        <v>39.803320895557029</v>
      </c>
      <c r="GL105">
        <v>69.498812190031003</v>
      </c>
      <c r="GM105">
        <v>55.856650790143924</v>
      </c>
      <c r="GN105">
        <v>37.355810853282264</v>
      </c>
      <c r="GO105">
        <v>31.091832771520995</v>
      </c>
      <c r="GP105">
        <v>24.195213048635171</v>
      </c>
      <c r="GQ105">
        <v>35.52092260104542</v>
      </c>
      <c r="GR105">
        <v>29.659970371872923</v>
      </c>
      <c r="GS105">
        <v>14.424690425490926</v>
      </c>
      <c r="GT105">
        <v>35.339483496751654</v>
      </c>
      <c r="GU105"/>
      <c r="GV105"/>
      <c r="GW105"/>
      <c r="GX105"/>
      <c r="GY105"/>
      <c r="GZ105"/>
      <c r="HA105"/>
      <c r="HB105"/>
      <c r="HC105"/>
    </row>
    <row r="106" spans="1:211" s="7" customFormat="1">
      <c r="A106" s="1"/>
      <c r="B106" s="76">
        <f t="shared" ca="1" si="50"/>
        <v>0.61289386557980974</v>
      </c>
      <c r="C106">
        <v>5</v>
      </c>
      <c r="D106">
        <v>39673</v>
      </c>
      <c r="E106">
        <v>0</v>
      </c>
      <c r="F106">
        <v>0</v>
      </c>
      <c r="G106">
        <v>0</v>
      </c>
      <c r="H106">
        <v>41.666666666666664</v>
      </c>
      <c r="I106">
        <v>41.666666666666664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45.200293803418802</v>
      </c>
      <c r="AO106">
        <v>37.054943635523557</v>
      </c>
      <c r="AP106">
        <v>41.563397944569878</v>
      </c>
      <c r="AQ106">
        <v>251.85863888290805</v>
      </c>
      <c r="AR106">
        <v>35.449989482226755</v>
      </c>
      <c r="AS106">
        <v>315.61877158224235</v>
      </c>
      <c r="AT106">
        <v>27.480858045208162</v>
      </c>
      <c r="AU106">
        <v>24.252932600576202</v>
      </c>
      <c r="AV106"/>
      <c r="AW106"/>
      <c r="AX106" s="146"/>
      <c r="AY106" s="76">
        <f t="shared" ca="1" si="88"/>
        <v>0.31908375622848162</v>
      </c>
      <c r="AZ106">
        <v>9</v>
      </c>
      <c r="BA106" s="129">
        <f t="shared" si="127"/>
        <v>39673</v>
      </c>
      <c r="BB106">
        <v>0</v>
      </c>
      <c r="BC106">
        <v>0</v>
      </c>
      <c r="BD106">
        <v>0</v>
      </c>
      <c r="BE106">
        <v>4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90"/>
        <v>0.68284003911731705</v>
      </c>
      <c r="CL106" s="179">
        <f t="shared" si="91"/>
        <v>9</v>
      </c>
      <c r="CM106" s="180">
        <f t="shared" si="92"/>
        <v>39673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0.32110215707688905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41.666666666666664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41.666666666666664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31.258411888919969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31.258411888919969</v>
      </c>
      <c r="FV106" s="149"/>
      <c r="FY106" s="211">
        <v>101</v>
      </c>
      <c r="FZ106">
        <v>49.049663890010564</v>
      </c>
      <c r="GA106">
        <v>85.771919740698848</v>
      </c>
      <c r="GB106">
        <v>31.318959383697837</v>
      </c>
      <c r="GC106">
        <v>16.078521983061894</v>
      </c>
      <c r="GD106">
        <v>9.2401828289627375</v>
      </c>
      <c r="GE106">
        <v>9.8943975690156041</v>
      </c>
      <c r="GF106">
        <v>33.631904832338357</v>
      </c>
      <c r="GG106">
        <v>24.324114976136876</v>
      </c>
      <c r="GH106">
        <v>8.3719899125995436</v>
      </c>
      <c r="GI106">
        <v>28.622389158072941</v>
      </c>
      <c r="GJ106"/>
      <c r="GK106">
        <v>50.723073326916513</v>
      </c>
      <c r="GL106">
        <v>75.801648830630924</v>
      </c>
      <c r="GM106">
        <v>55.483681102832946</v>
      </c>
      <c r="GN106">
        <v>53.085616753574214</v>
      </c>
      <c r="GO106">
        <v>40.191521849394725</v>
      </c>
      <c r="GP106">
        <v>21.22967140789148</v>
      </c>
      <c r="GQ106">
        <v>45.312856931400269</v>
      </c>
      <c r="GR106">
        <v>36.586550279076782</v>
      </c>
      <c r="GS106">
        <v>9.3775235666759915</v>
      </c>
      <c r="GT106">
        <v>40.217731355444087</v>
      </c>
      <c r="GU106"/>
      <c r="GV106"/>
      <c r="GW106"/>
      <c r="GX106"/>
      <c r="GY106"/>
      <c r="GZ106"/>
      <c r="HA106"/>
      <c r="HB106"/>
      <c r="HC106"/>
    </row>
    <row r="107" spans="1:211" s="7" customFormat="1">
      <c r="A107" s="1"/>
      <c r="B107" s="76">
        <f t="shared" ca="1" si="50"/>
        <v>0.57370587959602481</v>
      </c>
      <c r="C107">
        <v>8</v>
      </c>
      <c r="D107">
        <v>39673</v>
      </c>
      <c r="E107">
        <v>0</v>
      </c>
      <c r="F107">
        <v>0</v>
      </c>
      <c r="G107">
        <v>0</v>
      </c>
      <c r="H107">
        <v>187.5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51.427857905982897</v>
      </c>
      <c r="AO107">
        <v>41.640751950384015</v>
      </c>
      <c r="AP107">
        <v>31.546403557875323</v>
      </c>
      <c r="AQ107">
        <v>287.99158302857364</v>
      </c>
      <c r="AR107">
        <v>39.734899300646816</v>
      </c>
      <c r="AS107">
        <v>386.15585307484332</v>
      </c>
      <c r="AT107">
        <v>31.133247944425321</v>
      </c>
      <c r="AU107">
        <v>5.4911948038913678</v>
      </c>
      <c r="AV107"/>
      <c r="AW107"/>
      <c r="AX107" s="146"/>
      <c r="AY107" s="76">
        <f t="shared" ca="1" si="88"/>
        <v>0.81792157404616539</v>
      </c>
      <c r="AZ107">
        <v>10</v>
      </c>
      <c r="BA107" s="129">
        <f t="shared" si="127"/>
        <v>39673</v>
      </c>
      <c r="BB107">
        <v>0</v>
      </c>
      <c r="BC107">
        <v>0</v>
      </c>
      <c r="BD107">
        <v>0</v>
      </c>
      <c r="BE107">
        <v>2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90"/>
        <v>0.85993310661365996</v>
      </c>
      <c r="CL107" s="179">
        <f t="shared" si="91"/>
        <v>10</v>
      </c>
      <c r="CM107" s="180">
        <f t="shared" si="92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0.76243554185419926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37.5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37.5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28.132570700027973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28.132570700027973</v>
      </c>
      <c r="FV107" s="149"/>
      <c r="FY107" s="211">
        <v>102</v>
      </c>
      <c r="FZ107">
        <v>49.581028263361723</v>
      </c>
      <c r="GA107">
        <v>76.615373422009554</v>
      </c>
      <c r="GB107">
        <v>29.664788993713799</v>
      </c>
      <c r="GC107">
        <v>14.184674863841581</v>
      </c>
      <c r="GD107">
        <v>9.1874911960649435</v>
      </c>
      <c r="GE107">
        <v>10.426705885612005</v>
      </c>
      <c r="GF107">
        <v>16.046997184178167</v>
      </c>
      <c r="GG107">
        <v>12.728832982658036</v>
      </c>
      <c r="GH107">
        <v>12.265402678426408</v>
      </c>
      <c r="GI107">
        <v>25.46698859036254</v>
      </c>
      <c r="GJ107"/>
      <c r="GK107">
        <v>53.076926768404263</v>
      </c>
      <c r="GL107">
        <v>70.045834398087095</v>
      </c>
      <c r="GM107">
        <v>52.553204988246698</v>
      </c>
      <c r="GN107">
        <v>46.834379107682736</v>
      </c>
      <c r="GO107">
        <v>39.966545341703686</v>
      </c>
      <c r="GP107">
        <v>22.37180568844817</v>
      </c>
      <c r="GQ107">
        <v>21.62040155650298</v>
      </c>
      <c r="GR107">
        <v>19.145777281963483</v>
      </c>
      <c r="GS107">
        <v>14.42469042549093</v>
      </c>
      <c r="GT107">
        <v>36.328353816069715</v>
      </c>
      <c r="GU107"/>
      <c r="GV107"/>
      <c r="GW107"/>
      <c r="GX107"/>
      <c r="GY107"/>
      <c r="GZ107"/>
      <c r="HA107"/>
      <c r="HB107"/>
      <c r="HC107"/>
    </row>
    <row r="108" spans="1:211" s="7" customFormat="1">
      <c r="A108" s="128"/>
      <c r="B108" s="76">
        <f t="shared" ca="1" si="50"/>
        <v>0.32793871755540049</v>
      </c>
      <c r="C108">
        <v>2</v>
      </c>
      <c r="D108">
        <v>39714</v>
      </c>
      <c r="E108">
        <v>0</v>
      </c>
      <c r="F108">
        <v>0</v>
      </c>
      <c r="G108">
        <v>0</v>
      </c>
      <c r="H108">
        <v>104.16666666666667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54.414075854700855</v>
      </c>
      <c r="AO108">
        <v>44.132207498636419</v>
      </c>
      <c r="AP108">
        <v>39.256742793719134</v>
      </c>
      <c r="AQ108">
        <v>286.86281598289992</v>
      </c>
      <c r="AR108">
        <v>41.913588750275281</v>
      </c>
      <c r="AS108">
        <v>377.3774198778504</v>
      </c>
      <c r="AT108">
        <v>33.00713093601135</v>
      </c>
      <c r="AU108">
        <v>23.788960650604526</v>
      </c>
      <c r="AV108"/>
      <c r="AW108"/>
      <c r="AX108" s="128"/>
      <c r="AY108" s="76">
        <f t="shared" ca="1" si="88"/>
        <v>0.44108012637129956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90"/>
        <v>0.9437744772489749</v>
      </c>
      <c r="CL108" s="179">
        <f t="shared" si="91"/>
        <v>1</v>
      </c>
      <c r="CM108" s="180">
        <f t="shared" si="92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0.11684291538645475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10.416666666666666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10.416666666666666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7.8146029722299923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7.8146029722299923</v>
      </c>
      <c r="FV108" s="149"/>
      <c r="FY108" s="211">
        <v>103</v>
      </c>
      <c r="FZ108">
        <v>45.835935634871248</v>
      </c>
      <c r="GA108">
        <v>79.140070276211816</v>
      </c>
      <c r="GB108">
        <v>28.231174655727628</v>
      </c>
      <c r="GC108">
        <v>12.421262394085424</v>
      </c>
      <c r="GD108">
        <v>8.9713504697730269</v>
      </c>
      <c r="GE108">
        <v>10.366004060035223</v>
      </c>
      <c r="GF108">
        <v>22.620465910227054</v>
      </c>
      <c r="GG108">
        <v>20.521996033264998</v>
      </c>
      <c r="GH108">
        <v>13.953316520999239</v>
      </c>
      <c r="GI108">
        <v>25.983149893118352</v>
      </c>
      <c r="GJ108"/>
      <c r="GK108">
        <v>47.405901644404686</v>
      </c>
      <c r="GL108">
        <v>69.940696601458427</v>
      </c>
      <c r="GM108">
        <v>50.013459022271945</v>
      </c>
      <c r="GN108">
        <v>41.013946497439825</v>
      </c>
      <c r="GO108">
        <v>39.030239589104518</v>
      </c>
      <c r="GP108">
        <v>22.24156230557767</v>
      </c>
      <c r="GQ108">
        <v>30.47695159169697</v>
      </c>
      <c r="GR108">
        <v>30.867681740308473</v>
      </c>
      <c r="GS108">
        <v>15.629205944459986</v>
      </c>
      <c r="GT108">
        <v>36.511151558387624</v>
      </c>
      <c r="GU108"/>
      <c r="GV108"/>
      <c r="GW108"/>
      <c r="GX108"/>
      <c r="GY108"/>
      <c r="GZ108"/>
      <c r="HA108"/>
      <c r="HB108"/>
      <c r="HC108"/>
    </row>
    <row r="109" spans="1:211" s="7" customFormat="1">
      <c r="A109" s="1"/>
      <c r="B109" s="76">
        <f t="shared" ca="1" si="50"/>
        <v>0.50667949864453266</v>
      </c>
      <c r="C109">
        <v>1</v>
      </c>
      <c r="D109">
        <v>39714</v>
      </c>
      <c r="E109">
        <v>0</v>
      </c>
      <c r="F109">
        <v>0</v>
      </c>
      <c r="G109">
        <v>0</v>
      </c>
      <c r="H109">
        <v>10.416666666666666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44.804487179487182</v>
      </c>
      <c r="AO109">
        <v>34.765815114763271</v>
      </c>
      <c r="AP109">
        <v>27.014233276611805</v>
      </c>
      <c r="AQ109">
        <v>235.03172276413184</v>
      </c>
      <c r="AR109">
        <v>33.10872130856341</v>
      </c>
      <c r="AS109">
        <v>306.05497126566991</v>
      </c>
      <c r="AT109">
        <v>25.993053099147279</v>
      </c>
      <c r="AU109">
        <v>19.852560619005612</v>
      </c>
      <c r="AV109"/>
      <c r="AW109"/>
      <c r="AX109" s="146"/>
      <c r="AY109" s="76">
        <f t="shared" ca="1" si="88"/>
        <v>0.60653893444425422</v>
      </c>
      <c r="AZ109">
        <v>2</v>
      </c>
      <c r="BA109" s="129">
        <f t="shared" ref="BA109:BA117" si="129">IF(AZ109="", "",$C$6)</f>
        <v>39714</v>
      </c>
      <c r="BB109">
        <v>0</v>
      </c>
      <c r="BC109">
        <v>0</v>
      </c>
      <c r="BD109">
        <v>0</v>
      </c>
      <c r="BE109">
        <v>10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90"/>
        <v>0.49402175223668277</v>
      </c>
      <c r="CL109" s="179">
        <f t="shared" si="91"/>
        <v>2</v>
      </c>
      <c r="CM109" s="180">
        <f t="shared" si="92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0.41926816607419348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104.16666666666667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104.16666666666667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78.146029722299929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78.146029722299929</v>
      </c>
      <c r="FV109" s="149"/>
      <c r="FY109" s="211">
        <v>104</v>
      </c>
      <c r="FZ109">
        <v>40.355199750548294</v>
      </c>
      <c r="GA109">
        <v>59.814688111975762</v>
      </c>
      <c r="GB109">
        <v>23.479194262682569</v>
      </c>
      <c r="GC109">
        <v>10.737232419568283</v>
      </c>
      <c r="GD109">
        <v>8.3713118873424825</v>
      </c>
      <c r="GE109">
        <v>10.487407711188791</v>
      </c>
      <c r="GF109">
        <v>20.12465692867908</v>
      </c>
      <c r="GG109">
        <v>22.789098011623388</v>
      </c>
      <c r="GH109">
        <v>18.195562199851082</v>
      </c>
      <c r="GI109">
        <v>23.769139076003896</v>
      </c>
      <c r="GJ109"/>
      <c r="GK109">
        <v>43.539961123711734</v>
      </c>
      <c r="GL109">
        <v>55.198088750850118</v>
      </c>
      <c r="GM109">
        <v>41.595000365824184</v>
      </c>
      <c r="GN109">
        <v>35.432661007395097</v>
      </c>
      <c r="GO109">
        <v>36.397190674946565</v>
      </c>
      <c r="GP109">
        <v>22.502049071318673</v>
      </c>
      <c r="GQ109">
        <v>27.114304252131337</v>
      </c>
      <c r="GR109">
        <v>34.277690310008836</v>
      </c>
      <c r="GS109">
        <v>21.067102951886422</v>
      </c>
      <c r="GT109">
        <v>33.942711873700048</v>
      </c>
      <c r="GU109"/>
      <c r="GV109"/>
      <c r="GW109"/>
      <c r="GX109"/>
      <c r="GY109"/>
      <c r="GZ109"/>
      <c r="HA109"/>
      <c r="HB109"/>
      <c r="HC109"/>
    </row>
    <row r="110" spans="1:211" s="7" customFormat="1">
      <c r="A110" s="1"/>
      <c r="B110" s="76">
        <f t="shared" ca="1" si="50"/>
        <v>0.83165792430753083</v>
      </c>
      <c r="C110">
        <v>3</v>
      </c>
      <c r="D110">
        <v>39714</v>
      </c>
      <c r="E110">
        <v>0</v>
      </c>
      <c r="F110">
        <v>0</v>
      </c>
      <c r="G110">
        <v>0</v>
      </c>
      <c r="H110">
        <v>125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53.511030982905979</v>
      </c>
      <c r="AO110">
        <v>39.613890935959787</v>
      </c>
      <c r="AP110">
        <v>18.575683375461402</v>
      </c>
      <c r="AQ110">
        <v>257.66929093739344</v>
      </c>
      <c r="AR110">
        <v>38.146009170271668</v>
      </c>
      <c r="AS110">
        <v>358.39464092560701</v>
      </c>
      <c r="AT110">
        <v>30.784193648632723</v>
      </c>
      <c r="AU110">
        <v>44.274948272272653</v>
      </c>
      <c r="AV110"/>
      <c r="AW110"/>
      <c r="AX110" s="146"/>
      <c r="AY110" s="76">
        <f t="shared" ca="1" si="88"/>
        <v>0.10943839413051037</v>
      </c>
      <c r="AZ110">
        <v>3</v>
      </c>
      <c r="BA110" s="129">
        <f t="shared" si="129"/>
        <v>39714</v>
      </c>
      <c r="BB110">
        <v>0</v>
      </c>
      <c r="BC110">
        <v>0</v>
      </c>
      <c r="BD110">
        <v>0</v>
      </c>
      <c r="BE110">
        <v>12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90"/>
        <v>0.57011495120381284</v>
      </c>
      <c r="CL110" s="179">
        <f t="shared" si="91"/>
        <v>3</v>
      </c>
      <c r="CM110" s="180">
        <f t="shared" si="92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0.43824973696002711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125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125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93.775235666759912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93.775235666759912</v>
      </c>
      <c r="FV110" s="149"/>
      <c r="FY110" s="211">
        <v>105</v>
      </c>
      <c r="FZ110">
        <v>30.220253693218467</v>
      </c>
      <c r="GA110">
        <v>57.033905394588402</v>
      </c>
      <c r="GB110">
        <v>30.647265952613409</v>
      </c>
      <c r="GC110">
        <v>13.791653494533923</v>
      </c>
      <c r="GD110">
        <v>7.2322186309700296</v>
      </c>
      <c r="GE110">
        <v>6.9667018277353847</v>
      </c>
      <c r="GF110">
        <v>20.344358423533656</v>
      </c>
      <c r="GG110">
        <v>20.734536843736095</v>
      </c>
      <c r="GH110">
        <v>16.800230547751156</v>
      </c>
      <c r="GI110">
        <v>23.25385847264802</v>
      </c>
      <c r="GJ110"/>
      <c r="GK110">
        <v>31.258411888919973</v>
      </c>
      <c r="GL110">
        <v>50.404189170883448</v>
      </c>
      <c r="GM110">
        <v>54.293730195697925</v>
      </c>
      <c r="GN110">
        <v>45.540131750411504</v>
      </c>
      <c r="GO110">
        <v>31.461550696420229</v>
      </c>
      <c r="GP110">
        <v>14.947932864829676</v>
      </c>
      <c r="GQ110">
        <v>27.410311940473381</v>
      </c>
      <c r="GR110">
        <v>31.187370043717877</v>
      </c>
      <c r="GS110">
        <v>19.504182357440421</v>
      </c>
      <c r="GT110">
        <v>32.785637415790397</v>
      </c>
      <c r="GU110"/>
      <c r="GV110"/>
      <c r="GW110"/>
      <c r="GX110"/>
      <c r="GY110"/>
      <c r="GZ110"/>
      <c r="HA110"/>
      <c r="HB110"/>
      <c r="HC110"/>
    </row>
    <row r="111" spans="1:211" s="7" customFormat="1">
      <c r="A111" s="1"/>
      <c r="B111" s="76">
        <f t="shared" ca="1" si="50"/>
        <v>0.24709610809483262</v>
      </c>
      <c r="C111">
        <v>9</v>
      </c>
      <c r="D111">
        <v>39714</v>
      </c>
      <c r="E111">
        <v>0</v>
      </c>
      <c r="F111">
        <v>0</v>
      </c>
      <c r="G111">
        <v>0</v>
      </c>
      <c r="H111">
        <v>270.83333333333331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48.428525641025651</v>
      </c>
      <c r="AO111">
        <v>36.794699102491407</v>
      </c>
      <c r="AP111">
        <v>30.059451714490898</v>
      </c>
      <c r="AQ111">
        <v>254.52104190410458</v>
      </c>
      <c r="AR111">
        <v>35.011913491131665</v>
      </c>
      <c r="AS111">
        <v>333.08122877365918</v>
      </c>
      <c r="AT111">
        <v>27.358405354084869</v>
      </c>
      <c r="AU111">
        <v>32.201361468967221</v>
      </c>
      <c r="AV111"/>
      <c r="AW111"/>
      <c r="AX111" s="146"/>
      <c r="AY111" s="76">
        <f t="shared" ca="1" si="88"/>
        <v>0.2358725415250793</v>
      </c>
      <c r="AZ111">
        <v>4</v>
      </c>
      <c r="BA111" s="129">
        <f t="shared" si="129"/>
        <v>39714</v>
      </c>
      <c r="BB111">
        <v>0</v>
      </c>
      <c r="BC111">
        <v>0</v>
      </c>
      <c r="BD111">
        <v>0</v>
      </c>
      <c r="BE111">
        <v>8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90"/>
        <v>0.12991077591047873</v>
      </c>
      <c r="CL111" s="179">
        <f t="shared" si="91"/>
        <v>4</v>
      </c>
      <c r="CM111" s="180">
        <f t="shared" si="92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0.76451789098249145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83.333333333333329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83.333333333333329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62.516823777839939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62.516823777839939</v>
      </c>
      <c r="FV111" s="149"/>
      <c r="FY111" s="211">
        <v>106</v>
      </c>
      <c r="FZ111">
        <v>45.059639881672851</v>
      </c>
      <c r="GA111">
        <v>81.125031057860724</v>
      </c>
      <c r="GB111">
        <v>27.679784525732948</v>
      </c>
      <c r="GC111">
        <v>12.006318076294892</v>
      </c>
      <c r="GD111">
        <v>9.4263765072646564</v>
      </c>
      <c r="GE111">
        <v>11.229837731704826</v>
      </c>
      <c r="GF111">
        <v>31.434889883792607</v>
      </c>
      <c r="GG111">
        <v>25.906363231866166</v>
      </c>
      <c r="GH111">
        <v>9.7673215646994649</v>
      </c>
      <c r="GI111">
        <v>26.981800487236967</v>
      </c>
      <c r="GJ111"/>
      <c r="GK111">
        <v>48.402534183581963</v>
      </c>
      <c r="GL111">
        <v>74.031281913924389</v>
      </c>
      <c r="GM111">
        <v>49.036633650743198</v>
      </c>
      <c r="GN111">
        <v>39.647291105635702</v>
      </c>
      <c r="GO111">
        <v>41.014846625775952</v>
      </c>
      <c r="GP111">
        <v>24.095025831042477</v>
      </c>
      <c r="GQ111">
        <v>42.35278004797982</v>
      </c>
      <c r="GR111">
        <v>38.966452093346824</v>
      </c>
      <c r="GS111">
        <v>10.940444161121988</v>
      </c>
      <c r="GT111">
        <v>38.349447733840584</v>
      </c>
      <c r="GU111"/>
      <c r="GV111"/>
      <c r="GW111"/>
      <c r="GX111"/>
      <c r="GY111"/>
      <c r="GZ111"/>
      <c r="HA111"/>
      <c r="HB111"/>
      <c r="HC111"/>
    </row>
    <row r="112" spans="1:211" s="7" customFormat="1">
      <c r="A112" s="1"/>
      <c r="B112" s="76">
        <f t="shared" ca="1" si="50"/>
        <v>0.1543623852436744</v>
      </c>
      <c r="C112">
        <v>6</v>
      </c>
      <c r="D112">
        <v>39714</v>
      </c>
      <c r="E112">
        <v>0</v>
      </c>
      <c r="F112">
        <v>0</v>
      </c>
      <c r="G112">
        <v>0</v>
      </c>
      <c r="H112">
        <v>83.333333333333329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46.02978098290599</v>
      </c>
      <c r="AO112">
        <v>37.755271291431583</v>
      </c>
      <c r="AP112">
        <v>24.630869906398708</v>
      </c>
      <c r="AQ112">
        <v>253.90903563755336</v>
      </c>
      <c r="AR112">
        <v>35.779331727944317</v>
      </c>
      <c r="AS112">
        <v>340.26804150696069</v>
      </c>
      <c r="AT112">
        <v>28.289557640627425</v>
      </c>
      <c r="AU112">
        <v>11.951249482169132</v>
      </c>
      <c r="AV112"/>
      <c r="AW112"/>
      <c r="AX112" s="146"/>
      <c r="AY112" s="76">
        <f t="shared" ca="1" si="88"/>
        <v>0.1924753784833988</v>
      </c>
      <c r="AZ112">
        <v>5</v>
      </c>
      <c r="BA112" s="129">
        <f t="shared" si="129"/>
        <v>39714</v>
      </c>
      <c r="BB112">
        <v>0</v>
      </c>
      <c r="BC112">
        <v>0</v>
      </c>
      <c r="BD112">
        <v>0</v>
      </c>
      <c r="BE112">
        <v>2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90"/>
        <v>0.72295380565892975</v>
      </c>
      <c r="CL112" s="179">
        <f t="shared" si="91"/>
        <v>5</v>
      </c>
      <c r="CM112" s="180">
        <f t="shared" si="92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0.87631733846819237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20.833333333333332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20.833333333333332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15.629205944459985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15.629205944459985</v>
      </c>
      <c r="FV112" s="149"/>
      <c r="FY112" s="211">
        <v>107</v>
      </c>
      <c r="FZ112">
        <v>35.136697518836193</v>
      </c>
      <c r="GA112">
        <v>76.045207192784545</v>
      </c>
      <c r="GB112">
        <v>35.16866501856979</v>
      </c>
      <c r="GC112">
        <v>15.311995371118586</v>
      </c>
      <c r="GD112">
        <v>10.944716036809272</v>
      </c>
      <c r="GE112">
        <v>10.426705885612007</v>
      </c>
      <c r="GF112">
        <v>22.13712262154699</v>
      </c>
      <c r="GG112">
        <v>14.807009796153226</v>
      </c>
      <c r="GH112">
        <v>7.7305748091016531</v>
      </c>
      <c r="GI112">
        <v>26.315827745984951</v>
      </c>
      <c r="GJ112"/>
      <c r="GK112">
        <v>36.329834659497642</v>
      </c>
      <c r="GL112">
        <v>67.205585561177926</v>
      </c>
      <c r="GM112">
        <v>62.303698242233658</v>
      </c>
      <c r="GN112">
        <v>50.565420841021137</v>
      </c>
      <c r="GO112">
        <v>47.622649022457608</v>
      </c>
      <c r="GP112">
        <v>22.371805688448173</v>
      </c>
      <c r="GQ112">
        <v>29.825734677344471</v>
      </c>
      <c r="GR112">
        <v>22.271618470855479</v>
      </c>
      <c r="GS112">
        <v>9.3451984935414334</v>
      </c>
      <c r="GT112">
        <v>37.085423019014961</v>
      </c>
      <c r="GU112"/>
      <c r="GV112"/>
      <c r="GW112"/>
      <c r="GX112"/>
      <c r="GY112"/>
      <c r="GZ112"/>
      <c r="HA112"/>
      <c r="HB112"/>
      <c r="HC112"/>
    </row>
    <row r="113" spans="1:211" s="7" customFormat="1">
      <c r="A113" s="1"/>
      <c r="B113" s="76">
        <f t="shared" ca="1" si="50"/>
        <v>0.56160414369711287</v>
      </c>
      <c r="C113">
        <v>8</v>
      </c>
      <c r="D113">
        <v>39714</v>
      </c>
      <c r="E113">
        <v>0</v>
      </c>
      <c r="F113">
        <v>0</v>
      </c>
      <c r="G113">
        <v>0</v>
      </c>
      <c r="H113">
        <v>52.083333333333336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52.601976495726504</v>
      </c>
      <c r="AO113">
        <v>40.858618307858407</v>
      </c>
      <c r="AP113">
        <v>19.000085219735681</v>
      </c>
      <c r="AQ113">
        <v>276.21498412581713</v>
      </c>
      <c r="AR113">
        <v>38.544009177495376</v>
      </c>
      <c r="AS113">
        <v>372.67275934707499</v>
      </c>
      <c r="AT113">
        <v>31.034039169292384</v>
      </c>
      <c r="AU113">
        <v>26.462210765363352</v>
      </c>
      <c r="AV113"/>
      <c r="AW113"/>
      <c r="AX113" s="146"/>
      <c r="AY113" s="76">
        <f t="shared" ca="1" si="88"/>
        <v>0.85988524563305657</v>
      </c>
      <c r="AZ113">
        <v>6</v>
      </c>
      <c r="BA113" s="129">
        <f t="shared" si="129"/>
        <v>39714</v>
      </c>
      <c r="BB113">
        <v>0</v>
      </c>
      <c r="BC113">
        <v>0</v>
      </c>
      <c r="BD113">
        <v>0</v>
      </c>
      <c r="BE113">
        <v>8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90"/>
        <v>0.95457208772860414</v>
      </c>
      <c r="CL113" s="179">
        <f t="shared" si="91"/>
        <v>6</v>
      </c>
      <c r="CM113" s="180">
        <f t="shared" si="92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0.60570737541271491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83.333333333333329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83.333333333333329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62.516823777839939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62.516823777839939</v>
      </c>
      <c r="FV113" s="149"/>
      <c r="FY113" s="211">
        <v>108</v>
      </c>
      <c r="FZ113">
        <v>51.458144446893996</v>
      </c>
      <c r="GA113">
        <v>60.168386750081744</v>
      </c>
      <c r="GB113">
        <v>21.614493095791467</v>
      </c>
      <c r="GC113">
        <v>12.855459240837773</v>
      </c>
      <c r="GD113">
        <v>9.3835211194238699</v>
      </c>
      <c r="GE113">
        <v>13.204981748549377</v>
      </c>
      <c r="GF113">
        <v>17.883701681162417</v>
      </c>
      <c r="GG113">
        <v>11.949516677597337</v>
      </c>
      <c r="GH113">
        <v>11.511486129824371</v>
      </c>
      <c r="GI113">
        <v>24.04804319758858</v>
      </c>
      <c r="GJ113"/>
      <c r="GK113">
        <v>55.016208312946063</v>
      </c>
      <c r="GL113">
        <v>55.510672869739324</v>
      </c>
      <c r="GM113">
        <v>38.291554563926965</v>
      </c>
      <c r="GN113">
        <v>42.455710308785221</v>
      </c>
      <c r="GO113">
        <v>40.832677383783604</v>
      </c>
      <c r="GP113">
        <v>28.332945135213357</v>
      </c>
      <c r="GQ113">
        <v>24.095025831042477</v>
      </c>
      <c r="GR113">
        <v>17.97358683612898</v>
      </c>
      <c r="GS113">
        <v>12.894094904179488</v>
      </c>
      <c r="GT113">
        <v>34.225912199175717</v>
      </c>
      <c r="GU113"/>
      <c r="GV113"/>
      <c r="GW113"/>
      <c r="GX113"/>
      <c r="GY113"/>
      <c r="GZ113"/>
      <c r="HA113"/>
      <c r="HB113"/>
      <c r="HC113"/>
    </row>
    <row r="114" spans="1:211" s="7" customFormat="1">
      <c r="A114" s="1"/>
      <c r="B114" s="76">
        <f t="shared" ca="1" si="50"/>
        <v>0.28481687630341868</v>
      </c>
      <c r="C114">
        <v>10</v>
      </c>
      <c r="D114">
        <v>39714</v>
      </c>
      <c r="E114">
        <v>0</v>
      </c>
      <c r="F114">
        <v>0</v>
      </c>
      <c r="G114">
        <v>0</v>
      </c>
      <c r="H114">
        <v>114.58333333333333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43.747970085470087</v>
      </c>
      <c r="AO114">
        <v>31.649985588051852</v>
      </c>
      <c r="AP114">
        <v>16.144941964483529</v>
      </c>
      <c r="AQ114">
        <v>214.68368680806381</v>
      </c>
      <c r="AR114">
        <v>30.071760012705038</v>
      </c>
      <c r="AS114">
        <v>283.44614978436528</v>
      </c>
      <c r="AT114">
        <v>24.117647261038552</v>
      </c>
      <c r="AU114">
        <v>26.7670822048307</v>
      </c>
      <c r="AV114"/>
      <c r="AW114"/>
      <c r="AX114" s="146"/>
      <c r="AY114" s="76">
        <f t="shared" ca="1" si="88"/>
        <v>0.77952986668903446</v>
      </c>
      <c r="AZ114">
        <v>7</v>
      </c>
      <c r="BA114" s="129">
        <f t="shared" si="129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90"/>
        <v>0.3778811181263011</v>
      </c>
      <c r="CL114" s="179">
        <f t="shared" si="91"/>
        <v>7</v>
      </c>
      <c r="CM114" s="180">
        <f t="shared" si="92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0.16287789843189504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1">
        <v>109</v>
      </c>
      <c r="FZ114">
        <v>45.240181697388685</v>
      </c>
      <c r="GA114">
        <v>53.496919013528661</v>
      </c>
      <c r="GB114">
        <v>20.060575456715547</v>
      </c>
      <c r="GC114">
        <v>11.142612308880874</v>
      </c>
      <c r="GD114">
        <v>8.0053727684410276</v>
      </c>
      <c r="GE114">
        <v>10.973022315803053</v>
      </c>
      <c r="GF114">
        <v>12.566925505681695</v>
      </c>
      <c r="GG114">
        <v>7.7931630506069602</v>
      </c>
      <c r="GH114">
        <v>7.3254911735246013</v>
      </c>
      <c r="GI114">
        <v>20.251587029312105</v>
      </c>
      <c r="GJ114"/>
      <c r="GK114">
        <v>46.783883425198205</v>
      </c>
      <c r="GL114">
        <v>47.278347981991452</v>
      </c>
      <c r="GM114">
        <v>35.538683062345939</v>
      </c>
      <c r="GN114">
        <v>36.779246962027429</v>
      </c>
      <c r="GO114">
        <v>34.81330051499264</v>
      </c>
      <c r="GP114">
        <v>23.543996134282668</v>
      </c>
      <c r="GQ114">
        <v>16.931639773164981</v>
      </c>
      <c r="GR114">
        <v>11.721904458344989</v>
      </c>
      <c r="GS114">
        <v>8.2053331208414928</v>
      </c>
      <c r="GT114">
        <v>28.454567979308656</v>
      </c>
      <c r="GU114"/>
      <c r="GV114"/>
      <c r="GW114"/>
      <c r="GX114"/>
      <c r="GY114"/>
      <c r="GZ114"/>
      <c r="HA114"/>
      <c r="HB114"/>
      <c r="HC114"/>
    </row>
    <row r="115" spans="1:211" s="7" customFormat="1">
      <c r="A115" s="1"/>
      <c r="B115" s="76">
        <f t="shared" ca="1" si="50"/>
        <v>0.48633939179379393</v>
      </c>
      <c r="C115">
        <v>5</v>
      </c>
      <c r="D115">
        <v>39714</v>
      </c>
      <c r="E115">
        <v>0</v>
      </c>
      <c r="F115">
        <v>0</v>
      </c>
      <c r="G115">
        <v>0</v>
      </c>
      <c r="H115">
        <v>20.833333333333332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48.263755341880341</v>
      </c>
      <c r="AO115">
        <v>38.359445001095068</v>
      </c>
      <c r="AP115">
        <v>24.357145907016502</v>
      </c>
      <c r="AQ115">
        <v>243.00836276067457</v>
      </c>
      <c r="AR115">
        <v>36.464786959290848</v>
      </c>
      <c r="AS115">
        <v>318.13797382530782</v>
      </c>
      <c r="AT115">
        <v>29.368409833374262</v>
      </c>
      <c r="AU115">
        <v>21.217830274912068</v>
      </c>
      <c r="AV115"/>
      <c r="AW115"/>
      <c r="AX115" s="146"/>
      <c r="AY115" s="76">
        <f t="shared" ca="1" si="88"/>
        <v>0.99888048395832563</v>
      </c>
      <c r="AZ115">
        <v>8</v>
      </c>
      <c r="BA115" s="129">
        <f t="shared" si="129"/>
        <v>39714</v>
      </c>
      <c r="BB115">
        <v>0</v>
      </c>
      <c r="BC115">
        <v>0</v>
      </c>
      <c r="BD115">
        <v>0</v>
      </c>
      <c r="BE115">
        <v>5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90"/>
        <v>0.40865763064255201</v>
      </c>
      <c r="CL115" s="179">
        <f t="shared" si="91"/>
        <v>8</v>
      </c>
      <c r="CM115" s="180">
        <f t="shared" si="92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0.13776108139025478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52.083333333333336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52.083333333333336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39.073014861149964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39.073014861149964</v>
      </c>
      <c r="FV115" s="149"/>
      <c r="FY115" s="211">
        <v>110</v>
      </c>
      <c r="FZ115">
        <v>36.51076854104474</v>
      </c>
      <c r="GA115">
        <v>85.192565396079431</v>
      </c>
      <c r="GB115">
        <v>41.133703697603146</v>
      </c>
      <c r="GC115">
        <v>16.516354410589265</v>
      </c>
      <c r="GD115">
        <v>9.0787791705133021</v>
      </c>
      <c r="GE115">
        <v>10.622819475937</v>
      </c>
      <c r="GF115">
        <v>32.840979450861887</v>
      </c>
      <c r="GG115">
        <v>25.43405031970817</v>
      </c>
      <c r="GH115">
        <v>12.67048631400346</v>
      </c>
      <c r="GI115">
        <v>29.671580100038391</v>
      </c>
      <c r="GJ115"/>
      <c r="GK115">
        <v>39.55766362644637</v>
      </c>
      <c r="GL115">
        <v>77.625999281150186</v>
      </c>
      <c r="GM115">
        <v>72.871172716044669</v>
      </c>
      <c r="GN115">
        <v>54.527867955016461</v>
      </c>
      <c r="GO115">
        <v>39.484757233473722</v>
      </c>
      <c r="GP115">
        <v>22.792592002337482</v>
      </c>
      <c r="GQ115">
        <v>44.247229253368907</v>
      </c>
      <c r="GR115">
        <v>38.256033641325914</v>
      </c>
      <c r="GS115">
        <v>15.56455579819087</v>
      </c>
      <c r="GT115">
        <v>42.345075725504913</v>
      </c>
      <c r="GU115"/>
      <c r="GV115"/>
      <c r="GW115"/>
      <c r="GX115"/>
      <c r="GY115"/>
      <c r="GZ115"/>
      <c r="HA115"/>
      <c r="HB115"/>
      <c r="HC115"/>
    </row>
    <row r="116" spans="1:211" s="7" customFormat="1">
      <c r="A116" s="1"/>
      <c r="B116" s="76">
        <f t="shared" ca="1" si="50"/>
        <v>0.59105326713949413</v>
      </c>
      <c r="C116">
        <v>4</v>
      </c>
      <c r="D116">
        <v>39714</v>
      </c>
      <c r="E116">
        <v>0</v>
      </c>
      <c r="F116">
        <v>0</v>
      </c>
      <c r="G116">
        <v>0</v>
      </c>
      <c r="H116">
        <v>83.333333333333329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48.072195512820521</v>
      </c>
      <c r="AO116">
        <v>37.274670744433131</v>
      </c>
      <c r="AP116">
        <v>19.970164842933755</v>
      </c>
      <c r="AQ116">
        <v>257.12829670699921</v>
      </c>
      <c r="AR116">
        <v>35.339483496751669</v>
      </c>
      <c r="AS116">
        <v>335.80624971985895</v>
      </c>
      <c r="AT116">
        <v>28.040061843593929</v>
      </c>
      <c r="AU116">
        <v>5.5304750494168751</v>
      </c>
      <c r="AV116"/>
      <c r="AW116"/>
      <c r="AX116" s="146"/>
      <c r="AY116" s="76">
        <f t="shared" ca="1" si="88"/>
        <v>0.7373322505627895</v>
      </c>
      <c r="AZ116">
        <v>9</v>
      </c>
      <c r="BA116" s="129">
        <f t="shared" si="129"/>
        <v>39714</v>
      </c>
      <c r="BB116">
        <v>0</v>
      </c>
      <c r="BC116">
        <v>0</v>
      </c>
      <c r="BD116">
        <v>0</v>
      </c>
      <c r="BE116">
        <v>26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90"/>
        <v>0.21667867396429186</v>
      </c>
      <c r="CL116" s="179">
        <f t="shared" si="91"/>
        <v>9</v>
      </c>
      <c r="CM116" s="180">
        <f t="shared" si="92"/>
        <v>39714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0.54890872600107565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270.83333333333331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270.83333333333331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203.17967727797978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203.17967727797978</v>
      </c>
      <c r="FV116" s="149"/>
      <c r="FY116" s="211">
        <v>111</v>
      </c>
      <c r="FZ116">
        <v>37.763667444229199</v>
      </c>
      <c r="GA116">
        <v>64.019453497181416</v>
      </c>
      <c r="GB116">
        <v>25.123339377575796</v>
      </c>
      <c r="GC116">
        <v>11.610952743941894</v>
      </c>
      <c r="GD116">
        <v>8.1018793166766319</v>
      </c>
      <c r="GE116">
        <v>8.7410628830567312</v>
      </c>
      <c r="GF116">
        <v>27.497839095998625</v>
      </c>
      <c r="GG116">
        <v>22.812713657231281</v>
      </c>
      <c r="GH116">
        <v>9.4747393742265569</v>
      </c>
      <c r="GI116">
        <v>23.715029374345882</v>
      </c>
      <c r="GJ116"/>
      <c r="GK116">
        <v>39.058645662634277</v>
      </c>
      <c r="GL116">
        <v>56.577725518945151</v>
      </c>
      <c r="GM116">
        <v>44.507716019109914</v>
      </c>
      <c r="GN116">
        <v>38.345302008823225</v>
      </c>
      <c r="GO116">
        <v>35.254981742532273</v>
      </c>
      <c r="GP116">
        <v>18.755047133351983</v>
      </c>
      <c r="GQ116">
        <v>37.048322272890374</v>
      </c>
      <c r="GR116">
        <v>34.313211232609873</v>
      </c>
      <c r="GS116">
        <v>11.298849236598929</v>
      </c>
      <c r="GT116">
        <v>33.433702986753154</v>
      </c>
      <c r="GU116"/>
      <c r="GV116"/>
      <c r="GW116"/>
      <c r="GX116"/>
      <c r="GY116"/>
      <c r="GZ116"/>
      <c r="HA116"/>
      <c r="HB116"/>
      <c r="HC116"/>
    </row>
    <row r="117" spans="1:211" s="7" customFormat="1">
      <c r="A117" s="1"/>
      <c r="B117" s="76">
        <f t="shared" ca="1" si="50"/>
        <v>0.7472783882732088</v>
      </c>
      <c r="C117">
        <v>7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58.152777777777771</v>
      </c>
      <c r="AO117">
        <v>42.800987540383801</v>
      </c>
      <c r="AP117">
        <v>20.067873180162191</v>
      </c>
      <c r="AQ117">
        <v>296.30404427459524</v>
      </c>
      <c r="AR117">
        <v>40.217731355444116</v>
      </c>
      <c r="AS117">
        <v>397.06241607124019</v>
      </c>
      <c r="AT117">
        <v>32.755170188635837</v>
      </c>
      <c r="AU117">
        <v>32.061011411224776</v>
      </c>
      <c r="AV117"/>
      <c r="AW117"/>
      <c r="AX117" s="146"/>
      <c r="AY117" s="76">
        <f t="shared" ca="1" si="88"/>
        <v>0.33296709266240532</v>
      </c>
      <c r="AZ117">
        <v>10</v>
      </c>
      <c r="BA117" s="129">
        <f t="shared" si="129"/>
        <v>39714</v>
      </c>
      <c r="BB117">
        <v>0</v>
      </c>
      <c r="BC117">
        <v>0</v>
      </c>
      <c r="BD117">
        <v>0</v>
      </c>
      <c r="BE117">
        <v>11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90"/>
        <v>0.2838445883468288</v>
      </c>
      <c r="CL117" s="179">
        <f t="shared" si="91"/>
        <v>10</v>
      </c>
      <c r="CM117" s="180">
        <f t="shared" si="92"/>
        <v>39714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0.90268448005924062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0</v>
      </c>
      <c r="DI117" s="161">
        <f t="shared" si="98"/>
        <v>114.58333333333333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114.58333333333333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</v>
      </c>
      <c r="ES117" s="139">
        <f t="shared" si="59"/>
        <v>85.96063269452992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85.96063269452992</v>
      </c>
      <c r="FV117" s="149"/>
      <c r="FY117" s="211">
        <v>112</v>
      </c>
      <c r="FZ117">
        <v>30.542268436634103</v>
      </c>
      <c r="GA117">
        <v>59.195715495290301</v>
      </c>
      <c r="GB117">
        <v>36.17119252765103</v>
      </c>
      <c r="GC117">
        <v>18.674680038691637</v>
      </c>
      <c r="GD117">
        <v>9.3179211466752854</v>
      </c>
      <c r="GE117">
        <v>11.276531443686968</v>
      </c>
      <c r="GF117">
        <v>28.341492836240182</v>
      </c>
      <c r="GG117">
        <v>25.646591130179271</v>
      </c>
      <c r="GH117">
        <v>15.753731808676219</v>
      </c>
      <c r="GI117">
        <v>27.299558722433368</v>
      </c>
      <c r="GJ117"/>
      <c r="GK117">
        <v>33.384127278384682</v>
      </c>
      <c r="GL117">
        <v>54.651066542794013</v>
      </c>
      <c r="GM117">
        <v>64.079744372285944</v>
      </c>
      <c r="GN117">
        <v>61.66799680061694</v>
      </c>
      <c r="GO117">
        <v>40.538512610318143</v>
      </c>
      <c r="GP117">
        <v>24.195213048635171</v>
      </c>
      <c r="GQ117">
        <v>38.184991796123818</v>
      </c>
      <c r="GR117">
        <v>38.575721944735328</v>
      </c>
      <c r="GS117">
        <v>18.331991911605929</v>
      </c>
      <c r="GT117">
        <v>38.903873593743697</v>
      </c>
      <c r="GU117"/>
      <c r="GV117"/>
      <c r="GW117"/>
      <c r="GX117"/>
      <c r="GY117"/>
      <c r="GZ117"/>
      <c r="HA117"/>
      <c r="HB117"/>
      <c r="HC117"/>
    </row>
    <row r="118" spans="1:211" s="7" customFormat="1">
      <c r="A118" s="128"/>
      <c r="B118" s="76">
        <f t="shared" ca="1" si="50"/>
        <v>0.25195547045253974</v>
      </c>
      <c r="C118">
        <v>5</v>
      </c>
      <c r="D118">
        <v>39747</v>
      </c>
      <c r="E118">
        <v>0</v>
      </c>
      <c r="F118">
        <v>0</v>
      </c>
      <c r="G118">
        <v>0</v>
      </c>
      <c r="H118">
        <v>145.83333333333334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48.430528846153848</v>
      </c>
      <c r="AO118">
        <v>37.636791937259979</v>
      </c>
      <c r="AP118">
        <v>25.945902051791151</v>
      </c>
      <c r="AQ118">
        <v>256.16828406022876</v>
      </c>
      <c r="AR118">
        <v>36.328353816069722</v>
      </c>
      <c r="AS118">
        <v>340.59315571096721</v>
      </c>
      <c r="AT118">
        <v>28.706885483802548</v>
      </c>
      <c r="AU118">
        <v>28.128672862855417</v>
      </c>
      <c r="AV118"/>
      <c r="AW118"/>
      <c r="AX118" s="128"/>
      <c r="AY118" s="76">
        <f t="shared" ca="1" si="88"/>
        <v>0.16622318904139322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2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90"/>
        <v>0.41869440003219682</v>
      </c>
      <c r="CL118" s="179">
        <f t="shared" si="91"/>
        <v>1</v>
      </c>
      <c r="CM118" s="180">
        <f t="shared" si="92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0.93120343700976038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0</v>
      </c>
      <c r="DI118" s="161">
        <f t="shared" si="98"/>
        <v>20.833333333333332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20.833333333333332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0</v>
      </c>
      <c r="ES118" s="139">
        <f t="shared" si="59"/>
        <v>15.629205944459985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15.629205944459985</v>
      </c>
      <c r="FV118" s="149"/>
      <c r="FY118" s="211">
        <v>113</v>
      </c>
      <c r="FZ118">
        <v>44.419797188734563</v>
      </c>
      <c r="GA118">
        <v>75.417046460704682</v>
      </c>
      <c r="GB118">
        <v>30.857796729520473</v>
      </c>
      <c r="GC118">
        <v>10.518805890518184</v>
      </c>
      <c r="GD118">
        <v>6.0104235410502307</v>
      </c>
      <c r="GE118">
        <v>11.5193387459941</v>
      </c>
      <c r="GF118">
        <v>21.214376343157774</v>
      </c>
      <c r="GG118">
        <v>15.539094809998119</v>
      </c>
      <c r="GH118">
        <v>12.614235591451385</v>
      </c>
      <c r="GI118">
        <v>24.03035157782557</v>
      </c>
      <c r="GJ118"/>
      <c r="GK118">
        <v>49.529870403744383</v>
      </c>
      <c r="GL118">
        <v>71.323162640550265</v>
      </c>
      <c r="GM118">
        <v>54.666699883008903</v>
      </c>
      <c r="GN118">
        <v>34.695872219849555</v>
      </c>
      <c r="GO118">
        <v>26.105273707719796</v>
      </c>
      <c r="GP118">
        <v>24.716186580117171</v>
      </c>
      <c r="GQ118">
        <v>28.58250238630788</v>
      </c>
      <c r="GR118">
        <v>23.372767071487885</v>
      </c>
      <c r="GS118">
        <v>14.815420574102426</v>
      </c>
      <c r="GT118">
        <v>34.73995339097668</v>
      </c>
      <c r="GU118"/>
      <c r="GV118"/>
      <c r="GW118"/>
      <c r="GX118"/>
      <c r="GY118"/>
      <c r="GZ118"/>
      <c r="HA118"/>
      <c r="HB118"/>
      <c r="HC118"/>
    </row>
    <row r="119" spans="1:211" s="7" customFormat="1">
      <c r="A119" s="1"/>
      <c r="B119" s="76">
        <f t="shared" ca="1" si="50"/>
        <v>0.45221603057421089</v>
      </c>
      <c r="C119">
        <v>8</v>
      </c>
      <c r="D119">
        <v>39747</v>
      </c>
      <c r="E119">
        <v>0</v>
      </c>
      <c r="F119">
        <v>0</v>
      </c>
      <c r="G119">
        <v>0</v>
      </c>
      <c r="H119">
        <v>31.25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51.61565170940171</v>
      </c>
      <c r="AO119">
        <v>38.31307964951101</v>
      </c>
      <c r="AP119">
        <v>5.7856251519400868</v>
      </c>
      <c r="AQ119">
        <v>268.04472584831399</v>
      </c>
      <c r="AR119">
        <v>36.511151558387652</v>
      </c>
      <c r="AS119">
        <v>350.09734029077759</v>
      </c>
      <c r="AT119">
        <v>29.961285933462388</v>
      </c>
      <c r="AU119">
        <v>32.043984224627863</v>
      </c>
      <c r="AV119"/>
      <c r="AW119"/>
      <c r="AX119" s="146"/>
      <c r="AY119" s="76">
        <f t="shared" ca="1" si="88"/>
        <v>0.62798616098407001</v>
      </c>
      <c r="AZ119">
        <v>2</v>
      </c>
      <c r="BA119" s="129">
        <f t="shared" ref="BA119:BA127" si="131">IF(AZ119="", "",$C$7)</f>
        <v>39747</v>
      </c>
      <c r="BB119">
        <v>0</v>
      </c>
      <c r="BC119">
        <v>0</v>
      </c>
      <c r="BD119">
        <v>0</v>
      </c>
      <c r="BE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90"/>
        <v>0.11560154632828379</v>
      </c>
      <c r="CL119" s="179">
        <f t="shared" si="91"/>
        <v>2</v>
      </c>
      <c r="CM119" s="180">
        <f t="shared" si="92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0.89285963281186054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0</v>
      </c>
      <c r="DH119" s="161">
        <f t="shared" si="97"/>
        <v>0</v>
      </c>
      <c r="DI119" s="161">
        <f t="shared" si="98"/>
        <v>26.041666666666668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26.041666666666668</v>
      </c>
      <c r="EL119" s="149"/>
      <c r="EN119" s="146"/>
      <c r="EO119" s="146"/>
      <c r="EP119" s="139">
        <f t="shared" si="56"/>
        <v>0</v>
      </c>
      <c r="EQ119" s="139">
        <f t="shared" si="57"/>
        <v>0</v>
      </c>
      <c r="ER119" s="139">
        <f t="shared" si="58"/>
        <v>0</v>
      </c>
      <c r="ES119" s="139">
        <f t="shared" si="59"/>
        <v>19.536507430574982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19.536507430574982</v>
      </c>
      <c r="FV119" s="149"/>
      <c r="FY119" s="211">
        <v>114</v>
      </c>
      <c r="FZ119">
        <v>35.485498744943925</v>
      </c>
      <c r="GA119">
        <v>64.373152135287384</v>
      </c>
      <c r="GB119">
        <v>29.985597796619796</v>
      </c>
      <c r="GC119">
        <v>9.5348179107787381</v>
      </c>
      <c r="GD119">
        <v>5.625716191625731</v>
      </c>
      <c r="GE119">
        <v>12.929488847854747</v>
      </c>
      <c r="GF119">
        <v>20.300418124562743</v>
      </c>
      <c r="GG119">
        <v>12.209288779284236</v>
      </c>
      <c r="GH119">
        <v>11.218903939351462</v>
      </c>
      <c r="GI119">
        <v>21.964867918668183</v>
      </c>
      <c r="GJ119"/>
      <c r="GK119">
        <v>36.699895572449591</v>
      </c>
      <c r="GL119">
        <v>56.890309637834349</v>
      </c>
      <c r="GM119">
        <v>53.12153974986343</v>
      </c>
      <c r="GN119">
        <v>31.442075294856153</v>
      </c>
      <c r="GO119">
        <v>24.426693081149683</v>
      </c>
      <c r="GP119">
        <v>27.741840551416477</v>
      </c>
      <c r="GQ119">
        <v>27.351110402804977</v>
      </c>
      <c r="GR119">
        <v>18.36431698474048</v>
      </c>
      <c r="GS119">
        <v>13.252499979656427</v>
      </c>
      <c r="GT119">
        <v>30.970347757184822</v>
      </c>
      <c r="GU119"/>
      <c r="GV119"/>
      <c r="GW119"/>
      <c r="GX119"/>
      <c r="GY119"/>
      <c r="GZ119"/>
      <c r="HA119"/>
      <c r="HB119"/>
      <c r="HC119"/>
    </row>
    <row r="120" spans="1:211" s="7" customFormat="1">
      <c r="A120" s="1"/>
      <c r="B120" s="76">
        <f t="shared" ref="B120:B151" ca="1" si="132">IF(C120="", "", RAND())</f>
        <v>0.60948926603756792</v>
      </c>
      <c r="C120">
        <v>7</v>
      </c>
      <c r="D120">
        <v>39747</v>
      </c>
      <c r="E120">
        <v>0</v>
      </c>
      <c r="F120">
        <v>0</v>
      </c>
      <c r="G120">
        <v>0</v>
      </c>
      <c r="H120">
        <v>62.5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45.191880341880349</v>
      </c>
      <c r="AO120">
        <v>35.106676038177298</v>
      </c>
      <c r="AP120">
        <v>29.294528775419064</v>
      </c>
      <c r="AQ120">
        <v>238.12349035946363</v>
      </c>
      <c r="AR120">
        <v>33.942711873700048</v>
      </c>
      <c r="AS120">
        <v>323.83004063733887</v>
      </c>
      <c r="AT120">
        <v>26.783036555177521</v>
      </c>
      <c r="AU120">
        <v>32.372513505861342</v>
      </c>
      <c r="AV120"/>
      <c r="AW120"/>
      <c r="AX120" s="146"/>
      <c r="AY120" s="76">
        <f t="shared" ca="1" si="88"/>
        <v>0.44729966177558733</v>
      </c>
      <c r="AZ120">
        <v>3</v>
      </c>
      <c r="BA120" s="129">
        <f t="shared" si="131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90"/>
        <v>0.12815893139411072</v>
      </c>
      <c r="CL120" s="179">
        <f t="shared" si="91"/>
        <v>3</v>
      </c>
      <c r="CM120" s="180">
        <f t="shared" si="92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0.6177956059821974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1">
        <v>115</v>
      </c>
      <c r="FZ120">
        <v>28.331487837392313</v>
      </c>
      <c r="GA120">
        <v>56.149658799323483</v>
      </c>
      <c r="GB120">
        <v>30.757543978612343</v>
      </c>
      <c r="GC120">
        <v>12.50086995356526</v>
      </c>
      <c r="GD120">
        <v>7.6307583290358085</v>
      </c>
      <c r="GE120">
        <v>14.951326576681435</v>
      </c>
      <c r="GF120">
        <v>21.530746495748364</v>
      </c>
      <c r="GG120">
        <v>10.367268421868047</v>
      </c>
      <c r="GH120">
        <v>6.2789924344496564</v>
      </c>
      <c r="GI120">
        <v>21.77917349117061</v>
      </c>
      <c r="GJ120"/>
      <c r="GK120">
        <v>29.304761145862471</v>
      </c>
      <c r="GL120">
        <v>49.622728873660456</v>
      </c>
      <c r="GM120">
        <v>54.489095270003666</v>
      </c>
      <c r="GN120">
        <v>41.265357327962022</v>
      </c>
      <c r="GO120">
        <v>33.182981246893377</v>
      </c>
      <c r="GP120">
        <v>32.079947073180044</v>
      </c>
      <c r="GQ120">
        <v>29.008753457520427</v>
      </c>
      <c r="GR120">
        <v>15.593685021858938</v>
      </c>
      <c r="GS120">
        <v>7.0331426750069932</v>
      </c>
      <c r="GT120">
        <v>30.603746759057387</v>
      </c>
      <c r="GU120"/>
      <c r="GV120"/>
      <c r="GW120"/>
      <c r="GX120"/>
      <c r="GY120"/>
      <c r="GZ120"/>
      <c r="HA120"/>
      <c r="HB120"/>
      <c r="HC120"/>
    </row>
    <row r="121" spans="1:211" s="7" customFormat="1">
      <c r="A121" s="1"/>
      <c r="B121" s="76">
        <f t="shared" ca="1" si="132"/>
        <v>0.21782372109206616</v>
      </c>
      <c r="C121">
        <v>3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45.168669871794876</v>
      </c>
      <c r="AO121">
        <v>33.879344832458486</v>
      </c>
      <c r="AP121">
        <v>5.7576687797060044</v>
      </c>
      <c r="AQ121">
        <v>227.02498328132856</v>
      </c>
      <c r="AR121">
        <v>32.785637415790376</v>
      </c>
      <c r="AS121">
        <v>325.55329020729283</v>
      </c>
      <c r="AT121">
        <v>26.935067847642362</v>
      </c>
      <c r="AU121">
        <v>16.080071061067574</v>
      </c>
      <c r="AV121"/>
      <c r="AW121"/>
      <c r="AX121" s="146"/>
      <c r="AY121" s="76">
        <f t="shared" ca="1" si="88"/>
        <v>0.94449284838635217</v>
      </c>
      <c r="AZ121">
        <v>4</v>
      </c>
      <c r="BA121" s="129">
        <f t="shared" si="131"/>
        <v>39747</v>
      </c>
      <c r="BB121">
        <v>0</v>
      </c>
      <c r="BC121">
        <v>0</v>
      </c>
      <c r="BD121">
        <v>0</v>
      </c>
      <c r="BE121">
        <v>2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90"/>
        <v>0.97767662507315389</v>
      </c>
      <c r="CL121" s="179">
        <f t="shared" si="91"/>
        <v>4</v>
      </c>
      <c r="CM121" s="180">
        <f t="shared" si="92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0.13459358722576908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0</v>
      </c>
      <c r="DH121" s="161">
        <f t="shared" si="97"/>
        <v>0</v>
      </c>
      <c r="DI121" s="161">
        <f t="shared" si="98"/>
        <v>56.818181818181813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56.818181818181813</v>
      </c>
      <c r="EL121" s="149"/>
      <c r="EN121" s="146"/>
      <c r="EO121" s="146"/>
      <c r="EP121" s="139">
        <f t="shared" si="134"/>
        <v>0</v>
      </c>
      <c r="EQ121" s="139">
        <f t="shared" si="135"/>
        <v>0</v>
      </c>
      <c r="ER121" s="139">
        <f t="shared" si="136"/>
        <v>0</v>
      </c>
      <c r="ES121" s="139">
        <f t="shared" si="137"/>
        <v>42.625107121254501</v>
      </c>
      <c r="ET121" s="139">
        <f t="shared" si="138"/>
        <v>0</v>
      </c>
      <c r="EU121" s="139">
        <f t="shared" si="139"/>
        <v>0</v>
      </c>
      <c r="EV121" s="139">
        <f t="shared" si="140"/>
        <v>0</v>
      </c>
      <c r="EW121" s="139">
        <f t="shared" si="141"/>
        <v>0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42.625107121254501</v>
      </c>
      <c r="FV121" s="149"/>
      <c r="FY121" s="211">
        <v>116</v>
      </c>
      <c r="FZ121">
        <v>46.689803353830278</v>
      </c>
      <c r="GA121">
        <v>88.817976436665674</v>
      </c>
      <c r="GB121">
        <v>33.183660550588947</v>
      </c>
      <c r="GC121">
        <v>10.153849218989063</v>
      </c>
      <c r="GD121">
        <v>7.2174465040312503</v>
      </c>
      <c r="GE121">
        <v>12.929488847854747</v>
      </c>
      <c r="GF121">
        <v>27.497839095998625</v>
      </c>
      <c r="GG121">
        <v>17.097727420119515</v>
      </c>
      <c r="GH121">
        <v>11.860319042849351</v>
      </c>
      <c r="GI121">
        <v>26.816649696119541</v>
      </c>
      <c r="GJ121"/>
      <c r="GK121">
        <v>50.089858421869252</v>
      </c>
      <c r="GL121">
        <v>80.829986499764487</v>
      </c>
      <c r="GM121">
        <v>58.787126904730172</v>
      </c>
      <c r="GN121">
        <v>33.498158244071099</v>
      </c>
      <c r="GO121">
        <v>31.366902888008376</v>
      </c>
      <c r="GP121">
        <v>27.741840551416477</v>
      </c>
      <c r="GQ121">
        <v>37.048322272890374</v>
      </c>
      <c r="GR121">
        <v>25.717147963156886</v>
      </c>
      <c r="GS121">
        <v>13.284825052790985</v>
      </c>
      <c r="GT121">
        <v>38.11540710805783</v>
      </c>
      <c r="GU121"/>
      <c r="GV121"/>
      <c r="GW121"/>
      <c r="GX121"/>
      <c r="GY121"/>
      <c r="GZ121"/>
      <c r="HA121"/>
      <c r="HB121"/>
      <c r="HC121"/>
    </row>
    <row r="122" spans="1:211" s="7" customFormat="1">
      <c r="A122" s="1"/>
      <c r="B122" s="76">
        <f t="shared" ca="1" si="132"/>
        <v>0.88966374573246698</v>
      </c>
      <c r="C122">
        <v>6</v>
      </c>
      <c r="D122">
        <v>39747</v>
      </c>
      <c r="E122">
        <v>0</v>
      </c>
      <c r="F122">
        <v>0</v>
      </c>
      <c r="G122">
        <v>0</v>
      </c>
      <c r="H122">
        <v>20.833333333333332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52.474011752136754</v>
      </c>
      <c r="AO122">
        <v>40.683673734699298</v>
      </c>
      <c r="AP122">
        <v>19.370609344998591</v>
      </c>
      <c r="AQ122">
        <v>280.61736294812613</v>
      </c>
      <c r="AR122">
        <v>38.349447733840599</v>
      </c>
      <c r="AS122">
        <v>344.37345733613154</v>
      </c>
      <c r="AT122">
        <v>30.804430892004433</v>
      </c>
      <c r="AU122">
        <v>24.635317105004063</v>
      </c>
      <c r="AV122"/>
      <c r="AW122"/>
      <c r="AX122" s="146"/>
      <c r="AY122" s="76">
        <f t="shared" ca="1" si="88"/>
        <v>0.29915541582068017</v>
      </c>
      <c r="AZ122">
        <v>5</v>
      </c>
      <c r="BA122" s="129">
        <f t="shared" si="131"/>
        <v>39747</v>
      </c>
      <c r="BB122">
        <v>0</v>
      </c>
      <c r="BC122">
        <v>0</v>
      </c>
      <c r="BD122">
        <v>0</v>
      </c>
      <c r="BE122">
        <v>14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90"/>
        <v>0.96599955015812466</v>
      </c>
      <c r="CL122" s="179">
        <f t="shared" si="91"/>
        <v>5</v>
      </c>
      <c r="CM122" s="180">
        <f t="shared" si="92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0.36142875383945361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0</v>
      </c>
      <c r="DI122" s="161">
        <f t="shared" si="98"/>
        <v>145.83333333333334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145.83333333333334</v>
      </c>
      <c r="EL122" s="149"/>
      <c r="EN122" s="146"/>
      <c r="EO122" s="146"/>
      <c r="EP122" s="139">
        <f t="shared" si="134"/>
        <v>0</v>
      </c>
      <c r="EQ122" s="139">
        <f t="shared" si="135"/>
        <v>0</v>
      </c>
      <c r="ER122" s="139">
        <f t="shared" si="136"/>
        <v>0</v>
      </c>
      <c r="ES122" s="139">
        <f t="shared" si="137"/>
        <v>109.40444161121991</v>
      </c>
      <c r="ET122" s="139">
        <f t="shared" si="138"/>
        <v>0</v>
      </c>
      <c r="EU122" s="139">
        <f t="shared" si="139"/>
        <v>0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109.40444161121991</v>
      </c>
      <c r="FV122" s="149"/>
      <c r="FY122" s="211">
        <v>117</v>
      </c>
      <c r="FZ122">
        <v>32.109019549044618</v>
      </c>
      <c r="GA122">
        <v>58.36027528748582</v>
      </c>
      <c r="GB122">
        <v>30.075825272437108</v>
      </c>
      <c r="GC122">
        <v>13.40407231097816</v>
      </c>
      <c r="GD122">
        <v>7.9718205465331833</v>
      </c>
      <c r="GE122">
        <v>11.808839760283373</v>
      </c>
      <c r="GF122">
        <v>25.81053161551549</v>
      </c>
      <c r="GG122">
        <v>17.404730813022212</v>
      </c>
      <c r="GH122">
        <v>11.331405384455609</v>
      </c>
      <c r="GI122">
        <v>24.062815237886369</v>
      </c>
      <c r="GJ122"/>
      <c r="GK122">
        <v>33.212062631977467</v>
      </c>
      <c r="GL122">
        <v>51.576379616717951</v>
      </c>
      <c r="GM122">
        <v>53.281383901568127</v>
      </c>
      <c r="GN122">
        <v>44.260012347443052</v>
      </c>
      <c r="GO122">
        <v>34.680292759807266</v>
      </c>
      <c r="GP122">
        <v>25.337347329191864</v>
      </c>
      <c r="GQ122">
        <v>34.774983226423473</v>
      </c>
      <c r="GR122">
        <v>26.178919956970475</v>
      </c>
      <c r="GS122">
        <v>14.750770427833313</v>
      </c>
      <c r="GT122">
        <v>34.13989858952192</v>
      </c>
      <c r="GU122"/>
      <c r="GV122"/>
      <c r="GW122"/>
      <c r="GX122"/>
      <c r="GY122"/>
      <c r="GZ122"/>
      <c r="HA122"/>
      <c r="HB122"/>
      <c r="HC122"/>
    </row>
    <row r="123" spans="1:211" s="7" customFormat="1">
      <c r="A123" s="1"/>
      <c r="B123" s="76">
        <f t="shared" ca="1" si="132"/>
        <v>0.81665780337003668</v>
      </c>
      <c r="C123">
        <v>1</v>
      </c>
      <c r="D123">
        <v>39747</v>
      </c>
      <c r="E123">
        <v>0</v>
      </c>
      <c r="F123">
        <v>0</v>
      </c>
      <c r="G123">
        <v>0</v>
      </c>
      <c r="H123">
        <v>20.833333333333332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51.901709401709397</v>
      </c>
      <c r="AO123">
        <v>38.492696867559246</v>
      </c>
      <c r="AP123">
        <v>12.679745833130147</v>
      </c>
      <c r="AQ123">
        <v>254.02452199651722</v>
      </c>
      <c r="AR123">
        <v>37.085423019015003</v>
      </c>
      <c r="AS123">
        <v>371.93218018374523</v>
      </c>
      <c r="AT123">
        <v>29.989363047585147</v>
      </c>
      <c r="AU123">
        <v>33.936348353767812</v>
      </c>
      <c r="AV123"/>
      <c r="AW123"/>
      <c r="AX123" s="146"/>
      <c r="AY123" s="76">
        <f t="shared" ca="1" si="88"/>
        <v>0.18156820474240032</v>
      </c>
      <c r="AZ123">
        <v>6</v>
      </c>
      <c r="BA123" s="129">
        <f t="shared" si="131"/>
        <v>39747</v>
      </c>
      <c r="BB123">
        <v>0</v>
      </c>
      <c r="BC123">
        <v>0</v>
      </c>
      <c r="BD123">
        <v>0</v>
      </c>
      <c r="BE123">
        <v>2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90"/>
        <v>0.41733192824545795</v>
      </c>
      <c r="CL123" s="179">
        <f t="shared" si="91"/>
        <v>6</v>
      </c>
      <c r="CM123" s="180">
        <f t="shared" si="92"/>
        <v>39747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0.93337987539957856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0</v>
      </c>
      <c r="DH123" s="161">
        <f t="shared" si="97"/>
        <v>0</v>
      </c>
      <c r="DI123" s="161">
        <f t="shared" si="98"/>
        <v>20.833333333333332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20.833333333333332</v>
      </c>
      <c r="EL123" s="149"/>
      <c r="EN123" s="146"/>
      <c r="EO123" s="146"/>
      <c r="EP123" s="139">
        <f t="shared" si="134"/>
        <v>0</v>
      </c>
      <c r="EQ123" s="139">
        <f t="shared" si="135"/>
        <v>0</v>
      </c>
      <c r="ER123" s="139">
        <f t="shared" si="136"/>
        <v>0</v>
      </c>
      <c r="ES123" s="139">
        <f t="shared" si="137"/>
        <v>15.629205944459985</v>
      </c>
      <c r="ET123" s="139">
        <f t="shared" si="138"/>
        <v>0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15.629205944459985</v>
      </c>
      <c r="FV123" s="149"/>
      <c r="FY123" s="211">
        <v>118</v>
      </c>
      <c r="FZ123">
        <v>50.854227975221882</v>
      </c>
      <c r="GA123">
        <v>94.260687055242244</v>
      </c>
      <c r="GB123">
        <v>37.715084891636131</v>
      </c>
      <c r="GC123">
        <v>12.664270128491385</v>
      </c>
      <c r="GD123">
        <v>7.443127312018853</v>
      </c>
      <c r="GE123">
        <v>8.9558539581745755</v>
      </c>
      <c r="GF123">
        <v>23.270782334996593</v>
      </c>
      <c r="GG123">
        <v>17.381115167414311</v>
      </c>
      <c r="GH123">
        <v>9.8235722872515403</v>
      </c>
      <c r="GI123">
        <v>27.652798625319111</v>
      </c>
      <c r="GJ123"/>
      <c r="GK123">
        <v>52.595428021679787</v>
      </c>
      <c r="GL123">
        <v>83.303667683971725</v>
      </c>
      <c r="GM123">
        <v>66.81485541256643</v>
      </c>
      <c r="GN123">
        <v>41.812722524070828</v>
      </c>
      <c r="GO123">
        <v>32.375086626839227</v>
      </c>
      <c r="GP123">
        <v>19.215908334278364</v>
      </c>
      <c r="GQ123">
        <v>31.353134349189421</v>
      </c>
      <c r="GR123">
        <v>26.143399034369427</v>
      </c>
      <c r="GS123">
        <v>11.689579385210433</v>
      </c>
      <c r="GT123">
        <v>38.965616759097067</v>
      </c>
      <c r="GU123"/>
      <c r="GV123"/>
      <c r="GW123"/>
      <c r="GX123"/>
      <c r="GY123"/>
      <c r="GZ123"/>
      <c r="HA123"/>
      <c r="HB123"/>
      <c r="HC123"/>
    </row>
    <row r="124" spans="1:211" s="7" customFormat="1">
      <c r="A124" s="1"/>
      <c r="B124" s="76">
        <f t="shared" ca="1" si="132"/>
        <v>0.95503158667650045</v>
      </c>
      <c r="C124">
        <v>2</v>
      </c>
      <c r="D124">
        <v>39747</v>
      </c>
      <c r="E124">
        <v>0</v>
      </c>
      <c r="F124">
        <v>0</v>
      </c>
      <c r="G124">
        <v>0</v>
      </c>
      <c r="H124">
        <v>26.041666666666668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44.972649572649566</v>
      </c>
      <c r="AO124">
        <v>34.962838834492125</v>
      </c>
      <c r="AP124">
        <v>22.526127240435624</v>
      </c>
      <c r="AQ124">
        <v>234.07773408775094</v>
      </c>
      <c r="AR124">
        <v>34.225912199175724</v>
      </c>
      <c r="AS124">
        <v>322.58151177175586</v>
      </c>
      <c r="AT124">
        <v>27.205358187081217</v>
      </c>
      <c r="AU124">
        <v>43.449006422983473</v>
      </c>
      <c r="AV124"/>
      <c r="AW124"/>
      <c r="AX124" s="146"/>
      <c r="AY124" s="76">
        <f t="shared" ca="1" si="88"/>
        <v>5.5528000484790008E-2</v>
      </c>
      <c r="AZ124">
        <v>7</v>
      </c>
      <c r="BA124" s="129">
        <f t="shared" si="131"/>
        <v>39747</v>
      </c>
      <c r="BB124">
        <v>0</v>
      </c>
      <c r="BC124">
        <v>0</v>
      </c>
      <c r="BD124">
        <v>0</v>
      </c>
      <c r="BE124">
        <v>6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90"/>
        <v>0.35634947021262064</v>
      </c>
      <c r="CL124" s="179">
        <f t="shared" si="91"/>
        <v>7</v>
      </c>
      <c r="CM124" s="180">
        <f t="shared" si="92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0.27000584702743513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62.5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62.5</v>
      </c>
      <c r="EL124" s="149"/>
      <c r="EN124" s="146"/>
      <c r="EO124" s="146"/>
      <c r="EP124" s="139">
        <f t="shared" si="134"/>
        <v>0</v>
      </c>
      <c r="EQ124" s="139">
        <f t="shared" si="135"/>
        <v>0</v>
      </c>
      <c r="ER124" s="139">
        <f t="shared" si="136"/>
        <v>0</v>
      </c>
      <c r="ES124" s="139">
        <f t="shared" si="137"/>
        <v>46.887617833379956</v>
      </c>
      <c r="ET124" s="139">
        <f t="shared" si="138"/>
        <v>0</v>
      </c>
      <c r="EU124" s="139">
        <f t="shared" si="139"/>
        <v>0</v>
      </c>
      <c r="EV124" s="139">
        <f t="shared" si="140"/>
        <v>0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46.887617833379956</v>
      </c>
      <c r="FV124" s="149"/>
      <c r="FY124" s="211">
        <v>119</v>
      </c>
      <c r="FZ124">
        <v>53.848834128821565</v>
      </c>
      <c r="GA124">
        <v>88.10139104505933</v>
      </c>
      <c r="GB124">
        <v>31.760071487693583</v>
      </c>
      <c r="GC124">
        <v>12.64747307193276</v>
      </c>
      <c r="GD124">
        <v>7.9755204867561345</v>
      </c>
      <c r="GE124">
        <v>10.305302234458441</v>
      </c>
      <c r="GF124">
        <v>20.783761413242804</v>
      </c>
      <c r="GG124">
        <v>19.482907626517402</v>
      </c>
      <c r="GH124">
        <v>12.906817781924296</v>
      </c>
      <c r="GI124">
        <v>26.758211055527472</v>
      </c>
      <c r="GJ124"/>
      <c r="GK124">
        <v>61.098655315319661</v>
      </c>
      <c r="GL124">
        <v>84.869417549414521</v>
      </c>
      <c r="GM124">
        <v>56.265141400055946</v>
      </c>
      <c r="GN124">
        <v>41.772604978829413</v>
      </c>
      <c r="GO124">
        <v>34.709406138544615</v>
      </c>
      <c r="GP124">
        <v>22.11131892270717</v>
      </c>
      <c r="GQ124">
        <v>28.002327317157469</v>
      </c>
      <c r="GR124">
        <v>29.304761145862471</v>
      </c>
      <c r="GS124">
        <v>14.457015498625486</v>
      </c>
      <c r="GT124">
        <v>38.906509133940638</v>
      </c>
      <c r="GU124"/>
      <c r="GV124"/>
      <c r="GW124"/>
      <c r="GX124"/>
      <c r="GY124"/>
      <c r="GZ124"/>
      <c r="HA124"/>
      <c r="HB124"/>
      <c r="HC124"/>
    </row>
    <row r="125" spans="1:211" s="7" customFormat="1">
      <c r="A125" s="1"/>
      <c r="B125" s="76">
        <f t="shared" ca="1" si="132"/>
        <v>0.89816491021213984</v>
      </c>
      <c r="C125">
        <v>9</v>
      </c>
      <c r="D125">
        <v>39747</v>
      </c>
      <c r="E125">
        <v>0</v>
      </c>
      <c r="F125">
        <v>0</v>
      </c>
      <c r="G125">
        <v>0</v>
      </c>
      <c r="H125">
        <v>31.25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39.811030982905983</v>
      </c>
      <c r="AO125">
        <v>29.005090341249847</v>
      </c>
      <c r="AP125">
        <v>11.178925535426083</v>
      </c>
      <c r="AQ125">
        <v>196.85585031988319</v>
      </c>
      <c r="AR125">
        <v>28.454567979308646</v>
      </c>
      <c r="AS125">
        <v>284.71102421208906</v>
      </c>
      <c r="AT125">
        <v>22.825173856955526</v>
      </c>
      <c r="AU125">
        <v>39.960442527187283</v>
      </c>
      <c r="AV125"/>
      <c r="AW125"/>
      <c r="AX125" s="146"/>
      <c r="AY125" s="76">
        <f t="shared" ca="1" si="88"/>
        <v>3.0992057029492592E-2</v>
      </c>
      <c r="AZ125">
        <v>8</v>
      </c>
      <c r="BA125" s="129">
        <f t="shared" si="131"/>
        <v>39747</v>
      </c>
      <c r="BB125">
        <v>0</v>
      </c>
      <c r="BC125">
        <v>0</v>
      </c>
      <c r="BD125">
        <v>0</v>
      </c>
      <c r="BE125">
        <v>3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90"/>
        <v>0.38470463848652203</v>
      </c>
      <c r="CL125" s="179">
        <f t="shared" si="91"/>
        <v>8</v>
      </c>
      <c r="CM125" s="180">
        <f t="shared" si="92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0.24745092094042942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0</v>
      </c>
      <c r="DI125" s="161">
        <f t="shared" si="98"/>
        <v>31.25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31.25</v>
      </c>
      <c r="EL125" s="149"/>
      <c r="EN125" s="146"/>
      <c r="EO125" s="146"/>
      <c r="EP125" s="139">
        <f t="shared" si="134"/>
        <v>0</v>
      </c>
      <c r="EQ125" s="139">
        <f t="shared" si="135"/>
        <v>0</v>
      </c>
      <c r="ER125" s="139">
        <f t="shared" si="136"/>
        <v>0</v>
      </c>
      <c r="ES125" s="139">
        <f t="shared" si="137"/>
        <v>23.443808916689978</v>
      </c>
      <c r="ET125" s="139">
        <f t="shared" si="138"/>
        <v>0</v>
      </c>
      <c r="EU125" s="139">
        <f t="shared" si="139"/>
        <v>0</v>
      </c>
      <c r="EV125" s="139">
        <f t="shared" si="140"/>
        <v>0</v>
      </c>
      <c r="EW125" s="139">
        <f t="shared" si="141"/>
        <v>0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23.443808916689978</v>
      </c>
      <c r="FV125" s="149"/>
      <c r="FY125" s="211">
        <v>120</v>
      </c>
      <c r="FZ125">
        <v>45.370982157179093</v>
      </c>
      <c r="GA125">
        <v>86.037193719278335</v>
      </c>
      <c r="GB125">
        <v>34.16613750948855</v>
      </c>
      <c r="GC125">
        <v>9.7929660940685448</v>
      </c>
      <c r="GD125">
        <v>6.6330645589309274</v>
      </c>
      <c r="GE125">
        <v>12.443874243240483</v>
      </c>
      <c r="GF125">
        <v>16.600644951211695</v>
      </c>
      <c r="GG125">
        <v>7.5097753033121615</v>
      </c>
      <c r="GH125">
        <v>10.521238113301502</v>
      </c>
      <c r="GI125">
        <v>24.280029934182313</v>
      </c>
      <c r="GJ125"/>
      <c r="GK125">
        <v>46.922656267555197</v>
      </c>
      <c r="GL125">
        <v>76.036086919797825</v>
      </c>
      <c r="GM125">
        <v>60.527652112181393</v>
      </c>
      <c r="GN125">
        <v>32.317738668598487</v>
      </c>
      <c r="GO125">
        <v>28.836688253696039</v>
      </c>
      <c r="GP125">
        <v>26.699893488452474</v>
      </c>
      <c r="GQ125">
        <v>22.366340931124935</v>
      </c>
      <c r="GR125">
        <v>11.295653387132443</v>
      </c>
      <c r="GS125">
        <v>12.471039682433432</v>
      </c>
      <c r="GT125">
        <v>34.224875449398198</v>
      </c>
      <c r="GU125"/>
      <c r="GV125"/>
      <c r="GW125"/>
      <c r="GX125"/>
      <c r="GY125"/>
      <c r="GZ125"/>
      <c r="HA125"/>
      <c r="HB125"/>
      <c r="HC125"/>
    </row>
    <row r="126" spans="1:211" s="7" customFormat="1">
      <c r="A126" s="1"/>
      <c r="B126" s="76">
        <f t="shared" ca="1" si="132"/>
        <v>4.1865702966360274E-2</v>
      </c>
      <c r="C126">
        <v>4</v>
      </c>
      <c r="D126">
        <v>39747</v>
      </c>
      <c r="E126">
        <v>0</v>
      </c>
      <c r="F126">
        <v>0</v>
      </c>
      <c r="G126">
        <v>0</v>
      </c>
      <c r="H126">
        <v>56.818181818181813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57.78512286324785</v>
      </c>
      <c r="AO126">
        <v>44.727294723285951</v>
      </c>
      <c r="AP126">
        <v>33.33390383461736</v>
      </c>
      <c r="AQ126">
        <v>299.67208687637884</v>
      </c>
      <c r="AR126">
        <v>42.345075725504927</v>
      </c>
      <c r="AS126">
        <v>392.41337357395133</v>
      </c>
      <c r="AT126">
        <v>33.490151464073797</v>
      </c>
      <c r="AU126">
        <v>20.089933451539181</v>
      </c>
      <c r="AV126"/>
      <c r="AW126"/>
      <c r="AX126" s="146"/>
      <c r="AY126" s="76">
        <f t="shared" ca="1" si="88"/>
        <v>8.4410858702862024E-2</v>
      </c>
      <c r="AZ126">
        <v>9</v>
      </c>
      <c r="BA126" s="129">
        <f t="shared" si="131"/>
        <v>39747</v>
      </c>
      <c r="BB126">
        <v>0</v>
      </c>
      <c r="BC126">
        <v>0</v>
      </c>
      <c r="BD126">
        <v>0</v>
      </c>
      <c r="BE126">
        <v>10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90"/>
        <v>0.11368824891787588</v>
      </c>
      <c r="CL126" s="179">
        <f t="shared" si="91"/>
        <v>9</v>
      </c>
      <c r="CM126" s="180">
        <f t="shared" si="92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4.1506595019023429E-2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>IF($AZ126="", "", ((BE125*$CW126)+(CQ126*$CX126))/$CZ126)</f>
        <v>31.25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31.25</v>
      </c>
      <c r="EL126" s="149"/>
      <c r="EN126" s="146"/>
      <c r="EO126" s="146"/>
      <c r="EP126" s="139">
        <f t="shared" si="134"/>
        <v>0</v>
      </c>
      <c r="EQ126" s="139">
        <f t="shared" si="135"/>
        <v>0</v>
      </c>
      <c r="ER126" s="139">
        <f t="shared" si="136"/>
        <v>0</v>
      </c>
      <c r="ES126" s="139">
        <f t="shared" si="137"/>
        <v>23.443808916689978</v>
      </c>
      <c r="ET126" s="139">
        <f t="shared" si="138"/>
        <v>0</v>
      </c>
      <c r="EU126" s="139">
        <f t="shared" si="139"/>
        <v>0</v>
      </c>
      <c r="EV126" s="139">
        <f t="shared" si="140"/>
        <v>0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23.443808916689978</v>
      </c>
      <c r="FV126" s="149"/>
      <c r="FY126" s="211">
        <v>121</v>
      </c>
      <c r="FZ126">
        <v>39.736635070670189</v>
      </c>
      <c r="GA126">
        <v>73.215618087936747</v>
      </c>
      <c r="GB126">
        <v>32.401689093505574</v>
      </c>
      <c r="GC126">
        <v>15.884875352787189</v>
      </c>
      <c r="GD126">
        <v>10.627559328772938</v>
      </c>
      <c r="GE126">
        <v>12.443874243240485</v>
      </c>
      <c r="GF126">
        <v>20.950734549332285</v>
      </c>
      <c r="GG126">
        <v>17.381115167414311</v>
      </c>
      <c r="GH126">
        <v>14.302149434024219</v>
      </c>
      <c r="GI126">
        <v>26.897739703113377</v>
      </c>
      <c r="GJ126"/>
      <c r="GK126">
        <v>41.093592453985998</v>
      </c>
      <c r="GL126">
        <v>64.704912610064341</v>
      </c>
      <c r="GM126">
        <v>57.401810923289396</v>
      </c>
      <c r="GN126">
        <v>52.449872653753133</v>
      </c>
      <c r="GO126">
        <v>46.233711198570184</v>
      </c>
      <c r="GP126">
        <v>26.699893488452481</v>
      </c>
      <c r="GQ126">
        <v>28.227293160297432</v>
      </c>
      <c r="GR126">
        <v>26.14339903436943</v>
      </c>
      <c r="GS126">
        <v>16.019936093071486</v>
      </c>
      <c r="GT126">
        <v>37.795268765842899</v>
      </c>
      <c r="GU126"/>
      <c r="GV126"/>
      <c r="GW126"/>
      <c r="GX126"/>
      <c r="GY126"/>
      <c r="GZ126"/>
      <c r="HA126"/>
      <c r="HB126"/>
      <c r="HC126"/>
    </row>
    <row r="127" spans="1:211" s="7" customFormat="1">
      <c r="A127" s="1"/>
      <c r="B127" s="76">
        <f t="shared" ca="1" si="132"/>
        <v>0.70913281370963155</v>
      </c>
      <c r="C127">
        <v>10</v>
      </c>
      <c r="D127">
        <v>39747</v>
      </c>
      <c r="E127">
        <v>0</v>
      </c>
      <c r="F127">
        <v>0</v>
      </c>
      <c r="G127">
        <v>0</v>
      </c>
      <c r="H127">
        <v>104.16666666666667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46.379326923076924</v>
      </c>
      <c r="AO127">
        <v>34.859350381424917</v>
      </c>
      <c r="AP127">
        <v>7.4145221886067363</v>
      </c>
      <c r="AQ127">
        <v>238.86067676446402</v>
      </c>
      <c r="AR127">
        <v>33.433702986753168</v>
      </c>
      <c r="AS127">
        <v>307.35319667829413</v>
      </c>
      <c r="AT127">
        <v>27.479846208913699</v>
      </c>
      <c r="AU127">
        <v>27.932542159016332</v>
      </c>
      <c r="AV127"/>
      <c r="AW127"/>
      <c r="AX127" s="146"/>
      <c r="AY127" s="76">
        <f t="shared" ca="1" si="88"/>
        <v>0.410188859138092</v>
      </c>
      <c r="AZ127">
        <v>10</v>
      </c>
      <c r="BA127" s="129">
        <f t="shared" si="131"/>
        <v>39747</v>
      </c>
      <c r="BB127">
        <v>0</v>
      </c>
      <c r="BC127">
        <v>0</v>
      </c>
      <c r="BD127">
        <v>0</v>
      </c>
      <c r="BE127">
        <v>5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90"/>
        <v>0.27250182964576108</v>
      </c>
      <c r="CL127" s="179">
        <f t="shared" si="91"/>
        <v>10</v>
      </c>
      <c r="CM127" s="180">
        <f t="shared" si="92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0.74206074335944816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>IF($AZ127="", "", ((BE126*$CW127)+(CQ127*$CX127))/$CZ127)</f>
        <v>104.16666666666667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104.16666666666667</v>
      </c>
      <c r="EL127" s="149"/>
      <c r="EN127" s="146"/>
      <c r="EO127" s="146"/>
      <c r="EP127" s="139">
        <f t="shared" si="134"/>
        <v>0</v>
      </c>
      <c r="EQ127" s="139">
        <f t="shared" si="135"/>
        <v>0</v>
      </c>
      <c r="ER127" s="139">
        <f t="shared" si="136"/>
        <v>0</v>
      </c>
      <c r="ES127" s="139">
        <f t="shared" si="137"/>
        <v>78.146029722299929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78.146029722299929</v>
      </c>
      <c r="FV127" s="149"/>
      <c r="FY127" s="211">
        <v>122</v>
      </c>
      <c r="FZ127">
        <v>46.14015950333102</v>
      </c>
      <c r="GA127">
        <v>78.688758863184972</v>
      </c>
      <c r="GB127">
        <v>31.198656082608093</v>
      </c>
      <c r="GC127">
        <v>11.975783697939955</v>
      </c>
      <c r="GD127">
        <v>9.4969518602940521</v>
      </c>
      <c r="GE127">
        <v>11.897557813049438</v>
      </c>
      <c r="GF127">
        <v>20.397086782298754</v>
      </c>
      <c r="GG127">
        <v>16.105870304587722</v>
      </c>
      <c r="GH127">
        <v>9.4747393742265587</v>
      </c>
      <c r="GI127">
        <v>25.876106440397443</v>
      </c>
      <c r="GJ127"/>
      <c r="GK127">
        <v>51.320929050213422</v>
      </c>
      <c r="GL127">
        <v>74.214565740275376</v>
      </c>
      <c r="GM127">
        <v>55.270555567226673</v>
      </c>
      <c r="GN127">
        <v>39.550280998597145</v>
      </c>
      <c r="GO127">
        <v>41.32632712864941</v>
      </c>
      <c r="GP127">
        <v>25.527703042617976</v>
      </c>
      <c r="GQ127">
        <v>27.481353785675473</v>
      </c>
      <c r="GR127">
        <v>24.225269213912981</v>
      </c>
      <c r="GS127">
        <v>11.298849236598933</v>
      </c>
      <c r="GT127">
        <v>37.339602953672781</v>
      </c>
      <c r="GU127"/>
      <c r="GV127"/>
      <c r="GW127"/>
      <c r="GX127"/>
      <c r="GY127"/>
      <c r="GZ127"/>
      <c r="HA127"/>
      <c r="HB127"/>
      <c r="HC127"/>
    </row>
    <row r="128" spans="1:211" s="7" customFormat="1">
      <c r="A128" s="128"/>
      <c r="B128" s="76">
        <f t="shared" ca="1" si="132"/>
        <v>7.1490731515278849E-2</v>
      </c>
      <c r="C128">
        <v>3</v>
      </c>
      <c r="D128">
        <v>39775</v>
      </c>
      <c r="E128">
        <v>0</v>
      </c>
      <c r="F128">
        <v>0</v>
      </c>
      <c r="G128">
        <v>0</v>
      </c>
      <c r="H128">
        <v>72.916666666666671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53.143376068376071</v>
      </c>
      <c r="AO128">
        <v>41.251323989924373</v>
      </c>
      <c r="AP128">
        <v>28.735587321895146</v>
      </c>
      <c r="AQ128">
        <v>262.21968358615834</v>
      </c>
      <c r="AR128">
        <v>38.903873593743739</v>
      </c>
      <c r="AS128">
        <v>388.74303376194308</v>
      </c>
      <c r="AT128">
        <v>30.989932248887509</v>
      </c>
      <c r="AU128">
        <v>16.791539825660543</v>
      </c>
      <c r="AV128"/>
      <c r="AW128"/>
      <c r="AX128" s="128"/>
      <c r="AY128" s="76">
        <f t="shared" ca="1" si="88"/>
        <v>0.22057121675905478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3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90"/>
        <v>0.3006355209394791</v>
      </c>
      <c r="CL128" s="179">
        <f t="shared" si="91"/>
        <v>1</v>
      </c>
      <c r="CM128" s="180">
        <f t="shared" si="92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0.1588872266035688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0</v>
      </c>
      <c r="DI128" s="161">
        <f t="shared" si="98"/>
        <v>96.15384615384616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96.15384615384616</v>
      </c>
      <c r="EL128" s="149"/>
      <c r="EN128" s="146"/>
      <c r="EO128" s="146"/>
      <c r="EP128" s="139">
        <f t="shared" si="134"/>
        <v>0</v>
      </c>
      <c r="EQ128" s="139">
        <f t="shared" si="135"/>
        <v>0</v>
      </c>
      <c r="ER128" s="139">
        <f t="shared" si="136"/>
        <v>0</v>
      </c>
      <c r="ES128" s="139">
        <f t="shared" si="137"/>
        <v>72.134796666738396</v>
      </c>
      <c r="ET128" s="139">
        <f t="shared" si="138"/>
        <v>0</v>
      </c>
      <c r="EU128" s="139">
        <f t="shared" si="139"/>
        <v>0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72.134796666738396</v>
      </c>
      <c r="FV128" s="149"/>
      <c r="FY128" s="211">
        <v>123</v>
      </c>
      <c r="FZ128">
        <v>37.66983733284804</v>
      </c>
      <c r="GA128">
        <v>78.688758863184972</v>
      </c>
      <c r="GB128">
        <v>35.720055148564477</v>
      </c>
      <c r="GC128">
        <v>15.174040170567388</v>
      </c>
      <c r="GD128">
        <v>9.0065098138065895</v>
      </c>
      <c r="GE128">
        <v>10.804924952667351</v>
      </c>
      <c r="GF128">
        <v>21.847116648338954</v>
      </c>
      <c r="GG128">
        <v>15.32655399952702</v>
      </c>
      <c r="GH128">
        <v>12.670486314003458</v>
      </c>
      <c r="GI128">
        <v>26.272172349713628</v>
      </c>
      <c r="GJ128"/>
      <c r="GK128">
        <v>42.5654237027439</v>
      </c>
      <c r="GL128">
        <v>74.214565740275376</v>
      </c>
      <c r="GM128">
        <v>63.280523613762419</v>
      </c>
      <c r="GN128">
        <v>50.105936493976643</v>
      </c>
      <c r="GO128">
        <v>39.183252794155173</v>
      </c>
      <c r="GP128">
        <v>23.183322150948985</v>
      </c>
      <c r="GQ128">
        <v>29.435004528732975</v>
      </c>
      <c r="GR128">
        <v>23.053078768078475</v>
      </c>
      <c r="GS128">
        <v>15.564555798190868</v>
      </c>
      <c r="GT128">
        <v>38.005752087517067</v>
      </c>
      <c r="GU128"/>
      <c r="GV128"/>
      <c r="GW128"/>
      <c r="GX128"/>
      <c r="GY128"/>
      <c r="GZ128"/>
      <c r="HA128"/>
      <c r="HB128"/>
      <c r="HC128"/>
    </row>
    <row r="129" spans="1:211" s="7" customFormat="1">
      <c r="A129" s="1"/>
      <c r="B129" s="76">
        <f t="shared" ca="1" si="132"/>
        <v>0.74010788233626634</v>
      </c>
      <c r="C129">
        <v>10</v>
      </c>
      <c r="D129">
        <v>39775</v>
      </c>
      <c r="E129">
        <v>0</v>
      </c>
      <c r="F129">
        <v>0</v>
      </c>
      <c r="G129">
        <v>0</v>
      </c>
      <c r="H129">
        <v>62.5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45.635630341880344</v>
      </c>
      <c r="AO129">
        <v>36.254770885786485</v>
      </c>
      <c r="AP129">
        <v>56.160144771873341</v>
      </c>
      <c r="AQ129">
        <v>252.14126687895509</v>
      </c>
      <c r="AR129">
        <v>34.739953390976666</v>
      </c>
      <c r="AS129">
        <v>322.50387018205214</v>
      </c>
      <c r="AT129">
        <v>26.197959406485293</v>
      </c>
      <c r="AU129">
        <v>26.700119677207834</v>
      </c>
      <c r="AV129"/>
      <c r="AW129"/>
      <c r="AX129" s="146"/>
      <c r="AY129" s="76">
        <f t="shared" ca="1" si="88"/>
        <v>0.18673830813223535</v>
      </c>
      <c r="AZ129">
        <v>2</v>
      </c>
      <c r="BA129" s="129">
        <f t="shared" ref="BA129:BA137" si="167">IF(AZ129="", "",$C$8)</f>
        <v>39775</v>
      </c>
      <c r="BB129">
        <v>0</v>
      </c>
      <c r="BC129">
        <v>0</v>
      </c>
      <c r="BD129">
        <v>0</v>
      </c>
      <c r="BE129">
        <v>6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90"/>
        <v>0.73026724152189715</v>
      </c>
      <c r="CL129" s="179">
        <f t="shared" si="91"/>
        <v>2</v>
      </c>
      <c r="CM129" s="180">
        <f t="shared" si="92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0.94248182720568008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62.5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62.5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0</v>
      </c>
      <c r="ES129" s="139">
        <f t="shared" si="137"/>
        <v>46.887617833379956</v>
      </c>
      <c r="ET129" s="139">
        <f t="shared" si="138"/>
        <v>0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46.887617833379956</v>
      </c>
      <c r="FV129" s="149"/>
      <c r="FY129" s="211">
        <v>124</v>
      </c>
      <c r="FZ129">
        <v>41.918952327046739</v>
      </c>
      <c r="GA129">
        <v>62.693083604284006</v>
      </c>
      <c r="GB129">
        <v>22.386439277784021</v>
      </c>
      <c r="GC129">
        <v>11.867271996958673</v>
      </c>
      <c r="GD129">
        <v>8.6922633019068645</v>
      </c>
      <c r="GE129">
        <v>9.7122920922852565</v>
      </c>
      <c r="GF129">
        <v>31.127307790996202</v>
      </c>
      <c r="GG129">
        <v>24.158805456881577</v>
      </c>
      <c r="GH129">
        <v>9.4747393742265587</v>
      </c>
      <c r="GI129">
        <v>24.698308423964786</v>
      </c>
      <c r="GJ129"/>
      <c r="GK129">
        <v>43.356677297360768</v>
      </c>
      <c r="GL129">
        <v>55.405535073110649</v>
      </c>
      <c r="GM129">
        <v>39.659110084067215</v>
      </c>
      <c r="GN129">
        <v>39.191883997481469</v>
      </c>
      <c r="GO129">
        <v>37.824328477341211</v>
      </c>
      <c r="GP129">
        <v>20.838941259279981</v>
      </c>
      <c r="GQ129">
        <v>41.938369284300961</v>
      </c>
      <c r="GR129">
        <v>36.337903820869464</v>
      </c>
      <c r="GS129">
        <v>11.298849236598933</v>
      </c>
      <c r="GT129">
        <v>34.815466875933815</v>
      </c>
      <c r="GU129"/>
      <c r="GV129"/>
      <c r="GW129"/>
      <c r="GX129"/>
      <c r="GY129"/>
      <c r="GZ129"/>
      <c r="HA129"/>
      <c r="HB129"/>
      <c r="HC129"/>
    </row>
    <row r="130" spans="1:211" s="7" customFormat="1">
      <c r="A130" s="1"/>
      <c r="B130" s="76">
        <f t="shared" ca="1" si="132"/>
        <v>0.21876394501170759</v>
      </c>
      <c r="C130">
        <v>6</v>
      </c>
      <c r="D130">
        <v>39775</v>
      </c>
      <c r="E130">
        <v>0</v>
      </c>
      <c r="F130">
        <v>0</v>
      </c>
      <c r="G130">
        <v>10.416666666666666</v>
      </c>
      <c r="H130">
        <v>52.083333333333336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43.980208333333344</v>
      </c>
      <c r="AO130">
        <v>32.026062901195637</v>
      </c>
      <c r="AP130">
        <v>17.16098898850764</v>
      </c>
      <c r="AQ130">
        <v>223.62775038897695</v>
      </c>
      <c r="AR130">
        <v>30.970347757184811</v>
      </c>
      <c r="AS130">
        <v>304.2890965182404</v>
      </c>
      <c r="AT130">
        <v>24.773827463886821</v>
      </c>
      <c r="AU130">
        <v>32.078481161172689</v>
      </c>
      <c r="AV130"/>
      <c r="AW130"/>
      <c r="AX130" s="146"/>
      <c r="AY130" s="76">
        <f t="shared" ca="1" si="88"/>
        <v>0.60581181257429328</v>
      </c>
      <c r="AZ130">
        <v>3</v>
      </c>
      <c r="BA130" s="129">
        <f t="shared" si="167"/>
        <v>39775</v>
      </c>
      <c r="BB130">
        <v>0</v>
      </c>
      <c r="BC130">
        <v>0</v>
      </c>
      <c r="BD130">
        <v>0</v>
      </c>
      <c r="BE130">
        <v>7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90"/>
        <v>0.39435824012177267</v>
      </c>
      <c r="CL130" s="179">
        <f t="shared" si="91"/>
        <v>3</v>
      </c>
      <c r="CM130" s="180">
        <f t="shared" si="92"/>
        <v>39775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0.36108603466646993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0</v>
      </c>
      <c r="DI130" s="161">
        <f t="shared" si="98"/>
        <v>72.916666666666671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72.916666666666671</v>
      </c>
      <c r="EL130" s="149"/>
      <c r="EN130" s="146"/>
      <c r="EO130" s="146"/>
      <c r="EP130" s="139">
        <f t="shared" si="134"/>
        <v>0</v>
      </c>
      <c r="EQ130" s="139">
        <f t="shared" si="135"/>
        <v>0</v>
      </c>
      <c r="ER130" s="139">
        <f t="shared" si="136"/>
        <v>0</v>
      </c>
      <c r="ES130" s="139">
        <f t="shared" si="137"/>
        <v>54.702220805609954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54.702220805609954</v>
      </c>
      <c r="FV130" s="149"/>
      <c r="FY130" s="211">
        <v>125</v>
      </c>
      <c r="FZ130">
        <v>51.170734249005591</v>
      </c>
      <c r="GA130">
        <v>75.426234576099091</v>
      </c>
      <c r="GB130">
        <v>27.539430674461578</v>
      </c>
      <c r="GC130">
        <v>11.100609550361362</v>
      </c>
      <c r="GD130">
        <v>6.5523962958822448</v>
      </c>
      <c r="GE130">
        <v>8.4982555807495963</v>
      </c>
      <c r="GF130">
        <v>25.423856984571437</v>
      </c>
      <c r="GG130">
        <v>18.963363423143608</v>
      </c>
      <c r="GH130">
        <v>9.8235722872515403</v>
      </c>
      <c r="GI130">
        <v>24.993412830127241</v>
      </c>
      <c r="GJ130"/>
      <c r="GK130">
        <v>52.903092997769086</v>
      </c>
      <c r="GL130">
        <v>66.658563353121835</v>
      </c>
      <c r="GM130">
        <v>48.787987192535887</v>
      </c>
      <c r="GN130">
        <v>36.628998129291652</v>
      </c>
      <c r="GO130">
        <v>28.476946392351724</v>
      </c>
      <c r="GP130">
        <v>18.23407360186998</v>
      </c>
      <c r="GQ130">
        <v>34.254009694941473</v>
      </c>
      <c r="GR130">
        <v>28.523300848639476</v>
      </c>
      <c r="GS130">
        <v>11.689579385210433</v>
      </c>
      <c r="GT130">
        <v>35.222323132561719</v>
      </c>
      <c r="GU130"/>
      <c r="GV130"/>
      <c r="GW130"/>
      <c r="GX130"/>
      <c r="GY130"/>
      <c r="GZ130"/>
      <c r="HA130"/>
      <c r="HB130"/>
      <c r="HC130"/>
    </row>
    <row r="131" spans="1:211" s="7" customFormat="1">
      <c r="A131" s="1"/>
      <c r="B131" s="76">
        <f t="shared" ca="1" si="132"/>
        <v>0.80816417018937625</v>
      </c>
      <c r="C131">
        <v>4</v>
      </c>
      <c r="D131">
        <v>39775</v>
      </c>
      <c r="E131">
        <v>0</v>
      </c>
      <c r="F131">
        <v>0</v>
      </c>
      <c r="G131">
        <v>0</v>
      </c>
      <c r="H131">
        <v>10.416666666666666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43.577724358974358</v>
      </c>
      <c r="AO131">
        <v>32.218419885100587</v>
      </c>
      <c r="AP131">
        <v>3.5256349911964944</v>
      </c>
      <c r="AQ131">
        <v>210.27782631784729</v>
      </c>
      <c r="AR131">
        <v>30.603746759057362</v>
      </c>
      <c r="AS131">
        <v>284.36691454804827</v>
      </c>
      <c r="AT131">
        <v>25.129552899987669</v>
      </c>
      <c r="AU131">
        <v>20.218066459514958</v>
      </c>
      <c r="AV131"/>
      <c r="AW131"/>
      <c r="AX131" s="146"/>
      <c r="AY131" s="76">
        <f t="shared" ca="1" si="88"/>
        <v>0.29316882060934013</v>
      </c>
      <c r="AZ131">
        <v>4</v>
      </c>
      <c r="BA131" s="129">
        <f t="shared" si="167"/>
        <v>39775</v>
      </c>
      <c r="BB131">
        <v>0</v>
      </c>
      <c r="BC131">
        <v>0</v>
      </c>
      <c r="BD131">
        <v>0</v>
      </c>
      <c r="BE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90"/>
        <v>0.21682151317803289</v>
      </c>
      <c r="CL131" s="179">
        <f t="shared" si="91"/>
        <v>4</v>
      </c>
      <c r="CM131" s="180">
        <f t="shared" si="92"/>
        <v>39775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0.28986153900146849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0</v>
      </c>
      <c r="DI131" s="161">
        <f t="shared" si="98"/>
        <v>10.416666666666666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10.416666666666666</v>
      </c>
      <c r="EL131" s="149"/>
      <c r="EN131" s="146"/>
      <c r="EO131" s="146"/>
      <c r="EP131" s="139">
        <f t="shared" si="134"/>
        <v>0</v>
      </c>
      <c r="EQ131" s="139">
        <f t="shared" si="135"/>
        <v>0</v>
      </c>
      <c r="ER131" s="139">
        <f t="shared" si="136"/>
        <v>0</v>
      </c>
      <c r="ES131" s="139">
        <f t="shared" si="137"/>
        <v>7.8146029722299923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7.8146029722299923</v>
      </c>
      <c r="FV131" s="149"/>
      <c r="FY131" s="211">
        <v>126</v>
      </c>
      <c r="FZ131">
        <v>61.842553149318491</v>
      </c>
      <c r="GA131">
        <v>85.18337728068505</v>
      </c>
      <c r="GB131">
        <v>27.118369120647461</v>
      </c>
      <c r="GC131">
        <v>13.810768143316597</v>
      </c>
      <c r="GD131">
        <v>8.689799303342733</v>
      </c>
      <c r="GE131">
        <v>9.3480811388245577</v>
      </c>
      <c r="GF131">
        <v>27.304501780526596</v>
      </c>
      <c r="GG131">
        <v>22.552941555544386</v>
      </c>
      <c r="GH131">
        <v>13.716985053078405</v>
      </c>
      <c r="GI131">
        <v>28.62745048744161</v>
      </c>
      <c r="GJ131"/>
      <c r="GK131">
        <v>69.356546087424022</v>
      </c>
      <c r="GL131">
        <v>82.290598568578645</v>
      </c>
      <c r="GM131">
        <v>48.042047817913939</v>
      </c>
      <c r="GN131">
        <v>45.614784773509157</v>
      </c>
      <c r="GO131">
        <v>37.817942262579692</v>
      </c>
      <c r="GP131">
        <v>20.057480962056982</v>
      </c>
      <c r="GQ131">
        <v>36.787835507149374</v>
      </c>
      <c r="GR131">
        <v>33.922481083998377</v>
      </c>
      <c r="GS131">
        <v>16.736746244025369</v>
      </c>
      <c r="GT131">
        <v>41.748223583818479</v>
      </c>
      <c r="GU131"/>
      <c r="GV131"/>
      <c r="GW131"/>
      <c r="GX131"/>
      <c r="GY131"/>
      <c r="GZ131"/>
      <c r="HA131"/>
      <c r="HB131"/>
      <c r="HC131"/>
    </row>
    <row r="132" spans="1:211" s="7" customFormat="1">
      <c r="A132" s="1"/>
      <c r="B132" s="76">
        <f t="shared" ca="1" si="132"/>
        <v>0.20056461742644527</v>
      </c>
      <c r="C132">
        <v>8</v>
      </c>
      <c r="D132">
        <v>39775</v>
      </c>
      <c r="E132">
        <v>0</v>
      </c>
      <c r="F132">
        <v>0</v>
      </c>
      <c r="G132">
        <v>0</v>
      </c>
      <c r="H132">
        <v>173.61111111111111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51.877884615384616</v>
      </c>
      <c r="AO132">
        <v>39.647957590675603</v>
      </c>
      <c r="AP132">
        <v>22.155584206750884</v>
      </c>
      <c r="AQ132">
        <v>282.26476016704697</v>
      </c>
      <c r="AR132">
        <v>38.115407108057823</v>
      </c>
      <c r="AS132">
        <v>377.36283041696561</v>
      </c>
      <c r="AT132">
        <v>30.228537150448194</v>
      </c>
      <c r="AU132">
        <v>20.892719045526359</v>
      </c>
      <c r="AV132"/>
      <c r="AW132"/>
      <c r="AX132" s="146"/>
      <c r="AY132" s="76">
        <f t="shared" ca="1" si="88"/>
        <v>0.24602721763869884</v>
      </c>
      <c r="AZ132">
        <v>5</v>
      </c>
      <c r="BA132" s="129">
        <f t="shared" si="167"/>
        <v>39775</v>
      </c>
      <c r="BB132">
        <v>0</v>
      </c>
      <c r="BC132">
        <v>0</v>
      </c>
      <c r="BD132">
        <v>3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90"/>
        <v>0.36780616162212199</v>
      </c>
      <c r="CL132" s="179">
        <f t="shared" si="91"/>
        <v>5</v>
      </c>
      <c r="CM132" s="180">
        <f t="shared" si="92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0.15657169042697205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31.25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31.25</v>
      </c>
      <c r="EL132" s="149"/>
      <c r="EN132" s="146"/>
      <c r="EO132" s="146"/>
      <c r="EP132" s="139">
        <f t="shared" si="134"/>
        <v>0</v>
      </c>
      <c r="EQ132" s="139">
        <f t="shared" si="135"/>
        <v>0</v>
      </c>
      <c r="ER132" s="139">
        <f t="shared" si="136"/>
        <v>1.9133049361983685</v>
      </c>
      <c r="ES132" s="139">
        <f t="shared" si="137"/>
        <v>0</v>
      </c>
      <c r="ET132" s="139">
        <f t="shared" si="138"/>
        <v>0</v>
      </c>
      <c r="EU132" s="139">
        <f t="shared" si="139"/>
        <v>0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1.9133049361983685</v>
      </c>
      <c r="FV132" s="149"/>
      <c r="FY132" s="211">
        <v>127</v>
      </c>
      <c r="FZ132">
        <v>48.238907722122761</v>
      </c>
      <c r="GA132">
        <v>65.699522028184774</v>
      </c>
      <c r="GB132">
        <v>27.669759250642137</v>
      </c>
      <c r="GC132">
        <v>12.275085078903423</v>
      </c>
      <c r="GD132">
        <v>5.8641631900064723</v>
      </c>
      <c r="GE132">
        <v>8.0733428017121192</v>
      </c>
      <c r="GF132">
        <v>14.280597165547384</v>
      </c>
      <c r="GG132">
        <v>9.5879521168073527</v>
      </c>
      <c r="GH132">
        <v>9.4184886516744868</v>
      </c>
      <c r="GI132">
        <v>21.947310324543775</v>
      </c>
      <c r="GJ132"/>
      <c r="GK132">
        <v>49.880986217058833</v>
      </c>
      <c r="GL132">
        <v>58.062500083668837</v>
      </c>
      <c r="GM132">
        <v>49.018873189442679</v>
      </c>
      <c r="GN132">
        <v>40.515785446342335</v>
      </c>
      <c r="GO132">
        <v>25.490435186100118</v>
      </c>
      <c r="GP132">
        <v>17.322369921776485</v>
      </c>
      <c r="GQ132">
        <v>19.240499742232938</v>
      </c>
      <c r="GR132">
        <v>14.421494576024443</v>
      </c>
      <c r="GS132">
        <v>10.54971401251049</v>
      </c>
      <c r="GT132">
        <v>30.836101669469013</v>
      </c>
      <c r="GU132"/>
      <c r="GV132"/>
      <c r="GW132"/>
      <c r="GX132"/>
      <c r="GY132"/>
      <c r="GZ132"/>
      <c r="HA132"/>
      <c r="HB132"/>
      <c r="HC132"/>
    </row>
    <row r="133" spans="1:211" s="7" customFormat="1">
      <c r="A133" s="1"/>
      <c r="B133" s="76">
        <f t="shared" ca="1" si="132"/>
        <v>0.2823967491419439</v>
      </c>
      <c r="C133">
        <v>2</v>
      </c>
      <c r="D133">
        <v>39775</v>
      </c>
      <c r="E133">
        <v>0</v>
      </c>
      <c r="F133">
        <v>0</v>
      </c>
      <c r="G133">
        <v>0</v>
      </c>
      <c r="H133">
        <v>62.5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46.340010683760688</v>
      </c>
      <c r="AO133">
        <v>35.219205078745482</v>
      </c>
      <c r="AP133">
        <v>14.953960374985193</v>
      </c>
      <c r="AQ133">
        <v>232.33933577764196</v>
      </c>
      <c r="AR133">
        <v>34.139898589521948</v>
      </c>
      <c r="AS133">
        <v>334.75635648952226</v>
      </c>
      <c r="AT133">
        <v>27.805163930619699</v>
      </c>
      <c r="AU133">
        <v>26.598036805463138</v>
      </c>
      <c r="AV133"/>
      <c r="AW133"/>
      <c r="AX133" s="146"/>
      <c r="AY133" s="76">
        <f t="shared" ca="1" si="88"/>
        <v>0.70007958622551358</v>
      </c>
      <c r="AZ133">
        <v>6</v>
      </c>
      <c r="BA133" s="129">
        <f t="shared" si="167"/>
        <v>39775</v>
      </c>
      <c r="BB133">
        <v>0</v>
      </c>
      <c r="BC133">
        <v>0</v>
      </c>
      <c r="BD133">
        <v>1</v>
      </c>
      <c r="BE133">
        <v>5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90"/>
        <v>9.7143700840056191E-2</v>
      </c>
      <c r="CL133" s="179">
        <f t="shared" si="91"/>
        <v>6</v>
      </c>
      <c r="CM133" s="180">
        <f t="shared" si="92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0.70740857943672042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10.416666666666666</v>
      </c>
      <c r="DI133" s="161">
        <f t="shared" si="98"/>
        <v>52.083333333333336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62.5</v>
      </c>
      <c r="EL133" s="149"/>
      <c r="EN133" s="146"/>
      <c r="EO133" s="146"/>
      <c r="EP133" s="139">
        <f t="shared" si="134"/>
        <v>0</v>
      </c>
      <c r="EQ133" s="139">
        <f t="shared" si="135"/>
        <v>0</v>
      </c>
      <c r="ER133" s="139">
        <f t="shared" si="136"/>
        <v>0.63776831206612272</v>
      </c>
      <c r="ES133" s="139">
        <f t="shared" si="137"/>
        <v>39.073014861149964</v>
      </c>
      <c r="ET133" s="139">
        <f t="shared" si="138"/>
        <v>0</v>
      </c>
      <c r="EU133" s="139">
        <f t="shared" si="139"/>
        <v>0</v>
      </c>
      <c r="EV133" s="139">
        <f t="shared" si="140"/>
        <v>0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39.710783173216086</v>
      </c>
      <c r="FV133" s="149"/>
      <c r="FY133" s="211">
        <v>128</v>
      </c>
      <c r="FZ133">
        <v>35.909362003092461</v>
      </c>
      <c r="GA133">
        <v>61.760030621558627</v>
      </c>
      <c r="GB133">
        <v>21.393937043793599</v>
      </c>
      <c r="GC133">
        <v>8.744738113499066</v>
      </c>
      <c r="GD133">
        <v>6.9066432673922051</v>
      </c>
      <c r="GE133">
        <v>9.7729939178620384</v>
      </c>
      <c r="GF133">
        <v>23.921098759766142</v>
      </c>
      <c r="GG133">
        <v>22.812713657231281</v>
      </c>
      <c r="GH133">
        <v>14.763483792153345</v>
      </c>
      <c r="GI133">
        <v>21.883597133072875</v>
      </c>
      <c r="GJ133"/>
      <c r="GK133">
        <v>38.943714568611739</v>
      </c>
      <c r="GL133">
        <v>56.917301404740726</v>
      </c>
      <c r="GM133">
        <v>37.900824415315469</v>
      </c>
      <c r="GN133">
        <v>28.859447411325117</v>
      </c>
      <c r="GO133">
        <v>30.031637857159616</v>
      </c>
      <c r="GP133">
        <v>20.969184642150481</v>
      </c>
      <c r="GQ133">
        <v>32.229317106681883</v>
      </c>
      <c r="GR133">
        <v>34.313211232609873</v>
      </c>
      <c r="GS133">
        <v>17.908936689859864</v>
      </c>
      <c r="GT133">
        <v>31.402886127525715</v>
      </c>
      <c r="GU133"/>
      <c r="GV133"/>
      <c r="GW133"/>
      <c r="GX133"/>
      <c r="GY133"/>
      <c r="GZ133"/>
      <c r="HA133"/>
      <c r="HB133"/>
      <c r="HC133"/>
    </row>
    <row r="134" spans="1:211" s="7" customFormat="1">
      <c r="A134" s="1"/>
      <c r="B134" s="76">
        <f t="shared" ca="1" si="132"/>
        <v>0.86003604592807759</v>
      </c>
      <c r="C134">
        <v>9</v>
      </c>
      <c r="D134">
        <v>39775</v>
      </c>
      <c r="E134">
        <v>0</v>
      </c>
      <c r="F134">
        <v>0</v>
      </c>
      <c r="G134">
        <v>0</v>
      </c>
      <c r="H134">
        <v>62.5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54.288675213675205</v>
      </c>
      <c r="AO134">
        <v>40.426939813127277</v>
      </c>
      <c r="AP134">
        <v>10.720492381300877</v>
      </c>
      <c r="AQ134">
        <v>290.02151973576662</v>
      </c>
      <c r="AR134">
        <v>38.965616759097102</v>
      </c>
      <c r="AS134">
        <v>367.86738112011153</v>
      </c>
      <c r="AT134">
        <v>31.713589953553324</v>
      </c>
      <c r="AU134">
        <v>32.704547628937007</v>
      </c>
      <c r="AV134"/>
      <c r="AW134"/>
      <c r="AX134" s="146"/>
      <c r="AY134" s="76">
        <f t="shared" ca="1" si="88"/>
        <v>3.9047396638767218E-2</v>
      </c>
      <c r="AZ134">
        <v>7</v>
      </c>
      <c r="BA134" s="129">
        <f t="shared" si="167"/>
        <v>39775</v>
      </c>
      <c r="BB134">
        <v>0</v>
      </c>
      <c r="BC134">
        <v>0</v>
      </c>
      <c r="BD134">
        <v>0</v>
      </c>
      <c r="BE134">
        <v>4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90"/>
        <v>9.1310982483272518E-4</v>
      </c>
      <c r="CL134" s="179">
        <f t="shared" si="91"/>
        <v>7</v>
      </c>
      <c r="CM134" s="180">
        <f t="shared" si="92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0.85162839264782253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0</v>
      </c>
      <c r="DI134" s="161">
        <f t="shared" si="98"/>
        <v>56.818181818181813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56.818181818181813</v>
      </c>
      <c r="EL134" s="149"/>
      <c r="EN134" s="146"/>
      <c r="EO134" s="146"/>
      <c r="EP134" s="139">
        <f t="shared" si="134"/>
        <v>0</v>
      </c>
      <c r="EQ134" s="139">
        <f t="shared" si="135"/>
        <v>0</v>
      </c>
      <c r="ER134" s="139">
        <f t="shared" si="136"/>
        <v>0</v>
      </c>
      <c r="ES134" s="139">
        <f t="shared" si="137"/>
        <v>42.625107121254501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42.625107121254501</v>
      </c>
      <c r="FV134" s="149"/>
      <c r="FY134" s="211">
        <v>129</v>
      </c>
      <c r="FZ134">
        <v>65.466473658784864</v>
      </c>
      <c r="GA134">
        <v>106.27725263545098</v>
      </c>
      <c r="GB134">
        <v>36.612304631646779</v>
      </c>
      <c r="GC134">
        <v>15.043254739331346</v>
      </c>
      <c r="GD134">
        <v>10.602236229796382</v>
      </c>
      <c r="GE134">
        <v>11.701444222724449</v>
      </c>
      <c r="GF134">
        <v>35.424669030351694</v>
      </c>
      <c r="GG134">
        <v>30.346104606151346</v>
      </c>
      <c r="GH134">
        <v>13.953316520999239</v>
      </c>
      <c r="GI134">
        <v>34.345047993489629</v>
      </c>
      <c r="GJ134"/>
      <c r="GK134">
        <v>71.300724280662763</v>
      </c>
      <c r="GL134">
        <v>98.596127013632952</v>
      </c>
      <c r="GM134">
        <v>64.86120466950895</v>
      </c>
      <c r="GN134">
        <v>49.670132761999525</v>
      </c>
      <c r="GO134">
        <v>46.12350525921822</v>
      </c>
      <c r="GP134">
        <v>25.106916728728674</v>
      </c>
      <c r="GQ134">
        <v>47.728279668271362</v>
      </c>
      <c r="GR134">
        <v>45.644385542343365</v>
      </c>
      <c r="GS134">
        <v>15.629205944459986</v>
      </c>
      <c r="GT134">
        <v>49.128583964424273</v>
      </c>
      <c r="GU134"/>
      <c r="GV134"/>
      <c r="GW134"/>
      <c r="GX134"/>
      <c r="GY134"/>
      <c r="GZ134"/>
      <c r="HA134"/>
      <c r="HB134"/>
      <c r="HC134"/>
    </row>
    <row r="135" spans="1:211" s="7" customFormat="1">
      <c r="A135" s="1"/>
      <c r="B135" s="76">
        <f t="shared" ca="1" si="132"/>
        <v>0.11394219091490232</v>
      </c>
      <c r="C135">
        <v>5</v>
      </c>
      <c r="D135">
        <v>39775</v>
      </c>
      <c r="E135">
        <v>0</v>
      </c>
      <c r="F135">
        <v>0</v>
      </c>
      <c r="G135">
        <v>31.25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48.205074786324779</v>
      </c>
      <c r="AO135">
        <v>41.149715740045735</v>
      </c>
      <c r="AP135">
        <v>43.121665209072702</v>
      </c>
      <c r="AQ135">
        <v>284.57029033193373</v>
      </c>
      <c r="AR135">
        <v>38.906509133940645</v>
      </c>
      <c r="AS135">
        <v>363.42676564639481</v>
      </c>
      <c r="AT135">
        <v>30.33692589657069</v>
      </c>
      <c r="AU135">
        <v>14.673453518418835</v>
      </c>
      <c r="AV135"/>
      <c r="AW135"/>
      <c r="AX135" s="146"/>
      <c r="AY135" s="76">
        <f t="shared" ca="1" si="88"/>
        <v>0.24454128233394989</v>
      </c>
      <c r="AZ135">
        <v>8</v>
      </c>
      <c r="BA135" s="129">
        <f t="shared" si="167"/>
        <v>39775</v>
      </c>
      <c r="BB135">
        <v>0</v>
      </c>
      <c r="BC135">
        <v>0</v>
      </c>
      <c r="BD135">
        <v>0</v>
      </c>
      <c r="BE135">
        <v>5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90"/>
        <v>0.76025862462621729</v>
      </c>
      <c r="CL135" s="179">
        <f t="shared" si="91"/>
        <v>8</v>
      </c>
      <c r="CM135" s="180">
        <f t="shared" si="92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0.74164163535097782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0</v>
      </c>
      <c r="DH135" s="161">
        <f t="shared" si="97"/>
        <v>0</v>
      </c>
      <c r="DI135" s="161">
        <f t="shared" si="98"/>
        <v>173.61111111111111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173.61111111111111</v>
      </c>
      <c r="EL135" s="149"/>
      <c r="EN135" s="146"/>
      <c r="EO135" s="146"/>
      <c r="EP135" s="139">
        <f t="shared" si="134"/>
        <v>0</v>
      </c>
      <c r="EQ135" s="139">
        <f t="shared" si="135"/>
        <v>0</v>
      </c>
      <c r="ER135" s="139">
        <f t="shared" si="136"/>
        <v>0</v>
      </c>
      <c r="ES135" s="139">
        <f t="shared" si="137"/>
        <v>130.24338287049989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130.24338287049989</v>
      </c>
      <c r="FV135" s="149"/>
      <c r="FY135" s="211">
        <v>130</v>
      </c>
      <c r="FZ135">
        <v>48.398027393940595</v>
      </c>
      <c r="GA135">
        <v>80.191978075135353</v>
      </c>
      <c r="GB135">
        <v>30.647265952613409</v>
      </c>
      <c r="GC135">
        <v>12.416310870284551</v>
      </c>
      <c r="GD135">
        <v>8.6054113508715773</v>
      </c>
      <c r="GE135">
        <v>11.990945237013719</v>
      </c>
      <c r="GF135">
        <v>27.814209248589215</v>
      </c>
      <c r="GG135">
        <v>21.797240896091594</v>
      </c>
      <c r="GH135">
        <v>6.3352431570017291</v>
      </c>
      <c r="GI135">
        <v>26.438859301188472</v>
      </c>
      <c r="GJ135"/>
      <c r="GK135">
        <v>53.66215992331049</v>
      </c>
      <c r="GL135">
        <v>75.543048245554473</v>
      </c>
      <c r="GM135">
        <v>54.293730195697925</v>
      </c>
      <c r="GN135">
        <v>41.005272635909201</v>
      </c>
      <c r="GO135">
        <v>37.446349429150608</v>
      </c>
      <c r="GP135">
        <v>25.72807747780336</v>
      </c>
      <c r="GQ135">
        <v>37.474573344102922</v>
      </c>
      <c r="GR135">
        <v>32.785811560764927</v>
      </c>
      <c r="GS135">
        <v>7.7822778990954342</v>
      </c>
      <c r="GT135">
        <v>38.131818158271471</v>
      </c>
      <c r="GU135"/>
      <c r="GV135"/>
      <c r="GW135"/>
      <c r="GX135"/>
      <c r="GY135"/>
      <c r="GZ135"/>
      <c r="HA135"/>
      <c r="HB135"/>
      <c r="HC135"/>
    </row>
    <row r="136" spans="1:211" s="7" customFormat="1">
      <c r="A136" s="1"/>
      <c r="B136" s="76">
        <f t="shared" ca="1" si="132"/>
        <v>0.79414938664822454</v>
      </c>
      <c r="C136">
        <v>7</v>
      </c>
      <c r="D136">
        <v>39775</v>
      </c>
      <c r="E136">
        <v>0</v>
      </c>
      <c r="F136">
        <v>0</v>
      </c>
      <c r="G136">
        <v>0</v>
      </c>
      <c r="H136">
        <v>56.818181818181813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47.654220085470094</v>
      </c>
      <c r="AO136">
        <v>35.169862516037043</v>
      </c>
      <c r="AP136">
        <v>12.921213244835375</v>
      </c>
      <c r="AQ136">
        <v>253.3559065841936</v>
      </c>
      <c r="AR136">
        <v>34.224875449398219</v>
      </c>
      <c r="AS136">
        <v>350.02505932312908</v>
      </c>
      <c r="AT136">
        <v>27.558685529004492</v>
      </c>
      <c r="AU136">
        <v>34.704727360798927</v>
      </c>
      <c r="AV136"/>
      <c r="AW136"/>
      <c r="AX136" s="146"/>
      <c r="AY136" s="76">
        <f t="shared" ca="1" si="88"/>
        <v>0.47227476034631022</v>
      </c>
      <c r="AZ136">
        <v>9</v>
      </c>
      <c r="BA136" s="129">
        <f t="shared" si="167"/>
        <v>39775</v>
      </c>
      <c r="BB136">
        <v>0</v>
      </c>
      <c r="BC136">
        <v>0</v>
      </c>
      <c r="BD136">
        <v>0</v>
      </c>
      <c r="BE136">
        <v>6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90"/>
        <v>0.63031836352793413</v>
      </c>
      <c r="CL136" s="179">
        <f t="shared" si="91"/>
        <v>9</v>
      </c>
      <c r="CM136" s="180">
        <f t="shared" si="92"/>
        <v>39775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0.86717414605114396</v>
      </c>
      <c r="DD136">
        <f t="shared" si="94"/>
        <v>9</v>
      </c>
      <c r="DE136" s="129">
        <f t="shared" si="166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0</v>
      </c>
      <c r="DI136" s="161">
        <f t="shared" si="98"/>
        <v>62.5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62.5</v>
      </c>
      <c r="EL136" s="149"/>
      <c r="EN136" s="146"/>
      <c r="EO136" s="146"/>
      <c r="EP136" s="139">
        <f t="shared" si="134"/>
        <v>0</v>
      </c>
      <c r="EQ136" s="139">
        <f t="shared" si="135"/>
        <v>0</v>
      </c>
      <c r="ER136" s="139">
        <f t="shared" si="136"/>
        <v>0</v>
      </c>
      <c r="ES136" s="139">
        <f t="shared" si="137"/>
        <v>46.887617833379956</v>
      </c>
      <c r="ET136" s="139">
        <f t="shared" si="138"/>
        <v>0</v>
      </c>
      <c r="EU136" s="139">
        <f t="shared" si="139"/>
        <v>0</v>
      </c>
      <c r="EV136" s="139">
        <f t="shared" si="140"/>
        <v>0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46.887617833379956</v>
      </c>
      <c r="FV136" s="149"/>
      <c r="FY136" s="211">
        <v>131</v>
      </c>
      <c r="FZ136">
        <v>38.849839666357092</v>
      </c>
      <c r="GA136">
        <v>73.962633636214747</v>
      </c>
      <c r="GB136">
        <v>36.371698029467275</v>
      </c>
      <c r="GC136">
        <v>16.607391816764309</v>
      </c>
      <c r="GD136">
        <v>10.360495990366118</v>
      </c>
      <c r="GE136">
        <v>12.187058827338708</v>
      </c>
      <c r="GF136">
        <v>26.311451023783913</v>
      </c>
      <c r="GG136">
        <v>18.372972282946105</v>
      </c>
      <c r="GH136">
        <v>7.3254911735246013</v>
      </c>
      <c r="GI136">
        <v>27.467191418935101</v>
      </c>
      <c r="GJ136"/>
      <c r="GK136">
        <v>41.968971367893914</v>
      </c>
      <c r="GL136">
        <v>67.70145350641809</v>
      </c>
      <c r="GM136">
        <v>64.434953598296389</v>
      </c>
      <c r="GN136">
        <v>54.851590839111772</v>
      </c>
      <c r="GO136">
        <v>45.088801881147518</v>
      </c>
      <c r="GP136">
        <v>26.148863791692662</v>
      </c>
      <c r="GQ136">
        <v>35.449880755843324</v>
      </c>
      <c r="GR136">
        <v>27.635277783613336</v>
      </c>
      <c r="GS136">
        <v>8.2053331208414928</v>
      </c>
      <c r="GT136">
        <v>39.029588144804528</v>
      </c>
      <c r="GU136"/>
      <c r="GV136"/>
      <c r="GW136"/>
      <c r="GX136"/>
      <c r="GY136"/>
      <c r="GZ136"/>
      <c r="HA136"/>
      <c r="HB136"/>
      <c r="HC136"/>
    </row>
    <row r="137" spans="1:211" s="7" customFormat="1">
      <c r="A137" s="1"/>
      <c r="B137" s="76">
        <f t="shared" ca="1" si="132"/>
        <v>0.63899220775162568</v>
      </c>
      <c r="C137">
        <v>1</v>
      </c>
      <c r="D137">
        <v>39775</v>
      </c>
      <c r="E137">
        <v>0</v>
      </c>
      <c r="F137">
        <v>0</v>
      </c>
      <c r="G137">
        <v>0</v>
      </c>
      <c r="H137">
        <v>96.15384615384616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53.711111111111123</v>
      </c>
      <c r="AO137">
        <v>39.676969038169673</v>
      </c>
      <c r="AP137">
        <v>8.0912435813262054</v>
      </c>
      <c r="AQ137">
        <v>263.84199003079732</v>
      </c>
      <c r="AR137">
        <v>37.795268765842941</v>
      </c>
      <c r="AS137">
        <v>368.94153496239159</v>
      </c>
      <c r="AT137">
        <v>30.81322336557103</v>
      </c>
      <c r="AU137">
        <v>33.995389287675899</v>
      </c>
      <c r="AV137"/>
      <c r="AW137"/>
      <c r="AX137" s="146"/>
      <c r="AY137" s="76">
        <f t="shared" ca="1" si="88"/>
        <v>0.22609182423363539</v>
      </c>
      <c r="AZ137">
        <v>10</v>
      </c>
      <c r="BA137" s="129">
        <f t="shared" si="167"/>
        <v>39775</v>
      </c>
      <c r="BB137">
        <v>0</v>
      </c>
      <c r="BC137">
        <v>0</v>
      </c>
      <c r="BD137">
        <v>0</v>
      </c>
      <c r="BE137">
        <v>6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90"/>
        <v>0.2100227489169697</v>
      </c>
      <c r="CL137" s="179">
        <f t="shared" si="91"/>
        <v>10</v>
      </c>
      <c r="CM137" s="180">
        <f t="shared" si="92"/>
        <v>39775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0.79020192087992602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0</v>
      </c>
      <c r="DI137" s="161">
        <f t="shared" si="98"/>
        <v>62.5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62.5</v>
      </c>
      <c r="EL137" s="149"/>
      <c r="EN137" s="146"/>
      <c r="EO137" s="146"/>
      <c r="EP137" s="139">
        <f t="shared" si="134"/>
        <v>0</v>
      </c>
      <c r="EQ137" s="139">
        <f t="shared" si="135"/>
        <v>0</v>
      </c>
      <c r="ER137" s="139">
        <f t="shared" si="136"/>
        <v>0</v>
      </c>
      <c r="ES137" s="139">
        <f t="shared" si="137"/>
        <v>46.887617833379956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0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46.887617833379956</v>
      </c>
      <c r="FV137" s="149"/>
      <c r="FY137" s="211">
        <v>132</v>
      </c>
      <c r="FZ137">
        <v>47.445309696160741</v>
      </c>
      <c r="GA137">
        <v>90.144346329563064</v>
      </c>
      <c r="GB137">
        <v>35.710029873473651</v>
      </c>
      <c r="GC137">
        <v>14.181929422906906</v>
      </c>
      <c r="GD137">
        <v>9.5144841491582852</v>
      </c>
      <c r="GE137">
        <v>11.229837731704826</v>
      </c>
      <c r="GF137">
        <v>19.62373752041065</v>
      </c>
      <c r="GG137">
        <v>10.390884067475946</v>
      </c>
      <c r="GH137">
        <v>7.6743240865495794</v>
      </c>
      <c r="GI137">
        <v>26.813746771702728</v>
      </c>
      <c r="GJ137"/>
      <c r="GK137">
        <v>50.871318719092244</v>
      </c>
      <c r="GL137">
        <v>82.002176945598976</v>
      </c>
      <c r="GM137">
        <v>63.262763152461893</v>
      </c>
      <c r="GN137">
        <v>46.832991589249744</v>
      </c>
      <c r="GO137">
        <v>41.398290431289801</v>
      </c>
      <c r="GP137">
        <v>24.095025831042477</v>
      </c>
      <c r="GQ137">
        <v>26.439406722711475</v>
      </c>
      <c r="GR137">
        <v>15.629205944459985</v>
      </c>
      <c r="GS137">
        <v>8.5960632694529906</v>
      </c>
      <c r="GT137">
        <v>38.113568459001684</v>
      </c>
      <c r="GU137"/>
      <c r="GV137"/>
      <c r="GW137"/>
      <c r="GX137"/>
      <c r="GY137"/>
      <c r="GZ137"/>
      <c r="HA137"/>
      <c r="HB137"/>
      <c r="HC137"/>
    </row>
    <row r="138" spans="1:211" s="7" customFormat="1">
      <c r="A138" s="128"/>
      <c r="B138" s="76">
        <f t="shared" ca="1" si="132"/>
        <v>0.56169554413523359</v>
      </c>
      <c r="C138">
        <v>4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47.237553418803422</v>
      </c>
      <c r="AO138">
        <v>38.755543671744014</v>
      </c>
      <c r="AP138">
        <v>38.647246282273066</v>
      </c>
      <c r="AQ138">
        <v>261.251670721918</v>
      </c>
      <c r="AR138">
        <v>37.339602953672781</v>
      </c>
      <c r="AS138">
        <v>345.25398898580141</v>
      </c>
      <c r="AT138">
        <v>29.221664293745945</v>
      </c>
      <c r="AU138">
        <v>23.19558346501508</v>
      </c>
      <c r="AV138"/>
      <c r="AW138"/>
      <c r="AX138" s="128"/>
      <c r="AY138" s="76">
        <f t="shared" ca="1" si="88"/>
        <v>9.794793802457491E-2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90"/>
        <v>0.46400723256569254</v>
      </c>
      <c r="CL138" s="179">
        <f t="shared" si="91"/>
        <v>1</v>
      </c>
      <c r="CM138" s="180">
        <f t="shared" si="92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0.47028653051690306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10.416666666666666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10.416666666666666</v>
      </c>
      <c r="EL138" s="149"/>
      <c r="EN138" s="146"/>
      <c r="EO138" s="146"/>
      <c r="EP138" s="139">
        <f t="shared" si="134"/>
        <v>0</v>
      </c>
      <c r="EQ138" s="139">
        <f t="shared" si="135"/>
        <v>0</v>
      </c>
      <c r="ER138" s="139">
        <f t="shared" si="136"/>
        <v>0</v>
      </c>
      <c r="ES138" s="139">
        <f t="shared" si="137"/>
        <v>7.8146029722299923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7.8146029722299923</v>
      </c>
      <c r="FV138" s="149"/>
      <c r="FY138" s="211">
        <v>133</v>
      </c>
      <c r="FZ138">
        <v>28.944544047638487</v>
      </c>
      <c r="GA138">
        <v>48.279864101465542</v>
      </c>
      <c r="GB138">
        <v>26.577004265743593</v>
      </c>
      <c r="GC138">
        <v>15.478629648930402</v>
      </c>
      <c r="GD138">
        <v>10.694043811912962</v>
      </c>
      <c r="GE138">
        <v>12.826762681494039</v>
      </c>
      <c r="GF138">
        <v>28.00754656406124</v>
      </c>
      <c r="GG138">
        <v>18.939747777535704</v>
      </c>
      <c r="GH138">
        <v>9.7673215646994649</v>
      </c>
      <c r="GI138">
        <v>24.513027573324411</v>
      </c>
      <c r="GJ138"/>
      <c r="GK138">
        <v>29.933079402212805</v>
      </c>
      <c r="GL138">
        <v>42.667732228375762</v>
      </c>
      <c r="GM138">
        <v>47.082982907685711</v>
      </c>
      <c r="GN138">
        <v>51.119627648335083</v>
      </c>
      <c r="GO138">
        <v>46.536062443469405</v>
      </c>
      <c r="GP138">
        <v>27.521428672712553</v>
      </c>
      <c r="GQ138">
        <v>37.735060109843921</v>
      </c>
      <c r="GR138">
        <v>28.487779926038428</v>
      </c>
      <c r="GS138">
        <v>10.940444161121988</v>
      </c>
      <c r="GT138">
        <v>34.445525804866769</v>
      </c>
      <c r="GU138"/>
      <c r="GV138"/>
      <c r="GW138"/>
      <c r="GX138"/>
      <c r="GY138"/>
      <c r="GZ138"/>
      <c r="HA138"/>
      <c r="HB138"/>
      <c r="HC138"/>
    </row>
    <row r="139" spans="1:211" s="7" customFormat="1">
      <c r="A139" s="1"/>
      <c r="B139" s="76">
        <f t="shared" ca="1" si="132"/>
        <v>9.5913627696137205E-2</v>
      </c>
      <c r="C139">
        <v>9</v>
      </c>
      <c r="D139">
        <v>39799</v>
      </c>
      <c r="E139">
        <v>0</v>
      </c>
      <c r="F139">
        <v>0</v>
      </c>
      <c r="G139">
        <v>0</v>
      </c>
      <c r="H139">
        <v>31.25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48.324759615384615</v>
      </c>
      <c r="AO139">
        <v>39.859141567838194</v>
      </c>
      <c r="AP139">
        <v>36.229293862872254</v>
      </c>
      <c r="AQ139">
        <v>263.18045559322189</v>
      </c>
      <c r="AR139">
        <v>38.005752087517067</v>
      </c>
      <c r="AS139">
        <v>352.64931484698116</v>
      </c>
      <c r="AT139">
        <v>29.814943406093381</v>
      </c>
      <c r="AU139">
        <v>0.94965607495906568</v>
      </c>
      <c r="AV139"/>
      <c r="AW139"/>
      <c r="AX139" s="146"/>
      <c r="AY139" s="76">
        <f t="shared" ca="1" si="88"/>
        <v>0.37100548982802728</v>
      </c>
      <c r="AZ139">
        <v>2</v>
      </c>
      <c r="BA139" s="129">
        <f t="shared" ref="BA139:BA147" si="169">IF(AZ139="", "",$C$9)</f>
        <v>39799</v>
      </c>
      <c r="BB139">
        <v>0</v>
      </c>
      <c r="BC139">
        <v>0</v>
      </c>
      <c r="BD139">
        <v>0</v>
      </c>
      <c r="BE139">
        <v>7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90"/>
        <v>0.47216188088863298</v>
      </c>
      <c r="CL139" s="179">
        <f t="shared" si="91"/>
        <v>2</v>
      </c>
      <c r="CM139" s="180">
        <f t="shared" si="92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9.8331744063139936E-2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0</v>
      </c>
      <c r="DI139" s="161">
        <f t="shared" si="98"/>
        <v>72.916666666666671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72.916666666666671</v>
      </c>
      <c r="EL139" s="149"/>
      <c r="EN139" s="146"/>
      <c r="EO139" s="146"/>
      <c r="EP139" s="139">
        <f t="shared" si="134"/>
        <v>0</v>
      </c>
      <c r="EQ139" s="139">
        <f t="shared" si="135"/>
        <v>0</v>
      </c>
      <c r="ER139" s="139">
        <f t="shared" si="136"/>
        <v>0</v>
      </c>
      <c r="ES139" s="139">
        <f t="shared" si="137"/>
        <v>54.702220805609954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54.702220805609954</v>
      </c>
      <c r="FV139" s="149"/>
      <c r="FY139" s="211">
        <v>134</v>
      </c>
      <c r="FZ139">
        <v>45.093611694170008</v>
      </c>
      <c r="GA139">
        <v>85.183377280685036</v>
      </c>
      <c r="GB139">
        <v>34.176162784579361</v>
      </c>
      <c r="GC139">
        <v>13.813288520010445</v>
      </c>
      <c r="GD139">
        <v>7.6149002946493693</v>
      </c>
      <c r="GE139">
        <v>8.8017647086335131</v>
      </c>
      <c r="GF139">
        <v>8.5068418807691497</v>
      </c>
      <c r="GG139">
        <v>4.6758978303641765</v>
      </c>
      <c r="GH139">
        <v>8.023156999574562</v>
      </c>
      <c r="GI139">
        <v>22.720563465245455</v>
      </c>
      <c r="GJ139"/>
      <c r="GK139">
        <v>52.036865886104806</v>
      </c>
      <c r="GL139">
        <v>82.290598568578631</v>
      </c>
      <c r="GM139">
        <v>60.545412573481919</v>
      </c>
      <c r="GN139">
        <v>45.603908581618121</v>
      </c>
      <c r="GO139">
        <v>33.118304287350654</v>
      </c>
      <c r="GP139">
        <v>18.885290516222483</v>
      </c>
      <c r="GQ139">
        <v>11.461417692603989</v>
      </c>
      <c r="GR139">
        <v>7.0331426750069932</v>
      </c>
      <c r="GS139">
        <v>8.9867934180644919</v>
      </c>
      <c r="GT139">
        <v>33.229758771521176</v>
      </c>
      <c r="GU139"/>
      <c r="GV139"/>
      <c r="GW139"/>
      <c r="GX139"/>
      <c r="GY139"/>
      <c r="GZ139"/>
      <c r="HA139"/>
      <c r="HB139"/>
      <c r="HC139"/>
    </row>
    <row r="140" spans="1:211" s="7" customFormat="1">
      <c r="A140" s="1"/>
      <c r="B140" s="76">
        <f t="shared" ca="1" si="132"/>
        <v>5.7422411633918813E-2</v>
      </c>
      <c r="C140">
        <v>2</v>
      </c>
      <c r="D140">
        <v>39799</v>
      </c>
      <c r="E140">
        <v>0</v>
      </c>
      <c r="F140">
        <v>0</v>
      </c>
      <c r="G140">
        <v>0</v>
      </c>
      <c r="H140">
        <v>72.916666666666671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47.988701923076931</v>
      </c>
      <c r="AO140">
        <v>36.066706540634449</v>
      </c>
      <c r="AP140">
        <v>7.2062159370655845</v>
      </c>
      <c r="AQ140">
        <v>246.72946364633472</v>
      </c>
      <c r="AR140">
        <v>34.815466875933829</v>
      </c>
      <c r="AS140">
        <v>328.89856012054781</v>
      </c>
      <c r="AT140">
        <v>28.628986018601577</v>
      </c>
      <c r="AU140">
        <v>33.873383691450158</v>
      </c>
      <c r="AV140"/>
      <c r="AW140"/>
      <c r="AX140" s="146"/>
      <c r="AY140" s="76">
        <f t="shared" ca="1" si="88"/>
        <v>0.58741019380572745</v>
      </c>
      <c r="AZ140">
        <v>3</v>
      </c>
      <c r="BA140" s="129">
        <f t="shared" si="169"/>
        <v>39799</v>
      </c>
      <c r="BB140">
        <v>0</v>
      </c>
      <c r="BC140">
        <v>0</v>
      </c>
      <c r="BD140">
        <v>0</v>
      </c>
      <c r="BE140">
        <v>3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90"/>
        <v>0.24886487797711343</v>
      </c>
      <c r="CL140" s="179">
        <f t="shared" si="91"/>
        <v>3</v>
      </c>
      <c r="CM140" s="180">
        <f t="shared" si="92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0.29681935686150163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0</v>
      </c>
      <c r="DI140" s="161">
        <f t="shared" si="98"/>
        <v>72.115384615384613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72.115384615384613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0</v>
      </c>
      <c r="ES140" s="139">
        <f t="shared" si="137"/>
        <v>54.10109750005379</v>
      </c>
      <c r="ET140" s="139">
        <f t="shared" si="138"/>
        <v>0</v>
      </c>
      <c r="EU140" s="139">
        <f t="shared" si="139"/>
        <v>0</v>
      </c>
      <c r="EV140" s="139">
        <f t="shared" si="140"/>
        <v>0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54.10109750005379</v>
      </c>
      <c r="FV140" s="149"/>
      <c r="FY140" s="211">
        <v>135</v>
      </c>
      <c r="FZ140">
        <v>48.75248122051805</v>
      </c>
      <c r="GA140">
        <v>83.552115137142124</v>
      </c>
      <c r="GB140">
        <v>30.536987926614479</v>
      </c>
      <c r="GC140">
        <v>16.14494169593684</v>
      </c>
      <c r="GD140">
        <v>10.05724664807664</v>
      </c>
      <c r="GE140">
        <v>7.2235172436371577</v>
      </c>
      <c r="GF140">
        <v>25.977504751604954</v>
      </c>
      <c r="GG140">
        <v>20.238608285970194</v>
      </c>
      <c r="GH140">
        <v>8.0794077221266338</v>
      </c>
      <c r="GI140">
        <v>27.288888902104432</v>
      </c>
      <c r="GJ140"/>
      <c r="GK140">
        <v>54.024151674890618</v>
      </c>
      <c r="GL140">
        <v>78.51259737500186</v>
      </c>
      <c r="GM140">
        <v>54.098365121392185</v>
      </c>
      <c r="GN140">
        <v>53.324191167266825</v>
      </c>
      <c r="GO140">
        <v>43.769062987585606</v>
      </c>
      <c r="GP140">
        <v>15.498962561589485</v>
      </c>
      <c r="GQ140">
        <v>34.999949069563414</v>
      </c>
      <c r="GR140">
        <v>30.441430669095919</v>
      </c>
      <c r="GS140">
        <v>9.7359286421529312</v>
      </c>
      <c r="GT140">
        <v>39.325491499116943</v>
      </c>
      <c r="GU140"/>
      <c r="GV140"/>
      <c r="GW140"/>
      <c r="GX140"/>
      <c r="GY140"/>
      <c r="GZ140"/>
      <c r="HA140"/>
      <c r="HB140"/>
      <c r="HC140"/>
    </row>
    <row r="141" spans="1:211" s="7" customFormat="1">
      <c r="A141" s="1"/>
      <c r="B141" s="76">
        <f t="shared" ca="1" si="132"/>
        <v>6.3859866723134928E-2</v>
      </c>
      <c r="C141">
        <v>7</v>
      </c>
      <c r="D141">
        <v>39799</v>
      </c>
      <c r="E141">
        <v>0</v>
      </c>
      <c r="F141">
        <v>0</v>
      </c>
      <c r="G141">
        <v>0</v>
      </c>
      <c r="H141">
        <v>10.416666666666666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50.073424145299143</v>
      </c>
      <c r="AO141">
        <v>36.137887472829327</v>
      </c>
      <c r="AP141">
        <v>26.380907626968202</v>
      </c>
      <c r="AQ141">
        <v>259.49186645165332</v>
      </c>
      <c r="AR141">
        <v>35.222323132561741</v>
      </c>
      <c r="AS141">
        <v>349.32125497822938</v>
      </c>
      <c r="AT141">
        <v>27.725921259246196</v>
      </c>
      <c r="AU141">
        <v>50.007027210672689</v>
      </c>
      <c r="AV141"/>
      <c r="AW141"/>
      <c r="AX141" s="146"/>
      <c r="AY141" s="76">
        <f t="shared" ca="1" si="88"/>
        <v>0.290577898317391</v>
      </c>
      <c r="AZ141">
        <v>4</v>
      </c>
      <c r="BA141" s="129">
        <f t="shared" si="169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90"/>
        <v>0.22482891583935771</v>
      </c>
      <c r="CL141" s="179">
        <f t="shared" si="91"/>
        <v>4</v>
      </c>
      <c r="CM141" s="180">
        <f t="shared" si="92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0.22872895103830881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0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0</v>
      </c>
      <c r="EL141" s="149"/>
      <c r="EN141" s="146"/>
      <c r="EO141" s="146"/>
      <c r="EP141" s="139">
        <f t="shared" si="134"/>
        <v>0</v>
      </c>
      <c r="EQ141" s="139">
        <f t="shared" si="135"/>
        <v>0</v>
      </c>
      <c r="ER141" s="139">
        <f t="shared" si="136"/>
        <v>0</v>
      </c>
      <c r="ES141" s="139">
        <f t="shared" si="137"/>
        <v>0</v>
      </c>
      <c r="ET141" s="139">
        <f t="shared" si="138"/>
        <v>0</v>
      </c>
      <c r="EU141" s="139">
        <f t="shared" si="139"/>
        <v>0</v>
      </c>
      <c r="EV141" s="139">
        <f t="shared" si="140"/>
        <v>0</v>
      </c>
      <c r="EW141" s="139">
        <f t="shared" si="141"/>
        <v>0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0</v>
      </c>
      <c r="FV141" s="149"/>
      <c r="FY141" s="211">
        <v>136</v>
      </c>
      <c r="FZ141">
        <v>46.485962193526674</v>
      </c>
      <c r="GA141">
        <v>91.510334494526532</v>
      </c>
      <c r="GB141">
        <v>42.015927905594644</v>
      </c>
      <c r="GC141">
        <v>15.089444599342441</v>
      </c>
      <c r="GD141">
        <v>6.8215603371398048</v>
      </c>
      <c r="GE141">
        <v>10.06249493215131</v>
      </c>
      <c r="GF141">
        <v>16.890650924419734</v>
      </c>
      <c r="GG141">
        <v>11.146584726928745</v>
      </c>
      <c r="GH141">
        <v>11.218903939351463</v>
      </c>
      <c r="GI141">
        <v>26.601701520320958</v>
      </c>
      <c r="GJ141"/>
      <c r="GK141">
        <v>51.67977078322162</v>
      </c>
      <c r="GL141">
        <v>85.545740050008845</v>
      </c>
      <c r="GM141">
        <v>74.434093310490681</v>
      </c>
      <c r="GN141">
        <v>49.822690570606589</v>
      </c>
      <c r="GO141">
        <v>29.67003175183654</v>
      </c>
      <c r="GP141">
        <v>21.590345391225171</v>
      </c>
      <c r="GQ141">
        <v>22.757071079736431</v>
      </c>
      <c r="GR141">
        <v>16.765875467693441</v>
      </c>
      <c r="GS141">
        <v>13.252499979656431</v>
      </c>
      <c r="GT141">
        <v>38.358693380988335</v>
      </c>
      <c r="GU141"/>
      <c r="GV141"/>
      <c r="GW141"/>
      <c r="GX141"/>
      <c r="GY141"/>
      <c r="GZ141"/>
      <c r="HA141"/>
      <c r="HB141"/>
      <c r="HC141"/>
    </row>
    <row r="142" spans="1:211" s="7" customFormat="1">
      <c r="A142" s="1"/>
      <c r="B142" s="76">
        <f t="shared" ca="1" si="132"/>
        <v>3.4225592531011984E-3</v>
      </c>
      <c r="C142">
        <v>3</v>
      </c>
      <c r="D142">
        <v>39799</v>
      </c>
      <c r="E142">
        <v>0</v>
      </c>
      <c r="F142">
        <v>0</v>
      </c>
      <c r="G142">
        <v>0</v>
      </c>
      <c r="H142">
        <v>72.115384615384613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50.889930555555551</v>
      </c>
      <c r="AO142">
        <v>43.237468689105398</v>
      </c>
      <c r="AP142">
        <v>63.814317575058439</v>
      </c>
      <c r="AQ142">
        <v>298.19482701272591</v>
      </c>
      <c r="AR142">
        <v>41.748223583818486</v>
      </c>
      <c r="AS142">
        <v>376.53926664787173</v>
      </c>
      <c r="AT142">
        <v>31.879656214778311</v>
      </c>
      <c r="AU142">
        <v>39.028784936590007</v>
      </c>
      <c r="AV142"/>
      <c r="AW142"/>
      <c r="AX142" s="146"/>
      <c r="AY142" s="76">
        <f t="shared" ca="1" si="88"/>
        <v>3.0042603314811345E-2</v>
      </c>
      <c r="AZ142">
        <v>5</v>
      </c>
      <c r="BA142" s="129">
        <f t="shared" si="169"/>
        <v>39799</v>
      </c>
      <c r="BB142">
        <v>0</v>
      </c>
      <c r="BC142">
        <v>0</v>
      </c>
      <c r="BD142">
        <v>0</v>
      </c>
      <c r="BE142">
        <v>5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90"/>
        <v>1.8511159145386813E-3</v>
      </c>
      <c r="CL142" s="179">
        <f t="shared" si="91"/>
        <v>5</v>
      </c>
      <c r="CM142" s="180">
        <f t="shared" si="92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0.71787172818252731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52.083333333333336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52.083333333333336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39.073014861149964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0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39.073014861149964</v>
      </c>
      <c r="FV142" s="149"/>
      <c r="FY142" s="211">
        <v>137</v>
      </c>
      <c r="FZ142">
        <v>45.394281501766862</v>
      </c>
      <c r="GA142">
        <v>84.003426550168982</v>
      </c>
      <c r="GB142">
        <v>37.374225538548508</v>
      </c>
      <c r="GC142">
        <v>13.898849252489358</v>
      </c>
      <c r="GD142">
        <v>8.4359602173475459</v>
      </c>
      <c r="GE142">
        <v>10.912320490226268</v>
      </c>
      <c r="GF142">
        <v>19.140394231730586</v>
      </c>
      <c r="GG142">
        <v>11.689744575910442</v>
      </c>
      <c r="GH142">
        <v>5.5813266083996949</v>
      </c>
      <c r="GI142">
        <v>25.889358990520197</v>
      </c>
      <c r="GJ142"/>
      <c r="GK142">
        <v>46.951394664586566</v>
      </c>
      <c r="GL142">
        <v>74.238728236184926</v>
      </c>
      <c r="GM142">
        <v>66.210999728348654</v>
      </c>
      <c r="GN142">
        <v>45.890342280093414</v>
      </c>
      <c r="GO142">
        <v>36.695888083745885</v>
      </c>
      <c r="GP142">
        <v>23.413752751412169</v>
      </c>
      <c r="GQ142">
        <v>25.788189808358975</v>
      </c>
      <c r="GR142">
        <v>17.582856687517484</v>
      </c>
      <c r="GS142">
        <v>6.251682377783994</v>
      </c>
      <c r="GT142">
        <v>36.379630932564815</v>
      </c>
      <c r="GU142"/>
      <c r="GV142"/>
      <c r="GW142"/>
      <c r="GX142"/>
      <c r="GY142"/>
      <c r="GZ142"/>
      <c r="HA142"/>
      <c r="HB142"/>
      <c r="HC142"/>
    </row>
    <row r="143" spans="1:211" s="7" customFormat="1">
      <c r="A143" s="1"/>
      <c r="B143" s="76">
        <f t="shared" ca="1" si="132"/>
        <v>0.95363465670328651</v>
      </c>
      <c r="C143">
        <v>1</v>
      </c>
      <c r="D143">
        <v>39799</v>
      </c>
      <c r="E143">
        <v>0</v>
      </c>
      <c r="F143">
        <v>0</v>
      </c>
      <c r="G143">
        <v>0</v>
      </c>
      <c r="H143">
        <v>10.416666666666666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43.516666666666666</v>
      </c>
      <c r="AO143">
        <v>31.533876004462616</v>
      </c>
      <c r="AP143">
        <v>13.79729338913112</v>
      </c>
      <c r="AQ143">
        <v>223.0551283301447</v>
      </c>
      <c r="AR143">
        <v>30.836101669468999</v>
      </c>
      <c r="AS143">
        <v>300.47691907678961</v>
      </c>
      <c r="AT143">
        <v>24.592671680578743</v>
      </c>
      <c r="AU143">
        <v>42.859118900356847</v>
      </c>
      <c r="AV143"/>
      <c r="AW143"/>
      <c r="AX143" s="146"/>
      <c r="AY143" s="76">
        <f t="shared" ca="1" si="88"/>
        <v>0.99280692895090716</v>
      </c>
      <c r="AZ143">
        <v>6</v>
      </c>
      <c r="BA143" s="129">
        <f t="shared" si="169"/>
        <v>39799</v>
      </c>
      <c r="BB143">
        <v>0</v>
      </c>
      <c r="BC143">
        <v>0</v>
      </c>
      <c r="BD143">
        <v>0</v>
      </c>
      <c r="BE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90"/>
        <v>0.38380014369484616</v>
      </c>
      <c r="CL143" s="179">
        <f t="shared" si="91"/>
        <v>6</v>
      </c>
      <c r="CM143" s="180">
        <f t="shared" si="92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0.2447011548982081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10.416666666666666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10.416666666666666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7.8146029722299923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7.8146029722299923</v>
      </c>
      <c r="FV143" s="149"/>
      <c r="FY143" s="211">
        <v>138</v>
      </c>
      <c r="FZ143">
        <v>46.14015950333102</v>
      </c>
      <c r="GA143">
        <v>59.677457064988822</v>
      </c>
      <c r="GB143">
        <v>20.291156783804233</v>
      </c>
      <c r="GC143">
        <v>12.684212058348884</v>
      </c>
      <c r="GD143">
        <v>9.0808996225635639</v>
      </c>
      <c r="GE143">
        <v>11.701444222724449</v>
      </c>
      <c r="GF143">
        <v>20.080716629708167</v>
      </c>
      <c r="GG143">
        <v>13.484533642110831</v>
      </c>
      <c r="GH143">
        <v>9.4184886516744868</v>
      </c>
      <c r="GI143">
        <v>22.778353437292548</v>
      </c>
      <c r="GJ143"/>
      <c r="GK143">
        <v>51.320929050213422</v>
      </c>
      <c r="GL143">
        <v>57.413169349980883</v>
      </c>
      <c r="GM143">
        <v>35.947173672257961</v>
      </c>
      <c r="GN143">
        <v>41.890107925830108</v>
      </c>
      <c r="GO143">
        <v>39.515670868883305</v>
      </c>
      <c r="GP143">
        <v>25.106916728728674</v>
      </c>
      <c r="GQ143">
        <v>27.055102714462929</v>
      </c>
      <c r="GR143">
        <v>20.282446805196933</v>
      </c>
      <c r="GS143">
        <v>10.54971401251049</v>
      </c>
      <c r="GT143">
        <v>32.877718063665625</v>
      </c>
      <c r="GU143"/>
      <c r="GV143"/>
      <c r="GW143"/>
      <c r="GX143"/>
      <c r="GY143"/>
      <c r="GZ143"/>
      <c r="HA143"/>
      <c r="HB143"/>
      <c r="HC143"/>
    </row>
    <row r="144" spans="1:211" s="7" customFormat="1">
      <c r="A144" s="1"/>
      <c r="B144" s="76">
        <f t="shared" ca="1" si="132"/>
        <v>0.73908444419882446</v>
      </c>
      <c r="C144">
        <v>6</v>
      </c>
      <c r="D144">
        <v>39799</v>
      </c>
      <c r="E144">
        <v>0</v>
      </c>
      <c r="F144">
        <v>0</v>
      </c>
      <c r="G144">
        <v>0</v>
      </c>
      <c r="H144">
        <v>10.416666666666666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41.681356837606849</v>
      </c>
      <c r="AO144">
        <v>32.94764614559805</v>
      </c>
      <c r="AP144">
        <v>28.07660695225859</v>
      </c>
      <c r="AQ144">
        <v>227.86859830942166</v>
      </c>
      <c r="AR144">
        <v>31.402886127525683</v>
      </c>
      <c r="AS144">
        <v>305.89233456023544</v>
      </c>
      <c r="AT144">
        <v>24.775026605213739</v>
      </c>
      <c r="AU144">
        <v>17.082112880398281</v>
      </c>
      <c r="AV144"/>
      <c r="AW144"/>
      <c r="AX144" s="146"/>
      <c r="AY144" s="76">
        <f t="shared" ca="1" si="88"/>
        <v>0.39699688380852494</v>
      </c>
      <c r="AZ144">
        <v>7</v>
      </c>
      <c r="BA144" s="129">
        <f t="shared" si="169"/>
        <v>39799</v>
      </c>
      <c r="BB144">
        <v>0</v>
      </c>
      <c r="BC144">
        <v>0</v>
      </c>
      <c r="BD144">
        <v>0</v>
      </c>
      <c r="BE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90"/>
        <v>0.86279346791347633</v>
      </c>
      <c r="CL144" s="179">
        <f t="shared" si="91"/>
        <v>7</v>
      </c>
      <c r="CM144" s="180">
        <f t="shared" si="92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0.65171423089720104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10.416666666666666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10.416666666666666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7.8146029722299923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7.8146029722299923</v>
      </c>
      <c r="FV144" s="149"/>
      <c r="FY144" s="211">
        <v>139</v>
      </c>
      <c r="FZ144">
        <v>49.153533736271058</v>
      </c>
      <c r="GA144">
        <v>74.002251908280797</v>
      </c>
      <c r="GB144">
        <v>28.451730707725503</v>
      </c>
      <c r="GC144">
        <v>16.429903538269997</v>
      </c>
      <c r="GD144">
        <v>8.5193688931221558</v>
      </c>
      <c r="GE144">
        <v>10.137204871322734</v>
      </c>
      <c r="GF144">
        <v>14.957277769699473</v>
      </c>
      <c r="GG144">
        <v>8.548863710059754</v>
      </c>
      <c r="GH144">
        <v>10.870071026326482</v>
      </c>
      <c r="GI144">
        <v>24.198692398648248</v>
      </c>
      <c r="GJ144"/>
      <c r="GK144">
        <v>54.443620220533482</v>
      </c>
      <c r="GL144">
        <v>70.072826164993472</v>
      </c>
      <c r="GM144">
        <v>50.404189170883448</v>
      </c>
      <c r="GN144">
        <v>54.242334384877289</v>
      </c>
      <c r="GO144">
        <v>37.0502078459713</v>
      </c>
      <c r="GP144">
        <v>21.750644939373476</v>
      </c>
      <c r="GQ144">
        <v>20.152203422326433</v>
      </c>
      <c r="GR144">
        <v>12.85857398157844</v>
      </c>
      <c r="GS144">
        <v>12.861769831044928</v>
      </c>
      <c r="GT144">
        <v>34.982398098151918</v>
      </c>
      <c r="GU144"/>
      <c r="GV144"/>
      <c r="GW144"/>
      <c r="GX144"/>
      <c r="GY144"/>
      <c r="GZ144"/>
      <c r="HA144"/>
      <c r="HB144"/>
      <c r="HC144"/>
    </row>
    <row r="145" spans="1:211" s="7" customFormat="1">
      <c r="A145" s="1"/>
      <c r="B145" s="76">
        <f t="shared" ca="1" si="132"/>
        <v>0.20845303418477013</v>
      </c>
      <c r="C145">
        <v>10</v>
      </c>
      <c r="D145">
        <v>39799</v>
      </c>
      <c r="E145">
        <v>0</v>
      </c>
      <c r="F145">
        <v>0</v>
      </c>
      <c r="G145">
        <v>0</v>
      </c>
      <c r="H145">
        <v>20.833333333333332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65.203792735042754</v>
      </c>
      <c r="AO145">
        <v>51.378906583325012</v>
      </c>
      <c r="AP145">
        <v>43.39086660986063</v>
      </c>
      <c r="AQ145">
        <v>359.77210426872676</v>
      </c>
      <c r="AR145">
        <v>49.128583964424315</v>
      </c>
      <c r="AS145">
        <v>469.39005095762957</v>
      </c>
      <c r="AT145">
        <v>38.539449163851941</v>
      </c>
      <c r="AU145">
        <v>42.830689554568913</v>
      </c>
      <c r="AV145"/>
      <c r="AW145"/>
      <c r="AX145" s="146"/>
      <c r="AY145" s="76">
        <f t="shared" ca="1" si="88"/>
        <v>0.11453036071572686</v>
      </c>
      <c r="AZ145">
        <v>8</v>
      </c>
      <c r="BA145" s="129">
        <f t="shared" si="169"/>
        <v>39799</v>
      </c>
      <c r="BB145">
        <v>0</v>
      </c>
      <c r="BC145">
        <v>0</v>
      </c>
      <c r="BD145">
        <v>0</v>
      </c>
      <c r="BE145">
        <v>4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90"/>
        <v>0.6932338782946923</v>
      </c>
      <c r="CL145" s="179">
        <f t="shared" si="91"/>
        <v>8</v>
      </c>
      <c r="CM145" s="180">
        <f t="shared" si="92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0.85770896744022274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41.666666666666664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41.666666666666664</v>
      </c>
      <c r="EL145" s="149"/>
      <c r="EN145" s="146"/>
      <c r="EO145" s="146"/>
      <c r="EP145" s="139">
        <f t="shared" si="134"/>
        <v>0</v>
      </c>
      <c r="EQ145" s="139">
        <f t="shared" si="135"/>
        <v>0</v>
      </c>
      <c r="ER145" s="139">
        <f t="shared" si="136"/>
        <v>0</v>
      </c>
      <c r="ES145" s="139">
        <f t="shared" si="137"/>
        <v>31.258411888919969</v>
      </c>
      <c r="ET145" s="139">
        <f t="shared" si="138"/>
        <v>0</v>
      </c>
      <c r="EU145" s="139">
        <f t="shared" si="139"/>
        <v>0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31.258411888919969</v>
      </c>
      <c r="FV145" s="149"/>
      <c r="FY145" s="211">
        <v>140</v>
      </c>
      <c r="FZ145">
        <v>68.664920972688165</v>
      </c>
      <c r="GA145">
        <v>73.108817197621448</v>
      </c>
      <c r="GB145">
        <v>24.030584392677252</v>
      </c>
      <c r="GC145">
        <v>15.634221349763134</v>
      </c>
      <c r="GD145">
        <v>9.970299930736255</v>
      </c>
      <c r="GE145">
        <v>11.201821504515541</v>
      </c>
      <c r="GF145">
        <v>29.721218223926925</v>
      </c>
      <c r="GG145">
        <v>28.267927792656156</v>
      </c>
      <c r="GH145">
        <v>19.242060938926027</v>
      </c>
      <c r="GI145">
        <v>30.916244434902872</v>
      </c>
      <c r="GJ145"/>
      <c r="GK145">
        <v>78.214039212950269</v>
      </c>
      <c r="GL145">
        <v>73.955965155198896</v>
      </c>
      <c r="GM145">
        <v>42.571825737352938</v>
      </c>
      <c r="GN145">
        <v>51.629682329721696</v>
      </c>
      <c r="GO145">
        <v>43.381997339625109</v>
      </c>
      <c r="GP145">
        <v>24.034913500486862</v>
      </c>
      <c r="GQ145">
        <v>40.043920078911874</v>
      </c>
      <c r="GR145">
        <v>42.518544353451368</v>
      </c>
      <c r="GS145">
        <v>22.239293397720921</v>
      </c>
      <c r="GT145">
        <v>45.290215153312218</v>
      </c>
      <c r="GU145"/>
      <c r="GV145"/>
      <c r="GW145"/>
      <c r="GX145"/>
      <c r="GY145"/>
      <c r="GZ145"/>
      <c r="HA145"/>
      <c r="HB145"/>
      <c r="HC145"/>
    </row>
    <row r="146" spans="1:211" s="7" customFormat="1">
      <c r="A146" s="1"/>
      <c r="B146" s="76">
        <f t="shared" ca="1" si="132"/>
        <v>0.66568604694571776</v>
      </c>
      <c r="C146">
        <v>5</v>
      </c>
      <c r="D146">
        <v>39799</v>
      </c>
      <c r="E146">
        <v>0</v>
      </c>
      <c r="F146">
        <v>0</v>
      </c>
      <c r="G146">
        <v>0</v>
      </c>
      <c r="H146">
        <v>52.083333333333336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49.122996794871796</v>
      </c>
      <c r="AO146">
        <v>40.385311886966079</v>
      </c>
      <c r="AP146">
        <v>28.753125459707526</v>
      </c>
      <c r="AQ146">
        <v>274.63549148273023</v>
      </c>
      <c r="AR146">
        <v>38.1318181582715</v>
      </c>
      <c r="AS146">
        <v>365.6941178424741</v>
      </c>
      <c r="AT146">
        <v>30.159162057926284</v>
      </c>
      <c r="AU146">
        <v>14.357884228321112</v>
      </c>
      <c r="AV146"/>
      <c r="AW146"/>
      <c r="AX146" s="146"/>
      <c r="AY146" s="76">
        <f t="shared" ca="1" si="88"/>
        <v>0.68601186938637504</v>
      </c>
      <c r="AZ146">
        <v>9</v>
      </c>
      <c r="BA146" s="129">
        <f t="shared" si="169"/>
        <v>39799</v>
      </c>
      <c r="BB146">
        <v>0</v>
      </c>
      <c r="BC146">
        <v>0</v>
      </c>
      <c r="BD146">
        <v>0</v>
      </c>
      <c r="BE146">
        <v>3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90"/>
        <v>0.27432996060346837</v>
      </c>
      <c r="CL146" s="179">
        <f t="shared" si="91"/>
        <v>9</v>
      </c>
      <c r="CM146" s="180">
        <f t="shared" si="92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0.38042005958622038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31.25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31.25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0</v>
      </c>
      <c r="ES146" s="139">
        <f t="shared" si="137"/>
        <v>23.443808916689978</v>
      </c>
      <c r="ET146" s="139">
        <f t="shared" si="138"/>
        <v>0</v>
      </c>
      <c r="EU146" s="139">
        <f t="shared" si="139"/>
        <v>0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23.443808916689978</v>
      </c>
      <c r="FV146" s="149"/>
      <c r="FY146" s="211">
        <v>141</v>
      </c>
      <c r="FZ146">
        <v>24.344606495804477</v>
      </c>
      <c r="GA146">
        <v>43.151233848928911</v>
      </c>
      <c r="GB146">
        <v>24.451645946491364</v>
      </c>
      <c r="GC146">
        <v>13.59889700409957</v>
      </c>
      <c r="GD146">
        <v>9.062388057002785</v>
      </c>
      <c r="GE146">
        <v>11.444628806822672</v>
      </c>
      <c r="GF146">
        <v>26.865098790817449</v>
      </c>
      <c r="GG146">
        <v>20.947077654207195</v>
      </c>
      <c r="GH146">
        <v>10.17240520027652</v>
      </c>
      <c r="GI146">
        <v>22.154485379950419</v>
      </c>
      <c r="GJ146"/>
      <c r="GK146">
        <v>25.169321607724438</v>
      </c>
      <c r="GL146">
        <v>38.135262504482363</v>
      </c>
      <c r="GM146">
        <v>43.317765111974886</v>
      </c>
      <c r="GN146">
        <v>44.903487522254295</v>
      </c>
      <c r="GO146">
        <v>39.426434495039246</v>
      </c>
      <c r="GP146">
        <v>24.555887031968862</v>
      </c>
      <c r="GQ146">
        <v>36.195820130465286</v>
      </c>
      <c r="GR146">
        <v>31.507058347127288</v>
      </c>
      <c r="GS146">
        <v>12.080309533821932</v>
      </c>
      <c r="GT146">
        <v>31.237930175805165</v>
      </c>
      <c r="GU146"/>
      <c r="GV146"/>
      <c r="GW146"/>
      <c r="GX146"/>
      <c r="GY146"/>
      <c r="GZ146"/>
      <c r="HA146"/>
      <c r="HB146"/>
      <c r="HC146"/>
    </row>
    <row r="147" spans="1:211" s="7" customFormat="1">
      <c r="A147" s="1"/>
      <c r="B147" s="76">
        <f t="shared" ca="1" si="132"/>
        <v>0.53292350042701653</v>
      </c>
      <c r="C147">
        <v>8</v>
      </c>
      <c r="D147">
        <v>39799</v>
      </c>
      <c r="E147">
        <v>0</v>
      </c>
      <c r="F147">
        <v>0</v>
      </c>
      <c r="G147">
        <v>0</v>
      </c>
      <c r="H147">
        <v>41.666666666666664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53.27040598290597</v>
      </c>
      <c r="AO147">
        <v>41.051471478966299</v>
      </c>
      <c r="AP147">
        <v>26.183032890931425</v>
      </c>
      <c r="AQ147">
        <v>267.81622386569796</v>
      </c>
      <c r="AR147">
        <v>39.029588144804563</v>
      </c>
      <c r="AS147">
        <v>385.11645795016454</v>
      </c>
      <c r="AT147">
        <v>31.164880930401583</v>
      </c>
      <c r="AU147">
        <v>32.763542329656993</v>
      </c>
      <c r="AV147"/>
      <c r="AW147"/>
      <c r="AX147" s="146"/>
      <c r="AY147" s="76">
        <f t="shared" ca="1" si="88"/>
        <v>0.11924661284591309</v>
      </c>
      <c r="AZ147">
        <v>10</v>
      </c>
      <c r="BA147" s="129">
        <f t="shared" si="169"/>
        <v>39799</v>
      </c>
      <c r="BB147">
        <v>0</v>
      </c>
      <c r="BC147">
        <v>0</v>
      </c>
      <c r="BD147">
        <v>0</v>
      </c>
      <c r="BE147">
        <v>2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90"/>
        <v>0.65945382890183812</v>
      </c>
      <c r="CL147" s="179">
        <f t="shared" si="91"/>
        <v>10</v>
      </c>
      <c r="CM147" s="180">
        <f t="shared" si="92"/>
        <v>39799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0.79649392437517741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0</v>
      </c>
      <c r="DH147" s="161">
        <f t="shared" si="97"/>
        <v>0</v>
      </c>
      <c r="DI147" s="161">
        <f t="shared" si="98"/>
        <v>20.833333333333332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20.833333333333332</v>
      </c>
      <c r="EL147" s="149"/>
      <c r="EN147" s="146"/>
      <c r="EO147" s="146"/>
      <c r="EP147" s="139">
        <f t="shared" si="134"/>
        <v>0</v>
      </c>
      <c r="EQ147" s="139">
        <f t="shared" si="135"/>
        <v>0</v>
      </c>
      <c r="ER147" s="139">
        <f t="shared" si="136"/>
        <v>0</v>
      </c>
      <c r="ES147" s="139">
        <f t="shared" si="137"/>
        <v>15.629205944459985</v>
      </c>
      <c r="ET147" s="139">
        <f t="shared" si="138"/>
        <v>0</v>
      </c>
      <c r="EU147" s="139">
        <f t="shared" si="139"/>
        <v>0</v>
      </c>
      <c r="EV147" s="139">
        <f t="shared" si="140"/>
        <v>0</v>
      </c>
      <c r="EW147" s="139">
        <f t="shared" si="141"/>
        <v>0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15.629205944459985</v>
      </c>
      <c r="FV147" s="149"/>
      <c r="FY147" s="211">
        <v>142</v>
      </c>
      <c r="FZ147">
        <v>56.13565396448864</v>
      </c>
      <c r="GA147">
        <v>87.128719790267908</v>
      </c>
      <c r="GB147">
        <v>24.140862418676178</v>
      </c>
      <c r="GC147">
        <v>9.8445332810660044</v>
      </c>
      <c r="GD147">
        <v>6.9754495996387131</v>
      </c>
      <c r="GE147">
        <v>9.2126693740763503</v>
      </c>
      <c r="GF147">
        <v>19.62373752041065</v>
      </c>
      <c r="GG147">
        <v>17.144958711335313</v>
      </c>
      <c r="GH147">
        <v>11.511486129824371</v>
      </c>
      <c r="GI147">
        <v>24.106668693045851</v>
      </c>
      <c r="GJ147"/>
      <c r="GK147">
        <v>63.460555424076283</v>
      </c>
      <c r="GL147">
        <v>84.009811222469239</v>
      </c>
      <c r="GM147">
        <v>42.767190811658679</v>
      </c>
      <c r="GN147">
        <v>32.48805693850607</v>
      </c>
      <c r="GO147">
        <v>30.326745417165533</v>
      </c>
      <c r="GP147">
        <v>19.766938031038173</v>
      </c>
      <c r="GQ147">
        <v>26.439406722711475</v>
      </c>
      <c r="GR147">
        <v>25.788189808358975</v>
      </c>
      <c r="GS147">
        <v>12.894094904179488</v>
      </c>
      <c r="GT147">
        <v>35.177598655958292</v>
      </c>
      <c r="GU147"/>
      <c r="GV147"/>
      <c r="GW147"/>
      <c r="GX147"/>
      <c r="GY147"/>
      <c r="GZ147"/>
      <c r="HA147"/>
      <c r="HB147"/>
      <c r="HC147"/>
    </row>
    <row r="148" spans="1:211" s="7" customFormat="1">
      <c r="A148" s="128"/>
      <c r="B148" s="76">
        <f t="shared" ca="1" si="132"/>
        <v>0.36197733841002444</v>
      </c>
      <c r="C148">
        <v>5</v>
      </c>
      <c r="D148">
        <v>39847</v>
      </c>
      <c r="E148">
        <v>0</v>
      </c>
      <c r="F148">
        <v>0</v>
      </c>
      <c r="G148">
        <v>0</v>
      </c>
      <c r="H148">
        <v>31.25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51.137499999999996</v>
      </c>
      <c r="AO148">
        <v>39.724081106436124</v>
      </c>
      <c r="AP148">
        <v>18.010419780491969</v>
      </c>
      <c r="AQ148">
        <v>272.72862964910638</v>
      </c>
      <c r="AR148">
        <v>38.113568459001726</v>
      </c>
      <c r="AS148">
        <v>357.25515157006339</v>
      </c>
      <c r="AT148">
        <v>30.643659726957242</v>
      </c>
      <c r="AU148">
        <v>26.92011934286344</v>
      </c>
      <c r="AV148"/>
      <c r="AW148"/>
      <c r="AX148" s="128"/>
      <c r="AY148" s="76">
        <f t="shared" ca="1" si="88"/>
        <v>0.36760560071528303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10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90"/>
        <v>0.73260473993875408</v>
      </c>
      <c r="CL148" s="179">
        <f t="shared" si="91"/>
        <v>1</v>
      </c>
      <c r="CM148" s="180">
        <f t="shared" si="92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0.41075750408563505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104.16666666666667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104.16666666666667</v>
      </c>
      <c r="EL148" s="149"/>
      <c r="EN148" s="146"/>
      <c r="EO148" s="146"/>
      <c r="EP148" s="139">
        <f t="shared" si="134"/>
        <v>0</v>
      </c>
      <c r="EQ148" s="139">
        <f t="shared" si="135"/>
        <v>0</v>
      </c>
      <c r="ER148" s="139">
        <f t="shared" si="136"/>
        <v>0</v>
      </c>
      <c r="ES148" s="139">
        <f t="shared" si="137"/>
        <v>78.146029722299929</v>
      </c>
      <c r="ET148" s="139">
        <f t="shared" si="138"/>
        <v>0</v>
      </c>
      <c r="EU148" s="139">
        <f t="shared" si="139"/>
        <v>0</v>
      </c>
      <c r="EV148" s="139">
        <f t="shared" si="140"/>
        <v>0</v>
      </c>
      <c r="EW148" s="139">
        <f t="shared" si="141"/>
        <v>0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78.146029722299929</v>
      </c>
      <c r="FV148" s="149"/>
      <c r="FY148" s="211">
        <v>143</v>
      </c>
      <c r="FZ148">
        <v>64.806818759363139</v>
      </c>
      <c r="GA148">
        <v>112.909102099938</v>
      </c>
      <c r="GB148">
        <v>37.825362917635061</v>
      </c>
      <c r="GC148">
        <v>14.098826208356311</v>
      </c>
      <c r="GD148">
        <v>9.1157746676818263</v>
      </c>
      <c r="GE148">
        <v>13.144279922972595</v>
      </c>
      <c r="GF148">
        <v>34.581015290110123</v>
      </c>
      <c r="GG148">
        <v>28.551315539950952</v>
      </c>
      <c r="GH148">
        <v>18.600645835428136</v>
      </c>
      <c r="GI148">
        <v>34.251585966572847</v>
      </c>
      <c r="GJ148"/>
      <c r="GK148">
        <v>70.614929230249686</v>
      </c>
      <c r="GL148">
        <v>104.45707924280543</v>
      </c>
      <c r="GM148">
        <v>67.010220486872171</v>
      </c>
      <c r="GN148">
        <v>46.539314205881155</v>
      </c>
      <c r="GO148">
        <v>39.641424274624292</v>
      </c>
      <c r="GP148">
        <v>28.202701752342861</v>
      </c>
      <c r="GQ148">
        <v>46.591610145037912</v>
      </c>
      <c r="GR148">
        <v>42.944795424663909</v>
      </c>
      <c r="GS148">
        <v>22.206968324586363</v>
      </c>
      <c r="GT148">
        <v>49.213030492274086</v>
      </c>
      <c r="GU148"/>
      <c r="GV148"/>
      <c r="GW148"/>
      <c r="GX148"/>
      <c r="GY148"/>
      <c r="GZ148"/>
      <c r="HA148"/>
      <c r="HB148"/>
      <c r="HC148"/>
    </row>
    <row r="149" spans="1:211" s="7" customFormat="1">
      <c r="A149" s="77"/>
      <c r="B149" s="76">
        <f t="shared" ca="1" si="132"/>
        <v>0.59142199866154344</v>
      </c>
      <c r="C149">
        <v>9</v>
      </c>
      <c r="D149">
        <v>39847</v>
      </c>
      <c r="E149">
        <v>0</v>
      </c>
      <c r="F149">
        <v>0</v>
      </c>
      <c r="G149">
        <v>0</v>
      </c>
      <c r="H149">
        <v>31.25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47.908733974358974</v>
      </c>
      <c r="AO149">
        <v>35.646972330466241</v>
      </c>
      <c r="AP149">
        <v>3.9029636147246691</v>
      </c>
      <c r="AQ149">
        <v>224.02849203680589</v>
      </c>
      <c r="AR149">
        <v>34.445525804866769</v>
      </c>
      <c r="AS149">
        <v>335.23815308122084</v>
      </c>
      <c r="AT149">
        <v>28.323751697964013</v>
      </c>
      <c r="AU149">
        <v>25.658807660109083</v>
      </c>
      <c r="AV149"/>
      <c r="AW149"/>
      <c r="AX149" s="151"/>
      <c r="AY149" s="76">
        <f t="shared" ca="1" si="88"/>
        <v>0.35417489526510959</v>
      </c>
      <c r="AZ149">
        <v>2</v>
      </c>
      <c r="BA149" s="129">
        <f t="shared" ref="BA149:BA157" si="171">IF(AZ149="", "",$C$10)</f>
        <v>39847</v>
      </c>
      <c r="BB149">
        <v>0</v>
      </c>
      <c r="BC149">
        <v>0</v>
      </c>
      <c r="BD149">
        <v>0</v>
      </c>
      <c r="BE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90"/>
        <v>0.58941066179391055</v>
      </c>
      <c r="CL149" s="179">
        <f t="shared" si="91"/>
        <v>2</v>
      </c>
      <c r="CM149" s="180">
        <f t="shared" si="92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0.60963818798371761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34.722222222222221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34.722222222222221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0</v>
      </c>
      <c r="ES149" s="139">
        <f t="shared" si="137"/>
        <v>26.048676574099975</v>
      </c>
      <c r="ET149" s="139">
        <f t="shared" si="138"/>
        <v>0</v>
      </c>
      <c r="EU149" s="139">
        <f t="shared" si="139"/>
        <v>0</v>
      </c>
      <c r="EV149" s="139">
        <f t="shared" si="140"/>
        <v>0</v>
      </c>
      <c r="EW149" s="139">
        <f t="shared" si="141"/>
        <v>0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26.048676574099975</v>
      </c>
      <c r="FV149" s="149"/>
      <c r="FY149" s="211">
        <v>144</v>
      </c>
      <c r="FZ149">
        <v>54.033007213479529</v>
      </c>
      <c r="GA149">
        <v>83.384453933483513</v>
      </c>
      <c r="GB149">
        <v>25.915336109749969</v>
      </c>
      <c r="GC149">
        <v>8.0346430282924022</v>
      </c>
      <c r="GD149">
        <v>8.1118024432852351</v>
      </c>
      <c r="GE149">
        <v>14.008113594642193</v>
      </c>
      <c r="GF149">
        <v>23.72776144429411</v>
      </c>
      <c r="GG149">
        <v>14.240234301563625</v>
      </c>
      <c r="GH149">
        <v>9.4184886516744868</v>
      </c>
      <c r="GI149">
        <v>25.561318946212765</v>
      </c>
      <c r="GJ149"/>
      <c r="GK149">
        <v>55.86949210864455</v>
      </c>
      <c r="GL149">
        <v>73.69170602812882</v>
      </c>
      <c r="GM149">
        <v>45.910792461851202</v>
      </c>
      <c r="GN149">
        <v>26.506435316329828</v>
      </c>
      <c r="GO149">
        <v>35.267807494810761</v>
      </c>
      <c r="GP149">
        <v>30.056165277807661</v>
      </c>
      <c r="GQ149">
        <v>31.968830340940876</v>
      </c>
      <c r="GR149">
        <v>21.419116328430384</v>
      </c>
      <c r="GS149">
        <v>10.54971401251049</v>
      </c>
      <c r="GT149">
        <v>35.91332728375157</v>
      </c>
      <c r="GU149"/>
      <c r="GV149"/>
      <c r="GW149"/>
      <c r="GX149"/>
      <c r="GY149"/>
      <c r="GZ149"/>
      <c r="HA149"/>
      <c r="HB149"/>
      <c r="HC149"/>
    </row>
    <row r="150" spans="1:211" s="7" customFormat="1">
      <c r="A150" s="77"/>
      <c r="B150" s="76">
        <f t="shared" ca="1" si="132"/>
        <v>0.91491090015799337</v>
      </c>
      <c r="C150">
        <v>3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41.246233974358979</v>
      </c>
      <c r="AO150">
        <v>35.319149297055333</v>
      </c>
      <c r="AP150">
        <v>55.092712312306517</v>
      </c>
      <c r="AQ150">
        <v>238.60956545868106</v>
      </c>
      <c r="AR150">
        <v>33.229758771521155</v>
      </c>
      <c r="AS150">
        <v>303.01084962624287</v>
      </c>
      <c r="AT150">
        <v>25.14408965282097</v>
      </c>
      <c r="AU150">
        <v>4.6362671382685772</v>
      </c>
      <c r="AV150"/>
      <c r="AW150"/>
      <c r="AX150" s="151"/>
      <c r="AY150" s="76">
        <f t="shared" ca="1" si="88"/>
        <v>0.58206359826648146</v>
      </c>
      <c r="AZ150">
        <v>3</v>
      </c>
      <c r="BA150" s="129">
        <f t="shared" si="171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90"/>
        <v>0.98397042678516633</v>
      </c>
      <c r="CL150" s="179">
        <f t="shared" si="91"/>
        <v>3</v>
      </c>
      <c r="CM150" s="180">
        <f t="shared" si="92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0.9227622887298208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1">
        <v>145</v>
      </c>
      <c r="FZ150">
        <v>45.890696858236353</v>
      </c>
      <c r="GA150">
        <v>75.465852848165156</v>
      </c>
      <c r="GB150">
        <v>28.090820804456261</v>
      </c>
      <c r="GC150">
        <v>14.467467111252773</v>
      </c>
      <c r="GD150">
        <v>10.139514148497533</v>
      </c>
      <c r="GE150">
        <v>12.625979719970834</v>
      </c>
      <c r="GF150">
        <v>24.668083842271699</v>
      </c>
      <c r="GG150">
        <v>17.074111774511611</v>
      </c>
      <c r="GH150">
        <v>8.0794077221266338</v>
      </c>
      <c r="GI150">
        <v>26.102286454915848</v>
      </c>
      <c r="GJ150"/>
      <c r="GK150">
        <v>49.262140510527246</v>
      </c>
      <c r="GL150">
        <v>69.029936011697203</v>
      </c>
      <c r="GM150">
        <v>49.764812564064641</v>
      </c>
      <c r="GN150">
        <v>47.768397213512785</v>
      </c>
      <c r="GO150">
        <v>44.109742185605107</v>
      </c>
      <c r="GP150">
        <v>27.090623637063977</v>
      </c>
      <c r="GQ150">
        <v>33.235743247044837</v>
      </c>
      <c r="GR150">
        <v>25.681627040555838</v>
      </c>
      <c r="GS150">
        <v>9.7359286421529312</v>
      </c>
      <c r="GT150">
        <v>37.221673429878948</v>
      </c>
      <c r="GU150"/>
      <c r="GV150"/>
      <c r="GW150"/>
      <c r="GX150"/>
      <c r="GY150"/>
      <c r="GZ150"/>
      <c r="HA150"/>
      <c r="HB150"/>
      <c r="HC150"/>
    </row>
    <row r="151" spans="1:211" s="7" customFormat="1">
      <c r="A151" s="77"/>
      <c r="B151" s="76">
        <f t="shared" ca="1" si="132"/>
        <v>0.45947600480766049</v>
      </c>
      <c r="C151">
        <v>1</v>
      </c>
      <c r="D151">
        <v>39847</v>
      </c>
      <c r="E151">
        <v>0</v>
      </c>
      <c r="F151">
        <v>0</v>
      </c>
      <c r="G151">
        <v>0</v>
      </c>
      <c r="H151">
        <v>104.16666666666667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50.563942307692315</v>
      </c>
      <c r="AO151">
        <v>41.373013076765581</v>
      </c>
      <c r="AP151">
        <v>33.079257645340057</v>
      </c>
      <c r="AQ151">
        <v>277.85169953373151</v>
      </c>
      <c r="AR151">
        <v>39.325491499116964</v>
      </c>
      <c r="AS151">
        <v>369.09583956359398</v>
      </c>
      <c r="AT151">
        <v>30.972059325786415</v>
      </c>
      <c r="AU151">
        <v>16.114863494130873</v>
      </c>
      <c r="AV151"/>
      <c r="AW151"/>
      <c r="AX151" s="151"/>
      <c r="AY151" s="76">
        <f t="shared" ca="1" si="88"/>
        <v>0.62676630062771199</v>
      </c>
      <c r="AZ151">
        <v>4</v>
      </c>
      <c r="BA151" s="129">
        <f t="shared" si="171"/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90"/>
        <v>5.2535779399323523E-2</v>
      </c>
      <c r="CL151" s="179">
        <f t="shared" si="91"/>
        <v>4</v>
      </c>
      <c r="CM151" s="180">
        <f t="shared" si="92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0.75812341415704987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1">
        <v>146</v>
      </c>
      <c r="FZ151">
        <v>28.868993413405441</v>
      </c>
      <c r="GA151">
        <v>43.770206465614358</v>
      </c>
      <c r="GB151">
        <v>28.431680157543877</v>
      </c>
      <c r="GC151">
        <v>13.799299763152021</v>
      </c>
      <c r="GD151">
        <v>9.2933877917850793</v>
      </c>
      <c r="GE151">
        <v>11.673427995535162</v>
      </c>
      <c r="GF151">
        <v>25.037182353627379</v>
      </c>
      <c r="GG151">
        <v>24.418577558568483</v>
      </c>
      <c r="GH151">
        <v>18.015481454482323</v>
      </c>
      <c r="GI151">
        <v>24.927148291168624</v>
      </c>
      <c r="GJ151"/>
      <c r="GK151">
        <v>29.854933372490507</v>
      </c>
      <c r="GL151">
        <v>38.682284712538461</v>
      </c>
      <c r="GM151">
        <v>50.368668248282404</v>
      </c>
      <c r="GN151">
        <v>45.561546047811945</v>
      </c>
      <c r="GO151">
        <v>40.427406542630074</v>
      </c>
      <c r="GP151">
        <v>25.046804398173052</v>
      </c>
      <c r="GQ151">
        <v>33.733036163459467</v>
      </c>
      <c r="GR151">
        <v>36.728633969480974</v>
      </c>
      <c r="GS151">
        <v>22.923778475540253</v>
      </c>
      <c r="GT151">
        <v>35.461564560480532</v>
      </c>
      <c r="GU151"/>
      <c r="GV151"/>
      <c r="GW151"/>
      <c r="GX151"/>
      <c r="GY151"/>
      <c r="GZ151"/>
      <c r="HA151"/>
      <c r="HB151"/>
      <c r="HC151"/>
    </row>
    <row r="152" spans="1:211" s="7" customFormat="1">
      <c r="A152" s="77"/>
      <c r="B152" s="76">
        <f t="shared" ref="B152:B183" ca="1" si="172">IF(C152="", "", RAND())</f>
        <v>0.29655414481300113</v>
      </c>
      <c r="C152">
        <v>10</v>
      </c>
      <c r="D152">
        <v>39847</v>
      </c>
      <c r="E152">
        <v>0</v>
      </c>
      <c r="F152">
        <v>0</v>
      </c>
      <c r="G152">
        <v>0</v>
      </c>
      <c r="H152">
        <v>10.416666666666666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49.671447649572663</v>
      </c>
      <c r="AO152">
        <v>40.387681176546401</v>
      </c>
      <c r="AP152">
        <v>37.15626755128919</v>
      </c>
      <c r="AQ152">
        <v>277.84356557330233</v>
      </c>
      <c r="AR152">
        <v>38.358693380988342</v>
      </c>
      <c r="AS152">
        <v>359.08556362261174</v>
      </c>
      <c r="AT152">
        <v>29.913834563565946</v>
      </c>
      <c r="AU152">
        <v>11.918351445916565</v>
      </c>
      <c r="AV152"/>
      <c r="AW152"/>
      <c r="AX152" s="151"/>
      <c r="AY152" s="76">
        <f t="shared" ref="AY152:AY207" ca="1" si="173">IF(AZ152="", "", RAND())</f>
        <v>0.70162572151002545</v>
      </c>
      <c r="AZ152">
        <v>5</v>
      </c>
      <c r="BA152" s="129">
        <f t="shared" si="171"/>
        <v>39847</v>
      </c>
      <c r="BB152">
        <v>0</v>
      </c>
      <c r="BC152">
        <v>0</v>
      </c>
      <c r="BD152">
        <v>0</v>
      </c>
      <c r="BE152">
        <v>3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90"/>
        <v>8.1829782633457748E-2</v>
      </c>
      <c r="CL152" s="179">
        <f t="shared" si="91"/>
        <v>5</v>
      </c>
      <c r="CM152" s="180">
        <f t="shared" si="92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6.5759361908125147E-2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31.25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31.25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23.443808916689978</v>
      </c>
      <c r="ET152" s="139">
        <f t="shared" ref="ET152:ET183" si="180">IF(DJ152="", "", DJ152*K$36)</f>
        <v>0</v>
      </c>
      <c r="EU152" s="139">
        <f t="shared" ref="EU152:EU183" si="181">IF(DK152="", "", DK152*L$36)</f>
        <v>0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23.443808916689978</v>
      </c>
      <c r="FV152" s="149"/>
      <c r="FY152" s="211">
        <v>147</v>
      </c>
      <c r="FZ152">
        <v>36.400757492122288</v>
      </c>
      <c r="GA152">
        <v>67.910138516347146</v>
      </c>
      <c r="GB152">
        <v>31.750046212602776</v>
      </c>
      <c r="GC152">
        <v>12.449590689574158</v>
      </c>
      <c r="GD152">
        <v>7.5674407069946632</v>
      </c>
      <c r="GE152">
        <v>7.8912373249817689</v>
      </c>
      <c r="GF152">
        <v>17.760668844043856</v>
      </c>
      <c r="GG152">
        <v>13.224761540423934</v>
      </c>
      <c r="GH152">
        <v>4.8836607823497324</v>
      </c>
      <c r="GI152">
        <v>22.233868954020313</v>
      </c>
      <c r="GJ152"/>
      <c r="GK152">
        <v>37.640797947689123</v>
      </c>
      <c r="GL152">
        <v>60.016150826726346</v>
      </c>
      <c r="GM152">
        <v>56.247380938755427</v>
      </c>
      <c r="GN152">
        <v>41.103670261380735</v>
      </c>
      <c r="GO152">
        <v>32.916097601839766</v>
      </c>
      <c r="GP152">
        <v>16.931639773164981</v>
      </c>
      <c r="GQ152">
        <v>23.929261525570933</v>
      </c>
      <c r="GR152">
        <v>19.891716656585437</v>
      </c>
      <c r="GS152">
        <v>5.470222080560994</v>
      </c>
      <c r="GT152">
        <v>31.240752018883246</v>
      </c>
      <c r="GU152"/>
      <c r="GV152"/>
      <c r="GW152"/>
      <c r="GX152"/>
      <c r="GY152"/>
      <c r="GZ152"/>
      <c r="HA152"/>
      <c r="HB152"/>
      <c r="HC152"/>
    </row>
    <row r="153" spans="1:211" s="7" customFormat="1">
      <c r="A153" s="77"/>
      <c r="B153" s="76">
        <f t="shared" ca="1" si="172"/>
        <v>0.53699516239483747</v>
      </c>
      <c r="C153">
        <v>6</v>
      </c>
      <c r="D153">
        <v>39847</v>
      </c>
      <c r="E153">
        <v>0</v>
      </c>
      <c r="F153">
        <v>0</v>
      </c>
      <c r="G153">
        <v>0</v>
      </c>
      <c r="H153">
        <v>52.083333333333336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51.109241452991455</v>
      </c>
      <c r="AO153">
        <v>37.940346555059691</v>
      </c>
      <c r="AP153">
        <v>4.1027892908294872</v>
      </c>
      <c r="AQ153">
        <v>262.31988795710845</v>
      </c>
      <c r="AR153">
        <v>36.379630932564829</v>
      </c>
      <c r="AS153">
        <v>356.71121165007264</v>
      </c>
      <c r="AT153">
        <v>29.908227371800589</v>
      </c>
      <c r="AU153">
        <v>31.249350595270652</v>
      </c>
      <c r="AV153"/>
      <c r="AW153"/>
      <c r="AX153" s="151"/>
      <c r="AY153" s="76">
        <f t="shared" ca="1" si="173"/>
        <v>0.17475137468786084</v>
      </c>
      <c r="AZ153">
        <v>6</v>
      </c>
      <c r="BA153" s="129">
        <f t="shared" si="171"/>
        <v>39847</v>
      </c>
      <c r="BB153">
        <v>0</v>
      </c>
      <c r="BC153">
        <v>0</v>
      </c>
      <c r="BD153">
        <v>0</v>
      </c>
      <c r="BE153">
        <v>5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8">IF(AZ153="", "", RAND())</f>
        <v>0.24243775477607654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0.32835541101178478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52.083333333333336</v>
      </c>
      <c r="DJ153" s="161">
        <f t="shared" ref="DJ153:DJ187" si="217">IF($AZ153="", "", ((BF153*$CW153)+(CR153*$CX153))/$CZ153)</f>
        <v>0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52.083333333333336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39.073014861149964</v>
      </c>
      <c r="ET153" s="139">
        <f t="shared" si="180"/>
        <v>0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39.073014861149964</v>
      </c>
      <c r="FV153" s="149"/>
      <c r="FY153" s="211">
        <v>148</v>
      </c>
      <c r="FZ153">
        <v>61.151436371119431</v>
      </c>
      <c r="GA153">
        <v>81.96047126566522</v>
      </c>
      <c r="GB153">
        <v>26.566978990652775</v>
      </c>
      <c r="GC153">
        <v>13.762812211798005</v>
      </c>
      <c r="GD153">
        <v>8.3330606993156149</v>
      </c>
      <c r="GE153">
        <v>12.187058827338712</v>
      </c>
      <c r="GF153">
        <v>38.254424284078617</v>
      </c>
      <c r="GG153">
        <v>26.732910828142661</v>
      </c>
      <c r="GH153">
        <v>14.414650879128365</v>
      </c>
      <c r="GI153">
        <v>30.426850880869505</v>
      </c>
      <c r="GJ153"/>
      <c r="GK153">
        <v>66.843250567919725</v>
      </c>
      <c r="GL153">
        <v>77.105968840000457</v>
      </c>
      <c r="GM153">
        <v>47.065222446385178</v>
      </c>
      <c r="GN153">
        <v>45.429513072820278</v>
      </c>
      <c r="GO153">
        <v>36.235058876472756</v>
      </c>
      <c r="GP153">
        <v>26.148863791692669</v>
      </c>
      <c r="GQ153">
        <v>51.540858694116906</v>
      </c>
      <c r="GR153">
        <v>40.209684384383415</v>
      </c>
      <c r="GS153">
        <v>17.518206541248368</v>
      </c>
      <c r="GT153">
        <v>43.840519425228592</v>
      </c>
      <c r="GU153"/>
      <c r="GV153"/>
      <c r="GW153"/>
      <c r="GX153"/>
      <c r="GY153"/>
      <c r="GZ153"/>
      <c r="HA153"/>
      <c r="HB153"/>
      <c r="HC153"/>
    </row>
    <row r="154" spans="1:211" s="7" customFormat="1">
      <c r="A154" s="77"/>
      <c r="B154" s="76">
        <f t="shared" ca="1" si="172"/>
        <v>0.33221676852521997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31.25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41.466987179487191</v>
      </c>
      <c r="AO154">
        <v>34.195894919173028</v>
      </c>
      <c r="AP154">
        <v>34.317486497721575</v>
      </c>
      <c r="AQ154">
        <v>225.337421616547</v>
      </c>
      <c r="AR154">
        <v>32.877718063665604</v>
      </c>
      <c r="AS154">
        <v>304.06544777221023</v>
      </c>
      <c r="AT154">
        <v>25.675743727894517</v>
      </c>
      <c r="AU154">
        <v>27.288883943369385</v>
      </c>
      <c r="AV154"/>
      <c r="AW154"/>
      <c r="AX154" s="151"/>
      <c r="AY154" s="76">
        <f t="shared" ca="1" si="173"/>
        <v>5.7572760129759537E-2</v>
      </c>
      <c r="AZ154">
        <v>7</v>
      </c>
      <c r="BA154" s="129">
        <f t="shared" si="171"/>
        <v>39847</v>
      </c>
      <c r="BB154">
        <v>0</v>
      </c>
      <c r="BC154">
        <v>0</v>
      </c>
      <c r="BD154">
        <v>0</v>
      </c>
      <c r="BE154">
        <v>3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8"/>
        <v>0.77970584121133024</v>
      </c>
      <c r="CL154" s="179">
        <f t="shared" si="209"/>
        <v>7</v>
      </c>
      <c r="CM154" s="180">
        <f t="shared" si="210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0.97775712911561663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31.25</v>
      </c>
      <c r="DJ154" s="161">
        <f t="shared" si="217"/>
        <v>0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31.25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23.443808916689978</v>
      </c>
      <c r="ET154" s="139">
        <f t="shared" si="180"/>
        <v>0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23.443808916689978</v>
      </c>
      <c r="FV154" s="149"/>
      <c r="FY154" s="211">
        <v>149</v>
      </c>
      <c r="FZ154">
        <v>48.025926823245086</v>
      </c>
      <c r="GA154">
        <v>64.275539360366494</v>
      </c>
      <c r="GB154">
        <v>25.915336109749976</v>
      </c>
      <c r="GC154">
        <v>17.230573738521979</v>
      </c>
      <c r="GD154">
        <v>12.217587752747644</v>
      </c>
      <c r="GE154">
        <v>16.254081140983157</v>
      </c>
      <c r="GF154">
        <v>27.884513726942671</v>
      </c>
      <c r="GG154">
        <v>15.798866911685018</v>
      </c>
      <c r="GH154">
        <v>5.2324936953747132</v>
      </c>
      <c r="GI154">
        <v>27.244063486515991</v>
      </c>
      <c r="GJ154"/>
      <c r="GK154">
        <v>53.263360613327166</v>
      </c>
      <c r="GL154">
        <v>61.476762895540482</v>
      </c>
      <c r="GM154">
        <v>45.910792461851209</v>
      </c>
      <c r="GN154">
        <v>56.886821532880766</v>
      </c>
      <c r="GO154">
        <v>53.144828955793713</v>
      </c>
      <c r="GP154">
        <v>34.875170444016156</v>
      </c>
      <c r="GQ154">
        <v>37.569295804372366</v>
      </c>
      <c r="GR154">
        <v>23.763497220099381</v>
      </c>
      <c r="GS154">
        <v>5.8609522291724936</v>
      </c>
      <c r="GT154">
        <v>39.149846012903396</v>
      </c>
      <c r="GU154"/>
      <c r="GV154"/>
      <c r="GW154"/>
      <c r="GX154"/>
      <c r="GY154"/>
      <c r="GZ154"/>
      <c r="HA154"/>
      <c r="HB154"/>
      <c r="HC154"/>
    </row>
    <row r="155" spans="1:211" s="7" customFormat="1">
      <c r="A155" s="77"/>
      <c r="B155" s="76">
        <f t="shared" ca="1" si="172"/>
        <v>0.10540742769669142</v>
      </c>
      <c r="C155">
        <v>8</v>
      </c>
      <c r="D155">
        <v>39847</v>
      </c>
      <c r="E155">
        <v>0</v>
      </c>
      <c r="F155">
        <v>0</v>
      </c>
      <c r="G155">
        <v>0</v>
      </c>
      <c r="H155">
        <v>10.416666666666666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44.979166666666664</v>
      </c>
      <c r="AO155">
        <v>36.88187680597342</v>
      </c>
      <c r="AP155">
        <v>29.297395646477472</v>
      </c>
      <c r="AQ155">
        <v>245.26889855972615</v>
      </c>
      <c r="AR155">
        <v>34.98239809815189</v>
      </c>
      <c r="AS155">
        <v>336.37037174275758</v>
      </c>
      <c r="AT155">
        <v>27.192946655812946</v>
      </c>
      <c r="AU155">
        <v>7.6872095125974162</v>
      </c>
      <c r="AV155"/>
      <c r="AW155"/>
      <c r="AX155" s="151"/>
      <c r="AY155" s="76">
        <f t="shared" ca="1" si="173"/>
        <v>0.96420484116752569</v>
      </c>
      <c r="AZ155">
        <v>8</v>
      </c>
      <c r="BA155" s="129">
        <f t="shared" si="171"/>
        <v>39847</v>
      </c>
      <c r="BB155">
        <v>0</v>
      </c>
      <c r="BC155">
        <v>0</v>
      </c>
      <c r="BD155">
        <v>0</v>
      </c>
      <c r="BE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8"/>
        <v>0.8022587287016032</v>
      </c>
      <c r="CL155" s="179">
        <f t="shared" si="209"/>
        <v>8</v>
      </c>
      <c r="CM155" s="180">
        <f t="shared" si="210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0.44143208159861747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10.416666666666666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10.416666666666666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7.8146029722299923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7.8146029722299923</v>
      </c>
      <c r="FV155" s="149"/>
      <c r="FY155" s="211">
        <v>150</v>
      </c>
      <c r="FZ155">
        <v>38.09733185993872</v>
      </c>
      <c r="GA155">
        <v>62.290578578717593</v>
      </c>
      <c r="GB155">
        <v>29.313904365535368</v>
      </c>
      <c r="GC155">
        <v>13.866459573040101</v>
      </c>
      <c r="GD155">
        <v>7.7418672207995103</v>
      </c>
      <c r="GE155">
        <v>12.004953350608361</v>
      </c>
      <c r="GF155">
        <v>18.560382285314507</v>
      </c>
      <c r="GG155">
        <v>11.689744575910442</v>
      </c>
      <c r="GH155">
        <v>17.261564905880284</v>
      </c>
      <c r="GI155">
        <v>24.112394593741108</v>
      </c>
      <c r="GJ155"/>
      <c r="GK155">
        <v>41.198730250614673</v>
      </c>
      <c r="GL155">
        <v>57.386177583074513</v>
      </c>
      <c r="GM155">
        <v>51.931588842728409</v>
      </c>
      <c r="GN155">
        <v>45.791044526285745</v>
      </c>
      <c r="GO155">
        <v>33.683874676652493</v>
      </c>
      <c r="GP155">
        <v>25.758133643081166</v>
      </c>
      <c r="GQ155">
        <v>25.006729511135976</v>
      </c>
      <c r="GR155">
        <v>17.582856687517484</v>
      </c>
      <c r="GS155">
        <v>21.393182954228809</v>
      </c>
      <c r="GT155">
        <v>34.642821247072071</v>
      </c>
      <c r="GU155"/>
      <c r="GV155"/>
      <c r="GW155"/>
      <c r="GX155"/>
      <c r="GY155"/>
      <c r="GZ155"/>
      <c r="HA155"/>
      <c r="HB155"/>
      <c r="HC155"/>
    </row>
    <row r="156" spans="1:211" s="7" customFormat="1">
      <c r="A156" s="77"/>
      <c r="B156" s="76">
        <f t="shared" ca="1" si="172"/>
        <v>4.8672293687383572E-2</v>
      </c>
      <c r="C156">
        <v>2</v>
      </c>
      <c r="D156">
        <v>39847</v>
      </c>
      <c r="E156">
        <v>0</v>
      </c>
      <c r="F156">
        <v>0</v>
      </c>
      <c r="G156">
        <v>0</v>
      </c>
      <c r="H156">
        <v>34.722222222222221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53.353605769230782</v>
      </c>
      <c r="AO156">
        <v>46.388039625873219</v>
      </c>
      <c r="AP156">
        <v>81.955594221313348</v>
      </c>
      <c r="AQ156">
        <v>310.75811673841378</v>
      </c>
      <c r="AR156">
        <v>45.290215153312239</v>
      </c>
      <c r="AS156">
        <v>405.38448685789916</v>
      </c>
      <c r="AT156">
        <v>34.353213213472067</v>
      </c>
      <c r="AU156">
        <v>50.894404178285555</v>
      </c>
      <c r="AV156"/>
      <c r="AW156"/>
      <c r="AX156" s="151"/>
      <c r="AY156" s="76">
        <f t="shared" ca="1" si="173"/>
        <v>0.14782109799923049</v>
      </c>
      <c r="AZ156">
        <v>9</v>
      </c>
      <c r="BA156" s="129">
        <f t="shared" si="171"/>
        <v>39847</v>
      </c>
      <c r="BB156">
        <v>0</v>
      </c>
      <c r="BC156">
        <v>0</v>
      </c>
      <c r="BD156">
        <v>0</v>
      </c>
      <c r="BE156">
        <v>3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8"/>
        <v>0.60305005857551963</v>
      </c>
      <c r="CL156" s="179">
        <f t="shared" si="209"/>
        <v>9</v>
      </c>
      <c r="CM156" s="180">
        <f t="shared" si="210"/>
        <v>39847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0.32792017125828377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0</v>
      </c>
      <c r="DH156" s="161">
        <f t="shared" si="215"/>
        <v>0</v>
      </c>
      <c r="DI156" s="161">
        <f t="shared" si="216"/>
        <v>31.25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31.25</v>
      </c>
      <c r="EL156" s="149"/>
      <c r="EN156" s="151"/>
      <c r="EO156" s="151"/>
      <c r="EP156" s="139">
        <f t="shared" si="176"/>
        <v>0</v>
      </c>
      <c r="EQ156" s="139">
        <f t="shared" si="177"/>
        <v>0</v>
      </c>
      <c r="ER156" s="139">
        <f t="shared" si="178"/>
        <v>0</v>
      </c>
      <c r="ES156" s="139">
        <f t="shared" si="179"/>
        <v>23.443808916689978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23.443808916689978</v>
      </c>
      <c r="FV156" s="149"/>
      <c r="FY156" s="211">
        <v>151</v>
      </c>
      <c r="FZ156">
        <v>46.044308060422281</v>
      </c>
      <c r="GA156">
        <v>70.73053950580055</v>
      </c>
      <c r="GB156">
        <v>28.882817536630441</v>
      </c>
      <c r="GC156">
        <v>14.046431740284028</v>
      </c>
      <c r="GD156">
        <v>8.4067278963383156</v>
      </c>
      <c r="GE156">
        <v>11.080417853361977</v>
      </c>
      <c r="GF156">
        <v>15.607594194469016</v>
      </c>
      <c r="GG156">
        <v>13.980462199876728</v>
      </c>
      <c r="GH156">
        <v>9.4184886516744868</v>
      </c>
      <c r="GI156">
        <v>23.652571275062886</v>
      </c>
      <c r="GJ156"/>
      <c r="GK156">
        <v>51.2252638034035</v>
      </c>
      <c r="GL156">
        <v>67.181423065268376</v>
      </c>
      <c r="GM156">
        <v>51.167889006805936</v>
      </c>
      <c r="GN156">
        <v>46.366263557311953</v>
      </c>
      <c r="GO156">
        <v>36.555657972769367</v>
      </c>
      <c r="GP156">
        <v>23.774426734745862</v>
      </c>
      <c r="GQ156">
        <v>21.028386179818888</v>
      </c>
      <c r="GR156">
        <v>21.028386179818888</v>
      </c>
      <c r="GS156">
        <v>10.549714012510492</v>
      </c>
      <c r="GT156">
        <v>34.105382195061644</v>
      </c>
      <c r="GU156"/>
      <c r="GV156"/>
      <c r="GW156"/>
      <c r="GX156"/>
      <c r="GY156"/>
      <c r="GZ156"/>
      <c r="HA156"/>
      <c r="HB156"/>
      <c r="HC156"/>
    </row>
    <row r="157" spans="1:211" s="7" customFormat="1">
      <c r="A157" s="77"/>
      <c r="B157" s="76">
        <f t="shared" ca="1" si="172"/>
        <v>0.80678614475741539</v>
      </c>
      <c r="C157">
        <v>4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44.107879273504274</v>
      </c>
      <c r="AO157">
        <v>32.652927646066374</v>
      </c>
      <c r="AP157">
        <v>13.279934561964241</v>
      </c>
      <c r="AQ157">
        <v>206.19246718440135</v>
      </c>
      <c r="AR157">
        <v>31.237930175805133</v>
      </c>
      <c r="AS157">
        <v>306.2516628280548</v>
      </c>
      <c r="AT157">
        <v>25.181544682279277</v>
      </c>
      <c r="AU157">
        <v>25.253920739105503</v>
      </c>
      <c r="AV157"/>
      <c r="AW157"/>
      <c r="AX157" s="151"/>
      <c r="AY157" s="76">
        <f t="shared" ca="1" si="173"/>
        <v>0.41847311581897984</v>
      </c>
      <c r="AZ157">
        <v>10</v>
      </c>
      <c r="BA157" s="129">
        <f t="shared" si="171"/>
        <v>39847</v>
      </c>
      <c r="BB157">
        <v>0</v>
      </c>
      <c r="BC157">
        <v>0</v>
      </c>
      <c r="BD157">
        <v>0</v>
      </c>
      <c r="BE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8"/>
        <v>0.37752218424943607</v>
      </c>
      <c r="CL157" s="179">
        <f t="shared" si="209"/>
        <v>10</v>
      </c>
      <c r="CM157" s="180">
        <f t="shared" si="210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0.38472622212481955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10.416666666666666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0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10.416666666666666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7.8146029722299923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0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7.8146029722299923</v>
      </c>
      <c r="FV157" s="149"/>
      <c r="FY157" s="211">
        <v>152</v>
      </c>
      <c r="FZ157">
        <v>41.238996618949315</v>
      </c>
      <c r="GA157">
        <v>91.077399312288478</v>
      </c>
      <c r="GB157">
        <v>37.023340910370088</v>
      </c>
      <c r="GC157">
        <v>10.538145603541684</v>
      </c>
      <c r="GD157">
        <v>5.406929818912988</v>
      </c>
      <c r="GE157">
        <v>9.5908884411316908</v>
      </c>
      <c r="GF157">
        <v>35.864072020060846</v>
      </c>
      <c r="GG157">
        <v>27.276070677124363</v>
      </c>
      <c r="GH157">
        <v>9.8235722872515403</v>
      </c>
      <c r="GI157">
        <v>27.215589202365617</v>
      </c>
      <c r="GJ157"/>
      <c r="GK157">
        <v>42.653363029860067</v>
      </c>
      <c r="GL157">
        <v>80.490410613968919</v>
      </c>
      <c r="GM157">
        <v>65.589383582830379</v>
      </c>
      <c r="GN157">
        <v>34.782788953271236</v>
      </c>
      <c r="GO157">
        <v>23.504896027439319</v>
      </c>
      <c r="GP157">
        <v>20.578454493538985</v>
      </c>
      <c r="GQ157">
        <v>48.320295044955458</v>
      </c>
      <c r="GR157">
        <v>41.026665604207459</v>
      </c>
      <c r="GS157">
        <v>11.689579385210433</v>
      </c>
      <c r="GT157">
        <v>38.351503414059124</v>
      </c>
      <c r="GU157"/>
      <c r="GV157"/>
      <c r="GW157"/>
      <c r="GX157"/>
      <c r="GY157"/>
      <c r="GZ157"/>
      <c r="HA157"/>
      <c r="HB157"/>
      <c r="HC157"/>
    </row>
    <row r="158" spans="1:211" s="7" customFormat="1">
      <c r="A158" s="128"/>
      <c r="B158" s="76">
        <f t="shared" ca="1" si="172"/>
        <v>0.17292441160400251</v>
      </c>
      <c r="C158">
        <v>9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43.998130341880341</v>
      </c>
      <c r="AO158">
        <v>37.311858793612224</v>
      </c>
      <c r="AP158">
        <v>50.568562982968601</v>
      </c>
      <c r="AQ158">
        <v>265.82473948282995</v>
      </c>
      <c r="AR158">
        <v>35.177598655958278</v>
      </c>
      <c r="AS158">
        <v>325.50647120432853</v>
      </c>
      <c r="AT158">
        <v>26.60813369286771</v>
      </c>
      <c r="AU158">
        <v>15.264916592365287</v>
      </c>
      <c r="AV158"/>
      <c r="AW158"/>
      <c r="AX158" s="128"/>
      <c r="AY158" s="76">
        <f t="shared" ca="1" si="173"/>
        <v>0.63097624357749016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7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8"/>
        <v>0.10041126169566961</v>
      </c>
      <c r="CL158" s="179">
        <f t="shared" si="209"/>
        <v>1</v>
      </c>
      <c r="CM158" s="180">
        <f t="shared" si="210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0.97878686137095339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72.916666666666671</v>
      </c>
      <c r="DJ158" s="161">
        <f t="shared" si="217"/>
        <v>0</v>
      </c>
      <c r="DK158" s="161">
        <f t="shared" si="218"/>
        <v>0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72.916666666666671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54.702220805609954</v>
      </c>
      <c r="ET158" s="139">
        <f t="shared" si="180"/>
        <v>0</v>
      </c>
      <c r="EU158" s="139">
        <f t="shared" si="181"/>
        <v>0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54.702220805609954</v>
      </c>
      <c r="FV158" s="149"/>
      <c r="FY158" s="211">
        <v>153</v>
      </c>
      <c r="FZ158">
        <v>46.453523110364841</v>
      </c>
      <c r="GA158">
        <v>60.247623294213824</v>
      </c>
      <c r="GB158">
        <v>20.401434809803167</v>
      </c>
      <c r="GC158">
        <v>14.537372362075534</v>
      </c>
      <c r="GD158">
        <v>10.256293398323296</v>
      </c>
      <c r="GE158">
        <v>11.62673428355302</v>
      </c>
      <c r="GF158">
        <v>27.840573427971758</v>
      </c>
      <c r="GG158">
        <v>21.041540236638795</v>
      </c>
      <c r="GH158">
        <v>9.4747393742265587</v>
      </c>
      <c r="GI158">
        <v>25.043132822725802</v>
      </c>
      <c r="GJ158"/>
      <c r="GK158">
        <v>53.443494421106209</v>
      </c>
      <c r="GL158">
        <v>60.253418186890052</v>
      </c>
      <c r="GM158">
        <v>36.142538746563709</v>
      </c>
      <c r="GN158">
        <v>47.999283210419584</v>
      </c>
      <c r="GO158">
        <v>44.617964616666214</v>
      </c>
      <c r="GP158">
        <v>24.946617180580358</v>
      </c>
      <c r="GQ158">
        <v>37.510094266703966</v>
      </c>
      <c r="GR158">
        <v>31.649142037531469</v>
      </c>
      <c r="GS158">
        <v>11.298849236598933</v>
      </c>
      <c r="GT158">
        <v>36.602588257527806</v>
      </c>
      <c r="GU158"/>
      <c r="GV158"/>
      <c r="GW158"/>
      <c r="GX158"/>
      <c r="GY158"/>
      <c r="GZ158"/>
      <c r="HA158"/>
      <c r="HB158"/>
      <c r="HC158"/>
    </row>
    <row r="159" spans="1:211" s="7" customFormat="1">
      <c r="A159" s="1"/>
      <c r="B159" s="76">
        <f t="shared" ca="1" si="172"/>
        <v>0.13582753181611107</v>
      </c>
      <c r="C159">
        <v>8</v>
      </c>
      <c r="D159">
        <v>39910</v>
      </c>
      <c r="E159">
        <v>0</v>
      </c>
      <c r="F159">
        <v>0</v>
      </c>
      <c r="G159">
        <v>0</v>
      </c>
      <c r="H159">
        <v>125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65.561298076923066</v>
      </c>
      <c r="AO159">
        <v>51.742207357933793</v>
      </c>
      <c r="AP159">
        <v>62.989682130135115</v>
      </c>
      <c r="AQ159">
        <v>367.884727208009</v>
      </c>
      <c r="AR159">
        <v>49.213030492274122</v>
      </c>
      <c r="AS159">
        <v>459.66976359515979</v>
      </c>
      <c r="AT159">
        <v>38.148678359370422</v>
      </c>
      <c r="AU159">
        <v>38.362780965453005</v>
      </c>
      <c r="AV159"/>
      <c r="AW159"/>
      <c r="AX159" s="146"/>
      <c r="AY159" s="76">
        <f t="shared" ca="1" si="173"/>
        <v>0.89344642285080011</v>
      </c>
      <c r="AZ159">
        <v>2</v>
      </c>
      <c r="BA159" s="129">
        <f t="shared" ref="BA159:BA167" si="245">IF(AZ159="", "",$C$11)</f>
        <v>39910</v>
      </c>
      <c r="BB159">
        <v>0</v>
      </c>
      <c r="BC159">
        <v>0</v>
      </c>
      <c r="BD159">
        <v>0</v>
      </c>
      <c r="BE159">
        <v>2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8"/>
        <v>0.5047533397300259</v>
      </c>
      <c r="CL159" s="179">
        <f t="shared" si="209"/>
        <v>2</v>
      </c>
      <c r="CM159" s="180">
        <f t="shared" si="210"/>
        <v>39910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0.8912570976553047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0</v>
      </c>
      <c r="DH159" s="161">
        <f t="shared" si="215"/>
        <v>0</v>
      </c>
      <c r="DI159" s="161">
        <f t="shared" si="216"/>
        <v>20.833333333333332</v>
      </c>
      <c r="DJ159" s="161">
        <f t="shared" si="217"/>
        <v>0</v>
      </c>
      <c r="DK159" s="161">
        <f t="shared" si="218"/>
        <v>0</v>
      </c>
      <c r="DL159" s="161">
        <f t="shared" si="219"/>
        <v>0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20.833333333333332</v>
      </c>
      <c r="EL159" s="149"/>
      <c r="EN159" s="146"/>
      <c r="EO159" s="146"/>
      <c r="EP159" s="139">
        <f t="shared" si="176"/>
        <v>0</v>
      </c>
      <c r="EQ159" s="139">
        <f t="shared" si="177"/>
        <v>0</v>
      </c>
      <c r="ER159" s="139">
        <f t="shared" si="178"/>
        <v>0</v>
      </c>
      <c r="ES159" s="139">
        <f t="shared" si="179"/>
        <v>15.629205944459985</v>
      </c>
      <c r="ET159" s="139">
        <f t="shared" si="180"/>
        <v>0</v>
      </c>
      <c r="EU159" s="139">
        <f t="shared" si="181"/>
        <v>0</v>
      </c>
      <c r="EV159" s="139">
        <f t="shared" si="182"/>
        <v>0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15.629205944459985</v>
      </c>
      <c r="FV159" s="149"/>
      <c r="FY159" s="211">
        <v>154</v>
      </c>
      <c r="FZ159">
        <v>41.616749790114561</v>
      </c>
      <c r="GA159">
        <v>83.119179954904027</v>
      </c>
      <c r="GB159">
        <v>40.020898162522982</v>
      </c>
      <c r="GC159">
        <v>13.99205625358637</v>
      </c>
      <c r="GD159">
        <v>8.5757604662428992</v>
      </c>
      <c r="GE159">
        <v>14.755212986356447</v>
      </c>
      <c r="GF159">
        <v>23.297146514379147</v>
      </c>
      <c r="GG159">
        <v>18.703591321456706</v>
      </c>
      <c r="GH159">
        <v>13.255650694949278</v>
      </c>
      <c r="GI159">
        <v>28.107651044587612</v>
      </c>
      <c r="GJ159"/>
      <c r="GK159">
        <v>43.04409317847157</v>
      </c>
      <c r="GL159">
        <v>73.45726793896192</v>
      </c>
      <c r="GM159">
        <v>70.899761511686663</v>
      </c>
      <c r="GN159">
        <v>46.198190275969139</v>
      </c>
      <c r="GO159">
        <v>37.304297732399682</v>
      </c>
      <c r="GP159">
        <v>31.659160759290742</v>
      </c>
      <c r="GQ159">
        <v>31.388655271790469</v>
      </c>
      <c r="GR159">
        <v>28.132570700027973</v>
      </c>
      <c r="GS159">
        <v>14.847745647236987</v>
      </c>
      <c r="GT159">
        <v>39.496910668317078</v>
      </c>
      <c r="GU159"/>
      <c r="GV159"/>
      <c r="GW159"/>
      <c r="GX159"/>
      <c r="GY159"/>
      <c r="GZ159"/>
      <c r="HA159"/>
      <c r="HB159"/>
      <c r="HC159"/>
    </row>
    <row r="160" spans="1:211" s="7" customFormat="1">
      <c r="A160" s="1"/>
      <c r="B160" s="76">
        <f t="shared" ca="1" si="172"/>
        <v>0.82711122664010395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50.758253205128199</v>
      </c>
      <c r="AO160">
        <v>36.715338665320623</v>
      </c>
      <c r="AP160">
        <v>18.591149786708758</v>
      </c>
      <c r="AQ160">
        <v>266.43515966667781</v>
      </c>
      <c r="AR160">
        <v>35.913327283751585</v>
      </c>
      <c r="AS160">
        <v>355.64951148175368</v>
      </c>
      <c r="AT160">
        <v>28.609982297325669</v>
      </c>
      <c r="AU160">
        <v>54.02741493907908</v>
      </c>
      <c r="AV160"/>
      <c r="AW160"/>
      <c r="AX160" s="146"/>
      <c r="AY160" s="76">
        <f t="shared" ca="1" si="173"/>
        <v>0.64803413933281195</v>
      </c>
      <c r="AZ160">
        <v>3</v>
      </c>
      <c r="BA160" s="129">
        <f t="shared" si="245"/>
        <v>39910</v>
      </c>
      <c r="BB160">
        <v>0</v>
      </c>
      <c r="BC160">
        <v>0</v>
      </c>
      <c r="BD160">
        <v>0</v>
      </c>
      <c r="BE160">
        <v>4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8"/>
        <v>0.82244084796910855</v>
      </c>
      <c r="CL160" s="179">
        <f t="shared" si="209"/>
        <v>3</v>
      </c>
      <c r="CM160" s="180">
        <f t="shared" si="210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0.64102103593948212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0</v>
      </c>
      <c r="DH160" s="161">
        <f t="shared" si="215"/>
        <v>0</v>
      </c>
      <c r="DI160" s="161">
        <f t="shared" si="216"/>
        <v>113.63636363636363</v>
      </c>
      <c r="DJ160" s="161">
        <f t="shared" si="217"/>
        <v>0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113.63636363636363</v>
      </c>
      <c r="EL160" s="149"/>
      <c r="EN160" s="146"/>
      <c r="EO160" s="146"/>
      <c r="EP160" s="139">
        <f t="shared" si="176"/>
        <v>0</v>
      </c>
      <c r="EQ160" s="139">
        <f t="shared" si="177"/>
        <v>0</v>
      </c>
      <c r="ER160" s="139">
        <f t="shared" si="178"/>
        <v>0</v>
      </c>
      <c r="ES160" s="139">
        <f t="shared" si="179"/>
        <v>85.250214242509003</v>
      </c>
      <c r="ET160" s="139">
        <f t="shared" si="180"/>
        <v>0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85.250214242509003</v>
      </c>
      <c r="FV160" s="149"/>
      <c r="FY160" s="211">
        <v>155</v>
      </c>
      <c r="FZ160">
        <v>42.090354404188524</v>
      </c>
      <c r="GA160">
        <v>54.823288906426079</v>
      </c>
      <c r="GB160">
        <v>24.461671221582179</v>
      </c>
      <c r="GC160">
        <v>13.37193406659102</v>
      </c>
      <c r="GD160">
        <v>7.5464651428697564</v>
      </c>
      <c r="GE160">
        <v>13.704604466758282</v>
      </c>
      <c r="GF160">
        <v>32.814615271479333</v>
      </c>
      <c r="GG160">
        <v>22.552941555544379</v>
      </c>
      <c r="GH160">
        <v>11.567736852376445</v>
      </c>
      <c r="GI160">
        <v>25.19272133468256</v>
      </c>
      <c r="GJ160"/>
      <c r="GK160">
        <v>43.530488573892988</v>
      </c>
      <c r="GL160">
        <v>48.450538427825961</v>
      </c>
      <c r="GM160">
        <v>43.335525573275412</v>
      </c>
      <c r="GN160">
        <v>44.14618456564444</v>
      </c>
      <c r="GO160">
        <v>32.820475013234194</v>
      </c>
      <c r="GP160">
        <v>29.404948363455166</v>
      </c>
      <c r="GQ160">
        <v>44.211708330767863</v>
      </c>
      <c r="GR160">
        <v>33.92248108399837</v>
      </c>
      <c r="GS160">
        <v>13.64323012826793</v>
      </c>
      <c r="GT160">
        <v>35.508285523887672</v>
      </c>
      <c r="GU160"/>
      <c r="GV160"/>
      <c r="GW160"/>
      <c r="GX160"/>
      <c r="GY160"/>
      <c r="GZ160"/>
      <c r="HA160"/>
      <c r="HB160"/>
      <c r="HC160"/>
    </row>
    <row r="161" spans="1:211" s="7" customFormat="1">
      <c r="A161" s="1"/>
      <c r="B161" s="76">
        <f t="shared" ca="1" si="172"/>
        <v>0.38956973818971274</v>
      </c>
      <c r="C161">
        <v>7</v>
      </c>
      <c r="D161">
        <v>39910</v>
      </c>
      <c r="E161">
        <v>0</v>
      </c>
      <c r="F161">
        <v>0</v>
      </c>
      <c r="G161">
        <v>0</v>
      </c>
      <c r="H161">
        <v>10.416666666666666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50.519497863247864</v>
      </c>
      <c r="AO161">
        <v>39.29006244821035</v>
      </c>
      <c r="AP161">
        <v>26.839327925961697</v>
      </c>
      <c r="AQ161">
        <v>262.60422128440473</v>
      </c>
      <c r="AR161">
        <v>37.221673429878969</v>
      </c>
      <c r="AS161">
        <v>357.12410369339369</v>
      </c>
      <c r="AT161">
        <v>29.565451818961645</v>
      </c>
      <c r="AU161">
        <v>30.964824874877419</v>
      </c>
      <c r="AV161"/>
      <c r="AW161"/>
      <c r="AX161" s="146"/>
      <c r="AY161" s="76">
        <f t="shared" ca="1" si="173"/>
        <v>0.43441970105489691</v>
      </c>
      <c r="AZ161">
        <v>4</v>
      </c>
      <c r="BA161" s="129">
        <f t="shared" si="245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8"/>
        <v>0.33626282524433115</v>
      </c>
      <c r="CL161" s="179">
        <f t="shared" si="209"/>
        <v>4</v>
      </c>
      <c r="CM161" s="180">
        <f t="shared" si="210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0.3909662431067995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0</v>
      </c>
      <c r="DH161" s="161">
        <f t="shared" si="215"/>
        <v>0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0</v>
      </c>
      <c r="EL161" s="149"/>
      <c r="EN161" s="146"/>
      <c r="EO161" s="146"/>
      <c r="EP161" s="139">
        <f t="shared" si="176"/>
        <v>0</v>
      </c>
      <c r="EQ161" s="139">
        <f t="shared" si="177"/>
        <v>0</v>
      </c>
      <c r="ER161" s="139">
        <f t="shared" si="178"/>
        <v>0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0</v>
      </c>
      <c r="FV161" s="149"/>
      <c r="FY161" s="211">
        <v>156</v>
      </c>
      <c r="FZ161">
        <v>37.470116043678807</v>
      </c>
      <c r="GA161">
        <v>65.257398730552325</v>
      </c>
      <c r="GB161">
        <v>29.213651614627235</v>
      </c>
      <c r="GC161">
        <v>12.163827936987467</v>
      </c>
      <c r="GD161">
        <v>7.2021965658744582</v>
      </c>
      <c r="GE161">
        <v>8.4702393535603129</v>
      </c>
      <c r="GF161">
        <v>16.987319582155749</v>
      </c>
      <c r="GG161">
        <v>17.640887269101214</v>
      </c>
      <c r="GH161">
        <v>18.25181292240315</v>
      </c>
      <c r="GI161">
        <v>23.548426066471059</v>
      </c>
      <c r="GJ161"/>
      <c r="GK161">
        <v>38.749211562317001</v>
      </c>
      <c r="GL161">
        <v>57.671769935057341</v>
      </c>
      <c r="GM161">
        <v>51.753984229723166</v>
      </c>
      <c r="GN161">
        <v>40.156000926793674</v>
      </c>
      <c r="GO161">
        <v>31.322220713779846</v>
      </c>
      <c r="GP161">
        <v>18.173961271314365</v>
      </c>
      <c r="GQ161">
        <v>22.887314462606934</v>
      </c>
      <c r="GR161">
        <v>26.534129182980934</v>
      </c>
      <c r="GS161">
        <v>21.81623817597486</v>
      </c>
      <c r="GT161">
        <v>33.305793828880368</v>
      </c>
      <c r="GU161"/>
      <c r="GV161"/>
      <c r="GW161"/>
      <c r="GX161"/>
      <c r="GY161"/>
      <c r="GZ161"/>
      <c r="HA161"/>
      <c r="HB161"/>
      <c r="HC161"/>
    </row>
    <row r="162" spans="1:211" s="7" customFormat="1">
      <c r="A162" s="1"/>
      <c r="B162" s="76">
        <f t="shared" ca="1" si="172"/>
        <v>0.52512750919690099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41.666666666666664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47.304220085470085</v>
      </c>
      <c r="AO162">
        <v>35.878865649088773</v>
      </c>
      <c r="AP162">
        <v>27.405763889309902</v>
      </c>
      <c r="AQ162">
        <v>228.23538524488274</v>
      </c>
      <c r="AR162">
        <v>35.461564560480554</v>
      </c>
      <c r="AS162">
        <v>348.33114737131109</v>
      </c>
      <c r="AT162">
        <v>28.399611160217603</v>
      </c>
      <c r="AU162">
        <v>44.017950806858821</v>
      </c>
      <c r="AV162"/>
      <c r="AW162"/>
      <c r="AX162" s="146"/>
      <c r="AY162" s="76">
        <f t="shared" ca="1" si="173"/>
        <v>0.79013589059247558</v>
      </c>
      <c r="AZ162">
        <v>5</v>
      </c>
      <c r="BA162" s="129">
        <f t="shared" si="245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8"/>
        <v>4.163956855548534E-2</v>
      </c>
      <c r="CL162" s="179">
        <f t="shared" si="209"/>
        <v>5</v>
      </c>
      <c r="CM162" s="180">
        <f t="shared" si="210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0.37898998272080942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0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0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0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0</v>
      </c>
      <c r="FV162" s="149"/>
      <c r="FY162" s="211">
        <v>157</v>
      </c>
      <c r="FZ162">
        <v>46.422061231587506</v>
      </c>
      <c r="GA162">
        <v>68.962046315270655</v>
      </c>
      <c r="GB162">
        <v>28.451730707725503</v>
      </c>
      <c r="GC162">
        <v>14.393311900172913</v>
      </c>
      <c r="GD162">
        <v>8.0504433746371777</v>
      </c>
      <c r="GE162">
        <v>8.9231683597870788</v>
      </c>
      <c r="GF162">
        <v>18.560382285314507</v>
      </c>
      <c r="GG162">
        <v>14.287465592779428</v>
      </c>
      <c r="GH162">
        <v>10.813820303774408</v>
      </c>
      <c r="GI162">
        <v>24.170382929985372</v>
      </c>
      <c r="GJ162"/>
      <c r="GK162">
        <v>51.615993952015003</v>
      </c>
      <c r="GL162">
        <v>65.618502470822378</v>
      </c>
      <c r="GM162">
        <v>50.404189170883448</v>
      </c>
      <c r="GN162">
        <v>47.538834747732459</v>
      </c>
      <c r="GO162">
        <v>35.035469992164465</v>
      </c>
      <c r="GP162">
        <v>19.145777281963483</v>
      </c>
      <c r="GQ162">
        <v>25.006729511135976</v>
      </c>
      <c r="GR162">
        <v>21.49015817363248</v>
      </c>
      <c r="GS162">
        <v>12.112634606956487</v>
      </c>
      <c r="GT162">
        <v>34.835003446631085</v>
      </c>
      <c r="GU162"/>
      <c r="GV162"/>
      <c r="GW162"/>
      <c r="GX162"/>
      <c r="GY162"/>
      <c r="GZ162"/>
      <c r="HA162"/>
      <c r="HB162"/>
      <c r="HC162"/>
    </row>
    <row r="163" spans="1:211" s="7" customFormat="1">
      <c r="A163" s="1"/>
      <c r="B163" s="76">
        <f t="shared" ca="1" si="172"/>
        <v>0.28221642807483471</v>
      </c>
      <c r="C163">
        <v>10</v>
      </c>
      <c r="D163">
        <v>39910</v>
      </c>
      <c r="E163">
        <v>0</v>
      </c>
      <c r="F163">
        <v>0</v>
      </c>
      <c r="G163">
        <v>0</v>
      </c>
      <c r="H163">
        <v>218.75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44.310870726495729</v>
      </c>
      <c r="AO163">
        <v>32.5387689631157</v>
      </c>
      <c r="AP163">
        <v>8.9342359027370293</v>
      </c>
      <c r="AQ163">
        <v>222.07217106346064</v>
      </c>
      <c r="AR163">
        <v>31.240752018883242</v>
      </c>
      <c r="AS163">
        <v>291.55899486584065</v>
      </c>
      <c r="AT163">
        <v>25.271983503933424</v>
      </c>
      <c r="AU163">
        <v>35.765600572778112</v>
      </c>
      <c r="AV163"/>
      <c r="AW163"/>
      <c r="AX163" s="146"/>
      <c r="AY163" s="76">
        <f t="shared" ca="1" si="173"/>
        <v>0.28009256916863667</v>
      </c>
      <c r="AZ163">
        <v>6</v>
      </c>
      <c r="BA163" s="129">
        <f t="shared" si="245"/>
        <v>39910</v>
      </c>
      <c r="BB163">
        <v>0</v>
      </c>
      <c r="BC163">
        <v>0</v>
      </c>
      <c r="BD163">
        <v>0</v>
      </c>
      <c r="BE163">
        <v>4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8"/>
        <v>0.22843276354822728</v>
      </c>
      <c r="CL163" s="179">
        <f t="shared" si="209"/>
        <v>6</v>
      </c>
      <c r="CM163" s="180">
        <f t="shared" si="210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0.87561543055237534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41.666666666666664</v>
      </c>
      <c r="DJ163" s="161">
        <f t="shared" si="217"/>
        <v>0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41.666666666666664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31.258411888919969</v>
      </c>
      <c r="ET163" s="139">
        <f t="shared" si="180"/>
        <v>0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31.258411888919969</v>
      </c>
      <c r="FV163" s="149"/>
      <c r="FY163" s="211">
        <v>158</v>
      </c>
      <c r="FZ163">
        <v>42.180064644435291</v>
      </c>
      <c r="GA163">
        <v>72.194140445684866</v>
      </c>
      <c r="GB163">
        <v>26.326372388473281</v>
      </c>
      <c r="GC163">
        <v>13.234266789046178</v>
      </c>
      <c r="GD163">
        <v>7.4010616682644121</v>
      </c>
      <c r="GE163">
        <v>8.969862071769219</v>
      </c>
      <c r="GF163">
        <v>22.058030083399341</v>
      </c>
      <c r="GG163">
        <v>18.632744384633003</v>
      </c>
      <c r="GH163">
        <v>13.660734330526328</v>
      </c>
      <c r="GI163">
        <v>23.804099770466095</v>
      </c>
      <c r="GJ163"/>
      <c r="GK163">
        <v>45.429835035562633</v>
      </c>
      <c r="GL163">
        <v>66.138532911972106</v>
      </c>
      <c r="GM163">
        <v>46.638971375172638</v>
      </c>
      <c r="GN163">
        <v>43.695331421926241</v>
      </c>
      <c r="GO163">
        <v>32.192017256510759</v>
      </c>
      <c r="GP163">
        <v>19.245964499556173</v>
      </c>
      <c r="GQ163">
        <v>29.719171909541334</v>
      </c>
      <c r="GR163">
        <v>28.026007932224832</v>
      </c>
      <c r="GS163">
        <v>15.987611019936924</v>
      </c>
      <c r="GT163">
        <v>33.993521319344858</v>
      </c>
      <c r="GU163"/>
      <c r="GV163"/>
      <c r="GW163"/>
      <c r="GX163"/>
      <c r="GY163"/>
      <c r="GZ163"/>
      <c r="HA163"/>
      <c r="HB163"/>
      <c r="HC163"/>
    </row>
    <row r="164" spans="1:211" s="7" customFormat="1">
      <c r="A164" s="1"/>
      <c r="B164" s="76">
        <f t="shared" ca="1" si="172"/>
        <v>5.4301658540672815E-2</v>
      </c>
      <c r="C164">
        <v>3</v>
      </c>
      <c r="D164">
        <v>39910</v>
      </c>
      <c r="E164">
        <v>0</v>
      </c>
      <c r="F164">
        <v>0</v>
      </c>
      <c r="G164">
        <v>0</v>
      </c>
      <c r="H164">
        <v>113.63636363636363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56.373130341880334</v>
      </c>
      <c r="AO164">
        <v>45.193714664026835</v>
      </c>
      <c r="AP164">
        <v>46.037445394661674</v>
      </c>
      <c r="AQ164">
        <v>313.79065523810891</v>
      </c>
      <c r="AR164">
        <v>43.840519425228614</v>
      </c>
      <c r="AS164">
        <v>412.93267905515665</v>
      </c>
      <c r="AT164">
        <v>33.829569785811408</v>
      </c>
      <c r="AU164">
        <v>35.2453706628974</v>
      </c>
      <c r="AV164"/>
      <c r="AW164"/>
      <c r="AX164" s="146"/>
      <c r="AY164" s="76">
        <f t="shared" ca="1" si="173"/>
        <v>0.35590609942345219</v>
      </c>
      <c r="AZ164">
        <v>7</v>
      </c>
      <c r="BA164" s="129">
        <f t="shared" si="245"/>
        <v>39910</v>
      </c>
      <c r="BB164">
        <v>0</v>
      </c>
      <c r="BC164">
        <v>0</v>
      </c>
      <c r="BD164">
        <v>0</v>
      </c>
      <c r="BE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8"/>
        <v>9.9029887444832099E-2</v>
      </c>
      <c r="CL164" s="179">
        <f t="shared" si="209"/>
        <v>7</v>
      </c>
      <c r="CM164" s="180">
        <f t="shared" si="210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0.34081772518797937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10.416666666666666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10.416666666666666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7.8146029722299923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7.8146029722299923</v>
      </c>
      <c r="FV164" s="149"/>
      <c r="FY164" s="211">
        <v>159</v>
      </c>
      <c r="FZ164">
        <v>56.225364204735406</v>
      </c>
      <c r="GA164">
        <v>81.06703655500587</v>
      </c>
      <c r="GB164">
        <v>32.191158316598518</v>
      </c>
      <c r="GC164">
        <v>17.307235118122474</v>
      </c>
      <c r="GD164">
        <v>9.810846940926405</v>
      </c>
      <c r="GE164">
        <v>14.008113594642198</v>
      </c>
      <c r="GF164">
        <v>46.928239300937243</v>
      </c>
      <c r="GG164">
        <v>33.463369826394128</v>
      </c>
      <c r="GH164">
        <v>8.7208228256245253</v>
      </c>
      <c r="GI164">
        <v>32.643714750989318</v>
      </c>
      <c r="GJ164"/>
      <c r="GK164">
        <v>65.359901885745913</v>
      </c>
      <c r="GL164">
        <v>80.989107830205896</v>
      </c>
      <c r="GM164">
        <v>57.028841235978419</v>
      </c>
      <c r="GN164">
        <v>57.140021955524105</v>
      </c>
      <c r="GO164">
        <v>42.670710752921337</v>
      </c>
      <c r="GP164">
        <v>30.056165277807668</v>
      </c>
      <c r="GQ164">
        <v>63.227242229860849</v>
      </c>
      <c r="GR164">
        <v>50.33314732568136</v>
      </c>
      <c r="GS164">
        <v>9.7682537152874929</v>
      </c>
      <c r="GT164">
        <v>47.610989963958801</v>
      </c>
      <c r="GU164"/>
      <c r="GV164"/>
      <c r="GW164"/>
      <c r="GX164"/>
      <c r="GY164"/>
      <c r="GZ164"/>
      <c r="HA164"/>
      <c r="HB164"/>
      <c r="HC164"/>
    </row>
    <row r="165" spans="1:211" s="7" customFormat="1">
      <c r="A165" s="1"/>
      <c r="B165" s="76">
        <f t="shared" ca="1" si="172"/>
        <v>0.46734234446251421</v>
      </c>
      <c r="C165">
        <v>2</v>
      </c>
      <c r="D165">
        <v>39910</v>
      </c>
      <c r="E165">
        <v>0</v>
      </c>
      <c r="F165">
        <v>0</v>
      </c>
      <c r="G165">
        <v>0</v>
      </c>
      <c r="H165">
        <v>20.833333333333332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51.718082264957275</v>
      </c>
      <c r="AO165">
        <v>41.190132816995707</v>
      </c>
      <c r="AP165">
        <v>44.110340302811551</v>
      </c>
      <c r="AQ165">
        <v>260.07898274613274</v>
      </c>
      <c r="AR165">
        <v>39.149846012903417</v>
      </c>
      <c r="AS165">
        <v>374.81850194554994</v>
      </c>
      <c r="AT165">
        <v>30.27318654815635</v>
      </c>
      <c r="AU165">
        <v>35.919097994609125</v>
      </c>
      <c r="AV165"/>
      <c r="AW165"/>
      <c r="AX165" s="146"/>
      <c r="AY165" s="76">
        <f t="shared" ca="1" si="173"/>
        <v>0.84134516251878888</v>
      </c>
      <c r="AZ165">
        <v>8</v>
      </c>
      <c r="BA165" s="129">
        <f t="shared" si="245"/>
        <v>39910</v>
      </c>
      <c r="BB165">
        <v>0</v>
      </c>
      <c r="BC165">
        <v>0</v>
      </c>
      <c r="BD165">
        <v>0</v>
      </c>
      <c r="BE165">
        <v>12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8"/>
        <v>0.89283542904513169</v>
      </c>
      <c r="CL165" s="179">
        <f t="shared" si="209"/>
        <v>8</v>
      </c>
      <c r="CM165" s="180">
        <f t="shared" si="210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0.56416995507389434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125</v>
      </c>
      <c r="DJ165" s="161">
        <f t="shared" si="217"/>
        <v>0</v>
      </c>
      <c r="DK165" s="161">
        <f t="shared" si="218"/>
        <v>0</v>
      </c>
      <c r="DL165" s="161">
        <f t="shared" si="219"/>
        <v>0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125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93.775235666759912</v>
      </c>
      <c r="ET165" s="139">
        <f t="shared" si="180"/>
        <v>0</v>
      </c>
      <c r="EU165" s="139">
        <f t="shared" si="181"/>
        <v>0</v>
      </c>
      <c r="EV165" s="139">
        <f t="shared" si="182"/>
        <v>0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93.775235666759912</v>
      </c>
      <c r="FV165" s="149"/>
      <c r="FY165" s="211">
        <v>160</v>
      </c>
      <c r="FZ165">
        <v>35.497148417237817</v>
      </c>
      <c r="GA165">
        <v>53.40849435400218</v>
      </c>
      <c r="GB165">
        <v>18.30615231582339</v>
      </c>
      <c r="GC165">
        <v>9.0671891563844387</v>
      </c>
      <c r="GD165">
        <v>6.964547196333565</v>
      </c>
      <c r="GE165">
        <v>10.001793106574528</v>
      </c>
      <c r="GF165">
        <v>25.20415548971685</v>
      </c>
      <c r="GG165">
        <v>20.238608285970194</v>
      </c>
      <c r="GH165">
        <v>10.116154477724448</v>
      </c>
      <c r="GI165">
        <v>20.599400751923941</v>
      </c>
      <c r="GJ165"/>
      <c r="GK165">
        <v>36.714264770965279</v>
      </c>
      <c r="GL165">
        <v>47.200201952269161</v>
      </c>
      <c r="GM165">
        <v>32.430602334754475</v>
      </c>
      <c r="GN165">
        <v>29.935972610349697</v>
      </c>
      <c r="GO165">
        <v>30.296646593683384</v>
      </c>
      <c r="GP165">
        <v>21.460102008354674</v>
      </c>
      <c r="GQ165">
        <v>33.958002006599415</v>
      </c>
      <c r="GR165">
        <v>30.441430669095919</v>
      </c>
      <c r="GS165">
        <v>11.331174309733489</v>
      </c>
      <c r="GT165">
        <v>28.946138003147205</v>
      </c>
      <c r="GU165"/>
      <c r="GV165"/>
      <c r="GW165"/>
      <c r="GX165"/>
      <c r="GY165"/>
      <c r="GZ165"/>
      <c r="HA165"/>
      <c r="HB165"/>
      <c r="HC165"/>
    </row>
    <row r="166" spans="1:211" s="7" customFormat="1">
      <c r="A166" s="1"/>
      <c r="B166" s="76">
        <f t="shared" ca="1" si="172"/>
        <v>0.8040417447464121</v>
      </c>
      <c r="C166">
        <v>4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44.673824786324779</v>
      </c>
      <c r="AO166">
        <v>35.437513992239133</v>
      </c>
      <c r="AP166">
        <v>33.239704207664239</v>
      </c>
      <c r="AQ166">
        <v>234.939181309486</v>
      </c>
      <c r="AR166">
        <v>34.642821247072057</v>
      </c>
      <c r="AS166">
        <v>320.22464906280817</v>
      </c>
      <c r="AT166">
        <v>27.128447769172013</v>
      </c>
      <c r="AU166">
        <v>24.572734796231856</v>
      </c>
      <c r="AV166"/>
      <c r="AW166"/>
      <c r="AX166" s="146"/>
      <c r="AY166" s="76">
        <f t="shared" ca="1" si="173"/>
        <v>0.82194858197931087</v>
      </c>
      <c r="AZ166">
        <v>9</v>
      </c>
      <c r="BA166" s="129">
        <f t="shared" si="245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8"/>
        <v>0.25954939231644403</v>
      </c>
      <c r="CL166" s="179">
        <f t="shared" si="209"/>
        <v>9</v>
      </c>
      <c r="CM166" s="180">
        <f t="shared" si="210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0.76528494544452008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0</v>
      </c>
      <c r="DH166" s="161">
        <f t="shared" si="215"/>
        <v>0</v>
      </c>
      <c r="DI166" s="161">
        <f t="shared" si="216"/>
        <v>0</v>
      </c>
      <c r="DJ166" s="161">
        <f t="shared" si="217"/>
        <v>0</v>
      </c>
      <c r="DK166" s="161">
        <f t="shared" si="218"/>
        <v>0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0</v>
      </c>
      <c r="EL166" s="149"/>
      <c r="EN166" s="146"/>
      <c r="EO166" s="146"/>
      <c r="EP166" s="139">
        <f t="shared" si="176"/>
        <v>0</v>
      </c>
      <c r="EQ166" s="139">
        <f t="shared" si="177"/>
        <v>0</v>
      </c>
      <c r="ER166" s="139">
        <f t="shared" si="178"/>
        <v>0</v>
      </c>
      <c r="ES166" s="139">
        <f t="shared" si="179"/>
        <v>0</v>
      </c>
      <c r="ET166" s="139">
        <f t="shared" si="180"/>
        <v>0</v>
      </c>
      <c r="EU166" s="139">
        <f t="shared" si="181"/>
        <v>0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0</v>
      </c>
      <c r="FV166" s="149"/>
      <c r="FY166" s="211">
        <v>161</v>
      </c>
      <c r="FZ166">
        <v>34.255899186347243</v>
      </c>
      <c r="GA166">
        <v>69.364551340837068</v>
      </c>
      <c r="GB166">
        <v>28.892842811721241</v>
      </c>
      <c r="GC166">
        <v>14.224822321266775</v>
      </c>
      <c r="GD166">
        <v>9.5248337241398406</v>
      </c>
      <c r="GE166">
        <v>14.722527387968947</v>
      </c>
      <c r="GF166">
        <v>23.200477856643136</v>
      </c>
      <c r="GG166">
        <v>11.949516677597339</v>
      </c>
      <c r="GH166">
        <v>11.567736852376445</v>
      </c>
      <c r="GI166">
        <v>24.487352560907766</v>
      </c>
      <c r="GJ166"/>
      <c r="GK166">
        <v>37.22765193329306</v>
      </c>
      <c r="GL166">
        <v>63.637859960858506</v>
      </c>
      <c r="GM166">
        <v>51.18564946810644</v>
      </c>
      <c r="GN166">
        <v>46.982340293649408</v>
      </c>
      <c r="GO166">
        <v>41.452005882532802</v>
      </c>
      <c r="GP166">
        <v>31.589029706975854</v>
      </c>
      <c r="GQ166">
        <v>31.258411888919973</v>
      </c>
      <c r="GR166">
        <v>17.973586836128984</v>
      </c>
      <c r="GS166">
        <v>13.64323012826793</v>
      </c>
      <c r="GT166">
        <v>34.953389860224036</v>
      </c>
      <c r="GU166"/>
      <c r="GV166"/>
      <c r="GW166"/>
      <c r="GX166"/>
      <c r="GY166"/>
      <c r="GZ166"/>
      <c r="HA166"/>
      <c r="HB166"/>
      <c r="HC166"/>
    </row>
    <row r="167" spans="1:211" s="7" customFormat="1">
      <c r="A167" s="1"/>
      <c r="B167" s="76">
        <f t="shared" ca="1" si="172"/>
        <v>0.19849941794014647</v>
      </c>
      <c r="C167">
        <v>1</v>
      </c>
      <c r="D167">
        <v>39910</v>
      </c>
      <c r="E167">
        <v>0</v>
      </c>
      <c r="F167">
        <v>0</v>
      </c>
      <c r="G167">
        <v>0</v>
      </c>
      <c r="H167">
        <v>72.916666666666671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44.728605769230768</v>
      </c>
      <c r="AO167">
        <v>36.298279270751486</v>
      </c>
      <c r="AP167">
        <v>31.396273182538895</v>
      </c>
      <c r="AQ167">
        <v>241.85035891392073</v>
      </c>
      <c r="AR167">
        <v>34.105382195061622</v>
      </c>
      <c r="AS167">
        <v>336.56500538947063</v>
      </c>
      <c r="AT167">
        <v>26.488950165578359</v>
      </c>
      <c r="AU167">
        <v>10.969837996882184</v>
      </c>
      <c r="AV167"/>
      <c r="AW167"/>
      <c r="AX167" s="146"/>
      <c r="AY167" s="76">
        <f t="shared" ca="1" si="173"/>
        <v>1.297720557410198E-2</v>
      </c>
      <c r="AZ167">
        <v>10</v>
      </c>
      <c r="BA167" s="129">
        <f t="shared" si="245"/>
        <v>39910</v>
      </c>
      <c r="BB167">
        <v>0</v>
      </c>
      <c r="BC167">
        <v>0</v>
      </c>
      <c r="BD167">
        <v>0</v>
      </c>
      <c r="BE167">
        <v>21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8"/>
        <v>0.43449123284885482</v>
      </c>
      <c r="CL167" s="179">
        <f t="shared" si="209"/>
        <v>10</v>
      </c>
      <c r="CM167" s="180">
        <f t="shared" si="210"/>
        <v>39910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0.52259605884781402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218.75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0</v>
      </c>
      <c r="DN167" s="161">
        <f t="shared" si="221"/>
        <v>0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218.75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164.10666241682983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0</v>
      </c>
      <c r="EX167" s="139">
        <f t="shared" si="184"/>
        <v>0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164.10666241682983</v>
      </c>
      <c r="FV167" s="149"/>
      <c r="FY167" s="211">
        <v>162</v>
      </c>
      <c r="FZ167">
        <v>48.976623189497353</v>
      </c>
      <c r="GA167">
        <v>79.00283922922489</v>
      </c>
      <c r="GB167">
        <v>27.880290027549201</v>
      </c>
      <c r="GC167">
        <v>15.010325701813624</v>
      </c>
      <c r="GD167">
        <v>10.360495990366122</v>
      </c>
      <c r="GE167">
        <v>13.279691687720801</v>
      </c>
      <c r="GF167">
        <v>37.674412337662538</v>
      </c>
      <c r="GG167">
        <v>28.031771336577147</v>
      </c>
      <c r="GH167">
        <v>10.813820303774408</v>
      </c>
      <c r="GI167">
        <v>29.551742321253776</v>
      </c>
      <c r="GJ167"/>
      <c r="GK167">
        <v>52.451758530625852</v>
      </c>
      <c r="GL167">
        <v>72.155777200589199</v>
      </c>
      <c r="GM167">
        <v>49.391842876753664</v>
      </c>
      <c r="GN167">
        <v>49.57673383285654</v>
      </c>
      <c r="GO167">
        <v>45.088801881147539</v>
      </c>
      <c r="GP167">
        <v>28.493244683361667</v>
      </c>
      <c r="GQ167">
        <v>50.7593983968939</v>
      </c>
      <c r="GR167">
        <v>42.163335127440902</v>
      </c>
      <c r="GS167">
        <v>12.112634606956487</v>
      </c>
      <c r="GT167">
        <v>41.960887258475488</v>
      </c>
      <c r="GU167"/>
      <c r="GV167"/>
      <c r="GW167"/>
      <c r="GX167"/>
      <c r="GY167"/>
      <c r="GZ167"/>
      <c r="HA167"/>
      <c r="HB167"/>
      <c r="HC167"/>
    </row>
    <row r="168" spans="1:211" s="7" customFormat="1">
      <c r="A168" s="128"/>
      <c r="B168" s="76">
        <f t="shared" ca="1" si="172"/>
        <v>0.95937318922818671</v>
      </c>
      <c r="C168">
        <v>10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54.689236111111107</v>
      </c>
      <c r="AO168">
        <v>40.698734014934132</v>
      </c>
      <c r="AP168">
        <v>13.351189410575483</v>
      </c>
      <c r="AQ168">
        <v>295.05500489199659</v>
      </c>
      <c r="AR168">
        <v>38.351503414059131</v>
      </c>
      <c r="AS168">
        <v>370.92827488751715</v>
      </c>
      <c r="AT168">
        <v>31.295648249164973</v>
      </c>
      <c r="AU168">
        <v>25.462487986273413</v>
      </c>
      <c r="AV168"/>
      <c r="AW168"/>
      <c r="AX168" s="128"/>
      <c r="AY168" s="76">
        <f t="shared" ca="1" si="173"/>
        <v>0.46825733111533308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8"/>
        <v>0.84820570010997631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0.15691737146597795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0</v>
      </c>
      <c r="DI168" s="161">
        <f t="shared" si="216"/>
        <v>10.416666666666666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10.416666666666666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</v>
      </c>
      <c r="ES168" s="139">
        <f t="shared" si="179"/>
        <v>7.8146029722299923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7.8146029722299923</v>
      </c>
      <c r="FV168" s="149"/>
      <c r="FY168" s="211">
        <v>163</v>
      </c>
      <c r="FZ168">
        <v>31.199413402335988</v>
      </c>
      <c r="GA168">
        <v>67.64486453776766</v>
      </c>
      <c r="GB168">
        <v>33.735050680583626</v>
      </c>
      <c r="GC168">
        <v>15.328253069608744</v>
      </c>
      <c r="GD168">
        <v>9.8281028156288386</v>
      </c>
      <c r="GE168">
        <v>10.776908725478064</v>
      </c>
      <c r="GF168">
        <v>28.991809261009735</v>
      </c>
      <c r="GG168">
        <v>24.064342874449977</v>
      </c>
      <c r="GH168">
        <v>12.670486314003458</v>
      </c>
      <c r="GI168">
        <v>26.804317089798303</v>
      </c>
      <c r="GJ168"/>
      <c r="GK168">
        <v>32.263091095366114</v>
      </c>
      <c r="GL168">
        <v>59.781712737559445</v>
      </c>
      <c r="GM168">
        <v>59.763952276258927</v>
      </c>
      <c r="GN168">
        <v>50.611437210927228</v>
      </c>
      <c r="GO168">
        <v>42.754482369442144</v>
      </c>
      <c r="GP168">
        <v>23.123209820393363</v>
      </c>
      <c r="GQ168">
        <v>39.061174553616283</v>
      </c>
      <c r="GR168">
        <v>36.195820130465286</v>
      </c>
      <c r="GS168">
        <v>15.564555798190868</v>
      </c>
      <c r="GT168">
        <v>37.88145121857486</v>
      </c>
      <c r="GU168"/>
      <c r="GV168"/>
      <c r="GW168"/>
      <c r="GX168"/>
      <c r="GY168"/>
      <c r="GZ168"/>
      <c r="HA168"/>
      <c r="HB168"/>
      <c r="HC168"/>
    </row>
    <row r="169" spans="1:211" s="7" customFormat="1">
      <c r="A169" s="1"/>
      <c r="B169" s="76">
        <f t="shared" ca="1" si="172"/>
        <v>0.98239102843918924</v>
      </c>
      <c r="C169">
        <v>4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45.002216880341877</v>
      </c>
      <c r="AO169">
        <v>38.446399016058834</v>
      </c>
      <c r="AP169">
        <v>59.186841398579531</v>
      </c>
      <c r="AQ169">
        <v>246.92296711989655</v>
      </c>
      <c r="AR169">
        <v>36.602588257527792</v>
      </c>
      <c r="AS169">
        <v>340.39039910681532</v>
      </c>
      <c r="AT169">
        <v>27.830720552864122</v>
      </c>
      <c r="AU169">
        <v>22.859096722654673</v>
      </c>
      <c r="AV169"/>
      <c r="AW169"/>
      <c r="AX169" s="146"/>
      <c r="AY169" s="76">
        <f t="shared" ca="1" si="173"/>
        <v>0.64786728108041824</v>
      </c>
      <c r="AZ169">
        <v>2</v>
      </c>
      <c r="BA169" s="129">
        <f t="shared" ref="BA169:BA177" si="247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8"/>
        <v>0.35701183613121312</v>
      </c>
      <c r="CL169" s="179">
        <f t="shared" si="209"/>
        <v>2</v>
      </c>
      <c r="CM169" s="180">
        <f t="shared" si="210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0.25224310562042618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1">
        <v>164</v>
      </c>
      <c r="FZ169">
        <v>36.560509896970181</v>
      </c>
      <c r="GA169">
        <v>61.72041234949257</v>
      </c>
      <c r="GB169">
        <v>25.785007533569409</v>
      </c>
      <c r="GC169">
        <v>12.936532786170673</v>
      </c>
      <c r="GD169">
        <v>8.9214268835541919</v>
      </c>
      <c r="GE169">
        <v>10.366004060035225</v>
      </c>
      <c r="GF169">
        <v>28.420585374387837</v>
      </c>
      <c r="GG169">
        <v>25.977210168689865</v>
      </c>
      <c r="GH169">
        <v>12.906817781924296</v>
      </c>
      <c r="GI169">
        <v>24.916559425301859</v>
      </c>
      <c r="GJ169"/>
      <c r="GK169">
        <v>37.800240025705648</v>
      </c>
      <c r="GL169">
        <v>54.545928746165345</v>
      </c>
      <c r="GM169">
        <v>45.679906464944402</v>
      </c>
      <c r="GN169">
        <v>42.723483417623868</v>
      </c>
      <c r="GO169">
        <v>38.821646688832111</v>
      </c>
      <c r="GP169">
        <v>22.241562305577673</v>
      </c>
      <c r="GQ169">
        <v>38.291554563926965</v>
      </c>
      <c r="GR169">
        <v>39.073014861149957</v>
      </c>
      <c r="GS169">
        <v>14.457015498625486</v>
      </c>
      <c r="GT169">
        <v>35.010072648406926</v>
      </c>
      <c r="GU169"/>
      <c r="GV169"/>
      <c r="GW169"/>
      <c r="GX169"/>
      <c r="GY169"/>
      <c r="GZ169"/>
      <c r="HA169"/>
      <c r="HB169"/>
      <c r="HC169"/>
    </row>
    <row r="170" spans="1:211" s="7" customFormat="1">
      <c r="A170" s="1"/>
      <c r="B170" s="76">
        <f t="shared" ca="1" si="172"/>
        <v>0.88425706547721838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10.416666666666666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56.044604700854698</v>
      </c>
      <c r="AO170">
        <v>41.642865368415222</v>
      </c>
      <c r="AP170">
        <v>5.083516550250641</v>
      </c>
      <c r="AQ170">
        <v>285.44389718910003</v>
      </c>
      <c r="AR170">
        <v>39.496910668317113</v>
      </c>
      <c r="AS170">
        <v>385.13700839537148</v>
      </c>
      <c r="AT170">
        <v>32.515659936894274</v>
      </c>
      <c r="AU170">
        <v>22.778507550955865</v>
      </c>
      <c r="AV170"/>
      <c r="AW170"/>
      <c r="AX170" s="146"/>
      <c r="AY170" s="76">
        <f t="shared" ca="1" si="173"/>
        <v>0.39859644950657214</v>
      </c>
      <c r="AZ170">
        <v>3</v>
      </c>
      <c r="BA170" s="129">
        <f t="shared" si="247"/>
        <v>39949</v>
      </c>
      <c r="BB170">
        <v>0</v>
      </c>
      <c r="BC170">
        <v>0</v>
      </c>
      <c r="BD170">
        <v>0</v>
      </c>
      <c r="BE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8"/>
        <v>0.61101924554669718</v>
      </c>
      <c r="CL170" s="179">
        <f t="shared" si="209"/>
        <v>3</v>
      </c>
      <c r="CM170" s="180">
        <f t="shared" si="210"/>
        <v>39949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0.68794607546850806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0</v>
      </c>
      <c r="DH170" s="161">
        <f t="shared" si="215"/>
        <v>0</v>
      </c>
      <c r="DI170" s="161">
        <f t="shared" si="216"/>
        <v>10.416666666666666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10.416666666666666</v>
      </c>
      <c r="EL170" s="149"/>
      <c r="EN170" s="146"/>
      <c r="EO170" s="146"/>
      <c r="EP170" s="139">
        <f t="shared" si="176"/>
        <v>0</v>
      </c>
      <c r="EQ170" s="139">
        <f t="shared" si="177"/>
        <v>0</v>
      </c>
      <c r="ER170" s="139">
        <f t="shared" si="178"/>
        <v>0</v>
      </c>
      <c r="ES170" s="139">
        <f t="shared" si="179"/>
        <v>7.8146029722299923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7.8146029722299923</v>
      </c>
      <c r="FV170" s="149"/>
      <c r="FY170" s="211">
        <v>165</v>
      </c>
      <c r="FZ170">
        <v>57.017429501362081</v>
      </c>
      <c r="GA170">
        <v>75.868357873731554</v>
      </c>
      <c r="GB170">
        <v>29.113398863719119</v>
      </c>
      <c r="GC170">
        <v>17.059213001150113</v>
      </c>
      <c r="GD170">
        <v>11.413716572399828</v>
      </c>
      <c r="GE170">
        <v>12.611971606376191</v>
      </c>
      <c r="GF170">
        <v>14.860609111963459</v>
      </c>
      <c r="GG170">
        <v>14.523622048858424</v>
      </c>
      <c r="GH170">
        <v>13.255650694949276</v>
      </c>
      <c r="GI170">
        <v>27.76561952388041</v>
      </c>
      <c r="GJ170"/>
      <c r="GK170">
        <v>58.971514043305071</v>
      </c>
      <c r="GL170">
        <v>67.049293501733331</v>
      </c>
      <c r="GM170">
        <v>51.576379616717951</v>
      </c>
      <c r="GN170">
        <v>56.33620457436021</v>
      </c>
      <c r="GO170">
        <v>49.663735882686915</v>
      </c>
      <c r="GP170">
        <v>27.060567471786168</v>
      </c>
      <c r="GQ170">
        <v>20.021960039455934</v>
      </c>
      <c r="GR170">
        <v>21.845367399642932</v>
      </c>
      <c r="GS170">
        <v>14.847745647236984</v>
      </c>
      <c r="GT170">
        <v>39.016267045880568</v>
      </c>
      <c r="GU170"/>
      <c r="GV170"/>
      <c r="GW170"/>
      <c r="GX170"/>
      <c r="GY170"/>
      <c r="GZ170"/>
      <c r="HA170"/>
      <c r="HB170"/>
      <c r="HC170"/>
    </row>
    <row r="171" spans="1:211" s="7" customFormat="1">
      <c r="A171" s="1"/>
      <c r="B171" s="76">
        <f t="shared" ca="1" si="172"/>
        <v>0.39295170597459794</v>
      </c>
      <c r="C171">
        <v>6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49.689102564102555</v>
      </c>
      <c r="AO171">
        <v>36.897386558424998</v>
      </c>
      <c r="AP171">
        <v>14.906893630205568</v>
      </c>
      <c r="AQ171">
        <v>248.12633322249854</v>
      </c>
      <c r="AR171">
        <v>35.508285523887686</v>
      </c>
      <c r="AS171">
        <v>339.3279498059282</v>
      </c>
      <c r="AT171">
        <v>28.781812467768535</v>
      </c>
      <c r="AU171">
        <v>39.309221283212636</v>
      </c>
      <c r="AV171"/>
      <c r="AW171"/>
      <c r="AX171" s="146"/>
      <c r="AY171" s="76">
        <f t="shared" ca="1" si="173"/>
        <v>0.59714777441678946</v>
      </c>
      <c r="AZ171">
        <v>4</v>
      </c>
      <c r="BA171" s="129">
        <f t="shared" si="247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8"/>
        <v>0.96177534009467447</v>
      </c>
      <c r="CL171" s="179">
        <f t="shared" si="209"/>
        <v>4</v>
      </c>
      <c r="CM171" s="180">
        <f t="shared" si="210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0.47299178499565109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1">
        <v>166</v>
      </c>
      <c r="FZ171">
        <v>53.1405592086967</v>
      </c>
      <c r="GA171">
        <v>84.131469481761513</v>
      </c>
      <c r="GB171">
        <v>32.742548446593197</v>
      </c>
      <c r="GC171">
        <v>11.551378389431505</v>
      </c>
      <c r="GD171">
        <v>5.0394704594374158</v>
      </c>
      <c r="GE171">
        <v>8.241440164847825</v>
      </c>
      <c r="GF171">
        <v>22.690770388580521</v>
      </c>
      <c r="GG171">
        <v>17.121343065727416</v>
      </c>
      <c r="GH171">
        <v>10.228655922828594</v>
      </c>
      <c r="GI171">
        <v>25.163318081218467</v>
      </c>
      <c r="GJ171"/>
      <c r="GK171">
        <v>56.752940183924281</v>
      </c>
      <c r="GL171">
        <v>76.688246924482584</v>
      </c>
      <c r="GM171">
        <v>58.005666607507166</v>
      </c>
      <c r="GN171">
        <v>38.098615775554428</v>
      </c>
      <c r="GO171">
        <v>21.871018904199911</v>
      </c>
      <c r="GP171">
        <v>17.683043905110175</v>
      </c>
      <c r="GQ171">
        <v>30.571674051966429</v>
      </c>
      <c r="GR171">
        <v>25.752668885757934</v>
      </c>
      <c r="GS171">
        <v>12.829444757910373</v>
      </c>
      <c r="GT171">
        <v>36.006148901101632</v>
      </c>
      <c r="GU171"/>
      <c r="GV171"/>
      <c r="GW171"/>
      <c r="GX171"/>
      <c r="GY171"/>
      <c r="GZ171"/>
      <c r="HA171"/>
      <c r="HB171"/>
      <c r="HC171"/>
    </row>
    <row r="172" spans="1:211" s="7" customFormat="1">
      <c r="A172" s="1"/>
      <c r="B172" s="76">
        <f t="shared" ca="1" si="172"/>
        <v>0.29286628998009245</v>
      </c>
      <c r="C172">
        <v>7</v>
      </c>
      <c r="D172">
        <v>39949</v>
      </c>
      <c r="E172">
        <v>0</v>
      </c>
      <c r="F172">
        <v>0</v>
      </c>
      <c r="G172">
        <v>0</v>
      </c>
      <c r="H172">
        <v>72.916666666666671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45.950427350427347</v>
      </c>
      <c r="AO172">
        <v>34.237062428942849</v>
      </c>
      <c r="AP172">
        <v>18.934175891963864</v>
      </c>
      <c r="AQ172">
        <v>236.2058760854118</v>
      </c>
      <c r="AR172">
        <v>33.305793828880361</v>
      </c>
      <c r="AS172">
        <v>316.22059075951881</v>
      </c>
      <c r="AT172">
        <v>26.697382978528097</v>
      </c>
      <c r="AU172">
        <v>28.603451618195301</v>
      </c>
      <c r="AV172"/>
      <c r="AW172"/>
      <c r="AX172" s="146"/>
      <c r="AY172" s="76">
        <f t="shared" ca="1" si="173"/>
        <v>0.91924103447795869</v>
      </c>
      <c r="AZ172">
        <v>5</v>
      </c>
      <c r="BA172" s="129">
        <f t="shared" si="247"/>
        <v>39949</v>
      </c>
      <c r="BB172">
        <v>0</v>
      </c>
      <c r="BC172">
        <v>0</v>
      </c>
      <c r="BD172">
        <v>0</v>
      </c>
      <c r="BE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8"/>
        <v>0.48201058975086397</v>
      </c>
      <c r="CL172" s="179">
        <f t="shared" si="209"/>
        <v>5</v>
      </c>
      <c r="CM172" s="180">
        <f t="shared" si="210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0.18693848409546021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10.416666666666666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10.416666666666666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7.8146029722299923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7.8146029722299923</v>
      </c>
      <c r="FV172" s="149"/>
      <c r="FY172" s="211">
        <v>167</v>
      </c>
      <c r="FZ172">
        <v>56.252294818265312</v>
      </c>
      <c r="GA172">
        <v>81.606772627559238</v>
      </c>
      <c r="GB172">
        <v>30.316431874616601</v>
      </c>
      <c r="GC172">
        <v>14.383761679868179</v>
      </c>
      <c r="GD172">
        <v>8.62463764341312</v>
      </c>
      <c r="GE172">
        <v>10.426705885612005</v>
      </c>
      <c r="GF172">
        <v>23.244418155614049</v>
      </c>
      <c r="GG172">
        <v>17.877043725180208</v>
      </c>
      <c r="GH172">
        <v>9.8235722872515403</v>
      </c>
      <c r="GI172">
        <v>27.201565467391234</v>
      </c>
      <c r="GJ172"/>
      <c r="GK172">
        <v>61.778127834485922</v>
      </c>
      <c r="GL172">
        <v>76.793384721111266</v>
      </c>
      <c r="GM172">
        <v>53.707634972780674</v>
      </c>
      <c r="GN172">
        <v>47.484251161806597</v>
      </c>
      <c r="GO172">
        <v>37.508336668236069</v>
      </c>
      <c r="GP172">
        <v>22.37180568844817</v>
      </c>
      <c r="GQ172">
        <v>31.31761342658838</v>
      </c>
      <c r="GR172">
        <v>26.889338408991385</v>
      </c>
      <c r="GS172">
        <v>11.689579385210433</v>
      </c>
      <c r="GT172">
        <v>39.200258457460286</v>
      </c>
      <c r="GU172"/>
      <c r="GV172"/>
      <c r="GW172"/>
      <c r="GX172"/>
      <c r="GY172"/>
      <c r="GZ172"/>
      <c r="HA172"/>
      <c r="HB172"/>
      <c r="HC172"/>
    </row>
    <row r="173" spans="1:211" s="7" customFormat="1">
      <c r="A173" s="1"/>
      <c r="B173" s="76">
        <f t="shared" ca="1" si="172"/>
        <v>0.40886061913228855</v>
      </c>
      <c r="C173">
        <v>8</v>
      </c>
      <c r="D173">
        <v>39949</v>
      </c>
      <c r="E173">
        <v>0</v>
      </c>
      <c r="F173">
        <v>0</v>
      </c>
      <c r="G173">
        <v>0</v>
      </c>
      <c r="H173">
        <v>41.666666666666664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43.968055555555551</v>
      </c>
      <c r="AO173">
        <v>36.280329335393731</v>
      </c>
      <c r="AP173">
        <v>31.130530552927006</v>
      </c>
      <c r="AQ173">
        <v>243.03481300103456</v>
      </c>
      <c r="AR173">
        <v>34.835003446631063</v>
      </c>
      <c r="AS173">
        <v>322.51463736170365</v>
      </c>
      <c r="AT173">
        <v>27.553991288394197</v>
      </c>
      <c r="AU173">
        <v>23.773554692030061</v>
      </c>
      <c r="AV173"/>
      <c r="AW173"/>
      <c r="AX173" s="146"/>
      <c r="AY173" s="76">
        <f t="shared" ca="1" si="173"/>
        <v>6.5828569142628801E-2</v>
      </c>
      <c r="AZ173">
        <v>6</v>
      </c>
      <c r="BA173" s="129">
        <f t="shared" si="247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8"/>
        <v>0.37623085191276945</v>
      </c>
      <c r="CL173" s="179">
        <f t="shared" si="209"/>
        <v>6</v>
      </c>
      <c r="CM173" s="180">
        <f t="shared" si="210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0.33501505870283022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1">
        <v>168</v>
      </c>
      <c r="FZ173">
        <v>48.014765753143458</v>
      </c>
      <c r="GA173">
        <v>82.628250269811133</v>
      </c>
      <c r="GB173">
        <v>33.504469353494933</v>
      </c>
      <c r="GC173">
        <v>15.264438871964195</v>
      </c>
      <c r="GD173">
        <v>8.7887895993419889</v>
      </c>
      <c r="GE173">
        <v>12.583955379186905</v>
      </c>
      <c r="GF173">
        <v>37.191069048982477</v>
      </c>
      <c r="GG173">
        <v>28.551315539950956</v>
      </c>
      <c r="GH173">
        <v>13.31190141750135</v>
      </c>
      <c r="GI173">
        <v>30.180629206492405</v>
      </c>
      <c r="GJ173"/>
      <c r="GK173">
        <v>51.453379361323584</v>
      </c>
      <c r="GL173">
        <v>75.359764419203501</v>
      </c>
      <c r="GM173">
        <v>59.355461666346898</v>
      </c>
      <c r="GN173">
        <v>50.41602947841713</v>
      </c>
      <c r="GO173">
        <v>38.248747298228267</v>
      </c>
      <c r="GP173">
        <v>27.000455141230553</v>
      </c>
      <c r="GQ173">
        <v>50.108181482541411</v>
      </c>
      <c r="GR173">
        <v>42.944795424663916</v>
      </c>
      <c r="GS173">
        <v>15.596880871325428</v>
      </c>
      <c r="GT173">
        <v>42.952530135953111</v>
      </c>
      <c r="GU173"/>
      <c r="GV173"/>
      <c r="GW173"/>
      <c r="GX173"/>
      <c r="GY173"/>
      <c r="GZ173"/>
      <c r="HA173"/>
      <c r="HB173"/>
      <c r="HC173"/>
    </row>
    <row r="174" spans="1:211" s="7" customFormat="1">
      <c r="A174" s="1"/>
      <c r="B174" s="76">
        <f t="shared" ca="1" si="172"/>
        <v>0.71617208585608894</v>
      </c>
      <c r="C174">
        <v>1</v>
      </c>
      <c r="D174">
        <v>39949</v>
      </c>
      <c r="E174">
        <v>0</v>
      </c>
      <c r="F174">
        <v>0</v>
      </c>
      <c r="G174">
        <v>0</v>
      </c>
      <c r="H174">
        <v>10.416666666666666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45.989155982905984</v>
      </c>
      <c r="AO174">
        <v>36.106696468174853</v>
      </c>
      <c r="AP174">
        <v>15.775926522070607</v>
      </c>
      <c r="AQ174">
        <v>248.46137657669806</v>
      </c>
      <c r="AR174">
        <v>33.993521319344836</v>
      </c>
      <c r="AS174">
        <v>320.88553355882937</v>
      </c>
      <c r="AT174">
        <v>27.159454878016206</v>
      </c>
      <c r="AU174">
        <v>0.62129679281321515</v>
      </c>
      <c r="AV174"/>
      <c r="AW174"/>
      <c r="AX174" s="146"/>
      <c r="AY174" s="76">
        <f t="shared" ca="1" si="173"/>
        <v>0.49040608725460277</v>
      </c>
      <c r="AZ174">
        <v>7</v>
      </c>
      <c r="BA174" s="129">
        <f t="shared" si="247"/>
        <v>39949</v>
      </c>
      <c r="BB174">
        <v>0</v>
      </c>
      <c r="BC174">
        <v>0</v>
      </c>
      <c r="BD174">
        <v>0</v>
      </c>
      <c r="BE174">
        <v>7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8"/>
        <v>0.68448415051809719</v>
      </c>
      <c r="CL174" s="179">
        <f t="shared" si="209"/>
        <v>7</v>
      </c>
      <c r="CM174" s="180">
        <f t="shared" si="210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0.88115845111663949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72.916666666666671</v>
      </c>
      <c r="DJ174" s="161">
        <f t="shared" si="217"/>
        <v>0</v>
      </c>
      <c r="DK174" s="161">
        <f t="shared" si="218"/>
        <v>0</v>
      </c>
      <c r="DL174" s="161">
        <f t="shared" si="219"/>
        <v>0</v>
      </c>
      <c r="DM174" s="161">
        <f t="shared" si="220"/>
        <v>0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72.916666666666671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54.702220805609954</v>
      </c>
      <c r="ET174" s="139">
        <f t="shared" si="180"/>
        <v>0</v>
      </c>
      <c r="EU174" s="139">
        <f t="shared" si="181"/>
        <v>0</v>
      </c>
      <c r="EV174" s="139">
        <f t="shared" si="182"/>
        <v>0</v>
      </c>
      <c r="EW174" s="139">
        <f t="shared" si="183"/>
        <v>0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54.702220805609954</v>
      </c>
      <c r="FV174" s="149"/>
      <c r="FY174" s="211">
        <v>169</v>
      </c>
      <c r="FZ174">
        <v>34.285339733596992</v>
      </c>
      <c r="GA174">
        <v>68.5291111330326</v>
      </c>
      <c r="GB174">
        <v>33.494444078404129</v>
      </c>
      <c r="GC174">
        <v>15.238630953169311</v>
      </c>
      <c r="GD174">
        <v>10.493409688740117</v>
      </c>
      <c r="GE174">
        <v>14.433026373679674</v>
      </c>
      <c r="GF174">
        <v>28.78089582594934</v>
      </c>
      <c r="GG174">
        <v>21.017924591030887</v>
      </c>
      <c r="GH174">
        <v>11.623987574928517</v>
      </c>
      <c r="GI174">
        <v>27.402813744021294</v>
      </c>
      <c r="GJ174"/>
      <c r="GK174">
        <v>35.452709115464721</v>
      </c>
      <c r="GL174">
        <v>60.563173034782459</v>
      </c>
      <c r="GM174">
        <v>59.337701205046386</v>
      </c>
      <c r="GN174">
        <v>50.315429522585191</v>
      </c>
      <c r="GO174">
        <v>45.649892957870946</v>
      </c>
      <c r="GP174">
        <v>30.96786895790116</v>
      </c>
      <c r="GQ174">
        <v>38.777007172807913</v>
      </c>
      <c r="GR174">
        <v>31.613621114930417</v>
      </c>
      <c r="GS174">
        <v>14.39236535235637</v>
      </c>
      <c r="GT174">
        <v>38.721935160709265</v>
      </c>
      <c r="GU174"/>
      <c r="GV174"/>
      <c r="GW174"/>
      <c r="GX174"/>
      <c r="GY174"/>
      <c r="GZ174"/>
      <c r="HA174"/>
      <c r="HB174"/>
      <c r="HC174"/>
    </row>
    <row r="175" spans="1:211" s="7" customFormat="1">
      <c r="A175" s="1"/>
      <c r="B175" s="76">
        <f t="shared" ca="1" si="172"/>
        <v>0.39738352075376415</v>
      </c>
      <c r="C175">
        <v>2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58.822889957264955</v>
      </c>
      <c r="AO175">
        <v>50.418438217297179</v>
      </c>
      <c r="AP175">
        <v>64.210154556141902</v>
      </c>
      <c r="AQ175">
        <v>332.36590143397603</v>
      </c>
      <c r="AR175">
        <v>47.610989963958822</v>
      </c>
      <c r="AS175">
        <v>444.05156646673652</v>
      </c>
      <c r="AT175">
        <v>36.980324045229381</v>
      </c>
      <c r="AU175">
        <v>9.5963151157792694</v>
      </c>
      <c r="AV175"/>
      <c r="AW175"/>
      <c r="AX175" s="146"/>
      <c r="AY175" s="76">
        <f t="shared" ca="1" si="173"/>
        <v>0.56968599774178053</v>
      </c>
      <c r="AZ175">
        <v>8</v>
      </c>
      <c r="BA175" s="129">
        <f t="shared" si="247"/>
        <v>39949</v>
      </c>
      <c r="BB175">
        <v>0</v>
      </c>
      <c r="BC175">
        <v>0</v>
      </c>
      <c r="BD175">
        <v>0</v>
      </c>
      <c r="BE175">
        <v>4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8"/>
        <v>0.27653183933302206</v>
      </c>
      <c r="CL175" s="179">
        <f t="shared" si="209"/>
        <v>8</v>
      </c>
      <c r="CM175" s="180">
        <f t="shared" si="210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5.1639470018963074E-2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41.666666666666664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0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41.666666666666664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31.258411888919969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0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31.258411888919969</v>
      </c>
      <c r="FV175" s="149"/>
      <c r="FY175" s="211">
        <v>170</v>
      </c>
      <c r="FZ175">
        <v>38.690087261509198</v>
      </c>
      <c r="GA175">
        <v>62.025304600138107</v>
      </c>
      <c r="GB175">
        <v>35.369170520386035</v>
      </c>
      <c r="GC175">
        <v>20.610517753783384</v>
      </c>
      <c r="GD175">
        <v>11.74203234870358</v>
      </c>
      <c r="GE175">
        <v>12.065655176185144</v>
      </c>
      <c r="GF175">
        <v>23.244418155614053</v>
      </c>
      <c r="GG175">
        <v>15.279322708311222</v>
      </c>
      <c r="GH175">
        <v>9.7673215646994649</v>
      </c>
      <c r="GI175">
        <v>27.846335077443737</v>
      </c>
      <c r="GJ175"/>
      <c r="GK175">
        <v>41.809529289877389</v>
      </c>
      <c r="GL175">
        <v>57.151739493907613</v>
      </c>
      <c r="GM175">
        <v>62.658907468244117</v>
      </c>
      <c r="GN175">
        <v>68.061762868805104</v>
      </c>
      <c r="GO175">
        <v>51.088226622828621</v>
      </c>
      <c r="GP175">
        <v>25.888377025951669</v>
      </c>
      <c r="GQ175">
        <v>31.317613426588384</v>
      </c>
      <c r="GR175">
        <v>22.982036922876386</v>
      </c>
      <c r="GS175">
        <v>10.940444161121988</v>
      </c>
      <c r="GT175">
        <v>39.5629441937321</v>
      </c>
      <c r="GU175"/>
      <c r="GV175"/>
      <c r="GW175"/>
      <c r="GX175"/>
      <c r="GY175"/>
      <c r="GZ175"/>
      <c r="HA175"/>
      <c r="HB175"/>
      <c r="HC175"/>
    </row>
    <row r="176" spans="1:211" s="7" customFormat="1">
      <c r="A176" s="1"/>
      <c r="B176" s="76">
        <f t="shared" ca="1" si="172"/>
        <v>0.87814101625282959</v>
      </c>
      <c r="C176">
        <v>9</v>
      </c>
      <c r="D176">
        <v>39949</v>
      </c>
      <c r="E176">
        <v>0</v>
      </c>
      <c r="F176">
        <v>0</v>
      </c>
      <c r="G176">
        <v>0</v>
      </c>
      <c r="H176">
        <v>20.833333333333332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40.781570512820515</v>
      </c>
      <c r="AO176">
        <v>30.271453525895271</v>
      </c>
      <c r="AP176">
        <v>3.8797913805951154</v>
      </c>
      <c r="AQ176">
        <v>209.40364355169137</v>
      </c>
      <c r="AR176">
        <v>28.946138003147194</v>
      </c>
      <c r="AS176">
        <v>277.7266639758526</v>
      </c>
      <c r="AT176">
        <v>23.783948705246956</v>
      </c>
      <c r="AU176">
        <v>21.628075917606154</v>
      </c>
      <c r="AV176"/>
      <c r="AW176"/>
      <c r="AX176" s="146"/>
      <c r="AY176" s="76">
        <f t="shared" ca="1" si="173"/>
        <v>0.50612227490312289</v>
      </c>
      <c r="AZ176">
        <v>9</v>
      </c>
      <c r="BA176" s="129">
        <f t="shared" si="247"/>
        <v>39949</v>
      </c>
      <c r="BB176">
        <v>0</v>
      </c>
      <c r="BC176">
        <v>0</v>
      </c>
      <c r="BD176">
        <v>0</v>
      </c>
      <c r="BE176">
        <v>2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8"/>
        <v>0.64071938196840184</v>
      </c>
      <c r="CL176" s="179">
        <f t="shared" si="209"/>
        <v>9</v>
      </c>
      <c r="CM176" s="180">
        <f t="shared" si="210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0.71708650339573676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20.833333333333332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20.833333333333332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15.629205944459985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15.629205944459985</v>
      </c>
      <c r="FV176" s="149"/>
      <c r="FY176" s="211">
        <v>171</v>
      </c>
      <c r="FZ176">
        <v>55.670700486796463</v>
      </c>
      <c r="GA176">
        <v>79.435774411462958</v>
      </c>
      <c r="GB176">
        <v>27.42915264846264</v>
      </c>
      <c r="GC176">
        <v>15.714755537027562</v>
      </c>
      <c r="GD176">
        <v>8.1228548808015386</v>
      </c>
      <c r="GE176">
        <v>7.5877281970978538</v>
      </c>
      <c r="GF176">
        <v>32.621277956007312</v>
      </c>
      <c r="GG176">
        <v>28.527699894343058</v>
      </c>
      <c r="GH176">
        <v>13.953316520999239</v>
      </c>
      <c r="GI176">
        <v>28.462580413986291</v>
      </c>
      <c r="GJ176"/>
      <c r="GK176">
        <v>62.977310047226787</v>
      </c>
      <c r="GL176">
        <v>77.21110663662914</v>
      </c>
      <c r="GM176">
        <v>48.592622118230132</v>
      </c>
      <c r="GN176">
        <v>51.903354263225012</v>
      </c>
      <c r="GO176">
        <v>35.350604331137845</v>
      </c>
      <c r="GP176">
        <v>16.280422858812482</v>
      </c>
      <c r="GQ176">
        <v>43.95122156502687</v>
      </c>
      <c r="GR176">
        <v>42.909274502062871</v>
      </c>
      <c r="GS176">
        <v>15.629205944459986</v>
      </c>
      <c r="GT176">
        <v>41.300192801216319</v>
      </c>
      <c r="GU176"/>
      <c r="GV176"/>
      <c r="GW176"/>
      <c r="GX176"/>
      <c r="GY176"/>
      <c r="GZ176"/>
      <c r="HA176"/>
      <c r="HB176"/>
      <c r="HC176"/>
    </row>
    <row r="177" spans="1:211" s="7" customFormat="1">
      <c r="A177" s="1"/>
      <c r="B177" s="76">
        <f t="shared" ca="1" si="172"/>
        <v>0.34341741313250917</v>
      </c>
      <c r="C177">
        <v>3</v>
      </c>
      <c r="D177">
        <v>39949</v>
      </c>
      <c r="E177">
        <v>0</v>
      </c>
      <c r="F177">
        <v>0</v>
      </c>
      <c r="G177">
        <v>0</v>
      </c>
      <c r="H177">
        <v>10.416666666666666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47.033066239316234</v>
      </c>
      <c r="AO177">
        <v>36.990315595895694</v>
      </c>
      <c r="AP177">
        <v>23.454561556749525</v>
      </c>
      <c r="AQ177">
        <v>242.1905607198058</v>
      </c>
      <c r="AR177">
        <v>34.953389860224043</v>
      </c>
      <c r="AS177">
        <v>328.26480579446883</v>
      </c>
      <c r="AT177">
        <v>27.978666640381672</v>
      </c>
      <c r="AU177">
        <v>15.479479002600037</v>
      </c>
      <c r="AV177"/>
      <c r="AW177"/>
      <c r="AX177" s="146"/>
      <c r="AY177" s="76">
        <f t="shared" ca="1" si="173"/>
        <v>0.8232298885054945</v>
      </c>
      <c r="AZ177">
        <v>10</v>
      </c>
      <c r="BA177" s="129">
        <f t="shared" si="247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8"/>
        <v>0.63974198529252679</v>
      </c>
      <c r="CL177" s="179">
        <f t="shared" si="209"/>
        <v>10</v>
      </c>
      <c r="CM177" s="180">
        <f t="shared" si="210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0.50458426890099961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1">
        <v>172</v>
      </c>
      <c r="FZ177">
        <v>36.112714561203823</v>
      </c>
      <c r="GA177">
        <v>55.21660581659809</v>
      </c>
      <c r="GB177">
        <v>22.817526106688955</v>
      </c>
      <c r="GC177">
        <v>12.054965454234303</v>
      </c>
      <c r="GD177">
        <v>9.0120182732114777</v>
      </c>
      <c r="GE177">
        <v>14.554430024833243</v>
      </c>
      <c r="GF177">
        <v>37.964418310870585</v>
      </c>
      <c r="GG177">
        <v>25.174278218021271</v>
      </c>
      <c r="GH177">
        <v>10.116154477724448</v>
      </c>
      <c r="GI177">
        <v>25.488085860303812</v>
      </c>
      <c r="GJ177"/>
      <c r="GK177">
        <v>39.149414260747257</v>
      </c>
      <c r="GL177">
        <v>51.13449520529052</v>
      </c>
      <c r="GM177">
        <v>40.422809919989696</v>
      </c>
      <c r="GN177">
        <v>39.792605229349462</v>
      </c>
      <c r="GO177">
        <v>39.194214302454917</v>
      </c>
      <c r="GP177">
        <v>31.228355723642167</v>
      </c>
      <c r="GQ177">
        <v>51.15012854550541</v>
      </c>
      <c r="GR177">
        <v>37.865303492714418</v>
      </c>
      <c r="GS177">
        <v>11.331174309733489</v>
      </c>
      <c r="GT177">
        <v>36.249548267686151</v>
      </c>
      <c r="GU177"/>
      <c r="GV177"/>
      <c r="GW177"/>
      <c r="GX177"/>
      <c r="GY177"/>
      <c r="GZ177"/>
      <c r="HA177"/>
      <c r="HB177"/>
      <c r="HC177"/>
    </row>
    <row r="178" spans="1:211" s="7" customFormat="1">
      <c r="A178" s="128"/>
      <c r="B178" s="76">
        <f t="shared" ca="1" si="172"/>
        <v>0.7219312895299792</v>
      </c>
      <c r="C178">
        <v>6</v>
      </c>
      <c r="D178">
        <v>39987</v>
      </c>
      <c r="E178">
        <v>0</v>
      </c>
      <c r="F178">
        <v>0</v>
      </c>
      <c r="G178">
        <v>0</v>
      </c>
      <c r="H178">
        <v>10.416666666666666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57.352697649572654</v>
      </c>
      <c r="AO178">
        <v>44.415441439510133</v>
      </c>
      <c r="AP178">
        <v>20.725499667807995</v>
      </c>
      <c r="AQ178">
        <v>300.58201212543986</v>
      </c>
      <c r="AR178">
        <v>41.960887258475509</v>
      </c>
      <c r="AS178">
        <v>399.60857627495398</v>
      </c>
      <c r="AT178">
        <v>33.859781140694132</v>
      </c>
      <c r="AU178">
        <v>29.312274789113427</v>
      </c>
      <c r="AV178"/>
      <c r="AW178"/>
      <c r="AX178" s="128"/>
      <c r="AY178" s="76">
        <f t="shared" ca="1" si="173"/>
        <v>8.7236142653996041E-2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8"/>
        <v>0.43899717305621699</v>
      </c>
      <c r="CL178" s="179">
        <f t="shared" si="209"/>
        <v>1</v>
      </c>
      <c r="CM178" s="180">
        <f t="shared" si="210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0.25674492460458254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0</v>
      </c>
      <c r="DH178" s="161">
        <f t="shared" si="215"/>
        <v>0</v>
      </c>
      <c r="DI178" s="161">
        <f t="shared" si="216"/>
        <v>10.416666666666666</v>
      </c>
      <c r="DJ178" s="161">
        <f t="shared" si="217"/>
        <v>0</v>
      </c>
      <c r="DK178" s="161">
        <f t="shared" si="218"/>
        <v>0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10.416666666666666</v>
      </c>
      <c r="EL178" s="149"/>
      <c r="EN178" s="146"/>
      <c r="EO178" s="146"/>
      <c r="EP178" s="139">
        <f t="shared" si="176"/>
        <v>0</v>
      </c>
      <c r="EQ178" s="139">
        <f t="shared" si="177"/>
        <v>0</v>
      </c>
      <c r="ER178" s="139">
        <f t="shared" si="178"/>
        <v>0</v>
      </c>
      <c r="ES178" s="139">
        <f t="shared" si="179"/>
        <v>7.8146029722299923</v>
      </c>
      <c r="ET178" s="139">
        <f t="shared" si="180"/>
        <v>0</v>
      </c>
      <c r="EU178" s="139">
        <f t="shared" si="181"/>
        <v>0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7.8146029722299923</v>
      </c>
      <c r="FV178" s="149"/>
      <c r="FY178" s="211">
        <v>173</v>
      </c>
      <c r="FZ178">
        <v>47.041258644495656</v>
      </c>
      <c r="GA178">
        <v>78.649140591118908</v>
      </c>
      <c r="GB178">
        <v>30.657291227704228</v>
      </c>
      <c r="GC178">
        <v>14.741234288254494</v>
      </c>
      <c r="GD178">
        <v>8.5841791217843948</v>
      </c>
      <c r="GE178">
        <v>12.80808519670118</v>
      </c>
      <c r="GF178">
        <v>31.3382212260566</v>
      </c>
      <c r="GG178">
        <v>18.892516486319902</v>
      </c>
      <c r="GH178">
        <v>9.0696557386495034</v>
      </c>
      <c r="GI178">
        <v>27.3727713914463</v>
      </c>
      <c r="GJ178"/>
      <c r="GK178">
        <v>50.440630993505607</v>
      </c>
      <c r="GL178">
        <v>71.843193081699994</v>
      </c>
      <c r="GM178">
        <v>54.311490656998451</v>
      </c>
      <c r="GN178">
        <v>48.676447057506365</v>
      </c>
      <c r="GO178">
        <v>37.345272747772881</v>
      </c>
      <c r="GP178">
        <v>27.481353785675473</v>
      </c>
      <c r="GQ178">
        <v>42.222536665109324</v>
      </c>
      <c r="GR178">
        <v>28.416738080836332</v>
      </c>
      <c r="GS178">
        <v>10.158983863898989</v>
      </c>
      <c r="GT178">
        <v>38.895782985457053</v>
      </c>
      <c r="GU178"/>
      <c r="GV178"/>
      <c r="GW178"/>
      <c r="GX178"/>
      <c r="GY178"/>
      <c r="GZ178"/>
      <c r="HA178"/>
      <c r="HB178"/>
      <c r="HC178"/>
    </row>
    <row r="179" spans="1:211" s="7" customFormat="1">
      <c r="A179" s="1"/>
      <c r="B179" s="76">
        <f t="shared" ca="1" si="172"/>
        <v>0.978303009343092</v>
      </c>
      <c r="C179">
        <v>1</v>
      </c>
      <c r="D179">
        <v>39987</v>
      </c>
      <c r="E179">
        <v>0</v>
      </c>
      <c r="F179">
        <v>0</v>
      </c>
      <c r="G179">
        <v>0</v>
      </c>
      <c r="H179">
        <v>10.416666666666666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53.127270299145309</v>
      </c>
      <c r="AO179">
        <v>39.700088721079453</v>
      </c>
      <c r="AP179">
        <v>18.291351552255733</v>
      </c>
      <c r="AQ179">
        <v>261.04354877066436</v>
      </c>
      <c r="AR179">
        <v>37.881451218574888</v>
      </c>
      <c r="AS179">
        <v>363.3346424520343</v>
      </c>
      <c r="AT179">
        <v>30.590482155880451</v>
      </c>
      <c r="AU179">
        <v>28.569761631516414</v>
      </c>
      <c r="AV179"/>
      <c r="AW179"/>
      <c r="AX179" s="146"/>
      <c r="AY179" s="76">
        <f t="shared" ca="1" si="173"/>
        <v>0.26661483045490342</v>
      </c>
      <c r="AZ179">
        <v>2</v>
      </c>
      <c r="BA179" s="129">
        <f t="shared" ref="BA179:BA187" si="249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8"/>
        <v>9.0973262466879312E-2</v>
      </c>
      <c r="CL179" s="179">
        <f t="shared" si="209"/>
        <v>2</v>
      </c>
      <c r="CM179" s="180">
        <f t="shared" si="210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0.31144505834402914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0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0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0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0</v>
      </c>
      <c r="FV179" s="149"/>
      <c r="FY179" s="211">
        <v>174</v>
      </c>
      <c r="FZ179">
        <v>50.63824854043213</v>
      </c>
      <c r="GA179">
        <v>84.17108775382755</v>
      </c>
      <c r="GB179">
        <v>33.955606732581494</v>
      </c>
      <c r="GC179">
        <v>16.882651350440394</v>
      </c>
      <c r="GD179">
        <v>11.352977464427436</v>
      </c>
      <c r="GE179">
        <v>11.052401626172692</v>
      </c>
      <c r="GF179">
        <v>28.974233141421372</v>
      </c>
      <c r="GG179">
        <v>27.512227133203361</v>
      </c>
      <c r="GH179">
        <v>11.860319042849351</v>
      </c>
      <c r="GI179">
        <v>30.38708281537679</v>
      </c>
      <c r="GJ179"/>
      <c r="GK179">
        <v>55.966583238004361</v>
      </c>
      <c r="GL179">
        <v>79.059619583057952</v>
      </c>
      <c r="GM179">
        <v>60.154682424870423</v>
      </c>
      <c r="GN179">
        <v>55.749209223106838</v>
      </c>
      <c r="GO179">
        <v>49.395062645512134</v>
      </c>
      <c r="GP179">
        <v>23.714314404190247</v>
      </c>
      <c r="GQ179">
        <v>39.03749393854892</v>
      </c>
      <c r="GR179">
        <v>41.381874830217917</v>
      </c>
      <c r="GS179">
        <v>13.284825052790985</v>
      </c>
      <c r="GT179">
        <v>43.567729459945369</v>
      </c>
      <c r="GU179"/>
      <c r="GV179"/>
      <c r="GW179"/>
      <c r="GX179"/>
      <c r="GY179"/>
      <c r="GZ179"/>
      <c r="HA179"/>
      <c r="HB179"/>
      <c r="HC179"/>
    </row>
    <row r="180" spans="1:211" s="7" customFormat="1">
      <c r="A180" s="1"/>
      <c r="B180" s="76">
        <f t="shared" ca="1" si="172"/>
        <v>0.88567907024510362</v>
      </c>
      <c r="C180">
        <v>7</v>
      </c>
      <c r="D180">
        <v>39987</v>
      </c>
      <c r="E180">
        <v>0</v>
      </c>
      <c r="F180">
        <v>0</v>
      </c>
      <c r="G180">
        <v>0</v>
      </c>
      <c r="H180">
        <v>31.25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50.048183760683756</v>
      </c>
      <c r="AO180">
        <v>36.864442522095842</v>
      </c>
      <c r="AP180">
        <v>13.970061361014704</v>
      </c>
      <c r="AQ180">
        <v>248.51106626009616</v>
      </c>
      <c r="AR180">
        <v>35.010072648406926</v>
      </c>
      <c r="AS180">
        <v>348.2950770125841</v>
      </c>
      <c r="AT180">
        <v>28.516287876552898</v>
      </c>
      <c r="AU180">
        <v>33.481943306100817</v>
      </c>
      <c r="AV180"/>
      <c r="AW180"/>
      <c r="AX180" s="146"/>
      <c r="AY180" s="76">
        <f t="shared" ca="1" si="173"/>
        <v>0.62104706255624631</v>
      </c>
      <c r="AZ180">
        <v>3</v>
      </c>
      <c r="BA180" s="129">
        <f t="shared" si="249"/>
        <v>39987</v>
      </c>
      <c r="BB180">
        <v>0</v>
      </c>
      <c r="BC180">
        <v>0</v>
      </c>
      <c r="BD180">
        <v>0</v>
      </c>
      <c r="BE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8"/>
        <v>0.59947312431896282</v>
      </c>
      <c r="CL180" s="179">
        <f t="shared" si="209"/>
        <v>3</v>
      </c>
      <c r="CM180" s="180">
        <f t="shared" si="210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0.65151184353932479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0</v>
      </c>
      <c r="DH180" s="161">
        <f t="shared" si="215"/>
        <v>0</v>
      </c>
      <c r="DI180" s="161">
        <f t="shared" si="216"/>
        <v>10.416666666666666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10.416666666666666</v>
      </c>
      <c r="EL180" s="149"/>
      <c r="EN180" s="146"/>
      <c r="EO180" s="146"/>
      <c r="EP180" s="139">
        <f t="shared" si="176"/>
        <v>0</v>
      </c>
      <c r="EQ180" s="139">
        <f t="shared" si="177"/>
        <v>0</v>
      </c>
      <c r="ER180" s="139">
        <f t="shared" si="178"/>
        <v>0</v>
      </c>
      <c r="ES180" s="139">
        <f t="shared" si="179"/>
        <v>7.8146029722299923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7.8146029722299923</v>
      </c>
      <c r="FV180" s="149"/>
      <c r="FY180" s="211">
        <v>175</v>
      </c>
      <c r="FZ180">
        <v>52.829705535382715</v>
      </c>
      <c r="GA180">
        <v>82.186126972178641</v>
      </c>
      <c r="GB180">
        <v>35.399246345658469</v>
      </c>
      <c r="GC180">
        <v>13.616057005078163</v>
      </c>
      <c r="GD180">
        <v>6.6909684878722873</v>
      </c>
      <c r="GE180">
        <v>11.458636920417316</v>
      </c>
      <c r="GF180">
        <v>31.320645106468234</v>
      </c>
      <c r="GG180">
        <v>19.742679728204301</v>
      </c>
      <c r="GH180">
        <v>5.9864102439767484</v>
      </c>
      <c r="GI180">
        <v>27.772570883967671</v>
      </c>
      <c r="GJ180"/>
      <c r="GK180">
        <v>56.43720604646316</v>
      </c>
      <c r="GL180">
        <v>74.96903427059199</v>
      </c>
      <c r="GM180">
        <v>62.712188852145687</v>
      </c>
      <c r="GN180">
        <v>44.956324174263358</v>
      </c>
      <c r="GO180">
        <v>29.101696990219814</v>
      </c>
      <c r="GP180">
        <v>24.585943197246667</v>
      </c>
      <c r="GQ180">
        <v>42.198856050041968</v>
      </c>
      <c r="GR180">
        <v>29.695491294473975</v>
      </c>
      <c r="GS180">
        <v>7.3915477504839346</v>
      </c>
      <c r="GT180">
        <v>39.568299137870916</v>
      </c>
      <c r="GU180"/>
      <c r="GV180"/>
      <c r="GW180"/>
      <c r="GX180"/>
      <c r="GY180"/>
      <c r="GZ180"/>
      <c r="HA180"/>
      <c r="HB180"/>
      <c r="HC180"/>
    </row>
    <row r="181" spans="1:211" s="7" customFormat="1">
      <c r="A181" s="1"/>
      <c r="B181" s="76">
        <f t="shared" ca="1" si="172"/>
        <v>0.44307789892319449</v>
      </c>
      <c r="C181">
        <v>3</v>
      </c>
      <c r="D181">
        <v>39987</v>
      </c>
      <c r="E181">
        <v>0</v>
      </c>
      <c r="F181">
        <v>0</v>
      </c>
      <c r="G181">
        <v>0</v>
      </c>
      <c r="H181">
        <v>10.416666666666666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54.610683760683763</v>
      </c>
      <c r="AO181">
        <v>40.638903522280614</v>
      </c>
      <c r="AP181">
        <v>5.1484896370982351</v>
      </c>
      <c r="AQ181">
        <v>273.48958879839046</v>
      </c>
      <c r="AR181">
        <v>39.01626704588061</v>
      </c>
      <c r="AS181">
        <v>376.31274855237166</v>
      </c>
      <c r="AT181">
        <v>32.105397159902928</v>
      </c>
      <c r="AU181">
        <v>42.384283239647843</v>
      </c>
      <c r="AV181"/>
      <c r="AW181"/>
      <c r="AX181" s="146"/>
      <c r="AY181" s="76">
        <f t="shared" ca="1" si="173"/>
        <v>0.3840493799283502</v>
      </c>
      <c r="AZ181">
        <v>4</v>
      </c>
      <c r="BA181" s="129">
        <f t="shared" si="249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8"/>
        <v>0.75053453955927041</v>
      </c>
      <c r="CL181" s="179">
        <f t="shared" si="209"/>
        <v>4</v>
      </c>
      <c r="CM181" s="180">
        <f t="shared" si="210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5.0423790157035242E-2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0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0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0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0</v>
      </c>
      <c r="FV181" s="149"/>
      <c r="FY181" s="211">
        <v>176</v>
      </c>
      <c r="FZ181">
        <v>55.064762683596776</v>
      </c>
      <c r="GA181">
        <v>71.447124897406894</v>
      </c>
      <c r="GB181">
        <v>24.251140444675116</v>
      </c>
      <c r="GC181">
        <v>12.210782219307857</v>
      </c>
      <c r="GD181">
        <v>8.090645231303629</v>
      </c>
      <c r="GE181">
        <v>12.597963492781549</v>
      </c>
      <c r="GF181">
        <v>30.810937638405619</v>
      </c>
      <c r="GG181">
        <v>21.277696692717793</v>
      </c>
      <c r="GH181">
        <v>9.8235722872515403</v>
      </c>
      <c r="GI181">
        <v>26.724734090928671</v>
      </c>
      <c r="GJ181"/>
      <c r="GK181">
        <v>56.954086469040959</v>
      </c>
      <c r="GL181">
        <v>63.141992015618357</v>
      </c>
      <c r="GM181">
        <v>42.962555885964434</v>
      </c>
      <c r="GN181">
        <v>40.314923621060089</v>
      </c>
      <c r="GO181">
        <v>35.193079819855505</v>
      </c>
      <c r="GP181">
        <v>27.030511306508362</v>
      </c>
      <c r="GQ181">
        <v>41.512118213088421</v>
      </c>
      <c r="GR181">
        <v>32.004351263541928</v>
      </c>
      <c r="GS181">
        <v>11.689579385210433</v>
      </c>
      <c r="GT181">
        <v>37.662283954631945</v>
      </c>
      <c r="GU181"/>
      <c r="GV181"/>
      <c r="GW181"/>
      <c r="GX181"/>
      <c r="GY181"/>
      <c r="GZ181"/>
      <c r="HA181"/>
      <c r="HB181"/>
      <c r="HC181"/>
    </row>
    <row r="182" spans="1:211" s="7" customFormat="1">
      <c r="A182" s="1"/>
      <c r="B182" s="76">
        <f t="shared" ca="1" si="172"/>
        <v>5.6550592223527207E-2</v>
      </c>
      <c r="C182">
        <v>4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49.181463675213678</v>
      </c>
      <c r="AO182">
        <v>37.425946889751501</v>
      </c>
      <c r="AP182">
        <v>41.667564959455802</v>
      </c>
      <c r="AQ182">
        <v>270.05095360912316</v>
      </c>
      <c r="AR182">
        <v>36.00614890110166</v>
      </c>
      <c r="AS182">
        <v>344.71562954486473</v>
      </c>
      <c r="AT182">
        <v>27.767891156653665</v>
      </c>
      <c r="AU182">
        <v>30.951897974916786</v>
      </c>
      <c r="AV182"/>
      <c r="AW182"/>
      <c r="AX182" s="146"/>
      <c r="AY182" s="76">
        <f t="shared" ca="1" si="173"/>
        <v>0.80759599837262974</v>
      </c>
      <c r="AZ182">
        <v>5</v>
      </c>
      <c r="BA182" s="129">
        <f t="shared" si="249"/>
        <v>39987</v>
      </c>
      <c r="BB182">
        <v>0</v>
      </c>
      <c r="BC182">
        <v>0</v>
      </c>
      <c r="BD182">
        <v>0</v>
      </c>
      <c r="BE182">
        <v>5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8"/>
        <v>0.39754667667219312</v>
      </c>
      <c r="CL182" s="179">
        <f t="shared" si="209"/>
        <v>5</v>
      </c>
      <c r="CM182" s="180">
        <f t="shared" si="210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0.13281062187691539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0</v>
      </c>
      <c r="DI182" s="161">
        <f t="shared" si="216"/>
        <v>52.083333333333336</v>
      </c>
      <c r="DJ182" s="161">
        <f t="shared" si="217"/>
        <v>0</v>
      </c>
      <c r="DK182" s="161">
        <f t="shared" si="218"/>
        <v>0</v>
      </c>
      <c r="DL182" s="161">
        <f t="shared" si="219"/>
        <v>0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52.083333333333336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0</v>
      </c>
      <c r="ES182" s="139">
        <f t="shared" si="179"/>
        <v>39.073014861149964</v>
      </c>
      <c r="ET182" s="139">
        <f t="shared" si="180"/>
        <v>0</v>
      </c>
      <c r="EU182" s="139">
        <f t="shared" si="181"/>
        <v>0</v>
      </c>
      <c r="EV182" s="139">
        <f t="shared" si="182"/>
        <v>0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39.073014861149964</v>
      </c>
      <c r="FV182" s="149"/>
      <c r="FY182" s="211">
        <v>177</v>
      </c>
      <c r="FZ182">
        <v>38.629184835482114</v>
      </c>
      <c r="GA182">
        <v>75.9964008053241</v>
      </c>
      <c r="GB182">
        <v>31.850298963510902</v>
      </c>
      <c r="GC182">
        <v>15.530259694693394</v>
      </c>
      <c r="GD182">
        <v>10.852004195101722</v>
      </c>
      <c r="GE182">
        <v>11.533346859588743</v>
      </c>
      <c r="GF182">
        <v>20.950734549332285</v>
      </c>
      <c r="GG182">
        <v>14.52362204885843</v>
      </c>
      <c r="GH182">
        <v>14.009567243551309</v>
      </c>
      <c r="GI182">
        <v>26.655719371829658</v>
      </c>
      <c r="GJ182"/>
      <c r="GK182">
        <v>41.75697163861453</v>
      </c>
      <c r="GL182">
        <v>69.498812190031003</v>
      </c>
      <c r="GM182">
        <v>56.424985551760656</v>
      </c>
      <c r="GN182">
        <v>51.286313411244926</v>
      </c>
      <c r="GO182">
        <v>47.21916777342522</v>
      </c>
      <c r="GP182">
        <v>24.74624274539498</v>
      </c>
      <c r="GQ182">
        <v>28.227293160297432</v>
      </c>
      <c r="GR182">
        <v>21.845367399642939</v>
      </c>
      <c r="GS182">
        <v>16.378341168548427</v>
      </c>
      <c r="GT182">
        <v>38.00135185852924</v>
      </c>
      <c r="GU182"/>
      <c r="GV182"/>
      <c r="GW182"/>
      <c r="GX182"/>
      <c r="GY182"/>
      <c r="GZ182"/>
      <c r="HA182"/>
      <c r="HB182"/>
      <c r="HC182"/>
    </row>
    <row r="183" spans="1:211" s="7" customFormat="1">
      <c r="A183" s="1"/>
      <c r="B183" s="76">
        <f t="shared" ca="1" si="172"/>
        <v>0.57412121633239099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50.702403846153842</v>
      </c>
      <c r="AO183">
        <v>40.874033072511914</v>
      </c>
      <c r="AP183">
        <v>42.595834885451737</v>
      </c>
      <c r="AQ183">
        <v>279.75720416477151</v>
      </c>
      <c r="AR183">
        <v>39.200258457460322</v>
      </c>
      <c r="AS183">
        <v>355.94023183468283</v>
      </c>
      <c r="AT183">
        <v>30.305327567124081</v>
      </c>
      <c r="AU183">
        <v>35.04276285330306</v>
      </c>
      <c r="AV183"/>
      <c r="AW183"/>
      <c r="AX183" s="146"/>
      <c r="AY183" s="76">
        <f t="shared" ca="1" si="173"/>
        <v>0.2885979638559939</v>
      </c>
      <c r="AZ183">
        <v>6</v>
      </c>
      <c r="BA183" s="129">
        <f t="shared" si="249"/>
        <v>39987</v>
      </c>
      <c r="BB183">
        <v>0</v>
      </c>
      <c r="BC183">
        <v>0</v>
      </c>
      <c r="BD183">
        <v>0</v>
      </c>
      <c r="BE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8"/>
        <v>0.49664855796581797</v>
      </c>
      <c r="CL183" s="179">
        <f t="shared" si="209"/>
        <v>6</v>
      </c>
      <c r="CM183" s="180">
        <f t="shared" si="210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0.35500427439908955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0</v>
      </c>
      <c r="DI183" s="161">
        <f t="shared" si="216"/>
        <v>10.416666666666666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10.416666666666666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0</v>
      </c>
      <c r="ES183" s="139">
        <f t="shared" si="179"/>
        <v>7.8146029722299923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7.8146029722299923</v>
      </c>
      <c r="FV183" s="149"/>
      <c r="FY183" s="211">
        <v>178</v>
      </c>
      <c r="FZ183">
        <v>52.248111203913865</v>
      </c>
      <c r="GA183">
        <v>89.299718006364202</v>
      </c>
      <c r="GB183">
        <v>31.318959383697841</v>
      </c>
      <c r="GC183">
        <v>10.35201952435402</v>
      </c>
      <c r="GD183">
        <v>7.7601892537500863</v>
      </c>
      <c r="GE183">
        <v>13.46179716445115</v>
      </c>
      <c r="GF183">
        <v>24.624143543300782</v>
      </c>
      <c r="GG183">
        <v>16.861570964040517</v>
      </c>
      <c r="GH183">
        <v>10.5212381133015</v>
      </c>
      <c r="GI183">
        <v>26.706069740309125</v>
      </c>
      <c r="GJ183"/>
      <c r="GK183">
        <v>57.636388259204026</v>
      </c>
      <c r="GL183">
        <v>83.592089306951351</v>
      </c>
      <c r="GM183">
        <v>55.483681102832954</v>
      </c>
      <c r="GN183">
        <v>34.175724164846073</v>
      </c>
      <c r="GO183">
        <v>33.754937850956765</v>
      </c>
      <c r="GP183">
        <v>28.88397483197317</v>
      </c>
      <c r="GQ183">
        <v>33.17654170937643</v>
      </c>
      <c r="GR183">
        <v>25.361938737146435</v>
      </c>
      <c r="GS183">
        <v>12.471039682433428</v>
      </c>
      <c r="GT183">
        <v>38.504517720960713</v>
      </c>
      <c r="GU183"/>
      <c r="GV183"/>
      <c r="GW183"/>
      <c r="GX183"/>
      <c r="GY183"/>
      <c r="GZ183"/>
      <c r="HA183"/>
      <c r="HB183"/>
      <c r="HC183"/>
    </row>
    <row r="184" spans="1:211" s="7" customFormat="1">
      <c r="A184" s="1"/>
      <c r="B184" s="76">
        <f t="shared" ref="B184:B207" ca="1" si="250">IF(C184="", "", RAND())</f>
        <v>1.3821467256019737E-2</v>
      </c>
      <c r="C184">
        <v>8</v>
      </c>
      <c r="D184">
        <v>39987</v>
      </c>
      <c r="E184">
        <v>0</v>
      </c>
      <c r="F184">
        <v>0</v>
      </c>
      <c r="G184">
        <v>0</v>
      </c>
      <c r="H184">
        <v>10.416666666666666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58.454807692307689</v>
      </c>
      <c r="AO184">
        <v>45.34362252792338</v>
      </c>
      <c r="AP184">
        <v>29.661442017729655</v>
      </c>
      <c r="AQ184">
        <v>310.01958443986979</v>
      </c>
      <c r="AR184">
        <v>42.95253013595314</v>
      </c>
      <c r="AS184">
        <v>413.88133113267008</v>
      </c>
      <c r="AT184">
        <v>34.42637040923865</v>
      </c>
      <c r="AU184">
        <v>29.751675751956469</v>
      </c>
      <c r="AV184"/>
      <c r="AW184"/>
      <c r="AX184" s="146"/>
      <c r="AY184" s="76">
        <f t="shared" ca="1" si="173"/>
        <v>0.48283945763258851</v>
      </c>
      <c r="AZ184">
        <v>7</v>
      </c>
      <c r="BA184" s="129">
        <f t="shared" si="249"/>
        <v>39987</v>
      </c>
      <c r="BB184">
        <v>0</v>
      </c>
      <c r="BC184">
        <v>0</v>
      </c>
      <c r="BD184">
        <v>0</v>
      </c>
      <c r="BE184">
        <v>3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8"/>
        <v>0.33954370122673705</v>
      </c>
      <c r="CL184" s="179">
        <f t="shared" si="209"/>
        <v>7</v>
      </c>
      <c r="CM184" s="180">
        <f t="shared" si="210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0.51695380433976013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31.25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31.25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23.443808916689978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23.443808916689978</v>
      </c>
      <c r="FV184" s="149"/>
      <c r="FY184" s="211">
        <v>179</v>
      </c>
      <c r="FZ184">
        <v>41.936254599810354</v>
      </c>
      <c r="GA184">
        <v>67.202741240135182</v>
      </c>
      <c r="GB184">
        <v>33.303963851678695</v>
      </c>
      <c r="GC184">
        <v>17.679335188145462</v>
      </c>
      <c r="GD184">
        <v>9.3634300656904053</v>
      </c>
      <c r="GE184">
        <v>11.62673428355302</v>
      </c>
      <c r="GF184">
        <v>29.264239114629408</v>
      </c>
      <c r="GG184">
        <v>21.537468794404692</v>
      </c>
      <c r="GH184">
        <v>8.3719899125995418</v>
      </c>
      <c r="GI184">
        <v>27.316263431030801</v>
      </c>
      <c r="GJ184"/>
      <c r="GK184">
        <v>43.362977334504635</v>
      </c>
      <c r="GL184">
        <v>59.390982588947949</v>
      </c>
      <c r="GM184">
        <v>59.000252440336453</v>
      </c>
      <c r="GN184">
        <v>58.388210284684909</v>
      </c>
      <c r="GO184">
        <v>40.745241266611799</v>
      </c>
      <c r="GP184">
        <v>24.946617180580358</v>
      </c>
      <c r="GQ184">
        <v>39.428224087160416</v>
      </c>
      <c r="GR184">
        <v>32.395081412153424</v>
      </c>
      <c r="GS184">
        <v>9.3775235666759897</v>
      </c>
      <c r="GT184">
        <v>38.382843739057854</v>
      </c>
      <c r="GU184"/>
      <c r="GV184"/>
      <c r="GW184"/>
      <c r="GX184"/>
      <c r="GY184"/>
      <c r="GZ184"/>
      <c r="HA184"/>
      <c r="HB184"/>
      <c r="HC184"/>
    </row>
    <row r="185" spans="1:211" s="7" customFormat="1">
      <c r="A185" s="1"/>
      <c r="B185" s="76">
        <f t="shared" ca="1" si="250"/>
        <v>0.79519409078692482</v>
      </c>
      <c r="C185">
        <v>5</v>
      </c>
      <c r="D185">
        <v>39987</v>
      </c>
      <c r="E185">
        <v>0</v>
      </c>
      <c r="F185">
        <v>0</v>
      </c>
      <c r="G185">
        <v>0</v>
      </c>
      <c r="H185">
        <v>52.083333333333336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54.413862179487182</v>
      </c>
      <c r="AO185">
        <v>40.579170359445484</v>
      </c>
      <c r="AP185">
        <v>19.408582861699024</v>
      </c>
      <c r="AQ185">
        <v>265.29958369655287</v>
      </c>
      <c r="AR185">
        <v>38.721935160709293</v>
      </c>
      <c r="AS185">
        <v>383.71116617190728</v>
      </c>
      <c r="AT185">
        <v>31.219198614674244</v>
      </c>
      <c r="AU185">
        <v>29.292731426135934</v>
      </c>
      <c r="AV185"/>
      <c r="AW185"/>
      <c r="AX185" s="146"/>
      <c r="AY185" s="76">
        <f t="shared" ca="1" si="173"/>
        <v>0.42740002737980864</v>
      </c>
      <c r="AZ185">
        <v>8</v>
      </c>
      <c r="BA185" s="129">
        <f t="shared" si="249"/>
        <v>39987</v>
      </c>
      <c r="BB185">
        <v>0</v>
      </c>
      <c r="BC185">
        <v>0</v>
      </c>
      <c r="BD185">
        <v>0</v>
      </c>
      <c r="BE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8"/>
        <v>0.99689342999963237</v>
      </c>
      <c r="CL185" s="179">
        <f t="shared" si="209"/>
        <v>8</v>
      </c>
      <c r="CM185" s="180">
        <f t="shared" si="210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0.79363941409726069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0</v>
      </c>
      <c r="DH185" s="161">
        <f t="shared" si="215"/>
        <v>0</v>
      </c>
      <c r="DI185" s="161">
        <f t="shared" si="216"/>
        <v>10.416666666666666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10.416666666666666</v>
      </c>
      <c r="EL185" s="149"/>
      <c r="EN185" s="146"/>
      <c r="EO185" s="146"/>
      <c r="EP185" s="139">
        <f t="shared" si="252"/>
        <v>0</v>
      </c>
      <c r="EQ185" s="139">
        <f t="shared" si="253"/>
        <v>0</v>
      </c>
      <c r="ER185" s="139">
        <f t="shared" si="254"/>
        <v>0</v>
      </c>
      <c r="ES185" s="139">
        <f t="shared" si="255"/>
        <v>7.8146029722299923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7.8146029722299923</v>
      </c>
      <c r="FV185" s="149"/>
      <c r="FY185" s="211">
        <v>180</v>
      </c>
      <c r="FZ185">
        <v>51.739557572958233</v>
      </c>
      <c r="GA185">
        <v>77.981361586973009</v>
      </c>
      <c r="GB185">
        <v>26.556953715561971</v>
      </c>
      <c r="GC185">
        <v>14.700835395767182</v>
      </c>
      <c r="GD185">
        <v>8.9518872614687357</v>
      </c>
      <c r="GE185">
        <v>10.169890469710234</v>
      </c>
      <c r="GF185">
        <v>17.11035241927431</v>
      </c>
      <c r="GG185">
        <v>9.8713398641021488</v>
      </c>
      <c r="GH185">
        <v>9.7673215646994667</v>
      </c>
      <c r="GI185">
        <v>24.587927191939322</v>
      </c>
      <c r="GJ185"/>
      <c r="GK185">
        <v>57.106885268235544</v>
      </c>
      <c r="GL185">
        <v>73.589397502496979</v>
      </c>
      <c r="GM185">
        <v>47.047461985084666</v>
      </c>
      <c r="GN185">
        <v>48.543015899530644</v>
      </c>
      <c r="GO185">
        <v>38.945535850594339</v>
      </c>
      <c r="GP185">
        <v>21.820775991688365</v>
      </c>
      <c r="GQ185">
        <v>23.053078768078478</v>
      </c>
      <c r="GR185">
        <v>14.847745647236984</v>
      </c>
      <c r="GS185">
        <v>10.94044416112199</v>
      </c>
      <c r="GT185">
        <v>35.418681206622999</v>
      </c>
      <c r="GU185"/>
      <c r="GV185"/>
      <c r="GW185"/>
      <c r="GX185"/>
      <c r="GY185"/>
      <c r="GZ185"/>
      <c r="HA185"/>
      <c r="HB185"/>
      <c r="HC185"/>
    </row>
    <row r="186" spans="1:211" s="7" customFormat="1">
      <c r="A186" s="1"/>
      <c r="B186" s="76">
        <f t="shared" ca="1" si="250"/>
        <v>0.77347227091589277</v>
      </c>
      <c r="C186">
        <v>9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53.425320512820505</v>
      </c>
      <c r="AO186">
        <v>41.146158147393336</v>
      </c>
      <c r="AP186">
        <v>25.913059406339443</v>
      </c>
      <c r="AQ186">
        <v>256.64016516677395</v>
      </c>
      <c r="AR186">
        <v>39.562944193732129</v>
      </c>
      <c r="AS186">
        <v>371.00326743116949</v>
      </c>
      <c r="AT186">
        <v>31.543013363965837</v>
      </c>
      <c r="AU186">
        <v>36.739015036742515</v>
      </c>
      <c r="AV186"/>
      <c r="AW186"/>
      <c r="AX186" s="146"/>
      <c r="AY186" s="76">
        <f t="shared" ca="1" si="173"/>
        <v>0.66780634090244262</v>
      </c>
      <c r="AZ186">
        <v>9</v>
      </c>
      <c r="BA186" s="129">
        <f t="shared" si="249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8"/>
        <v>0.95047695342802818</v>
      </c>
      <c r="CL186" s="179">
        <f t="shared" si="209"/>
        <v>9</v>
      </c>
      <c r="CM186" s="180">
        <f t="shared" si="210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0.80257578311649791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0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0</v>
      </c>
      <c r="EL186" s="149"/>
      <c r="EN186" s="146"/>
      <c r="EO186" s="146"/>
      <c r="EP186" s="139">
        <f t="shared" si="252"/>
        <v>0</v>
      </c>
      <c r="EQ186" s="139">
        <f t="shared" si="253"/>
        <v>0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0</v>
      </c>
      <c r="FV186" s="149"/>
      <c r="FY186" s="211">
        <v>181</v>
      </c>
      <c r="FZ186">
        <v>33.012628623929096</v>
      </c>
      <c r="GA186">
        <v>62.693083604284006</v>
      </c>
      <c r="GB186">
        <v>32.5019418444137</v>
      </c>
      <c r="GC186">
        <v>12.027728037530586</v>
      </c>
      <c r="GD186">
        <v>6.4926364646064005</v>
      </c>
      <c r="GE186">
        <v>10.622819475937</v>
      </c>
      <c r="GF186">
        <v>20.370722602916203</v>
      </c>
      <c r="GG186">
        <v>10.367268421868047</v>
      </c>
      <c r="GH186">
        <v>9.4747393742265587</v>
      </c>
      <c r="GI186">
        <v>22.510289589910609</v>
      </c>
      <c r="GJ186"/>
      <c r="GK186">
        <v>34.138595808701318</v>
      </c>
      <c r="GL186">
        <v>55.405535073110649</v>
      </c>
      <c r="GM186">
        <v>57.579415536294626</v>
      </c>
      <c r="GN186">
        <v>39.698804226518284</v>
      </c>
      <c r="GO186">
        <v>28.225546226380612</v>
      </c>
      <c r="GP186">
        <v>22.792592002337479</v>
      </c>
      <c r="GQ186">
        <v>27.445832863074425</v>
      </c>
      <c r="GR186">
        <v>15.593685021858938</v>
      </c>
      <c r="GS186">
        <v>11.298849236598933</v>
      </c>
      <c r="GT186">
        <v>31.737647934209988</v>
      </c>
      <c r="GU186"/>
      <c r="GV186"/>
      <c r="GW186"/>
      <c r="GX186"/>
      <c r="GY186"/>
      <c r="GZ186"/>
      <c r="HA186"/>
      <c r="HB186"/>
      <c r="HC186"/>
    </row>
    <row r="187" spans="1:211" s="7" customFormat="1">
      <c r="A187" s="1"/>
      <c r="B187" s="76">
        <f t="shared" ca="1" si="250"/>
        <v>0.53705540552245168</v>
      </c>
      <c r="C187">
        <v>10</v>
      </c>
      <c r="D187">
        <v>39987</v>
      </c>
      <c r="E187">
        <v>0</v>
      </c>
      <c r="F187">
        <v>0</v>
      </c>
      <c r="G187">
        <v>0</v>
      </c>
      <c r="H187">
        <v>10.416666666666666</v>
      </c>
      <c r="I187">
        <v>10.416666666666666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51.772275641025637</v>
      </c>
      <c r="AO187">
        <v>43.610531506802751</v>
      </c>
      <c r="AP187">
        <v>49.851088650681696</v>
      </c>
      <c r="AQ187">
        <v>297.52584094698489</v>
      </c>
      <c r="AR187">
        <v>41.300192801216333</v>
      </c>
      <c r="AS187">
        <v>389.48156095202904</v>
      </c>
      <c r="AT187">
        <v>32.055839863690508</v>
      </c>
      <c r="AU187">
        <v>21.732786033727287</v>
      </c>
      <c r="AV187"/>
      <c r="AW187"/>
      <c r="AX187" s="146"/>
      <c r="AY187" s="76">
        <f t="shared" ca="1" si="173"/>
        <v>0.51743052376012377</v>
      </c>
      <c r="AZ187">
        <v>10</v>
      </c>
      <c r="BA187" s="129">
        <f t="shared" si="249"/>
        <v>39987</v>
      </c>
      <c r="BB187">
        <v>0</v>
      </c>
      <c r="BC187">
        <v>0</v>
      </c>
      <c r="BD187">
        <v>0</v>
      </c>
      <c r="BE187">
        <v>1</v>
      </c>
      <c r="BF187">
        <v>1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8"/>
        <v>0.27323515991811687</v>
      </c>
      <c r="CL187" s="179">
        <f t="shared" si="209"/>
        <v>10</v>
      </c>
      <c r="CM187" s="180">
        <f t="shared" si="210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0.80404986662481281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0</v>
      </c>
      <c r="DH187" s="161">
        <f t="shared" si="215"/>
        <v>0</v>
      </c>
      <c r="DI187" s="161">
        <f t="shared" si="216"/>
        <v>10.416666666666666</v>
      </c>
      <c r="DJ187" s="161">
        <f t="shared" si="217"/>
        <v>10.416666666666666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20.833333333333332</v>
      </c>
      <c r="EL187" s="149"/>
      <c r="EN187" s="146"/>
      <c r="EO187" s="146"/>
      <c r="EP187" s="139">
        <f t="shared" si="252"/>
        <v>0</v>
      </c>
      <c r="EQ187" s="139">
        <f t="shared" si="253"/>
        <v>0</v>
      </c>
      <c r="ER187" s="139">
        <f t="shared" si="254"/>
        <v>0</v>
      </c>
      <c r="ES187" s="139">
        <f t="shared" si="255"/>
        <v>7.8146029722299923</v>
      </c>
      <c r="ET187" s="139">
        <f t="shared" si="256"/>
        <v>46.241116370688808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54.055719342918799</v>
      </c>
      <c r="FV187" s="149"/>
      <c r="FY187" s="211">
        <v>182</v>
      </c>
      <c r="FZ187">
        <v>24.402854857273908</v>
      </c>
      <c r="GA187">
        <v>40.940617360766566</v>
      </c>
      <c r="GB187">
        <v>19.168325973633245</v>
      </c>
      <c r="GC187">
        <v>11.314084555610583</v>
      </c>
      <c r="GD187">
        <v>7.3243026272484073</v>
      </c>
      <c r="GE187">
        <v>10.655505074324495</v>
      </c>
      <c r="GF187">
        <v>26.267510724812997</v>
      </c>
      <c r="GG187">
        <v>17.900659370788105</v>
      </c>
      <c r="GH187">
        <v>8.4282406351516155</v>
      </c>
      <c r="GI187">
        <v>19.361431918055498</v>
      </c>
      <c r="GJ187"/>
      <c r="GK187">
        <v>25.241167600302873</v>
      </c>
      <c r="GL187">
        <v>36.181611761424861</v>
      </c>
      <c r="GM187">
        <v>33.958002006599415</v>
      </c>
      <c r="GN187">
        <v>37.357113055306556</v>
      </c>
      <c r="GO187">
        <v>31.862299566790998</v>
      </c>
      <c r="GP187">
        <v>22.86272305465236</v>
      </c>
      <c r="GQ187">
        <v>35.390679218174917</v>
      </c>
      <c r="GR187">
        <v>26.924859331592423</v>
      </c>
      <c r="GS187">
        <v>10.126658790764433</v>
      </c>
      <c r="GT187">
        <v>27.315761436526525</v>
      </c>
      <c r="GU187"/>
      <c r="GV187"/>
      <c r="GW187"/>
      <c r="GX187"/>
      <c r="GY187"/>
      <c r="GZ187"/>
      <c r="HA187"/>
      <c r="HB187"/>
      <c r="HC187"/>
    </row>
    <row r="188" spans="1:211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48.929433760683764</v>
      </c>
      <c r="AO188">
        <v>37.751804925711362</v>
      </c>
      <c r="AP188">
        <v>21.489614739480785</v>
      </c>
      <c r="AQ188">
        <v>248.51119710369002</v>
      </c>
      <c r="AR188">
        <v>36.249548267686158</v>
      </c>
      <c r="AS188">
        <v>331.17092275015506</v>
      </c>
      <c r="AT188">
        <v>28.864017664797672</v>
      </c>
      <c r="AU188">
        <v>23.280364739855987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1">
        <v>183</v>
      </c>
      <c r="FZ188">
        <v>44.269673124652961</v>
      </c>
      <c r="GA188">
        <v>82.500207338218559</v>
      </c>
      <c r="GB188">
        <v>30.9680747555194</v>
      </c>
      <c r="GC188">
        <v>10.771801811062449</v>
      </c>
      <c r="GD188">
        <v>8.0350236530697057</v>
      </c>
      <c r="GE188">
        <v>11.383926981245892</v>
      </c>
      <c r="GF188">
        <v>23.077445019524571</v>
      </c>
      <c r="GG188">
        <v>16.601798862353615</v>
      </c>
      <c r="GH188">
        <v>9.0696557386495051</v>
      </c>
      <c r="GI188">
        <v>25.171890943521372</v>
      </c>
      <c r="GJ188"/>
      <c r="GK188">
        <v>45.782354237323993</v>
      </c>
      <c r="GL188">
        <v>72.910245730905814</v>
      </c>
      <c r="GM188">
        <v>54.862064957314637</v>
      </c>
      <c r="GN188">
        <v>35.566038842615392</v>
      </c>
      <c r="GO188">
        <v>34.955352211743566</v>
      </c>
      <c r="GP188">
        <v>24.425643649098365</v>
      </c>
      <c r="GQ188">
        <v>31.092647583448425</v>
      </c>
      <c r="GR188">
        <v>24.971208588534928</v>
      </c>
      <c r="GS188">
        <v>10.158983863898991</v>
      </c>
      <c r="GT188">
        <v>35.370280570745919</v>
      </c>
      <c r="GU188"/>
      <c r="GV188"/>
      <c r="GW188"/>
      <c r="GX188"/>
      <c r="GY188"/>
      <c r="GZ188"/>
      <c r="HA188"/>
      <c r="HB188"/>
      <c r="HC188"/>
    </row>
    <row r="189" spans="1:211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53.547222222222217</v>
      </c>
      <c r="AO189">
        <v>40.97924299184605</v>
      </c>
      <c r="AP189">
        <v>31.16193069846577</v>
      </c>
      <c r="AQ189">
        <v>279.15435391253118</v>
      </c>
      <c r="AR189">
        <v>38.895782985457068</v>
      </c>
      <c r="AS189">
        <v>365.96802490651083</v>
      </c>
      <c r="AT189">
        <v>30.865691002425649</v>
      </c>
      <c r="AU189">
        <v>33.338195081527253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1">
        <v>184</v>
      </c>
      <c r="FZ189">
        <v>49.818841236162498</v>
      </c>
      <c r="GA189">
        <v>66.044032550896361</v>
      </c>
      <c r="GB189">
        <v>19.729741378718742</v>
      </c>
      <c r="GC189">
        <v>12.846359149014692</v>
      </c>
      <c r="GD189">
        <v>10.150748233870535</v>
      </c>
      <c r="GE189">
        <v>11.58004057157088</v>
      </c>
      <c r="GF189">
        <v>23.367450992732611</v>
      </c>
      <c r="GG189">
        <v>17.640887269101214</v>
      </c>
      <c r="GH189">
        <v>14.358400156576293</v>
      </c>
      <c r="GI189">
        <v>25.279151811423894</v>
      </c>
      <c r="GJ189"/>
      <c r="GK189">
        <v>55.121346109574738</v>
      </c>
      <c r="GL189">
        <v>63.03968348998648</v>
      </c>
      <c r="GM189">
        <v>34.952587839428695</v>
      </c>
      <c r="GN189">
        <v>42.425654143507415</v>
      </c>
      <c r="GO189">
        <v>44.171644108281882</v>
      </c>
      <c r="GP189">
        <v>24.846429962987667</v>
      </c>
      <c r="GQ189">
        <v>31.483377732059928</v>
      </c>
      <c r="GR189">
        <v>26.534129182980934</v>
      </c>
      <c r="GS189">
        <v>16.769071317159927</v>
      </c>
      <c r="GT189">
        <v>36.499605421301034</v>
      </c>
      <c r="GU189"/>
      <c r="GV189"/>
      <c r="GW189"/>
      <c r="GX189"/>
      <c r="GY189"/>
      <c r="GZ189"/>
      <c r="HA189"/>
      <c r="HB189"/>
      <c r="HC189"/>
    </row>
    <row r="190" spans="1:211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57.93122329059829</v>
      </c>
      <c r="AO190">
        <v>46.131139480024522</v>
      </c>
      <c r="AP190">
        <v>40.952800778382567</v>
      </c>
      <c r="AQ190">
        <v>306.78683560073256</v>
      </c>
      <c r="AR190">
        <v>43.567729459945404</v>
      </c>
      <c r="AS190">
        <v>417.01108306622439</v>
      </c>
      <c r="AT190">
        <v>34.167200520161735</v>
      </c>
      <c r="AU190">
        <v>32.115476206904134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1">
        <v>185</v>
      </c>
      <c r="FZ190">
        <v>34.308639078184761</v>
      </c>
      <c r="GA190">
        <v>54.558014927846578</v>
      </c>
      <c r="GB190">
        <v>29.534460417533239</v>
      </c>
      <c r="GC190">
        <v>13.131872512064401</v>
      </c>
      <c r="GD190">
        <v>6.376903623829258</v>
      </c>
      <c r="GE190">
        <v>10.548109536765574</v>
      </c>
      <c r="GF190">
        <v>25.520525642307444</v>
      </c>
      <c r="GG190">
        <v>17.924275016396006</v>
      </c>
      <c r="GH190">
        <v>12.614235591451385</v>
      </c>
      <c r="GI190">
        <v>23.369101799630084</v>
      </c>
      <c r="GJ190"/>
      <c r="GK190">
        <v>35.481447512496096</v>
      </c>
      <c r="GL190">
        <v>48.216100338659047</v>
      </c>
      <c r="GM190">
        <v>52.322318991339905</v>
      </c>
      <c r="GN190">
        <v>43.345618946892287</v>
      </c>
      <c r="GO190">
        <v>27.721877759755536</v>
      </c>
      <c r="GP190">
        <v>22.632292454189173</v>
      </c>
      <c r="GQ190">
        <v>34.384253077811962</v>
      </c>
      <c r="GR190">
        <v>26.960380254193474</v>
      </c>
      <c r="GS190">
        <v>14.815420574102426</v>
      </c>
      <c r="GT190">
        <v>32.945063583101188</v>
      </c>
      <c r="GU190"/>
      <c r="GV190"/>
      <c r="GW190"/>
      <c r="GX190"/>
      <c r="GY190"/>
      <c r="GZ190"/>
      <c r="HA190"/>
      <c r="HB190"/>
      <c r="HC190"/>
    </row>
    <row r="191" spans="1:211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53.12908653846155</v>
      </c>
      <c r="AO191">
        <v>41.16165877638015</v>
      </c>
      <c r="AP191">
        <v>26.422433455598163</v>
      </c>
      <c r="AQ191">
        <v>287.00304722920453</v>
      </c>
      <c r="AR191">
        <v>39.568299137870923</v>
      </c>
      <c r="AS191">
        <v>368.41780349936755</v>
      </c>
      <c r="AT191">
        <v>31.399666106735239</v>
      </c>
      <c r="AU191">
        <v>40.332150745397414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1">
        <v>186</v>
      </c>
      <c r="FZ191">
        <v>40.451051193457033</v>
      </c>
      <c r="GA191">
        <v>87.668455862821276</v>
      </c>
      <c r="GB191">
        <v>34.506996862576173</v>
      </c>
      <c r="GC191">
        <v>12.425524516990608</v>
      </c>
      <c r="GD191">
        <v>8.7475334488734156</v>
      </c>
      <c r="GE191">
        <v>11.687436109129804</v>
      </c>
      <c r="GF191">
        <v>19.210698710084049</v>
      </c>
      <c r="GG191">
        <v>15.562710455606021</v>
      </c>
      <c r="GH191">
        <v>15.753731808676216</v>
      </c>
      <c r="GI191">
        <v>26.2335911610813</v>
      </c>
      <c r="GJ191"/>
      <c r="GK191">
        <v>43.635626370521663</v>
      </c>
      <c r="GL191">
        <v>79.814088113374595</v>
      </c>
      <c r="GM191">
        <v>61.13150779639917</v>
      </c>
      <c r="GN191">
        <v>41.020343376752443</v>
      </c>
      <c r="GO191">
        <v>38.047515392911109</v>
      </c>
      <c r="GP191">
        <v>25.076860563450861</v>
      </c>
      <c r="GQ191">
        <v>25.882912268628431</v>
      </c>
      <c r="GR191">
        <v>23.408287994088933</v>
      </c>
      <c r="GS191">
        <v>18.331991911605925</v>
      </c>
      <c r="GT191">
        <v>37.405910748013255</v>
      </c>
      <c r="GU191"/>
      <c r="GV191"/>
      <c r="GW191"/>
      <c r="GX191"/>
      <c r="GY191"/>
      <c r="GZ191"/>
      <c r="HA191"/>
      <c r="HB191"/>
      <c r="HC191"/>
    </row>
    <row r="192" spans="1:211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52.009855769230775</v>
      </c>
      <c r="AO192">
        <v>38.846548193452044</v>
      </c>
      <c r="AP192">
        <v>7.589113980270052</v>
      </c>
      <c r="AQ192">
        <v>272.29935967837542</v>
      </c>
      <c r="AR192">
        <v>37.662283954631967</v>
      </c>
      <c r="AS192">
        <v>356.47112486302126</v>
      </c>
      <c r="AT192">
        <v>30.801861647046291</v>
      </c>
      <c r="AU192">
        <v>29.734197185295429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1">
        <v>187</v>
      </c>
      <c r="FZ192">
        <v>40.105737105453628</v>
      </c>
      <c r="GA192">
        <v>81.35068676437416</v>
      </c>
      <c r="GB192">
        <v>33.745075955674437</v>
      </c>
      <c r="GC192">
        <v>12.389061290932759</v>
      </c>
      <c r="GD192">
        <v>8.2218649260003183</v>
      </c>
      <c r="GE192">
        <v>13.08357809739581</v>
      </c>
      <c r="GF192">
        <v>34.484346632374113</v>
      </c>
      <c r="GG192">
        <v>20.758152489343992</v>
      </c>
      <c r="GH192">
        <v>8.7208228256245235</v>
      </c>
      <c r="GI192">
        <v>27.505926524340957</v>
      </c>
      <c r="GJ192"/>
      <c r="GK192">
        <v>41.481172584025565</v>
      </c>
      <c r="GL192">
        <v>71.894347344515921</v>
      </c>
      <c r="GM192">
        <v>59.781712737559445</v>
      </c>
      <c r="GN192">
        <v>40.903751222638959</v>
      </c>
      <c r="GO192">
        <v>35.76414696013385</v>
      </c>
      <c r="GP192">
        <v>28.072458369472358</v>
      </c>
      <c r="GQ192">
        <v>46.461366762167408</v>
      </c>
      <c r="GR192">
        <v>31.222890966318921</v>
      </c>
      <c r="GS192">
        <v>9.7682537152874893</v>
      </c>
      <c r="GT192">
        <v>38.651330551834747</v>
      </c>
      <c r="GU192"/>
      <c r="GV192"/>
      <c r="GW192"/>
      <c r="GX192"/>
      <c r="GY192"/>
      <c r="GZ192"/>
      <c r="HA192"/>
      <c r="HB192"/>
      <c r="HC192"/>
    </row>
    <row r="193" spans="1:211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50.353178418803417</v>
      </c>
      <c r="AO193">
        <v>39.538484689748934</v>
      </c>
      <c r="AP193">
        <v>18.23303539452489</v>
      </c>
      <c r="AQ193">
        <v>260.53113856727265</v>
      </c>
      <c r="AR193">
        <v>38.001351858529269</v>
      </c>
      <c r="AS193">
        <v>363.50727150278112</v>
      </c>
      <c r="AT193">
        <v>30.636990915270172</v>
      </c>
      <c r="AU193">
        <v>16.356228259248951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1">
        <v>188</v>
      </c>
      <c r="FZ193">
        <v>25.469214872918361</v>
      </c>
      <c r="GA193">
        <v>59.244521882750753</v>
      </c>
      <c r="GB193">
        <v>25.464198730663412</v>
      </c>
      <c r="GC193">
        <v>7.7545455256984317</v>
      </c>
      <c r="GD193">
        <v>6.8327194054072287</v>
      </c>
      <c r="GE193">
        <v>11.715452336319089</v>
      </c>
      <c r="GF193">
        <v>26.460848040285022</v>
      </c>
      <c r="GG193">
        <v>19.459291980909494</v>
      </c>
      <c r="GH193">
        <v>9.1259064612015752</v>
      </c>
      <c r="GI193">
        <v>20.94812632034559</v>
      </c>
      <c r="GJ193"/>
      <c r="GK193">
        <v>26.338362034987007</v>
      </c>
      <c r="GL193">
        <v>52.35783991394095</v>
      </c>
      <c r="GM193">
        <v>45.111571703327677</v>
      </c>
      <c r="GN193">
        <v>25.585157646369577</v>
      </c>
      <c r="GO193">
        <v>29.705584668090843</v>
      </c>
      <c r="GP193">
        <v>25.136972894006476</v>
      </c>
      <c r="GQ193">
        <v>35.651165983915917</v>
      </c>
      <c r="GR193">
        <v>29.26924022326142</v>
      </c>
      <c r="GS193">
        <v>10.90811908798743</v>
      </c>
      <c r="GT193">
        <v>29.542960695661776</v>
      </c>
      <c r="GU193"/>
      <c r="GV193"/>
      <c r="GW193"/>
      <c r="GX193"/>
      <c r="GY193"/>
      <c r="GZ193"/>
      <c r="HA193"/>
      <c r="HB193"/>
      <c r="HC193"/>
    </row>
    <row r="194" spans="1:211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49.732211538461549</v>
      </c>
      <c r="AO194">
        <v>40.304083336668135</v>
      </c>
      <c r="AP194">
        <v>42.514895989078937</v>
      </c>
      <c r="AQ194">
        <v>283.15381689748307</v>
      </c>
      <c r="AR194">
        <v>38.504517720960735</v>
      </c>
      <c r="AS194">
        <v>361.71074543038935</v>
      </c>
      <c r="AT194">
        <v>29.871040085774208</v>
      </c>
      <c r="AU194">
        <v>29.924385440135357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1">
        <v>189</v>
      </c>
      <c r="FZ194">
        <v>32.561834752250654</v>
      </c>
      <c r="GA194">
        <v>71.398318509946421</v>
      </c>
      <c r="GB194">
        <v>37.935640943634006</v>
      </c>
      <c r="GC194">
        <v>14.216525185222361</v>
      </c>
      <c r="GD194">
        <v>9.6156817787594004</v>
      </c>
      <c r="GE194">
        <v>15.100746455024288</v>
      </c>
      <c r="GF194">
        <v>28.394221195005287</v>
      </c>
      <c r="GG194">
        <v>19.459291980909498</v>
      </c>
      <c r="GH194">
        <v>9.0696557386495051</v>
      </c>
      <c r="GI194">
        <v>27.1499319784524</v>
      </c>
      <c r="GJ194"/>
      <c r="GK194">
        <v>35.476550863799162</v>
      </c>
      <c r="GL194">
        <v>65.435218644471405</v>
      </c>
      <c r="GM194">
        <v>67.205585561177941</v>
      </c>
      <c r="GN194">
        <v>46.939575686155059</v>
      </c>
      <c r="GO194">
        <v>41.830027588927763</v>
      </c>
      <c r="GP194">
        <v>32.400546169476662</v>
      </c>
      <c r="GQ194">
        <v>38.256033641325914</v>
      </c>
      <c r="GR194">
        <v>29.269240223261427</v>
      </c>
      <c r="GS194">
        <v>10.158983863898991</v>
      </c>
      <c r="GT194">
        <v>38.585436303825944</v>
      </c>
      <c r="GU194"/>
      <c r="GV194"/>
      <c r="GW194"/>
      <c r="GX194"/>
      <c r="GY194"/>
      <c r="GZ194"/>
      <c r="HA194"/>
      <c r="HB194"/>
      <c r="HC194"/>
    </row>
    <row r="195" spans="1:211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54.835202991453002</v>
      </c>
      <c r="AO195">
        <v>40.541795390071378</v>
      </c>
      <c r="AP195">
        <v>12.687489180144672</v>
      </c>
      <c r="AQ195">
        <v>267.6024204816776</v>
      </c>
      <c r="AR195">
        <v>38.382843739057883</v>
      </c>
      <c r="AS195">
        <v>369.20093811729123</v>
      </c>
      <c r="AT195">
        <v>31.34861523316205</v>
      </c>
      <c r="AU195">
        <v>36.635728115219401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1">
        <v>190</v>
      </c>
      <c r="FZ195">
        <v>39.727983934288403</v>
      </c>
      <c r="GA195">
        <v>80.024316871476771</v>
      </c>
      <c r="GB195">
        <v>34.406744111668047</v>
      </c>
      <c r="GC195">
        <v>12.205719186149139</v>
      </c>
      <c r="GD195">
        <v>9.6095849723243898</v>
      </c>
      <c r="GE195">
        <v>13.144279922972592</v>
      </c>
      <c r="GF195">
        <v>29.360907772365419</v>
      </c>
      <c r="GG195">
        <v>23.096101404526085</v>
      </c>
      <c r="GH195">
        <v>10.926321748878555</v>
      </c>
      <c r="GI195">
        <v>27.884297236380593</v>
      </c>
      <c r="GJ195"/>
      <c r="GK195">
        <v>41.090442435414069</v>
      </c>
      <c r="GL195">
        <v>70.722156898681433</v>
      </c>
      <c r="GM195">
        <v>60.95390318339394</v>
      </c>
      <c r="GN195">
        <v>40.279000624770873</v>
      </c>
      <c r="GO195">
        <v>41.781808888661253</v>
      </c>
      <c r="GP195">
        <v>28.202701752342854</v>
      </c>
      <c r="GQ195">
        <v>39.558467470030912</v>
      </c>
      <c r="GR195">
        <v>34.739462303822421</v>
      </c>
      <c r="GS195">
        <v>13.610905055133372</v>
      </c>
      <c r="GT195">
        <v>39.399105406526715</v>
      </c>
      <c r="GU195"/>
      <c r="GV195"/>
      <c r="GW195"/>
      <c r="GX195"/>
      <c r="GY195"/>
      <c r="GZ195"/>
      <c r="HA195"/>
      <c r="HB195"/>
      <c r="HC195"/>
    </row>
    <row r="196" spans="1:211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45.877270299145302</v>
      </c>
      <c r="AO196">
        <v>37.131302228069103</v>
      </c>
      <c r="AP196">
        <v>41.104057482966731</v>
      </c>
      <c r="AQ196">
        <v>251.43742704245457</v>
      </c>
      <c r="AR196">
        <v>35.418681206622992</v>
      </c>
      <c r="AS196">
        <v>329.91995691951718</v>
      </c>
      <c r="AT196">
        <v>27.454291110450502</v>
      </c>
      <c r="AU196">
        <v>24.424534706010746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1">
        <v>191</v>
      </c>
      <c r="FZ196">
        <v>35.485498744943925</v>
      </c>
      <c r="GA196">
        <v>58.625549266065292</v>
      </c>
      <c r="GB196">
        <v>26.466726239744652</v>
      </c>
      <c r="GC196">
        <v>13.431309727681873</v>
      </c>
      <c r="GD196">
        <v>9.0195326691620039</v>
      </c>
      <c r="GE196">
        <v>10.608811362342356</v>
      </c>
      <c r="GF196">
        <v>26.170842067076986</v>
      </c>
      <c r="GG196">
        <v>20.758152489343995</v>
      </c>
      <c r="GH196">
        <v>10.577488835853574</v>
      </c>
      <c r="GI196">
        <v>24.228017531977333</v>
      </c>
      <c r="GJ196"/>
      <c r="GK196">
        <v>36.699895572449599</v>
      </c>
      <c r="GL196">
        <v>51.810817705884851</v>
      </c>
      <c r="GM196">
        <v>46.887617833379956</v>
      </c>
      <c r="GN196">
        <v>44.353813350274216</v>
      </c>
      <c r="GO196">
        <v>39.244265253046912</v>
      </c>
      <c r="GP196">
        <v>22.762535837059673</v>
      </c>
      <c r="GQ196">
        <v>35.26043583530442</v>
      </c>
      <c r="GR196">
        <v>31.222890966318928</v>
      </c>
      <c r="GS196">
        <v>13.220174906521873</v>
      </c>
      <c r="GT196">
        <v>34.262477880140551</v>
      </c>
      <c r="GU196"/>
      <c r="GV196"/>
      <c r="GW196"/>
      <c r="GX196"/>
      <c r="GY196"/>
      <c r="GZ196"/>
      <c r="HA196"/>
      <c r="HB196"/>
      <c r="HC196"/>
    </row>
    <row r="197" spans="1:211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44.00833333333334</v>
      </c>
      <c r="AO197">
        <v>32.391650392908524</v>
      </c>
      <c r="AP197">
        <v>11.067928034566442</v>
      </c>
      <c r="AQ197">
        <v>220.07385803962217</v>
      </c>
      <c r="AR197">
        <v>31.737647934209974</v>
      </c>
      <c r="AS197">
        <v>308.58916749047086</v>
      </c>
      <c r="AT197">
        <v>25.42094225426078</v>
      </c>
      <c r="AU197">
        <v>32.323232305144053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1">
        <v>192</v>
      </c>
      <c r="FZ197">
        <v>66.093689475044769</v>
      </c>
      <c r="GA197">
        <v>113.92139162679548</v>
      </c>
      <c r="GB197">
        <v>42.326711433409812</v>
      </c>
      <c r="GC197">
        <v>13.051374812744209</v>
      </c>
      <c r="GD197">
        <v>8.0073984541861947</v>
      </c>
      <c r="GE197">
        <v>11.00570791419055</v>
      </c>
      <c r="GF197">
        <v>23.393815172115161</v>
      </c>
      <c r="GG197">
        <v>20.521996033264998</v>
      </c>
      <c r="GH197">
        <v>15.697481086124144</v>
      </c>
      <c r="GI197">
        <v>32.189266115665035</v>
      </c>
      <c r="GJ197"/>
      <c r="GK197">
        <v>73.750242968960436</v>
      </c>
      <c r="GL197">
        <v>107.6880582283261</v>
      </c>
      <c r="GM197">
        <v>74.984667610806866</v>
      </c>
      <c r="GN197">
        <v>43.095108244706211</v>
      </c>
      <c r="GO197">
        <v>34.835127550632343</v>
      </c>
      <c r="GP197">
        <v>23.614127186597553</v>
      </c>
      <c r="GQ197">
        <v>31.518898654660973</v>
      </c>
      <c r="GR197">
        <v>30.867681740308477</v>
      </c>
      <c r="GS197">
        <v>17.582856687517484</v>
      </c>
      <c r="GT197">
        <v>46.534358694515632</v>
      </c>
      <c r="GU197"/>
      <c r="GV197"/>
      <c r="GW197"/>
      <c r="GX197"/>
      <c r="GY197"/>
      <c r="GZ197"/>
      <c r="HA197"/>
      <c r="HB197"/>
      <c r="HC197"/>
    </row>
    <row r="198" spans="1:211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38.294177350427347</v>
      </c>
      <c r="AO198">
        <v>28.722087582213533</v>
      </c>
      <c r="AP198">
        <v>5.9260972713540587</v>
      </c>
      <c r="AQ198">
        <v>185.7635330976654</v>
      </c>
      <c r="AR198">
        <v>27.315761436526515</v>
      </c>
      <c r="AS198">
        <v>260.75206682255947</v>
      </c>
      <c r="AT198">
        <v>22.384712046533576</v>
      </c>
      <c r="AU198">
        <v>12.747407611856143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1">
        <v>193</v>
      </c>
      <c r="FZ198">
        <v>58.907728086523576</v>
      </c>
      <c r="GA198">
        <v>98.623925528712078</v>
      </c>
      <c r="GB198">
        <v>36.492001330557024</v>
      </c>
      <c r="GC198">
        <v>10.696419886543557</v>
      </c>
      <c r="GD198">
        <v>7.7118649049034618</v>
      </c>
      <c r="GE198">
        <v>12.429866129645843</v>
      </c>
      <c r="GF198">
        <v>29.097265978539927</v>
      </c>
      <c r="GG198">
        <v>21.301312338325694</v>
      </c>
      <c r="GH198">
        <v>12.670486314003458</v>
      </c>
      <c r="GI198">
        <v>30.126628067337681</v>
      </c>
      <c r="GJ198"/>
      <c r="GK198">
        <v>66.323220126769996</v>
      </c>
      <c r="GL198">
        <v>94.16879508636822</v>
      </c>
      <c r="GM198">
        <v>64.648079133902669</v>
      </c>
      <c r="GN198">
        <v>35.297863660088566</v>
      </c>
      <c r="GO198">
        <v>33.527282287359533</v>
      </c>
      <c r="GP198">
        <v>26.669837323174672</v>
      </c>
      <c r="GQ198">
        <v>39.203258244020461</v>
      </c>
      <c r="GR198">
        <v>32.039872186142972</v>
      </c>
      <c r="GS198">
        <v>15.564555798190868</v>
      </c>
      <c r="GT198">
        <v>43.853279118048711</v>
      </c>
      <c r="GU198"/>
      <c r="GV198"/>
      <c r="GW198"/>
      <c r="GX198"/>
      <c r="GY198"/>
      <c r="GZ198"/>
      <c r="HA198"/>
      <c r="HB198"/>
      <c r="HC198"/>
    </row>
    <row r="199" spans="1:211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50.05018696581196</v>
      </c>
      <c r="AO199">
        <v>37.009482023563002</v>
      </c>
      <c r="AP199">
        <v>9.2960058129783132</v>
      </c>
      <c r="AQ199">
        <v>261.84949822781806</v>
      </c>
      <c r="AR199">
        <v>35.370280570745955</v>
      </c>
      <c r="AS199">
        <v>344.08390451529829</v>
      </c>
      <c r="AT199">
        <v>28.874344650488485</v>
      </c>
      <c r="AU199">
        <v>32.284580649707024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1">
        <v>194</v>
      </c>
      <c r="FZ199">
        <v>46.595973242449134</v>
      </c>
      <c r="GA199">
        <v>71.212281075499064</v>
      </c>
      <c r="GB199">
        <v>24.47169649667299</v>
      </c>
      <c r="GC199">
        <v>10.866576190247418</v>
      </c>
      <c r="GD199">
        <v>7.8856635732791389</v>
      </c>
      <c r="GE199">
        <v>11.276531443686968</v>
      </c>
      <c r="GF199">
        <v>16.530340472858235</v>
      </c>
      <c r="GG199">
        <v>11.170200372536645</v>
      </c>
      <c r="GH199">
        <v>11.16265321679939</v>
      </c>
      <c r="GI199">
        <v>22.701042119770701</v>
      </c>
      <c r="GJ199"/>
      <c r="GK199">
        <v>53.596636461978875</v>
      </c>
      <c r="GL199">
        <v>69.943525872455254</v>
      </c>
      <c r="GM199">
        <v>43.353286034575937</v>
      </c>
      <c r="GN199">
        <v>35.867543281933926</v>
      </c>
      <c r="GO199">
        <v>34.292326983510648</v>
      </c>
      <c r="GP199">
        <v>24.195213048635171</v>
      </c>
      <c r="GQ199">
        <v>22.271618470855483</v>
      </c>
      <c r="GR199">
        <v>16.801396390294485</v>
      </c>
      <c r="GS199">
        <v>12.503364755567988</v>
      </c>
      <c r="GT199">
        <v>33.203446541297787</v>
      </c>
      <c r="GU199"/>
      <c r="GV199"/>
      <c r="GW199"/>
      <c r="GX199"/>
      <c r="GY199"/>
      <c r="GZ199"/>
      <c r="HA199"/>
      <c r="HB199"/>
      <c r="HC199"/>
    </row>
    <row r="200" spans="1:211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45.905982905982924</v>
      </c>
      <c r="AO200">
        <v>37.584352930726872</v>
      </c>
      <c r="AP200">
        <v>41.302361687346568</v>
      </c>
      <c r="AQ200">
        <v>250.81565335006775</v>
      </c>
      <c r="AR200">
        <v>36.499605421301013</v>
      </c>
      <c r="AS200">
        <v>371.59866518533858</v>
      </c>
      <c r="AT200">
        <v>28.312657209702071</v>
      </c>
      <c r="AU200">
        <v>29.510108021829403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1">
        <v>195</v>
      </c>
      <c r="FZ200">
        <v>40.774043141257152</v>
      </c>
      <c r="GA200">
        <v>87.805686909808188</v>
      </c>
      <c r="GB200">
        <v>38.116095895268622</v>
      </c>
      <c r="GC200">
        <v>11.776534676438057</v>
      </c>
      <c r="GD200">
        <v>7.4209908233407047</v>
      </c>
      <c r="GE200">
        <v>12.733375257529755</v>
      </c>
      <c r="GF200">
        <v>31.004274953877637</v>
      </c>
      <c r="GG200">
        <v>25.693822421395062</v>
      </c>
      <c r="GH200">
        <v>13.604483607974258</v>
      </c>
      <c r="GI200">
        <v>28.322046103505762</v>
      </c>
      <c r="GJ200"/>
      <c r="GK200">
        <v>42.170117653010585</v>
      </c>
      <c r="GL200">
        <v>77.599007514243809</v>
      </c>
      <c r="GM200">
        <v>67.525273864587334</v>
      </c>
      <c r="GN200">
        <v>38.88451272715151</v>
      </c>
      <c r="GO200">
        <v>32.283085880680304</v>
      </c>
      <c r="GP200">
        <v>27.321054237527164</v>
      </c>
      <c r="GQ200">
        <v>41.772604978829406</v>
      </c>
      <c r="GR200">
        <v>38.64676378993741</v>
      </c>
      <c r="GS200">
        <v>15.238475795848485</v>
      </c>
      <c r="GT200">
        <v>39.797911634591216</v>
      </c>
      <c r="GU200"/>
      <c r="GV200"/>
      <c r="GW200"/>
      <c r="GX200"/>
      <c r="GY200"/>
      <c r="GZ200"/>
      <c r="HA200"/>
      <c r="HB200"/>
      <c r="HC200"/>
    </row>
    <row r="201" spans="1:211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45.880769230769225</v>
      </c>
      <c r="AO201">
        <v>33.88247734925411</v>
      </c>
      <c r="AP201">
        <v>11.283291389058625</v>
      </c>
      <c r="AQ201">
        <v>227.88613814600868</v>
      </c>
      <c r="AR201">
        <v>32.945063583101181</v>
      </c>
      <c r="AS201">
        <v>312.24846286614883</v>
      </c>
      <c r="AT201">
        <v>26.553841081304167</v>
      </c>
      <c r="AU201">
        <v>21.486133551858671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1">
        <v>196</v>
      </c>
      <c r="FZ201">
        <v>37.319014775212722</v>
      </c>
      <c r="GA201">
        <v>42.532261232243449</v>
      </c>
      <c r="GB201">
        <v>16.651981925839348</v>
      </c>
      <c r="GC201">
        <v>13.115551954808716</v>
      </c>
      <c r="GD201">
        <v>10.178649846915846</v>
      </c>
      <c r="GE201">
        <v>13.172296150161879</v>
      </c>
      <c r="GF201">
        <v>21.240740522540325</v>
      </c>
      <c r="GG201">
        <v>17.381115167414311</v>
      </c>
      <c r="GH201">
        <v>16.158815444253268</v>
      </c>
      <c r="GI201">
        <v>22.684902209612535</v>
      </c>
      <c r="GJ201"/>
      <c r="GK201">
        <v>38.592919502872405</v>
      </c>
      <c r="GL201">
        <v>37.588240296426264</v>
      </c>
      <c r="GM201">
        <v>29.500126220168227</v>
      </c>
      <c r="GN201">
        <v>43.303235083983942</v>
      </c>
      <c r="GO201">
        <v>44.28006045551269</v>
      </c>
      <c r="GP201">
        <v>28.262814082898476</v>
      </c>
      <c r="GQ201">
        <v>28.618023308908931</v>
      </c>
      <c r="GR201">
        <v>26.14339903436943</v>
      </c>
      <c r="GS201">
        <v>19.471857284305862</v>
      </c>
      <c r="GT201">
        <v>32.092597354353622</v>
      </c>
      <c r="GU201"/>
      <c r="GV201"/>
      <c r="GW201"/>
      <c r="GX201"/>
      <c r="GY201"/>
      <c r="GZ201"/>
      <c r="HA201"/>
      <c r="HB201"/>
      <c r="HC201"/>
    </row>
    <row r="202" spans="1:211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50.73862179487179</v>
      </c>
      <c r="AO202">
        <v>39.375504453574635</v>
      </c>
      <c r="AP202">
        <v>26.155658599658629</v>
      </c>
      <c r="AQ202">
        <v>272.24773012929586</v>
      </c>
      <c r="AR202">
        <v>37.405910748013284</v>
      </c>
      <c r="AS202">
        <v>361.45694758922218</v>
      </c>
      <c r="AT202">
        <v>29.665586375684047</v>
      </c>
      <c r="AU202">
        <v>17.589747983619773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1">
        <v>197</v>
      </c>
      <c r="FZ202">
        <v>61.311188775967324</v>
      </c>
      <c r="GA202">
        <v>93.45567700410939</v>
      </c>
      <c r="GB202">
        <v>27.790062551731886</v>
      </c>
      <c r="GC202">
        <v>10.410567904370044</v>
      </c>
      <c r="GD202">
        <v>7.1827136083706407</v>
      </c>
      <c r="GE202">
        <v>8.7410628830567312</v>
      </c>
      <c r="GF202">
        <v>31.320645106468234</v>
      </c>
      <c r="GG202">
        <v>27.535842778811258</v>
      </c>
      <c r="GH202">
        <v>14.875985237257492</v>
      </c>
      <c r="GI202">
        <v>28.833440086178236</v>
      </c>
      <c r="GJ202"/>
      <c r="GK202">
        <v>67.002692645936264</v>
      </c>
      <c r="GL202">
        <v>87.264952703899439</v>
      </c>
      <c r="GM202">
        <v>49.231998725048953</v>
      </c>
      <c r="GN202">
        <v>34.380620570814223</v>
      </c>
      <c r="GO202">
        <v>31.254779381922226</v>
      </c>
      <c r="GP202">
        <v>18.755047133351983</v>
      </c>
      <c r="GQ202">
        <v>42.198856050041961</v>
      </c>
      <c r="GR202">
        <v>41.417395752818962</v>
      </c>
      <c r="GS202">
        <v>19.407207138036753</v>
      </c>
      <c r="GT202">
        <v>41.819106788197232</v>
      </c>
      <c r="GU202"/>
      <c r="GV202"/>
      <c r="GW202"/>
      <c r="GX202"/>
      <c r="GY202"/>
      <c r="GZ202"/>
      <c r="HA202"/>
      <c r="HB202"/>
      <c r="HC202"/>
    </row>
    <row r="203" spans="1:211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54.388087606837601</v>
      </c>
      <c r="AO203">
        <v>40.400143121395459</v>
      </c>
      <c r="AP203">
        <v>4.0876051460135399</v>
      </c>
      <c r="AQ203">
        <v>280.36525261151468</v>
      </c>
      <c r="AR203">
        <v>38.651330551834768</v>
      </c>
      <c r="AS203">
        <v>364.26298696806219</v>
      </c>
      <c r="AT203">
        <v>31.801973136378873</v>
      </c>
      <c r="AU203">
        <v>22.313047679920455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1">
        <v>198</v>
      </c>
      <c r="FZ203">
        <v>32.887336633770616</v>
      </c>
      <c r="GA203">
        <v>47.169961799687179</v>
      </c>
      <c r="GB203">
        <v>22.155857950695339</v>
      </c>
      <c r="GC203">
        <v>13.581812024534589</v>
      </c>
      <c r="GD203">
        <v>8.6508255035815935</v>
      </c>
      <c r="GE203">
        <v>10.319310348053081</v>
      </c>
      <c r="GF203">
        <v>24.843845038155354</v>
      </c>
      <c r="GG203">
        <v>21.820856541699492</v>
      </c>
      <c r="GH203">
        <v>17.149063460776141</v>
      </c>
      <c r="GI203">
        <v>23.250201075733557</v>
      </c>
      <c r="GJ203"/>
      <c r="GK203">
        <v>35.817873379719742</v>
      </c>
      <c r="GL203">
        <v>44.02320650056123</v>
      </c>
      <c r="GM203">
        <v>39.250619474155194</v>
      </c>
      <c r="GN203">
        <v>44.854738773686591</v>
      </c>
      <c r="GO203">
        <v>37.64399148567437</v>
      </c>
      <c r="GP203">
        <v>22.141375087984976</v>
      </c>
      <c r="GQ203">
        <v>33.472549397718467</v>
      </c>
      <c r="GR203">
        <v>32.821332483365971</v>
      </c>
      <c r="GS203">
        <v>19.894912506051924</v>
      </c>
      <c r="GT203">
        <v>33.215989248663938</v>
      </c>
      <c r="GU203"/>
      <c r="GV203"/>
      <c r="GW203"/>
      <c r="GX203"/>
      <c r="GY203"/>
      <c r="GZ203"/>
      <c r="HA203"/>
      <c r="HB203"/>
      <c r="HC203"/>
    </row>
    <row r="204" spans="1:211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41.986111111111121</v>
      </c>
      <c r="AO204">
        <v>30.960697485154903</v>
      </c>
      <c r="AP204">
        <v>13.185827197511532</v>
      </c>
      <c r="AQ204">
        <v>212.47482555649893</v>
      </c>
      <c r="AR204">
        <v>29.542960695661751</v>
      </c>
      <c r="AS204">
        <v>296.9799828052362</v>
      </c>
      <c r="AT204">
        <v>23.765704157326894</v>
      </c>
      <c r="AU204">
        <v>20.638178525427065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1">
        <v>199</v>
      </c>
      <c r="FZ204">
        <v>51.397242020866912</v>
      </c>
      <c r="GA204">
        <v>70.602496574207976</v>
      </c>
      <c r="GB204">
        <v>20.82249636361729</v>
      </c>
      <c r="GC204">
        <v>12.914609837687797</v>
      </c>
      <c r="GD204">
        <v>9.3157138130734278</v>
      </c>
      <c r="GE204">
        <v>11.290539557281612</v>
      </c>
      <c r="GF204">
        <v>22.304095757636468</v>
      </c>
      <c r="GG204">
        <v>18.420203574161906</v>
      </c>
      <c r="GH204">
        <v>15.753731808676214</v>
      </c>
      <c r="GI204">
        <v>25.341265077965101</v>
      </c>
      <c r="GJ204"/>
      <c r="GK204">
        <v>54.963650661683218</v>
      </c>
      <c r="GL204">
        <v>64.731904376970704</v>
      </c>
      <c r="GM204">
        <v>36.88847812118567</v>
      </c>
      <c r="GN204">
        <v>42.651075383090969</v>
      </c>
      <c r="GO204">
        <v>40.537580488328764</v>
      </c>
      <c r="GP204">
        <v>24.225269213912981</v>
      </c>
      <c r="GQ204">
        <v>30.05070052048443</v>
      </c>
      <c r="GR204">
        <v>27.706319628815432</v>
      </c>
      <c r="GS204">
        <v>18.331991911605922</v>
      </c>
      <c r="GT204">
        <v>36.154480340657599</v>
      </c>
      <c r="GU204"/>
      <c r="GV204"/>
      <c r="GW204"/>
      <c r="GX204"/>
      <c r="GY204"/>
      <c r="GZ204"/>
      <c r="HA204"/>
      <c r="HB204"/>
      <c r="HC204"/>
    </row>
    <row r="205" spans="1:211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52.456517094017087</v>
      </c>
      <c r="AO205">
        <v>40.555719854632024</v>
      </c>
      <c r="AP205">
        <v>22.004049667678949</v>
      </c>
      <c r="AQ205">
        <v>264.90184851785386</v>
      </c>
      <c r="AR205">
        <v>38.585436303825979</v>
      </c>
      <c r="AS205">
        <v>358.71177885177491</v>
      </c>
      <c r="AT205">
        <v>30.944011493951425</v>
      </c>
      <c r="AU205">
        <v>18.910458774922265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1">
        <v>200</v>
      </c>
      <c r="FZ205">
        <v>61.747190308601986</v>
      </c>
      <c r="GA205">
        <v>104.06663614728863</v>
      </c>
      <c r="GB205">
        <v>33.404216602586814</v>
      </c>
      <c r="GC205">
        <v>11.097486956833512</v>
      </c>
      <c r="GD205">
        <v>7.0347513688960648</v>
      </c>
      <c r="GE205">
        <v>8.6196592319031637</v>
      </c>
      <c r="GF205">
        <v>33.710997370486005</v>
      </c>
      <c r="GG205">
        <v>28.291543438264053</v>
      </c>
      <c r="GH205">
        <v>15.753731808676219</v>
      </c>
      <c r="GI205">
        <v>30.75861102303427</v>
      </c>
      <c r="GJ205"/>
      <c r="GK205">
        <v>67.465268787126192</v>
      </c>
      <c r="GL205">
        <v>96.642476270575429</v>
      </c>
      <c r="GM205">
        <v>59.177857053341668</v>
      </c>
      <c r="GN205">
        <v>36.649405652845097</v>
      </c>
      <c r="GO205">
        <v>30.610848810667378</v>
      </c>
      <c r="GP205">
        <v>18.494560367610983</v>
      </c>
      <c r="GQ205">
        <v>45.419419699203409</v>
      </c>
      <c r="GR205">
        <v>42.554065276052413</v>
      </c>
      <c r="GS205">
        <v>18.331991911605929</v>
      </c>
      <c r="GT205">
        <v>44.201077252388913</v>
      </c>
      <c r="GU205"/>
      <c r="GV205"/>
      <c r="GW205"/>
      <c r="GX205"/>
      <c r="GY205"/>
      <c r="GZ205"/>
      <c r="HA205"/>
      <c r="HB205"/>
      <c r="HC205"/>
    </row>
    <row r="206" spans="1:211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55.144230769230759</v>
      </c>
      <c r="AO206">
        <v>41.033795401877782</v>
      </c>
      <c r="AP206">
        <v>14.664035374304778</v>
      </c>
      <c r="AQ206">
        <v>280.38625716103002</v>
      </c>
      <c r="AR206">
        <v>39.399105406526729</v>
      </c>
      <c r="AS206">
        <v>368.04563273703928</v>
      </c>
      <c r="AT206">
        <v>31.8227686225183</v>
      </c>
      <c r="AU206">
        <v>25.346996439080268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1">
        <v>201</v>
      </c>
      <c r="FZ206">
        <v>43.864500737765582</v>
      </c>
      <c r="GA206">
        <v>68.824815268283729</v>
      </c>
      <c r="GB206">
        <v>25.243642678665545</v>
      </c>
      <c r="GC206">
        <v>12.545717499729218</v>
      </c>
      <c r="GD206">
        <v>10.005344759265192</v>
      </c>
      <c r="GE206">
        <v>14.419018260085032</v>
      </c>
      <c r="GF206">
        <v>35.477397389116796</v>
      </c>
      <c r="GG206">
        <v>29.354247490619553</v>
      </c>
      <c r="GH206">
        <v>12.963068504476368</v>
      </c>
      <c r="GI206">
        <v>27.749500296268774</v>
      </c>
      <c r="GJ206"/>
      <c r="GK206">
        <v>50.769010193460389</v>
      </c>
      <c r="GL206">
        <v>67.83358306995315</v>
      </c>
      <c r="GM206">
        <v>44.720841554716188</v>
      </c>
      <c r="GN206">
        <v>41.43652240345029</v>
      </c>
      <c r="GO206">
        <v>43.543186351558447</v>
      </c>
      <c r="GP206">
        <v>30.937812792623355</v>
      </c>
      <c r="GQ206">
        <v>47.799321513473458</v>
      </c>
      <c r="GR206">
        <v>44.152506793099462</v>
      </c>
      <c r="GS206">
        <v>15.206150722713929</v>
      </c>
      <c r="GT206">
        <v>40.407702067184481</v>
      </c>
      <c r="GU206"/>
      <c r="GV206"/>
      <c r="GW206"/>
      <c r="GX206"/>
      <c r="GY206"/>
      <c r="GZ206"/>
      <c r="HA206"/>
      <c r="HB206"/>
      <c r="HC206"/>
    </row>
    <row r="207" spans="1:211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47.242628205128213</v>
      </c>
      <c r="AO207">
        <v>35.572492514038096</v>
      </c>
      <c r="AP207">
        <v>12.635524719246163</v>
      </c>
      <c r="AQ207">
        <v>235.371928934192</v>
      </c>
      <c r="AR207">
        <v>34.262477880140565</v>
      </c>
      <c r="AS207">
        <v>332.80945042259668</v>
      </c>
      <c r="AT207">
        <v>27.829357469061687</v>
      </c>
      <c r="AU207">
        <v>25.815712937923134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1">
        <v>202</v>
      </c>
      <c r="FZ207">
        <v>53.28600787669307</v>
      </c>
      <c r="GA207">
        <v>83.866195503182041</v>
      </c>
      <c r="GB207">
        <v>28.431680157543873</v>
      </c>
      <c r="GC207">
        <v>13.266342174667784</v>
      </c>
      <c r="GD207">
        <v>7.8249994824123252</v>
      </c>
      <c r="GE207">
        <v>10.305302234458443</v>
      </c>
      <c r="GF207">
        <v>10.633552350961436</v>
      </c>
      <c r="GG207">
        <v>5.9747583387986687</v>
      </c>
      <c r="GH207">
        <v>13.36815214005342</v>
      </c>
      <c r="GI207">
        <v>24.016628034754866</v>
      </c>
      <c r="GJ207"/>
      <c r="GK207">
        <v>56.917301404740712</v>
      </c>
      <c r="GL207">
        <v>76.453808835315684</v>
      </c>
      <c r="GM207">
        <v>50.368668248282397</v>
      </c>
      <c r="GN207">
        <v>43.812791710722585</v>
      </c>
      <c r="GO207">
        <v>34.050002752758338</v>
      </c>
      <c r="GP207">
        <v>22.111318922707174</v>
      </c>
      <c r="GQ207">
        <v>14.326772115754986</v>
      </c>
      <c r="GR207">
        <v>8.9867934180644902</v>
      </c>
      <c r="GS207">
        <v>16.346016095413866</v>
      </c>
      <c r="GT207">
        <v>34.401752123390054</v>
      </c>
      <c r="GU207"/>
      <c r="GV207"/>
      <c r="GW207"/>
      <c r="GX207"/>
      <c r="GY207"/>
      <c r="GZ207"/>
      <c r="HA207"/>
      <c r="HB207"/>
      <c r="HC207"/>
    </row>
    <row r="208" spans="1:211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58.936805555555566</v>
      </c>
      <c r="AO208">
        <v>48.447112756703213</v>
      </c>
      <c r="AP208">
        <v>59.586219330821152</v>
      </c>
      <c r="AQ208">
        <v>346.20883212354033</v>
      </c>
      <c r="AR208">
        <v>46.53435869451566</v>
      </c>
      <c r="AS208">
        <v>435.07043746893561</v>
      </c>
      <c r="AT208">
        <v>35.872217633366823</v>
      </c>
      <c r="AU208">
        <v>27.25868635052548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46.686804817918201</v>
      </c>
      <c r="GA208">
        <v>77.057496719642018</v>
      </c>
      <c r="GB208">
        <v>28.000593328638949</v>
      </c>
      <c r="GC208">
        <v>9.7182228743278944</v>
      </c>
      <c r="GD208">
        <v>7.456493713888138</v>
      </c>
      <c r="GE208">
        <v>13.144279922972595</v>
      </c>
      <c r="GF208">
        <v>41.567522826485607</v>
      </c>
      <c r="GG208">
        <v>34.549689524357518</v>
      </c>
      <c r="GH208">
        <v>9.7673215646994667</v>
      </c>
      <c r="GI208">
        <v>28.022353705606644</v>
      </c>
      <c r="GJ208"/>
      <c r="GK208">
        <v>50.078639241925487</v>
      </c>
      <c r="GL208">
        <v>70.436564546698605</v>
      </c>
      <c r="GM208">
        <v>49.604968412359931</v>
      </c>
      <c r="GN208">
        <v>32.063193385726507</v>
      </c>
      <c r="GO208">
        <v>32.41157166508291</v>
      </c>
      <c r="GP208">
        <v>28.202701752342861</v>
      </c>
      <c r="GQ208">
        <v>56.004654634314939</v>
      </c>
      <c r="GR208">
        <v>51.967109765329447</v>
      </c>
      <c r="GS208">
        <v>10.94044416112199</v>
      </c>
      <c r="GT208">
        <v>39.808055622961049</v>
      </c>
      <c r="GU208"/>
      <c r="GV208"/>
      <c r="GW208"/>
      <c r="GX208"/>
      <c r="GY208"/>
      <c r="GZ208"/>
      <c r="HA208"/>
      <c r="HB208"/>
      <c r="HC208"/>
    </row>
    <row r="209" spans="1:211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54.139155982905983</v>
      </c>
      <c r="AO209">
        <v>45.129604296406669</v>
      </c>
      <c r="AP209">
        <v>66.280792245777704</v>
      </c>
      <c r="AQ209">
        <v>318.05749856509232</v>
      </c>
      <c r="AR209">
        <v>43.853279118048704</v>
      </c>
      <c r="AS209">
        <v>407.20840056967512</v>
      </c>
      <c r="AT209">
        <v>33.28002654875241</v>
      </c>
      <c r="AU209">
        <v>26.401129912698188</v>
      </c>
      <c r="AV209"/>
      <c r="AW209"/>
      <c r="FY209" s="211">
        <v>204</v>
      </c>
      <c r="FZ209">
        <v>58.493493169141352</v>
      </c>
      <c r="GA209">
        <v>90.193152717023523</v>
      </c>
      <c r="GB209">
        <v>33.303963851678681</v>
      </c>
      <c r="GC209">
        <v>11.266353688332821</v>
      </c>
      <c r="GD209">
        <v>7.0248401067334791</v>
      </c>
      <c r="GE209">
        <v>8.1340446272889011</v>
      </c>
      <c r="GF209">
        <v>20.731033054477709</v>
      </c>
      <c r="GG209">
        <v>17.35749952180641</v>
      </c>
      <c r="GH209">
        <v>8.4282406351516155</v>
      </c>
      <c r="GI209">
        <v>26.6955866905022</v>
      </c>
      <c r="GJ209"/>
      <c r="GK209">
        <v>60.491327042204013</v>
      </c>
      <c r="GL209">
        <v>79.708950316745913</v>
      </c>
      <c r="GM209">
        <v>59.000252440336432</v>
      </c>
      <c r="GN209">
        <v>37.184105064941711</v>
      </c>
      <c r="GO209">
        <v>30.541692538546219</v>
      </c>
      <c r="GP209">
        <v>17.452613304646984</v>
      </c>
      <c r="GQ209">
        <v>27.93128547195538</v>
      </c>
      <c r="GR209">
        <v>26.107878111768382</v>
      </c>
      <c r="GS209">
        <v>10.126658790764434</v>
      </c>
      <c r="GT209">
        <v>37.618243256761296</v>
      </c>
      <c r="GU209"/>
      <c r="GV209"/>
      <c r="GW209"/>
      <c r="GX209"/>
      <c r="GY209"/>
      <c r="GZ209"/>
      <c r="HA209"/>
      <c r="HB209"/>
      <c r="HC209"/>
    </row>
    <row r="210" spans="1:211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40.10964209401709</v>
      </c>
      <c r="AO210">
        <v>34.602835784110553</v>
      </c>
      <c r="AP210">
        <v>49.099199228040504</v>
      </c>
      <c r="AQ210">
        <v>233.8729582037997</v>
      </c>
      <c r="AR210">
        <v>33.20344654129778</v>
      </c>
      <c r="AS210">
        <v>292.72853223413625</v>
      </c>
      <c r="AT210">
        <v>25.307388036164955</v>
      </c>
      <c r="AU210">
        <v>7.2303923271900921</v>
      </c>
      <c r="AV210"/>
      <c r="AW210"/>
      <c r="FY210" s="211">
        <v>205</v>
      </c>
      <c r="FZ210">
        <v>46.30905164675297</v>
      </c>
      <c r="GA210">
        <v>73.962633636214747</v>
      </c>
      <c r="GB210">
        <v>35.710029873473665</v>
      </c>
      <c r="GC210">
        <v>15.522990578668466</v>
      </c>
      <c r="GD210">
        <v>7.7495830138062569</v>
      </c>
      <c r="GE210">
        <v>11.35124138285839</v>
      </c>
      <c r="GF210">
        <v>24.720812201036789</v>
      </c>
      <c r="GG210">
        <v>17.64088726910121</v>
      </c>
      <c r="GH210">
        <v>11.162653216799388</v>
      </c>
      <c r="GI210">
        <v>27.084949520538142</v>
      </c>
      <c r="GJ210"/>
      <c r="GK210">
        <v>49.687909093313991</v>
      </c>
      <c r="GL210">
        <v>67.70145350641809</v>
      </c>
      <c r="GM210">
        <v>63.262763152461908</v>
      </c>
      <c r="GN210">
        <v>51.243104071858049</v>
      </c>
      <c r="GO210">
        <v>33.695768306941609</v>
      </c>
      <c r="GP210">
        <v>24.355512596783477</v>
      </c>
      <c r="GQ210">
        <v>33.306785092246919</v>
      </c>
      <c r="GR210">
        <v>26.534129182980926</v>
      </c>
      <c r="GS210">
        <v>12.503364755567986</v>
      </c>
      <c r="GT210">
        <v>38.491318080106481</v>
      </c>
      <c r="GU210"/>
      <c r="GV210"/>
      <c r="GW210"/>
      <c r="GX210"/>
      <c r="GY210"/>
      <c r="GZ210"/>
      <c r="HA210"/>
      <c r="HB210"/>
      <c r="HC210"/>
    </row>
    <row r="211" spans="1:211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56.695352564102564</v>
      </c>
      <c r="AO211">
        <v>42.123880807640731</v>
      </c>
      <c r="AP211">
        <v>6.827386264448255</v>
      </c>
      <c r="AQ211">
        <v>297.25135379039517</v>
      </c>
      <c r="AR211">
        <v>39.797911634591244</v>
      </c>
      <c r="AS211">
        <v>385.79063879315981</v>
      </c>
      <c r="AT211">
        <v>32.718104955694187</v>
      </c>
      <c r="AU211">
        <v>23.934510050242537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45.957596356087599</v>
      </c>
      <c r="GA211">
        <v>80.152359803069317</v>
      </c>
      <c r="GB211">
        <v>37.935640943634006</v>
      </c>
      <c r="GC211">
        <v>16.608959194852279</v>
      </c>
      <c r="GD211">
        <v>7.8330667066864459</v>
      </c>
      <c r="GE211">
        <v>10.534101423170929</v>
      </c>
      <c r="GF211">
        <v>20.880430070978818</v>
      </c>
      <c r="GG211">
        <v>12.988605084344933</v>
      </c>
      <c r="GH211">
        <v>8.3719899125995436</v>
      </c>
      <c r="GI211">
        <v>26.466083258295573</v>
      </c>
      <c r="GJ211"/>
      <c r="GK211">
        <v>49.337136521677621</v>
      </c>
      <c r="GL211">
        <v>73.171675586979106</v>
      </c>
      <c r="GM211">
        <v>67.205585561177941</v>
      </c>
      <c r="GN211">
        <v>54.845247282554588</v>
      </c>
      <c r="GO211">
        <v>34.076437075589496</v>
      </c>
      <c r="GP211">
        <v>22.602236288911364</v>
      </c>
      <c r="GQ211">
        <v>28.132570700027973</v>
      </c>
      <c r="GR211">
        <v>19.536507430574979</v>
      </c>
      <c r="GS211">
        <v>9.3775235666759915</v>
      </c>
      <c r="GT211">
        <v>37.625850685029803</v>
      </c>
      <c r="GU211"/>
      <c r="GV211"/>
      <c r="GW211"/>
      <c r="GX211"/>
      <c r="GY211"/>
      <c r="GZ211"/>
      <c r="HA211"/>
      <c r="HB211"/>
      <c r="HC211"/>
    </row>
    <row r="212" spans="1:211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43.910069444444453</v>
      </c>
      <c r="AO212">
        <v>32.785327262379994</v>
      </c>
      <c r="AP212">
        <v>17.502478176467694</v>
      </c>
      <c r="AQ212">
        <v>210.43532922900243</v>
      </c>
      <c r="AR212">
        <v>32.092597354353607</v>
      </c>
      <c r="AS212">
        <v>298.50708526545657</v>
      </c>
      <c r="AT212">
        <v>25.726073160636783</v>
      </c>
      <c r="AU212">
        <v>33.372755682643387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40">AVERAGE(DF88:DF97)</f>
        <v>0</v>
      </c>
      <c r="DG212" s="181">
        <f t="shared" si="340"/>
        <v>0</v>
      </c>
      <c r="DH212" s="181">
        <f t="shared" si="340"/>
        <v>7.291666666666667</v>
      </c>
      <c r="DI212" s="181">
        <f t="shared" si="340"/>
        <v>35.416666666666671</v>
      </c>
      <c r="DJ212" s="181">
        <f t="shared" si="340"/>
        <v>0</v>
      </c>
      <c r="DK212" s="181">
        <f t="shared" ref="DK212:DQ212" si="341">AVERAGE(DK88:DK97)</f>
        <v>0</v>
      </c>
      <c r="DL212" s="181">
        <f t="shared" si="341"/>
        <v>0</v>
      </c>
      <c r="DM212" s="181">
        <f t="shared" si="341"/>
        <v>0</v>
      </c>
      <c r="DN212" s="181">
        <f t="shared" si="341"/>
        <v>0</v>
      </c>
      <c r="DO212" s="181">
        <f t="shared" si="341"/>
        <v>0</v>
      </c>
      <c r="DP212" s="181">
        <f t="shared" si="341"/>
        <v>0</v>
      </c>
      <c r="DQ212" s="181">
        <f t="shared" si="341"/>
        <v>0</v>
      </c>
      <c r="DR212" s="181">
        <f t="shared" si="340"/>
        <v>0</v>
      </c>
      <c r="DS212" s="181">
        <f t="shared" si="340"/>
        <v>0</v>
      </c>
      <c r="DT212" s="181">
        <f t="shared" si="340"/>
        <v>0</v>
      </c>
      <c r="DU212" s="181">
        <f t="shared" si="340"/>
        <v>0</v>
      </c>
      <c r="DV212" s="181">
        <f t="shared" si="340"/>
        <v>0</v>
      </c>
      <c r="DW212" s="181">
        <f t="shared" si="340"/>
        <v>0</v>
      </c>
      <c r="DX212" s="181">
        <f t="shared" si="340"/>
        <v>0</v>
      </c>
      <c r="DY212" s="181">
        <f t="shared" si="340"/>
        <v>0</v>
      </c>
      <c r="DZ212" s="181">
        <f t="shared" si="340"/>
        <v>0</v>
      </c>
      <c r="EA212" s="181">
        <f t="shared" si="340"/>
        <v>0</v>
      </c>
      <c r="EB212" s="181">
        <f t="shared" si="340"/>
        <v>0</v>
      </c>
      <c r="EC212" s="181">
        <f t="shared" si="340"/>
        <v>0</v>
      </c>
      <c r="ED212" s="181">
        <f t="shared" si="340"/>
        <v>0</v>
      </c>
      <c r="EE212" s="181">
        <f t="shared" si="340"/>
        <v>0</v>
      </c>
      <c r="EF212" s="181">
        <f t="shared" si="340"/>
        <v>0</v>
      </c>
      <c r="EG212" s="181">
        <f t="shared" si="340"/>
        <v>0</v>
      </c>
      <c r="EH212" s="181">
        <f t="shared" si="340"/>
        <v>0</v>
      </c>
      <c r="EI212" s="181">
        <f t="shared" si="340"/>
        <v>0</v>
      </c>
      <c r="EJ212" s="181">
        <f t="shared" si="340"/>
        <v>0</v>
      </c>
      <c r="FY212" s="211">
        <v>207</v>
      </c>
      <c r="FZ212">
        <v>41.625400926496354</v>
      </c>
      <c r="GA212">
        <v>58.183425968432815</v>
      </c>
      <c r="GB212">
        <v>22.817526106688955</v>
      </c>
      <c r="GC212">
        <v>15.40651831524144</v>
      </c>
      <c r="GD212">
        <v>10.567428317030194</v>
      </c>
      <c r="GE212">
        <v>10.244600408881661</v>
      </c>
      <c r="GF212">
        <v>20.107080809090718</v>
      </c>
      <c r="GG212">
        <v>16.625414507961516</v>
      </c>
      <c r="GH212">
        <v>9.418488651674485</v>
      </c>
      <c r="GI212">
        <v>23.782998929064874</v>
      </c>
      <c r="GJ212"/>
      <c r="GK212">
        <v>43.0472431970435</v>
      </c>
      <c r="GL212">
        <v>51.420087557273341</v>
      </c>
      <c r="GM212">
        <v>40.422809919989696</v>
      </c>
      <c r="GN212">
        <v>50.881455308330629</v>
      </c>
      <c r="GO212">
        <v>45.985032746709599</v>
      </c>
      <c r="GP212">
        <v>21.981075539836674</v>
      </c>
      <c r="GQ212">
        <v>27.090623637063977</v>
      </c>
      <c r="GR212">
        <v>25.006729511135976</v>
      </c>
      <c r="GS212">
        <v>10.549714012510488</v>
      </c>
      <c r="GT212">
        <v>33.419084702663454</v>
      </c>
      <c r="GU212"/>
      <c r="GV212"/>
      <c r="GW212"/>
      <c r="GX212"/>
      <c r="GY212"/>
      <c r="GZ212"/>
      <c r="HA212"/>
      <c r="HB212"/>
      <c r="HC212"/>
    </row>
    <row r="213" spans="1:211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52.854166666666664</v>
      </c>
      <c r="AO213">
        <v>43.273265689006806</v>
      </c>
      <c r="AP213">
        <v>63.103320034445318</v>
      </c>
      <c r="AQ213">
        <v>311.45718593632137</v>
      </c>
      <c r="AR213">
        <v>41.819106788197253</v>
      </c>
      <c r="AS213">
        <v>408.08292585250916</v>
      </c>
      <c r="AT213">
        <v>32.171846798491792</v>
      </c>
      <c r="AU213">
        <v>48.003374792685108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42">AVERAGE(DF98:DF107)</f>
        <v>0</v>
      </c>
      <c r="DG213" s="184">
        <f t="shared" si="342"/>
        <v>0</v>
      </c>
      <c r="DH213" s="184">
        <f t="shared" si="342"/>
        <v>0</v>
      </c>
      <c r="DI213" s="184">
        <f t="shared" si="342"/>
        <v>66.25</v>
      </c>
      <c r="DJ213" s="184">
        <f t="shared" si="342"/>
        <v>4.1666666666666661</v>
      </c>
      <c r="DK213" s="184">
        <f t="shared" ref="DK213:DQ213" si="343">AVERAGE(DK98:DK107)</f>
        <v>0</v>
      </c>
      <c r="DL213" s="184">
        <f t="shared" si="343"/>
        <v>0</v>
      </c>
      <c r="DM213" s="184">
        <f t="shared" si="343"/>
        <v>0</v>
      </c>
      <c r="DN213" s="184">
        <f t="shared" si="343"/>
        <v>0</v>
      </c>
      <c r="DO213" s="184">
        <f t="shared" si="343"/>
        <v>0</v>
      </c>
      <c r="DP213" s="184">
        <f t="shared" si="343"/>
        <v>0</v>
      </c>
      <c r="DQ213" s="184">
        <f t="shared" si="343"/>
        <v>0</v>
      </c>
      <c r="DR213" s="184">
        <f t="shared" si="342"/>
        <v>0</v>
      </c>
      <c r="DS213" s="184">
        <f t="shared" si="342"/>
        <v>0</v>
      </c>
      <c r="DT213" s="184">
        <f t="shared" si="342"/>
        <v>0</v>
      </c>
      <c r="DU213" s="184">
        <f t="shared" si="342"/>
        <v>0</v>
      </c>
      <c r="DV213" s="184">
        <f t="shared" si="342"/>
        <v>0</v>
      </c>
      <c r="DW213" s="184">
        <f t="shared" si="342"/>
        <v>0</v>
      </c>
      <c r="DX213" s="184">
        <f t="shared" si="342"/>
        <v>0</v>
      </c>
      <c r="DY213" s="184">
        <f t="shared" si="342"/>
        <v>0</v>
      </c>
      <c r="DZ213" s="184">
        <f t="shared" si="342"/>
        <v>0</v>
      </c>
      <c r="EA213" s="184">
        <f t="shared" si="342"/>
        <v>0</v>
      </c>
      <c r="EB213" s="184">
        <f t="shared" si="342"/>
        <v>0</v>
      </c>
      <c r="EC213" s="184">
        <f t="shared" si="342"/>
        <v>0</v>
      </c>
      <c r="ED213" s="184">
        <f t="shared" si="342"/>
        <v>0</v>
      </c>
      <c r="EE213" s="184">
        <f t="shared" si="342"/>
        <v>0</v>
      </c>
      <c r="EF213" s="184">
        <f t="shared" si="342"/>
        <v>0</v>
      </c>
      <c r="EG213" s="184">
        <f t="shared" si="342"/>
        <v>0</v>
      </c>
      <c r="EH213" s="184">
        <f t="shared" si="342"/>
        <v>0</v>
      </c>
      <c r="EI213" s="184">
        <f t="shared" si="342"/>
        <v>0</v>
      </c>
      <c r="EJ213" s="184">
        <f t="shared" si="342"/>
        <v>0</v>
      </c>
      <c r="FY213" s="211">
        <v>208</v>
      </c>
      <c r="FZ213">
        <v>56.758338515501123</v>
      </c>
      <c r="GA213">
        <v>81.478729695966734</v>
      </c>
      <c r="GB213">
        <v>21.494189794701722</v>
      </c>
      <c r="GC213">
        <v>9.3624027825660914</v>
      </c>
      <c r="GD213">
        <v>7.9555913316798419</v>
      </c>
      <c r="GE213">
        <v>8.7877565950388714</v>
      </c>
      <c r="GF213">
        <v>21.267104701922872</v>
      </c>
      <c r="GG213">
        <v>23.899033355194678</v>
      </c>
      <c r="GH213">
        <v>18.893228025901042</v>
      </c>
      <c r="GI213">
        <v>25.759276344513687</v>
      </c>
      <c r="GJ213"/>
      <c r="GK213">
        <v>60.500799592022759</v>
      </c>
      <c r="GL213">
        <v>74.343866032813608</v>
      </c>
      <c r="GM213">
        <v>38.078429028320699</v>
      </c>
      <c r="GN213">
        <v>30.918696806543103</v>
      </c>
      <c r="GO213">
        <v>34.618337514375064</v>
      </c>
      <c r="GP213">
        <v>18.855234350944674</v>
      </c>
      <c r="GQ213">
        <v>28.653544231509972</v>
      </c>
      <c r="GR213">
        <v>35.947173672257968</v>
      </c>
      <c r="GS213">
        <v>21.848563249109421</v>
      </c>
      <c r="GT213">
        <v>36.739934723067577</v>
      </c>
      <c r="GU213"/>
      <c r="GV213"/>
      <c r="GW213"/>
      <c r="GX213"/>
      <c r="GY213"/>
      <c r="GZ213"/>
      <c r="HA213"/>
      <c r="HB213"/>
      <c r="HC213"/>
    </row>
    <row r="214" spans="1:211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43.283386752136749</v>
      </c>
      <c r="AO214">
        <v>34.313658833758247</v>
      </c>
      <c r="AP214">
        <v>19.20818175226368</v>
      </c>
      <c r="AQ214">
        <v>221.82907037668696</v>
      </c>
      <c r="AR214">
        <v>33.215989248663924</v>
      </c>
      <c r="AS214">
        <v>327.50799703746105</v>
      </c>
      <c r="AT214">
        <v>26.731444464522838</v>
      </c>
      <c r="AU214">
        <v>16.226671537678524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4">AVERAGE(DF108:DF117)</f>
        <v>0</v>
      </c>
      <c r="DG214" s="181">
        <f t="shared" si="344"/>
        <v>0</v>
      </c>
      <c r="DH214" s="181">
        <f t="shared" si="344"/>
        <v>0</v>
      </c>
      <c r="DI214" s="181">
        <f t="shared" si="344"/>
        <v>86.458333333333343</v>
      </c>
      <c r="DJ214" s="181">
        <f t="shared" si="344"/>
        <v>0</v>
      </c>
      <c r="DK214" s="181">
        <f t="shared" si="344"/>
        <v>0</v>
      </c>
      <c r="DL214" s="181">
        <f t="shared" si="344"/>
        <v>0</v>
      </c>
      <c r="DM214" s="181">
        <f t="shared" si="344"/>
        <v>0</v>
      </c>
      <c r="DN214" s="181">
        <f t="shared" si="344"/>
        <v>0</v>
      </c>
      <c r="DO214" s="181">
        <f t="shared" si="344"/>
        <v>0</v>
      </c>
      <c r="DP214" s="181">
        <f t="shared" si="344"/>
        <v>0</v>
      </c>
      <c r="DQ214" s="181">
        <f t="shared" si="344"/>
        <v>0</v>
      </c>
      <c r="DR214" s="181">
        <f t="shared" si="344"/>
        <v>0</v>
      </c>
      <c r="DS214" s="181">
        <f t="shared" si="344"/>
        <v>0</v>
      </c>
      <c r="DT214" s="181">
        <f t="shared" si="344"/>
        <v>0</v>
      </c>
      <c r="DU214" s="181">
        <f t="shared" si="344"/>
        <v>0</v>
      </c>
      <c r="DV214" s="181">
        <f t="shared" si="344"/>
        <v>0</v>
      </c>
      <c r="DW214" s="181">
        <f t="shared" si="344"/>
        <v>0</v>
      </c>
      <c r="DX214" s="181">
        <f t="shared" si="344"/>
        <v>0</v>
      </c>
      <c r="DY214" s="181">
        <f t="shared" si="344"/>
        <v>0</v>
      </c>
      <c r="DZ214" s="181">
        <f t="shared" si="344"/>
        <v>0</v>
      </c>
      <c r="EA214" s="181">
        <f t="shared" si="344"/>
        <v>0</v>
      </c>
      <c r="EB214" s="181">
        <f t="shared" si="344"/>
        <v>0</v>
      </c>
      <c r="EC214" s="181">
        <f t="shared" si="344"/>
        <v>0</v>
      </c>
      <c r="ED214" s="181">
        <f t="shared" si="344"/>
        <v>0</v>
      </c>
      <c r="EE214" s="181">
        <f t="shared" si="344"/>
        <v>0</v>
      </c>
      <c r="EF214" s="181">
        <f t="shared" si="344"/>
        <v>0</v>
      </c>
      <c r="EG214" s="181">
        <f t="shared" si="344"/>
        <v>0</v>
      </c>
      <c r="EH214" s="181">
        <f t="shared" si="344"/>
        <v>0</v>
      </c>
      <c r="EI214" s="181">
        <f t="shared" si="344"/>
        <v>0</v>
      </c>
      <c r="EJ214" s="181">
        <f t="shared" si="344"/>
        <v>0</v>
      </c>
      <c r="FY214" s="211">
        <v>209</v>
      </c>
      <c r="FZ214">
        <v>29.104296452486384</v>
      </c>
      <c r="GA214">
        <v>51.374727184892826</v>
      </c>
      <c r="GB214">
        <v>22.606995329781892</v>
      </c>
      <c r="GC214">
        <v>10.01929032679886</v>
      </c>
      <c r="GD214">
        <v>8.2712751822946071</v>
      </c>
      <c r="GE214">
        <v>14.008113594642198</v>
      </c>
      <c r="GF214">
        <v>11.890244901529604</v>
      </c>
      <c r="GG214">
        <v>8.0529351522938573</v>
      </c>
      <c r="GH214">
        <v>16.04631399914912</v>
      </c>
      <c r="GI214">
        <v>19.942616391542739</v>
      </c>
      <c r="GJ214"/>
      <c r="GK214">
        <v>30.092521480229337</v>
      </c>
      <c r="GL214">
        <v>45.402843268656262</v>
      </c>
      <c r="GM214">
        <v>40.049840232678712</v>
      </c>
      <c r="GN214">
        <v>33.061411725553519</v>
      </c>
      <c r="GO214">
        <v>35.961831674861955</v>
      </c>
      <c r="GP214">
        <v>30.056165277807668</v>
      </c>
      <c r="GQ214">
        <v>16.019936093071482</v>
      </c>
      <c r="GR214">
        <v>12.112634606956487</v>
      </c>
      <c r="GS214">
        <v>17.97358683612898</v>
      </c>
      <c r="GT214">
        <v>28.019543263394098</v>
      </c>
      <c r="GU214"/>
      <c r="GV214"/>
      <c r="GW214"/>
      <c r="GX214"/>
      <c r="GY214"/>
      <c r="GZ214"/>
      <c r="HA214"/>
      <c r="HB214"/>
      <c r="HC214"/>
    </row>
    <row r="215" spans="1:211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47.696180555555557</v>
      </c>
      <c r="AO215">
        <v>37.62414506467357</v>
      </c>
      <c r="AP215">
        <v>15.315743868976268</v>
      </c>
      <c r="AQ215">
        <v>258.16239438517471</v>
      </c>
      <c r="AR215">
        <v>36.154480340657599</v>
      </c>
      <c r="AS215">
        <v>358.61218130832452</v>
      </c>
      <c r="AT215">
        <v>29.152377860008951</v>
      </c>
      <c r="AU215">
        <v>15.574087457757747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5">AVERAGE(DF118:DF127)</f>
        <v>0</v>
      </c>
      <c r="DG215" s="181">
        <f t="shared" ref="DG215:DH215" si="346">AVERAGE(DG118:DG127)</f>
        <v>0</v>
      </c>
      <c r="DH215" s="181">
        <f t="shared" si="346"/>
        <v>0</v>
      </c>
      <c r="DI215" s="181">
        <f t="shared" si="345"/>
        <v>49.952651515151516</v>
      </c>
      <c r="DJ215" s="181">
        <f t="shared" si="345"/>
        <v>0</v>
      </c>
      <c r="DK215" s="181">
        <f t="shared" si="345"/>
        <v>0</v>
      </c>
      <c r="DL215" s="181">
        <f t="shared" si="345"/>
        <v>0</v>
      </c>
      <c r="DM215" s="181">
        <f t="shared" si="345"/>
        <v>0</v>
      </c>
      <c r="DN215" s="181">
        <f t="shared" si="345"/>
        <v>0</v>
      </c>
      <c r="DO215" s="181">
        <f t="shared" si="345"/>
        <v>0</v>
      </c>
      <c r="DP215" s="181">
        <f t="shared" si="345"/>
        <v>0</v>
      </c>
      <c r="DQ215" s="181">
        <f t="shared" si="345"/>
        <v>0</v>
      </c>
      <c r="DR215" s="181">
        <f t="shared" si="345"/>
        <v>0</v>
      </c>
      <c r="DS215" s="181">
        <f t="shared" si="345"/>
        <v>0</v>
      </c>
      <c r="DT215" s="181">
        <f t="shared" si="345"/>
        <v>0</v>
      </c>
      <c r="DU215" s="181">
        <f t="shared" si="345"/>
        <v>0</v>
      </c>
      <c r="DV215" s="181">
        <f t="shared" si="345"/>
        <v>0</v>
      </c>
      <c r="DW215" s="181">
        <f t="shared" si="345"/>
        <v>0</v>
      </c>
      <c r="DX215" s="181">
        <f t="shared" si="345"/>
        <v>0</v>
      </c>
      <c r="DY215" s="181">
        <f t="shared" si="345"/>
        <v>0</v>
      </c>
      <c r="DZ215" s="181">
        <f t="shared" si="345"/>
        <v>0</v>
      </c>
      <c r="EA215" s="181">
        <f t="shared" si="345"/>
        <v>0</v>
      </c>
      <c r="EB215" s="181">
        <f t="shared" si="345"/>
        <v>0</v>
      </c>
      <c r="EC215" s="181">
        <f t="shared" si="345"/>
        <v>0</v>
      </c>
      <c r="ED215" s="181">
        <f t="shared" si="345"/>
        <v>0</v>
      </c>
      <c r="EE215" s="181">
        <f t="shared" si="345"/>
        <v>0</v>
      </c>
      <c r="EF215" s="181">
        <f t="shared" si="345"/>
        <v>0</v>
      </c>
      <c r="EG215" s="181">
        <f t="shared" si="345"/>
        <v>0</v>
      </c>
      <c r="EH215" s="181">
        <f t="shared" si="345"/>
        <v>0</v>
      </c>
      <c r="EI215" s="181">
        <f t="shared" si="345"/>
        <v>0</v>
      </c>
      <c r="EJ215" s="181">
        <f t="shared" si="345"/>
        <v>0</v>
      </c>
      <c r="FY215" s="211">
        <v>210</v>
      </c>
      <c r="FZ215">
        <v>36.272955568243972</v>
      </c>
      <c r="GA215">
        <v>55.530686182638021</v>
      </c>
      <c r="GB215">
        <v>28.451730707725503</v>
      </c>
      <c r="GC215">
        <v>18.43372834432466</v>
      </c>
      <c r="GD215">
        <v>10.302335396462485</v>
      </c>
      <c r="GE215">
        <v>10.06249493215131</v>
      </c>
      <c r="GF215">
        <v>30.204561512606983</v>
      </c>
      <c r="GG215">
        <v>24.631118369039573</v>
      </c>
      <c r="GH215">
        <v>13.019319227028442</v>
      </c>
      <c r="GI215">
        <v>26.800921060306106</v>
      </c>
      <c r="GJ215"/>
      <c r="GK215">
        <v>37.513244285275903</v>
      </c>
      <c r="GL215">
        <v>49.075706665604358</v>
      </c>
      <c r="GM215">
        <v>50.404189170883448</v>
      </c>
      <c r="GN215">
        <v>60.868331310200901</v>
      </c>
      <c r="GO215">
        <v>44.818339051851602</v>
      </c>
      <c r="GP215">
        <v>21.590345391225171</v>
      </c>
      <c r="GQ215">
        <v>40.695136993264363</v>
      </c>
      <c r="GR215">
        <v>37.048322272890367</v>
      </c>
      <c r="GS215">
        <v>15.95528594680237</v>
      </c>
      <c r="GT215">
        <v>37.877239089615536</v>
      </c>
      <c r="GU215"/>
      <c r="GV215"/>
      <c r="GW215"/>
      <c r="GX215"/>
      <c r="GY215"/>
      <c r="GZ215"/>
      <c r="HA215"/>
      <c r="HB215"/>
      <c r="HC215"/>
    </row>
    <row r="216" spans="1:211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56.776442307692307</v>
      </c>
      <c r="AO216">
        <v>45.954697108141737</v>
      </c>
      <c r="AP216">
        <v>34.740230938535852</v>
      </c>
      <c r="AQ216">
        <v>334.48482425657073</v>
      </c>
      <c r="AR216">
        <v>44.201077252388956</v>
      </c>
      <c r="AS216">
        <v>420.07143952948718</v>
      </c>
      <c r="AT216">
        <v>34.919961931627711</v>
      </c>
      <c r="AU216">
        <v>27.916031002370119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7">AVERAGE(DF128:DF137)</f>
        <v>0</v>
      </c>
      <c r="DG216" s="181">
        <f t="shared" ref="DG216:DH216" si="348">AVERAGE(DG128:DG137)</f>
        <v>0</v>
      </c>
      <c r="DH216" s="181">
        <f t="shared" si="348"/>
        <v>4.1666666666666661</v>
      </c>
      <c r="DI216" s="181">
        <f t="shared" si="347"/>
        <v>64.949980574980572</v>
      </c>
      <c r="DJ216" s="181">
        <f t="shared" si="347"/>
        <v>0</v>
      </c>
      <c r="DK216" s="181">
        <f t="shared" si="347"/>
        <v>0</v>
      </c>
      <c r="DL216" s="181">
        <f t="shared" si="347"/>
        <v>0</v>
      </c>
      <c r="DM216" s="181">
        <f t="shared" si="347"/>
        <v>0</v>
      </c>
      <c r="DN216" s="181">
        <f t="shared" si="347"/>
        <v>0</v>
      </c>
      <c r="DO216" s="181">
        <f t="shared" si="347"/>
        <v>0</v>
      </c>
      <c r="DP216" s="181">
        <f t="shared" si="347"/>
        <v>0</v>
      </c>
      <c r="DQ216" s="181">
        <f t="shared" si="347"/>
        <v>0</v>
      </c>
      <c r="DR216" s="181">
        <f t="shared" si="347"/>
        <v>0</v>
      </c>
      <c r="DS216" s="181">
        <f t="shared" si="347"/>
        <v>0</v>
      </c>
      <c r="DT216" s="181">
        <f t="shared" si="347"/>
        <v>0</v>
      </c>
      <c r="DU216" s="181">
        <f t="shared" si="347"/>
        <v>0</v>
      </c>
      <c r="DV216" s="181">
        <f t="shared" si="347"/>
        <v>0</v>
      </c>
      <c r="DW216" s="181">
        <f t="shared" si="347"/>
        <v>0</v>
      </c>
      <c r="DX216" s="181">
        <f t="shared" si="347"/>
        <v>0</v>
      </c>
      <c r="DY216" s="181">
        <f t="shared" si="347"/>
        <v>0</v>
      </c>
      <c r="DZ216" s="181">
        <f t="shared" si="347"/>
        <v>0</v>
      </c>
      <c r="EA216" s="181">
        <f t="shared" si="347"/>
        <v>0</v>
      </c>
      <c r="EB216" s="181">
        <f t="shared" si="347"/>
        <v>0</v>
      </c>
      <c r="EC216" s="181">
        <f t="shared" si="347"/>
        <v>0</v>
      </c>
      <c r="ED216" s="181">
        <f t="shared" si="347"/>
        <v>0</v>
      </c>
      <c r="EE216" s="181">
        <f t="shared" si="347"/>
        <v>0</v>
      </c>
      <c r="EF216" s="181">
        <f t="shared" si="347"/>
        <v>0</v>
      </c>
      <c r="EG216" s="181">
        <f t="shared" si="347"/>
        <v>0</v>
      </c>
      <c r="EH216" s="181">
        <f t="shared" si="347"/>
        <v>0</v>
      </c>
      <c r="EI216" s="181">
        <f t="shared" si="347"/>
        <v>0</v>
      </c>
      <c r="EJ216" s="181">
        <f t="shared" si="347"/>
        <v>0</v>
      </c>
      <c r="FY216" s="211">
        <v>211</v>
      </c>
      <c r="FZ216">
        <v>33.131779411425605</v>
      </c>
      <c r="GA216">
        <v>58.890823244644778</v>
      </c>
      <c r="GB216">
        <v>29.654763718622988</v>
      </c>
      <c r="GC216">
        <v>11.486410454236413</v>
      </c>
      <c r="GD216">
        <v>6.6952212564188311</v>
      </c>
      <c r="GE216">
        <v>8.969862071769219</v>
      </c>
      <c r="GF216">
        <v>36.637421281948953</v>
      </c>
      <c r="GG216">
        <v>35.069233727731323</v>
      </c>
      <c r="GH216">
        <v>17.149063460776141</v>
      </c>
      <c r="GI216">
        <v>26.278009408626453</v>
      </c>
      <c r="GJ216"/>
      <c r="GK216">
        <v>34.262999452542608</v>
      </c>
      <c r="GL216">
        <v>52.045255795051752</v>
      </c>
      <c r="GM216">
        <v>52.535444526946179</v>
      </c>
      <c r="GN216">
        <v>37.910917788932331</v>
      </c>
      <c r="GO216">
        <v>29.107193741196305</v>
      </c>
      <c r="GP216">
        <v>19.245964499556177</v>
      </c>
      <c r="GQ216">
        <v>49.362242107919457</v>
      </c>
      <c r="GR216">
        <v>52.748570062552446</v>
      </c>
      <c r="GS216">
        <v>19.894912506051924</v>
      </c>
      <c r="GT216">
        <v>37.032558466931285</v>
      </c>
      <c r="GU216"/>
      <c r="GV216"/>
      <c r="GW216"/>
      <c r="GX216"/>
      <c r="GY216"/>
      <c r="GZ216"/>
      <c r="HA216"/>
      <c r="HB216"/>
      <c r="HC216"/>
    </row>
    <row r="217" spans="1:211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50.053258547008554</v>
      </c>
      <c r="AO217">
        <v>42.68066374622331</v>
      </c>
      <c r="AP217">
        <v>54.732701178130533</v>
      </c>
      <c r="AQ217">
        <v>280.44725288427577</v>
      </c>
      <c r="AR217">
        <v>40.407702067184509</v>
      </c>
      <c r="AS217">
        <v>371.44765279581236</v>
      </c>
      <c r="AT217">
        <v>31.457466762853894</v>
      </c>
      <c r="AU217">
        <v>10.450292255949048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9">AVERAGE(DF138:DF147)</f>
        <v>0</v>
      </c>
      <c r="DG217" s="181">
        <f t="shared" ref="DG217:DH217" si="350">AVERAGE(DG138:DG147)</f>
        <v>0</v>
      </c>
      <c r="DH217" s="181">
        <f t="shared" si="350"/>
        <v>0</v>
      </c>
      <c r="DI217" s="181">
        <f t="shared" si="349"/>
        <v>32.21153846153846</v>
      </c>
      <c r="DJ217" s="181">
        <f t="shared" si="349"/>
        <v>0</v>
      </c>
      <c r="DK217" s="181">
        <f t="shared" si="349"/>
        <v>0</v>
      </c>
      <c r="DL217" s="181">
        <f t="shared" si="349"/>
        <v>0</v>
      </c>
      <c r="DM217" s="181">
        <f t="shared" si="349"/>
        <v>0</v>
      </c>
      <c r="DN217" s="181">
        <f t="shared" si="349"/>
        <v>0</v>
      </c>
      <c r="DO217" s="181">
        <f t="shared" si="349"/>
        <v>0</v>
      </c>
      <c r="DP217" s="181">
        <f t="shared" si="349"/>
        <v>0</v>
      </c>
      <c r="DQ217" s="181">
        <f t="shared" si="349"/>
        <v>0</v>
      </c>
      <c r="DR217" s="181">
        <f t="shared" si="349"/>
        <v>0</v>
      </c>
      <c r="DS217" s="181">
        <f t="shared" si="349"/>
        <v>0</v>
      </c>
      <c r="DT217" s="181">
        <f t="shared" si="349"/>
        <v>0</v>
      </c>
      <c r="DU217" s="181">
        <f t="shared" si="349"/>
        <v>0</v>
      </c>
      <c r="DV217" s="181">
        <f t="shared" si="349"/>
        <v>0</v>
      </c>
      <c r="DW217" s="181">
        <f t="shared" si="349"/>
        <v>0</v>
      </c>
      <c r="DX217" s="181">
        <f t="shared" si="349"/>
        <v>0</v>
      </c>
      <c r="DY217" s="181">
        <f t="shared" si="349"/>
        <v>0</v>
      </c>
      <c r="DZ217" s="181">
        <f t="shared" si="349"/>
        <v>0</v>
      </c>
      <c r="EA217" s="181">
        <f t="shared" si="349"/>
        <v>0</v>
      </c>
      <c r="EB217" s="181">
        <f t="shared" si="349"/>
        <v>0</v>
      </c>
      <c r="EC217" s="181">
        <f t="shared" si="349"/>
        <v>0</v>
      </c>
      <c r="ED217" s="181">
        <f t="shared" si="349"/>
        <v>0</v>
      </c>
      <c r="EE217" s="181">
        <f t="shared" si="349"/>
        <v>0</v>
      </c>
      <c r="EF217" s="181">
        <f t="shared" si="349"/>
        <v>0</v>
      </c>
      <c r="EG217" s="181">
        <f t="shared" si="349"/>
        <v>0</v>
      </c>
      <c r="EH217" s="181">
        <f t="shared" si="349"/>
        <v>0</v>
      </c>
      <c r="EI217" s="181">
        <f t="shared" si="349"/>
        <v>0</v>
      </c>
      <c r="EJ217" s="181">
        <f t="shared" si="349"/>
        <v>0</v>
      </c>
      <c r="FY217" s="211">
        <v>212</v>
      </c>
      <c r="FZ217">
        <v>32.277423090274326</v>
      </c>
      <c r="GA217">
        <v>39.614247467869163</v>
      </c>
      <c r="GB217">
        <v>15.328645613852112</v>
      </c>
      <c r="GC217">
        <v>10.535450858724463</v>
      </c>
      <c r="GD217">
        <v>7.854851764097222</v>
      </c>
      <c r="GE217">
        <v>10.912320490226268</v>
      </c>
      <c r="GF217">
        <v>28.367857015622743</v>
      </c>
      <c r="GG217">
        <v>22.552941555544386</v>
      </c>
      <c r="GH217">
        <v>12.614235591451385</v>
      </c>
      <c r="GI217">
        <v>20.949895278958731</v>
      </c>
      <c r="GJ217"/>
      <c r="GK217">
        <v>33.374654728565936</v>
      </c>
      <c r="GL217">
        <v>35.009421315590366</v>
      </c>
      <c r="GM217">
        <v>27.155745328499222</v>
      </c>
      <c r="GN217">
        <v>34.770048517401435</v>
      </c>
      <c r="GO217">
        <v>34.153897129206378</v>
      </c>
      <c r="GP217">
        <v>23.413752751412169</v>
      </c>
      <c r="GQ217">
        <v>38.220512718724876</v>
      </c>
      <c r="GR217">
        <v>33.922481083998377</v>
      </c>
      <c r="GS217">
        <v>14.815420574102426</v>
      </c>
      <c r="GT217">
        <v>29.544046095819766</v>
      </c>
      <c r="GU217"/>
      <c r="GV217"/>
      <c r="GW217"/>
      <c r="GX217"/>
      <c r="GY217"/>
      <c r="GZ217"/>
      <c r="HA217"/>
      <c r="HB217"/>
      <c r="HC217"/>
    </row>
    <row r="218" spans="1:211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44.927350427350419</v>
      </c>
      <c r="AO218">
        <v>35.777522562715035</v>
      </c>
      <c r="AP218">
        <v>17.785615039390105</v>
      </c>
      <c r="AQ218">
        <v>250.9736182935259</v>
      </c>
      <c r="AR218">
        <v>34.401752123390068</v>
      </c>
      <c r="AS218">
        <v>329.12780754012135</v>
      </c>
      <c r="AT218">
        <v>27.525097726083356</v>
      </c>
      <c r="AU218">
        <v>11.897409825720645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51">AVERAGE(DF148:DF157)</f>
        <v>0</v>
      </c>
      <c r="DG218" s="181">
        <f t="shared" ref="DG218:DH218" si="352">AVERAGE(DG148:DG157)</f>
        <v>0</v>
      </c>
      <c r="DH218" s="181">
        <f t="shared" si="352"/>
        <v>0</v>
      </c>
      <c r="DI218" s="181">
        <f t="shared" si="351"/>
        <v>30.555555555555561</v>
      </c>
      <c r="DJ218" s="181">
        <f t="shared" si="351"/>
        <v>0</v>
      </c>
      <c r="DK218" s="181">
        <f t="shared" si="351"/>
        <v>0</v>
      </c>
      <c r="DL218" s="181">
        <f t="shared" si="351"/>
        <v>0</v>
      </c>
      <c r="DM218" s="181">
        <f t="shared" si="351"/>
        <v>0</v>
      </c>
      <c r="DN218" s="181">
        <f t="shared" si="351"/>
        <v>0</v>
      </c>
      <c r="DO218" s="181">
        <f t="shared" si="351"/>
        <v>0</v>
      </c>
      <c r="DP218" s="181">
        <f t="shared" si="351"/>
        <v>0</v>
      </c>
      <c r="DQ218" s="181">
        <f t="shared" si="351"/>
        <v>0</v>
      </c>
      <c r="DR218" s="181">
        <f t="shared" si="351"/>
        <v>0</v>
      </c>
      <c r="DS218" s="181">
        <f t="shared" si="351"/>
        <v>0</v>
      </c>
      <c r="DT218" s="181">
        <f t="shared" si="351"/>
        <v>0</v>
      </c>
      <c r="DU218" s="181">
        <f t="shared" si="351"/>
        <v>0</v>
      </c>
      <c r="DV218" s="181">
        <f t="shared" si="351"/>
        <v>0</v>
      </c>
      <c r="DW218" s="181">
        <f t="shared" si="351"/>
        <v>0</v>
      </c>
      <c r="DX218" s="181">
        <f t="shared" si="351"/>
        <v>0</v>
      </c>
      <c r="DY218" s="181">
        <f t="shared" si="351"/>
        <v>0</v>
      </c>
      <c r="DZ218" s="181">
        <f t="shared" si="351"/>
        <v>0</v>
      </c>
      <c r="EA218" s="181">
        <f t="shared" si="351"/>
        <v>0</v>
      </c>
      <c r="EB218" s="181">
        <f t="shared" si="351"/>
        <v>0</v>
      </c>
      <c r="EC218" s="181">
        <f t="shared" si="351"/>
        <v>0</v>
      </c>
      <c r="ED218" s="181">
        <f t="shared" si="351"/>
        <v>0</v>
      </c>
      <c r="EE218" s="181">
        <f t="shared" si="351"/>
        <v>0</v>
      </c>
      <c r="EF218" s="181">
        <f t="shared" si="351"/>
        <v>0</v>
      </c>
      <c r="EG218" s="181">
        <f t="shared" si="351"/>
        <v>0</v>
      </c>
      <c r="EH218" s="181">
        <f t="shared" si="351"/>
        <v>0</v>
      </c>
      <c r="EI218" s="181">
        <f t="shared" si="351"/>
        <v>0</v>
      </c>
      <c r="EJ218" s="181">
        <f t="shared" si="351"/>
        <v>0</v>
      </c>
      <c r="FY218" s="211">
        <v>213</v>
      </c>
      <c r="FZ218">
        <v>69.060465018809253</v>
      </c>
      <c r="GA218">
        <v>99.5965967835035</v>
      </c>
      <c r="GB218">
        <v>32.742548446593204</v>
      </c>
      <c r="GC218">
        <v>15.881866314142323</v>
      </c>
      <c r="GD218">
        <v>9.8575918016003445</v>
      </c>
      <c r="GE218">
        <v>8.9231683597870788</v>
      </c>
      <c r="GF218">
        <v>28.130579401179798</v>
      </c>
      <c r="GG218">
        <v>24.158805456881577</v>
      </c>
      <c r="GH218">
        <v>12.209151955874333</v>
      </c>
      <c r="GI218">
        <v>31.709053134685767</v>
      </c>
      <c r="GJ218"/>
      <c r="GK218">
        <v>76.815457345217737</v>
      </c>
      <c r="GL218">
        <v>95.028401413313517</v>
      </c>
      <c r="GM218">
        <v>58.00566660750718</v>
      </c>
      <c r="GN218">
        <v>52.455294752872028</v>
      </c>
      <c r="GO218">
        <v>42.900166573190816</v>
      </c>
      <c r="GP218">
        <v>19.145777281963483</v>
      </c>
      <c r="GQ218">
        <v>37.900824415315462</v>
      </c>
      <c r="GR218">
        <v>36.337903820869464</v>
      </c>
      <c r="GS218">
        <v>13.675555201402489</v>
      </c>
      <c r="GT218">
        <v>45.859534028526738</v>
      </c>
      <c r="GU218"/>
      <c r="GV218"/>
      <c r="GW218"/>
      <c r="GX218"/>
      <c r="GY218"/>
      <c r="GZ218"/>
      <c r="HA218"/>
      <c r="HB218"/>
      <c r="HC218"/>
    </row>
    <row r="219" spans="1:211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55.511992521367517</v>
      </c>
      <c r="AO219">
        <v>42.151790318786368</v>
      </c>
      <c r="AP219">
        <v>29.841159633708092</v>
      </c>
      <c r="AQ219">
        <v>295.97077899853701</v>
      </c>
      <c r="AR219">
        <v>39.808055622961064</v>
      </c>
      <c r="AS219">
        <v>363.48064709834989</v>
      </c>
      <c r="AT219">
        <v>31.401952942270924</v>
      </c>
      <c r="AU219">
        <v>36.692827045522947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53">AVERAGE(DF158:DF167)</f>
        <v>0</v>
      </c>
      <c r="DG219" s="181">
        <f t="shared" si="353"/>
        <v>0</v>
      </c>
      <c r="DH219" s="181">
        <f t="shared" si="353"/>
        <v>0</v>
      </c>
      <c r="DI219" s="181">
        <f t="shared" ref="DI219" si="354">AVERAGE(DI158:DI167)</f>
        <v>60.321969696969703</v>
      </c>
      <c r="DJ219" s="181">
        <f t="shared" si="353"/>
        <v>0</v>
      </c>
      <c r="DK219" s="181">
        <f t="shared" si="353"/>
        <v>0</v>
      </c>
      <c r="DL219" s="181">
        <f t="shared" si="353"/>
        <v>0</v>
      </c>
      <c r="DM219" s="181">
        <f t="shared" si="353"/>
        <v>0</v>
      </c>
      <c r="DN219" s="181">
        <f t="shared" si="353"/>
        <v>0</v>
      </c>
      <c r="DO219" s="181">
        <f t="shared" si="353"/>
        <v>0</v>
      </c>
      <c r="DP219" s="181">
        <f t="shared" si="353"/>
        <v>0</v>
      </c>
      <c r="DQ219" s="181">
        <f t="shared" si="353"/>
        <v>0</v>
      </c>
      <c r="DR219" s="181">
        <f t="shared" si="353"/>
        <v>0</v>
      </c>
      <c r="DS219" s="181">
        <f t="shared" si="353"/>
        <v>0</v>
      </c>
      <c r="DT219" s="181">
        <f t="shared" si="353"/>
        <v>0</v>
      </c>
      <c r="DU219" s="181">
        <f t="shared" si="353"/>
        <v>0</v>
      </c>
      <c r="DV219" s="181">
        <f t="shared" si="353"/>
        <v>0</v>
      </c>
      <c r="DW219" s="181">
        <f t="shared" si="353"/>
        <v>0</v>
      </c>
      <c r="DX219" s="181">
        <f t="shared" si="353"/>
        <v>0</v>
      </c>
      <c r="DY219" s="181">
        <f t="shared" si="353"/>
        <v>0</v>
      </c>
      <c r="DZ219" s="181">
        <f t="shared" si="353"/>
        <v>0</v>
      </c>
      <c r="EA219" s="181">
        <f t="shared" si="353"/>
        <v>0</v>
      </c>
      <c r="EB219" s="181">
        <f t="shared" si="353"/>
        <v>0</v>
      </c>
      <c r="EC219" s="181">
        <f t="shared" si="353"/>
        <v>0</v>
      </c>
      <c r="ED219" s="181">
        <f t="shared" si="353"/>
        <v>0</v>
      </c>
      <c r="EE219" s="181">
        <f t="shared" si="353"/>
        <v>0</v>
      </c>
      <c r="EF219" s="181">
        <f t="shared" si="353"/>
        <v>0</v>
      </c>
      <c r="EG219" s="181">
        <f t="shared" si="353"/>
        <v>0</v>
      </c>
      <c r="EH219" s="181">
        <f t="shared" si="353"/>
        <v>0</v>
      </c>
      <c r="EI219" s="181">
        <f t="shared" si="353"/>
        <v>0</v>
      </c>
      <c r="EJ219" s="181">
        <f t="shared" si="353"/>
        <v>0</v>
      </c>
      <c r="FY219" s="211">
        <v>214</v>
      </c>
      <c r="FZ219">
        <v>36.499607470943097</v>
      </c>
      <c r="GA219">
        <v>78.786371638105848</v>
      </c>
      <c r="GB219">
        <v>34.296466085669117</v>
      </c>
      <c r="GC219">
        <v>11.398643638891297</v>
      </c>
      <c r="GD219">
        <v>5.6370450433038313</v>
      </c>
      <c r="GE219">
        <v>10.669513187919138</v>
      </c>
      <c r="GF219">
        <v>31.777624215765744</v>
      </c>
      <c r="GG219">
        <v>20.758152489343992</v>
      </c>
      <c r="GH219">
        <v>8.0794077221266356</v>
      </c>
      <c r="GI219">
        <v>24.910518493860835</v>
      </c>
      <c r="GJ219"/>
      <c r="GK219">
        <v>37.747682374442789</v>
      </c>
      <c r="GL219">
        <v>69.628112482569236</v>
      </c>
      <c r="GM219">
        <v>60.7585381090882</v>
      </c>
      <c r="GN219">
        <v>37.617197747359391</v>
      </c>
      <c r="GO219">
        <v>24.497681603596348</v>
      </c>
      <c r="GP219">
        <v>22.892779219930173</v>
      </c>
      <c r="GQ219">
        <v>42.814552041793412</v>
      </c>
      <c r="GR219">
        <v>31.222890966318921</v>
      </c>
      <c r="GS219">
        <v>9.7359286421529347</v>
      </c>
      <c r="GT219">
        <v>35.110876554214741</v>
      </c>
      <c r="GU219"/>
      <c r="GV219"/>
      <c r="GW219"/>
      <c r="GX219"/>
      <c r="GY219"/>
      <c r="GZ219"/>
      <c r="HA219"/>
      <c r="HB219"/>
      <c r="HC219"/>
    </row>
    <row r="220" spans="1:211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52.477831196581199</v>
      </c>
      <c r="AO220">
        <v>38.616300633867084</v>
      </c>
      <c r="AP220">
        <v>17.017472667406484</v>
      </c>
      <c r="AQ220">
        <v>281.62820806213671</v>
      </c>
      <c r="AR220">
        <v>37.618243256761332</v>
      </c>
      <c r="AS220">
        <v>363.19096517176615</v>
      </c>
      <c r="AT220">
        <v>30.173017237392997</v>
      </c>
      <c r="AU220">
        <v>49.996311799557787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5">AVERAGE(DF168:DF177)</f>
        <v>0</v>
      </c>
      <c r="DG220" s="181">
        <f t="shared" si="355"/>
        <v>0</v>
      </c>
      <c r="DH220" s="181">
        <f t="shared" si="355"/>
        <v>0</v>
      </c>
      <c r="DI220" s="181">
        <f t="shared" ref="DI220" si="356">AVERAGE(DI168:DI177)</f>
        <v>16.666666666666668</v>
      </c>
      <c r="DJ220" s="181">
        <f t="shared" si="355"/>
        <v>0</v>
      </c>
      <c r="DK220" s="181">
        <f t="shared" si="355"/>
        <v>0</v>
      </c>
      <c r="DL220" s="181">
        <f t="shared" si="355"/>
        <v>0</v>
      </c>
      <c r="DM220" s="181">
        <f t="shared" si="355"/>
        <v>0</v>
      </c>
      <c r="DN220" s="181">
        <f t="shared" si="355"/>
        <v>0</v>
      </c>
      <c r="DO220" s="181">
        <f t="shared" si="355"/>
        <v>0</v>
      </c>
      <c r="DP220" s="181">
        <f t="shared" si="355"/>
        <v>0</v>
      </c>
      <c r="DQ220" s="181">
        <f t="shared" si="355"/>
        <v>0</v>
      </c>
      <c r="DR220" s="181">
        <f t="shared" si="355"/>
        <v>0</v>
      </c>
      <c r="DS220" s="181">
        <f t="shared" si="355"/>
        <v>0</v>
      </c>
      <c r="DT220" s="181">
        <f t="shared" si="355"/>
        <v>0</v>
      </c>
      <c r="DU220" s="181">
        <f t="shared" si="355"/>
        <v>0</v>
      </c>
      <c r="DV220" s="181">
        <f t="shared" si="355"/>
        <v>0</v>
      </c>
      <c r="DW220" s="181">
        <f t="shared" si="355"/>
        <v>0</v>
      </c>
      <c r="DX220" s="181">
        <f t="shared" si="355"/>
        <v>0</v>
      </c>
      <c r="DY220" s="181">
        <f t="shared" si="355"/>
        <v>0</v>
      </c>
      <c r="DZ220" s="181">
        <f t="shared" si="355"/>
        <v>0</v>
      </c>
      <c r="EA220" s="181">
        <f t="shared" si="355"/>
        <v>0</v>
      </c>
      <c r="EB220" s="181">
        <f t="shared" si="355"/>
        <v>0</v>
      </c>
      <c r="EC220" s="181">
        <f t="shared" si="355"/>
        <v>0</v>
      </c>
      <c r="ED220" s="181">
        <f t="shared" si="355"/>
        <v>0</v>
      </c>
      <c r="EE220" s="181">
        <f t="shared" si="355"/>
        <v>0</v>
      </c>
      <c r="EF220" s="181">
        <f t="shared" si="355"/>
        <v>0</v>
      </c>
      <c r="EG220" s="181">
        <f t="shared" si="355"/>
        <v>0</v>
      </c>
      <c r="EH220" s="181">
        <f t="shared" si="355"/>
        <v>0</v>
      </c>
      <c r="EI220" s="181">
        <f t="shared" si="355"/>
        <v>0</v>
      </c>
      <c r="EJ220" s="181">
        <f t="shared" si="355"/>
        <v>0</v>
      </c>
      <c r="FY220" s="211">
        <v>215</v>
      </c>
      <c r="FZ220">
        <v>43.162222889464893</v>
      </c>
      <c r="GA220">
        <v>62.290578578717593</v>
      </c>
      <c r="GB220">
        <v>24.792505299578991</v>
      </c>
      <c r="GC220">
        <v>12.476063683968578</v>
      </c>
      <c r="GD220">
        <v>7.3602517153683156</v>
      </c>
      <c r="GE220">
        <v>9.5161785019602654</v>
      </c>
      <c r="GF220">
        <v>18.60432258428542</v>
      </c>
      <c r="GG220">
        <v>12.941373793129134</v>
      </c>
      <c r="GH220">
        <v>9.8235722872515403</v>
      </c>
      <c r="GI220">
        <v>22.262702432528801</v>
      </c>
      <c r="GJ220"/>
      <c r="GK220">
        <v>46.445733421952525</v>
      </c>
      <c r="GL220">
        <v>57.386177583074513</v>
      </c>
      <c r="GM220">
        <v>43.92162079619267</v>
      </c>
      <c r="GN220">
        <v>41.191106378552547</v>
      </c>
      <c r="GO220">
        <v>32.014412643505544</v>
      </c>
      <c r="GP220">
        <v>20.418154945390672</v>
      </c>
      <c r="GQ220">
        <v>25.065931048804384</v>
      </c>
      <c r="GR220">
        <v>19.46546558537289</v>
      </c>
      <c r="GS220">
        <v>11.689579385210433</v>
      </c>
      <c r="GT220">
        <v>31.827455459133112</v>
      </c>
      <c r="GU220"/>
      <c r="GV220"/>
      <c r="GW220"/>
      <c r="GX220"/>
      <c r="GY220"/>
      <c r="GZ220"/>
      <c r="HA220"/>
      <c r="HB220"/>
      <c r="HC220"/>
    </row>
    <row r="221" spans="1:211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52.537500000000001</v>
      </c>
      <c r="AO221">
        <v>40.078210783867938</v>
      </c>
      <c r="AP221">
        <v>27.614115716188834</v>
      </c>
      <c r="AQ221">
        <v>271.21483233924999</v>
      </c>
      <c r="AR221">
        <v>38.491318080106502</v>
      </c>
      <c r="AS221">
        <v>383.35987589378863</v>
      </c>
      <c r="AT221">
        <v>30.362382421803328</v>
      </c>
      <c r="AU221">
        <v>29.095274984901767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7">AVERAGE(DF178:DF187)</f>
        <v>0</v>
      </c>
      <c r="DG221" s="181">
        <f t="shared" si="357"/>
        <v>0</v>
      </c>
      <c r="DH221" s="181">
        <f t="shared" si="357"/>
        <v>0</v>
      </c>
      <c r="DI221" s="181">
        <f t="shared" si="357"/>
        <v>13.541666666666668</v>
      </c>
      <c r="DJ221" s="181">
        <f t="shared" si="357"/>
        <v>1.0416666666666665</v>
      </c>
      <c r="DK221" s="181">
        <f t="shared" si="357"/>
        <v>0</v>
      </c>
      <c r="DL221" s="181">
        <f t="shared" si="357"/>
        <v>0</v>
      </c>
      <c r="DM221" s="181">
        <f t="shared" si="357"/>
        <v>0</v>
      </c>
      <c r="DN221" s="181">
        <f t="shared" si="357"/>
        <v>0</v>
      </c>
      <c r="DO221" s="181">
        <f t="shared" si="357"/>
        <v>0</v>
      </c>
      <c r="DP221" s="181">
        <f t="shared" si="357"/>
        <v>0</v>
      </c>
      <c r="DQ221" s="181">
        <f t="shared" si="357"/>
        <v>0</v>
      </c>
      <c r="DR221" s="181">
        <f t="shared" si="357"/>
        <v>0</v>
      </c>
      <c r="DS221" s="181">
        <f t="shared" si="357"/>
        <v>0</v>
      </c>
      <c r="DT221" s="181">
        <f t="shared" si="357"/>
        <v>0</v>
      </c>
      <c r="DU221" s="181">
        <f t="shared" si="357"/>
        <v>0</v>
      </c>
      <c r="DV221" s="181">
        <f t="shared" si="357"/>
        <v>0</v>
      </c>
      <c r="DW221" s="181">
        <f t="shared" si="357"/>
        <v>0</v>
      </c>
      <c r="DX221" s="181">
        <f t="shared" si="357"/>
        <v>0</v>
      </c>
      <c r="DY221" s="181">
        <f t="shared" si="357"/>
        <v>0</v>
      </c>
      <c r="DZ221" s="181">
        <f t="shared" si="357"/>
        <v>0</v>
      </c>
      <c r="EA221" s="181">
        <f t="shared" si="357"/>
        <v>0</v>
      </c>
      <c r="EB221" s="181">
        <f t="shared" si="357"/>
        <v>0</v>
      </c>
      <c r="EC221" s="181">
        <f t="shared" si="357"/>
        <v>0</v>
      </c>
      <c r="ED221" s="181">
        <f t="shared" si="357"/>
        <v>0</v>
      </c>
      <c r="EE221" s="181">
        <f t="shared" si="357"/>
        <v>0</v>
      </c>
      <c r="EF221" s="181">
        <f t="shared" si="357"/>
        <v>0</v>
      </c>
      <c r="EG221" s="181">
        <f t="shared" si="357"/>
        <v>0</v>
      </c>
      <c r="EH221" s="181">
        <f t="shared" si="357"/>
        <v>0</v>
      </c>
      <c r="EI221" s="181">
        <f t="shared" si="357"/>
        <v>0</v>
      </c>
      <c r="EJ221" s="181">
        <f t="shared" si="357"/>
        <v>0</v>
      </c>
      <c r="FY221" s="211">
        <v>216</v>
      </c>
      <c r="FZ221">
        <v>51.243142216488742</v>
      </c>
      <c r="GA221">
        <v>79.444962526857353</v>
      </c>
      <c r="GB221">
        <v>24.78248002448818</v>
      </c>
      <c r="GC221">
        <v>12.377290779588609</v>
      </c>
      <c r="GD221">
        <v>8.5459753169100772</v>
      </c>
      <c r="GE221">
        <v>10.183898583304876</v>
      </c>
      <c r="GF221">
        <v>26.364179382549018</v>
      </c>
      <c r="GG221">
        <v>18.420203574161906</v>
      </c>
      <c r="GH221">
        <v>10.870071026326483</v>
      </c>
      <c r="GI221">
        <v>25.840500080917515</v>
      </c>
      <c r="GJ221"/>
      <c r="GK221">
        <v>54.796139422294857</v>
      </c>
      <c r="GL221">
        <v>72.546507349200695</v>
      </c>
      <c r="GM221">
        <v>43.903860334892144</v>
      </c>
      <c r="GN221">
        <v>40.8763954423695</v>
      </c>
      <c r="GO221">
        <v>37.187684249184009</v>
      </c>
      <c r="GP221">
        <v>21.850832156966174</v>
      </c>
      <c r="GQ221">
        <v>35.520922601045427</v>
      </c>
      <c r="GR221">
        <v>27.706319628815432</v>
      </c>
      <c r="GS221">
        <v>12.861769831044931</v>
      </c>
      <c r="GT221">
        <v>36.854075287692275</v>
      </c>
      <c r="GU221"/>
      <c r="GV221"/>
      <c r="GW221"/>
      <c r="GX221"/>
      <c r="GY221"/>
      <c r="GZ221"/>
      <c r="HA221"/>
      <c r="HB221"/>
      <c r="HC221"/>
    </row>
    <row r="222" spans="1:211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50.835844017094018</v>
      </c>
      <c r="AO222">
        <v>39.591077069919891</v>
      </c>
      <c r="AP222">
        <v>12.929997380502412</v>
      </c>
      <c r="AQ222">
        <v>267.72883275371947</v>
      </c>
      <c r="AR222">
        <v>37.625850685029832</v>
      </c>
      <c r="AS222">
        <v>361.90611582399293</v>
      </c>
      <c r="AT222">
        <v>30.428839196415765</v>
      </c>
      <c r="AU222">
        <v>13.693061712632769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31.89101878272729</v>
      </c>
      <c r="GA222">
        <v>66.760617942502705</v>
      </c>
      <c r="GB222">
        <v>32.291411067506637</v>
      </c>
      <c r="GC222">
        <v>15.445726982233969</v>
      </c>
      <c r="GD222">
        <v>9.8764469136749877</v>
      </c>
      <c r="GE222">
        <v>14.176210957777903</v>
      </c>
      <c r="GF222">
        <v>27.814209248589215</v>
      </c>
      <c r="GG222">
        <v>18.160431472475011</v>
      </c>
      <c r="GH222">
        <v>8.7770735481765971</v>
      </c>
      <c r="GI222">
        <v>25.705256680135616</v>
      </c>
      <c r="GJ222"/>
      <c r="GK222">
        <v>32.980774561382503</v>
      </c>
      <c r="GL222">
        <v>59.000252440336439</v>
      </c>
      <c r="GM222">
        <v>57.206445848983648</v>
      </c>
      <c r="GN222">
        <v>50.999434980877112</v>
      </c>
      <c r="GO222">
        <v>42.964875526386798</v>
      </c>
      <c r="GP222">
        <v>30.416839261141355</v>
      </c>
      <c r="GQ222">
        <v>37.474573344102922</v>
      </c>
      <c r="GR222">
        <v>27.315589480203929</v>
      </c>
      <c r="GS222">
        <v>10.517388939375934</v>
      </c>
      <c r="GT222">
        <v>36.22881164404636</v>
      </c>
      <c r="GU222"/>
      <c r="GV222"/>
      <c r="GW222"/>
      <c r="GX222"/>
      <c r="GY222"/>
      <c r="GZ222"/>
      <c r="HA222"/>
      <c r="HB222"/>
      <c r="HC222"/>
    </row>
    <row r="223" spans="1:211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47.134989316239306</v>
      </c>
      <c r="AO223">
        <v>34.980385613255734</v>
      </c>
      <c r="AP223">
        <v>6.8050097855617135</v>
      </c>
      <c r="AQ223">
        <v>228.77888294056305</v>
      </c>
      <c r="AR223">
        <v>33.41908470266349</v>
      </c>
      <c r="AS223">
        <v>320.82402309447741</v>
      </c>
      <c r="AT223">
        <v>27.368487581736492</v>
      </c>
      <c r="AU223">
        <v>37.047670235209431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28.807602385186115</v>
      </c>
      <c r="GA223">
        <v>69.806674638469559</v>
      </c>
      <c r="GB223">
        <v>28.331427406635761</v>
      </c>
      <c r="GC223">
        <v>8.23089517379751</v>
      </c>
      <c r="GD223">
        <v>7.1865280640982148</v>
      </c>
      <c r="GE223">
        <v>11.58004057157088</v>
      </c>
      <c r="GF223">
        <v>37.577743679926527</v>
      </c>
      <c r="GG223">
        <v>29.590403946698551</v>
      </c>
      <c r="GH223">
        <v>11.916569765401425</v>
      </c>
      <c r="GI223">
        <v>24.907762962482337</v>
      </c>
      <c r="GJ223"/>
      <c r="GK223">
        <v>31.597987774715541</v>
      </c>
      <c r="GL223">
        <v>64.028590109470017</v>
      </c>
      <c r="GM223">
        <v>50.191063635277189</v>
      </c>
      <c r="GN223">
        <v>27.185346097333429</v>
      </c>
      <c r="GO223">
        <v>31.27571695377689</v>
      </c>
      <c r="GP223">
        <v>24.846429962987667</v>
      </c>
      <c r="GQ223">
        <v>50.629155014023411</v>
      </c>
      <c r="GR223">
        <v>44.507716019109914</v>
      </c>
      <c r="GS223">
        <v>14.03396027687943</v>
      </c>
      <c r="GT223">
        <v>35.545576730934492</v>
      </c>
      <c r="GU223"/>
      <c r="GV223"/>
      <c r="GW223"/>
      <c r="GX223"/>
      <c r="GY223"/>
      <c r="GZ223"/>
      <c r="HA223"/>
      <c r="HB223"/>
      <c r="HC223"/>
    </row>
    <row r="224" spans="1:211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48.66623931623932</v>
      </c>
      <c r="AO224">
        <v>38.050457920096484</v>
      </c>
      <c r="AP224">
        <v>27.069163362725583</v>
      </c>
      <c r="AQ224">
        <v>275.65565114298664</v>
      </c>
      <c r="AR224">
        <v>36.739934723067613</v>
      </c>
      <c r="AS224">
        <v>354.1745379572061</v>
      </c>
      <c r="AT224">
        <v>29.234129510773794</v>
      </c>
      <c r="AU224">
        <v>37.039905428326392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37.839218078462238</v>
      </c>
      <c r="GA224">
        <v>66.760617942502705</v>
      </c>
      <c r="GB224">
        <v>31.760071487693583</v>
      </c>
      <c r="GC224">
        <v>14.038471177838286</v>
      </c>
      <c r="GD224">
        <v>6.9663162171164537</v>
      </c>
      <c r="GE224">
        <v>11.701444222724447</v>
      </c>
      <c r="GF224">
        <v>27.937242085707776</v>
      </c>
      <c r="GG224">
        <v>16.105870304587722</v>
      </c>
      <c r="GH224">
        <v>8.023156999574562</v>
      </c>
      <c r="GI224">
        <v>24.528719079887818</v>
      </c>
      <c r="GJ224"/>
      <c r="GK224">
        <v>39.136791692356567</v>
      </c>
      <c r="GL224">
        <v>59.000252440336439</v>
      </c>
      <c r="GM224">
        <v>56.265141400055946</v>
      </c>
      <c r="GN224">
        <v>46.363011794900217</v>
      </c>
      <c r="GO224">
        <v>30.313019536550925</v>
      </c>
      <c r="GP224">
        <v>25.106916728728667</v>
      </c>
      <c r="GQ224">
        <v>37.640337649574469</v>
      </c>
      <c r="GR224">
        <v>24.225269213912981</v>
      </c>
      <c r="GS224">
        <v>8.9867934180644919</v>
      </c>
      <c r="GT224">
        <v>34.468416739320475</v>
      </c>
      <c r="GU224"/>
      <c r="GV224"/>
      <c r="GW224"/>
      <c r="GX224"/>
      <c r="GY224"/>
      <c r="GZ224"/>
      <c r="HA224"/>
      <c r="HB224"/>
      <c r="HC224"/>
    </row>
    <row r="225" spans="1:211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39.90552884615385</v>
      </c>
      <c r="AO225">
        <v>28.875031445933853</v>
      </c>
      <c r="AP225">
        <v>12.290595839180611</v>
      </c>
      <c r="AQ225">
        <v>191.31680851541211</v>
      </c>
      <c r="AR225">
        <v>28.019543263394066</v>
      </c>
      <c r="AS225">
        <v>279.57918286832927</v>
      </c>
      <c r="AT225">
        <v>22.379229294579627</v>
      </c>
      <c r="AU225">
        <v>26.381702333854385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0.63257181480651536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57.89159802899681</v>
      </c>
      <c r="GA225">
        <v>81.036606398334243</v>
      </c>
      <c r="GB225">
        <v>31.288883558425404</v>
      </c>
      <c r="GC225">
        <v>14.12504776768861</v>
      </c>
      <c r="GD225">
        <v>8.7434425789840411</v>
      </c>
      <c r="GE225">
        <v>13.569192702010071</v>
      </c>
      <c r="GF225">
        <v>29.167570456893397</v>
      </c>
      <c r="GG225">
        <v>18.420203574161906</v>
      </c>
      <c r="GH225">
        <v>8.4844913577036873</v>
      </c>
      <c r="GI225">
        <v>28.758720711323303</v>
      </c>
      <c r="GJ225"/>
      <c r="GK225">
        <v>61.672990037857261</v>
      </c>
      <c r="GL225">
        <v>73.953135884202098</v>
      </c>
      <c r="GM225">
        <v>55.430399718931383</v>
      </c>
      <c r="GN225">
        <v>46.641280351043903</v>
      </c>
      <c r="GO225">
        <v>38.038386134936864</v>
      </c>
      <c r="GP225">
        <v>29.114405432436353</v>
      </c>
      <c r="GQ225">
        <v>39.29798070428992</v>
      </c>
      <c r="GR225">
        <v>27.706319628815432</v>
      </c>
      <c r="GS225">
        <v>10.875794014852875</v>
      </c>
      <c r="GT225">
        <v>41.063110122173661</v>
      </c>
      <c r="GU225"/>
      <c r="GV225"/>
      <c r="GW225"/>
      <c r="GX225"/>
      <c r="GY225"/>
      <c r="GZ225"/>
      <c r="HA225"/>
      <c r="HB225"/>
      <c r="HC225"/>
    </row>
    <row r="226" spans="1:211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52.858547008547006</v>
      </c>
      <c r="AO226">
        <v>39.584614017761403</v>
      </c>
      <c r="AP226">
        <v>16.122044638481576</v>
      </c>
      <c r="AQ226">
        <v>253.70985130052705</v>
      </c>
      <c r="AR226">
        <v>37.877239089615557</v>
      </c>
      <c r="AS226">
        <v>353.59557677697973</v>
      </c>
      <c r="AT226">
        <v>30.658931481144961</v>
      </c>
      <c r="AU226">
        <v>26.523623346042637</v>
      </c>
      <c r="AV226"/>
      <c r="AW226"/>
      <c r="DE226" s="186">
        <f>DE101</f>
        <v>39673</v>
      </c>
      <c r="DF226" s="204"/>
      <c r="DG226" s="204">
        <f t="shared" ref="DG226:DG234" si="358">((DG213*$H$372)+(DH213*$I$372)+(DI213*$J$372)+(DJ213*$K$372)+(DK213*$L$372)+(DL213*$M$372)+(DM213*$N$372)+(DN213*$O$372)+(DO213*$P$372)+(DP213*$Q$372)+(DQ213*$R$372)+(DR213*$S$372)+(DS213*$T$372)+(DT213*$U$372))/SUM(DG213:DT213)</f>
        <v>0.96848267150283929</v>
      </c>
      <c r="DH226" s="204">
        <f>(LN(DG226/DG225))/(DE213-DE212)</f>
        <v>1.5775438342085033E-2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51.923097924586159</v>
      </c>
      <c r="GA226">
        <v>66.09283893835682</v>
      </c>
      <c r="GB226">
        <v>19.609438077628997</v>
      </c>
      <c r="GC226">
        <v>10.581326424907909</v>
      </c>
      <c r="GD226">
        <v>8.5706231873049123</v>
      </c>
      <c r="GE226">
        <v>9.8196876298441786</v>
      </c>
      <c r="GF226">
        <v>28.104215221797251</v>
      </c>
      <c r="GG226">
        <v>24.914506116334376</v>
      </c>
      <c r="GH226">
        <v>15.866233253780361</v>
      </c>
      <c r="GI226">
        <v>25.821826290919198</v>
      </c>
      <c r="GJ226"/>
      <c r="GK226">
        <v>55.499453689795558</v>
      </c>
      <c r="GL226">
        <v>60.746456861133424</v>
      </c>
      <c r="GM226">
        <v>34.739462303822428</v>
      </c>
      <c r="GN226">
        <v>34.940768860997181</v>
      </c>
      <c r="GO226">
        <v>37.290614509989418</v>
      </c>
      <c r="GP226">
        <v>21.069371859743171</v>
      </c>
      <c r="GQ226">
        <v>37.865303492714418</v>
      </c>
      <c r="GR226">
        <v>37.474573344102922</v>
      </c>
      <c r="GS226">
        <v>19.830262359782807</v>
      </c>
      <c r="GT226">
        <v>37.045019271220923</v>
      </c>
      <c r="GU226"/>
      <c r="GV226"/>
      <c r="GW226"/>
      <c r="GX226"/>
      <c r="GY226"/>
      <c r="GZ226"/>
      <c r="HA226"/>
      <c r="HB226"/>
      <c r="HC226"/>
    </row>
    <row r="227" spans="1:211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51.979380341880336</v>
      </c>
      <c r="AO227">
        <v>38.414605894768052</v>
      </c>
      <c r="AP227">
        <v>14.493684065630731</v>
      </c>
      <c r="AQ227">
        <v>263.96258803620071</v>
      </c>
      <c r="AR227">
        <v>37.032558466931306</v>
      </c>
      <c r="AS227">
        <v>359.07459110600075</v>
      </c>
      <c r="AT227">
        <v>29.894008292992748</v>
      </c>
      <c r="AU227">
        <v>33.015346370370793</v>
      </c>
      <c r="AV227"/>
      <c r="AW227"/>
      <c r="DE227" s="186">
        <f>DE111</f>
        <v>39714</v>
      </c>
      <c r="DF227" s="204"/>
      <c r="DG227" s="204">
        <f t="shared" si="358"/>
        <v>0.75020188533407939</v>
      </c>
      <c r="DH227" s="204">
        <f t="shared" ref="DH227:DH234" si="359">(LN(DG227/DG226))/(DE214-DE213)</f>
        <v>-6.2289814594021949E-3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45.23055335662238</v>
      </c>
      <c r="GA227">
        <v>68.519923017638206</v>
      </c>
      <c r="GB227">
        <v>28.231174655727639</v>
      </c>
      <c r="GC227">
        <v>12.384711983965886</v>
      </c>
      <c r="GD227">
        <v>7.507329444451444</v>
      </c>
      <c r="GE227">
        <v>11.822847873878009</v>
      </c>
      <c r="GF227">
        <v>22.620465910227054</v>
      </c>
      <c r="GG227">
        <v>16.365642406274617</v>
      </c>
      <c r="GH227">
        <v>9.1259064612015752</v>
      </c>
      <c r="GI227">
        <v>24.130955297731163</v>
      </c>
      <c r="GJ227"/>
      <c r="GK227">
        <v>50.371957513602069</v>
      </c>
      <c r="GL227">
        <v>65.227772322210882</v>
      </c>
      <c r="GM227">
        <v>50.013459022271967</v>
      </c>
      <c r="GN227">
        <v>40.885546029445919</v>
      </c>
      <c r="GO227">
        <v>32.650156743326612</v>
      </c>
      <c r="GP227">
        <v>25.367403494469659</v>
      </c>
      <c r="GQ227">
        <v>30.47695159169697</v>
      </c>
      <c r="GR227">
        <v>24.615999362524477</v>
      </c>
      <c r="GS227">
        <v>10.90811908798743</v>
      </c>
      <c r="GT227">
        <v>34.884128791777002</v>
      </c>
      <c r="GU227"/>
      <c r="GV227"/>
      <c r="GW227"/>
      <c r="GX227"/>
      <c r="GY227"/>
      <c r="GZ227"/>
      <c r="HA227"/>
      <c r="HB227"/>
      <c r="HC227"/>
    </row>
    <row r="228" spans="1:211" s="7" customFormat="1">
      <c r="A228" s="9" t="s">
        <v>60</v>
      </c>
      <c r="B228">
        <v>0.28994840220857476</v>
      </c>
      <c r="C228">
        <v>1</v>
      </c>
      <c r="D228">
        <v>39646</v>
      </c>
      <c r="E228">
        <v>0</v>
      </c>
      <c r="F228">
        <v>0</v>
      </c>
      <c r="G228">
        <v>0</v>
      </c>
      <c r="H228">
        <v>93.75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41.576362179487177</v>
      </c>
      <c r="AO228">
        <v>30.437998024332092</v>
      </c>
      <c r="AP228">
        <v>16.178211610176593</v>
      </c>
      <c r="AQ228">
        <v>201.00786872662079</v>
      </c>
      <c r="AR228">
        <v>29.544046095819755</v>
      </c>
      <c r="AS228">
        <v>272.30271812605559</v>
      </c>
      <c r="AT228">
        <v>23.517039601543487</v>
      </c>
      <c r="AU228">
        <v>28.568766390786742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>
        <f t="shared" si="358"/>
        <v>0.75020188533407939</v>
      </c>
      <c r="DH228" s="204">
        <f t="shared" si="359"/>
        <v>0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62.025604898754153</v>
      </c>
      <c r="GA228">
        <v>89.339336278430238</v>
      </c>
      <c r="GB228">
        <v>28.421654882453073</v>
      </c>
      <c r="GC228">
        <v>13.078072871379449</v>
      </c>
      <c r="GD228">
        <v>9.3021578785939436</v>
      </c>
      <c r="GE228">
        <v>13.947411769065413</v>
      </c>
      <c r="GF228">
        <v>20.493755440034768</v>
      </c>
      <c r="GG228">
        <v>13.508149287718732</v>
      </c>
      <c r="GH228">
        <v>9.8235722872515403</v>
      </c>
      <c r="GI228">
        <v>27.415388231416028</v>
      </c>
      <c r="GJ228"/>
      <c r="GK228">
        <v>69.544726562471908</v>
      </c>
      <c r="GL228">
        <v>85.963461965526733</v>
      </c>
      <c r="GM228">
        <v>50.350907786981892</v>
      </c>
      <c r="GN228">
        <v>43.194808072202036</v>
      </c>
      <c r="GO228">
        <v>40.4829222505453</v>
      </c>
      <c r="GP228">
        <v>29.925921894937165</v>
      </c>
      <c r="GQ228">
        <v>27.611597168545973</v>
      </c>
      <c r="GR228">
        <v>20.317967727797981</v>
      </c>
      <c r="GS228">
        <v>11.689579385210433</v>
      </c>
      <c r="GT228">
        <v>39.935946630751097</v>
      </c>
      <c r="GU228"/>
      <c r="GV228"/>
      <c r="GW228"/>
      <c r="GX228"/>
      <c r="GY228"/>
      <c r="GZ228"/>
      <c r="HA228"/>
      <c r="HB228"/>
      <c r="HC228"/>
    </row>
    <row r="229" spans="1:211" s="7" customFormat="1">
      <c r="A229" s="90"/>
      <c r="B229">
        <v>0.64545180979917394</v>
      </c>
      <c r="C229">
        <v>1</v>
      </c>
      <c r="D229">
        <v>39646</v>
      </c>
      <c r="E229">
        <v>0</v>
      </c>
      <c r="F229">
        <v>0</v>
      </c>
      <c r="G229">
        <v>0</v>
      </c>
      <c r="H229">
        <v>93.75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57.947329059829052</v>
      </c>
      <c r="AO229">
        <v>47.812458144017896</v>
      </c>
      <c r="AP229">
        <v>60.709585296496599</v>
      </c>
      <c r="AQ229">
        <v>332.26982667305714</v>
      </c>
      <c r="AR229">
        <v>45.859534028526767</v>
      </c>
      <c r="AS229">
        <v>425.71472881230085</v>
      </c>
      <c r="AT229">
        <v>35.394515827997857</v>
      </c>
      <c r="AU229">
        <v>40.955029505989827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8"/>
        <v>0.70866726265441105</v>
      </c>
      <c r="DH229" s="204">
        <f t="shared" si="359"/>
        <v>-2.034151411468245E-3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54.668730035283431</v>
      </c>
      <c r="GA229">
        <v>82.667868541877169</v>
      </c>
      <c r="GB229">
        <v>26.23614491265597</v>
      </c>
      <c r="GC229">
        <v>12.430901843976978</v>
      </c>
      <c r="GD229">
        <v>7.4635895462192172</v>
      </c>
      <c r="GE229">
        <v>8.0126409761353337</v>
      </c>
      <c r="GF229">
        <v>15.950328526442156</v>
      </c>
      <c r="GG229">
        <v>9.092023559041456</v>
      </c>
      <c r="GH229">
        <v>9.4747393742265569</v>
      </c>
      <c r="GI229">
        <v>23.766434694064735</v>
      </c>
      <c r="GJ229"/>
      <c r="GK229">
        <v>60.148280390261377</v>
      </c>
      <c r="GL229">
        <v>77.731137077778868</v>
      </c>
      <c r="GM229">
        <v>46.479127223467934</v>
      </c>
      <c r="GN229">
        <v>41.038103838052976</v>
      </c>
      <c r="GO229">
        <v>32.459801029900504</v>
      </c>
      <c r="GP229">
        <v>17.192126538905981</v>
      </c>
      <c r="GQ229">
        <v>21.49015817363248</v>
      </c>
      <c r="GR229">
        <v>13.67555520140249</v>
      </c>
      <c r="GS229">
        <v>11.298849236598929</v>
      </c>
      <c r="GT229">
        <v>34.37524321077224</v>
      </c>
      <c r="GU229"/>
      <c r="GV229"/>
      <c r="GW229"/>
      <c r="GX229"/>
      <c r="GY229"/>
      <c r="GZ229"/>
      <c r="HA229"/>
      <c r="HB229"/>
      <c r="HC229"/>
    </row>
    <row r="230" spans="1:211" s="7" customFormat="1">
      <c r="A230" s="77"/>
      <c r="B230">
        <v>0.78046589305043845</v>
      </c>
      <c r="C230">
        <v>7</v>
      </c>
      <c r="D230">
        <v>39646</v>
      </c>
      <c r="E230">
        <v>0</v>
      </c>
      <c r="F230">
        <v>0</v>
      </c>
      <c r="G230">
        <v>0</v>
      </c>
      <c r="H230">
        <v>10.416666666666666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50.411672008547008</v>
      </c>
      <c r="AO230">
        <v>37.202623974146618</v>
      </c>
      <c r="AP230">
        <v>15.141410095133947</v>
      </c>
      <c r="AQ230">
        <v>262.81334998592951</v>
      </c>
      <c r="AR230">
        <v>35.110876554214762</v>
      </c>
      <c r="AS230">
        <v>338.44144483133215</v>
      </c>
      <c r="AT230">
        <v>28.360498682656132</v>
      </c>
      <c r="AU230">
        <v>19.133857658529806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>
        <f t="shared" si="358"/>
        <v>0.75020188533407928</v>
      </c>
      <c r="DH230" s="204">
        <f t="shared" si="359"/>
        <v>2.3731766467129461E-3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34.695043385731793</v>
      </c>
      <c r="GA230">
        <v>56.591782096955939</v>
      </c>
      <c r="GB230">
        <v>25.584502031753168</v>
      </c>
      <c r="GC230">
        <v>14.618157984402076</v>
      </c>
      <c r="GD230">
        <v>9.5684986052664911</v>
      </c>
      <c r="GE230">
        <v>10.926328603820913</v>
      </c>
      <c r="GF230">
        <v>20.537695739005688</v>
      </c>
      <c r="GG230">
        <v>16.318411115058819</v>
      </c>
      <c r="GH230">
        <v>11.511486129824371</v>
      </c>
      <c r="GI230">
        <v>23.25593836175906</v>
      </c>
      <c r="GJ230"/>
      <c r="GK230">
        <v>35.875327679679529</v>
      </c>
      <c r="GL230">
        <v>50.013459022271945</v>
      </c>
      <c r="GM230">
        <v>45.324697238933958</v>
      </c>
      <c r="GN230">
        <v>48.258425115931935</v>
      </c>
      <c r="GO230">
        <v>41.616012589536439</v>
      </c>
      <c r="GP230">
        <v>23.443808916689978</v>
      </c>
      <c r="GQ230">
        <v>27.670798706214388</v>
      </c>
      <c r="GR230">
        <v>24.544957517322388</v>
      </c>
      <c r="GS230">
        <v>12.894094904179488</v>
      </c>
      <c r="GT230">
        <v>32.676186223708761</v>
      </c>
      <c r="GU230"/>
      <c r="GV230"/>
      <c r="GW230"/>
      <c r="GX230"/>
      <c r="GY230"/>
      <c r="GZ230"/>
      <c r="HA230"/>
      <c r="HB230"/>
      <c r="HC230"/>
    </row>
    <row r="231" spans="1:211" s="7" customFormat="1">
      <c r="A231" s="77"/>
      <c r="B231">
        <v>0.7553872603772247</v>
      </c>
      <c r="C231">
        <v>4</v>
      </c>
      <c r="D231">
        <v>39646</v>
      </c>
      <c r="E231">
        <v>0</v>
      </c>
      <c r="F231">
        <v>0</v>
      </c>
      <c r="G231">
        <v>0</v>
      </c>
      <c r="H231">
        <v>41.666666666666664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41.77144764957265</v>
      </c>
      <c r="AO231">
        <v>32.94256372471893</v>
      </c>
      <c r="AP231">
        <v>17.833698294182863</v>
      </c>
      <c r="AQ231">
        <v>223.22977176625358</v>
      </c>
      <c r="AR231">
        <v>31.82745545913308</v>
      </c>
      <c r="AS231">
        <v>307.39699919562366</v>
      </c>
      <c r="AT231">
        <v>25.363544671384759</v>
      </c>
      <c r="AU231">
        <v>19.09912523323365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>
        <f t="shared" si="358"/>
        <v>0.75020188533407928</v>
      </c>
      <c r="DH231" s="204">
        <f t="shared" si="359"/>
        <v>0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70.176422259541326</v>
      </c>
      <c r="GA231">
        <v>91.992076064225046</v>
      </c>
      <c r="GB231">
        <v>24.571949247581113</v>
      </c>
      <c r="GC231">
        <v>14.032092201653718</v>
      </c>
      <c r="GD231">
        <v>9.2666668524925306</v>
      </c>
      <c r="GE231">
        <v>10.987030429397697</v>
      </c>
      <c r="GF231">
        <v>30.837301817788155</v>
      </c>
      <c r="GG231">
        <v>22.340400745073286</v>
      </c>
      <c r="GH231">
        <v>7.6743240865495839</v>
      </c>
      <c r="GI231">
        <v>29.240070879058795</v>
      </c>
      <c r="GJ231"/>
      <c r="GK231">
        <v>77.981347753908381</v>
      </c>
      <c r="GL231">
        <v>88.307842857195723</v>
      </c>
      <c r="GM231">
        <v>43.53089064758116</v>
      </c>
      <c r="GN231">
        <v>46.318902327177227</v>
      </c>
      <c r="GO231">
        <v>40.298105946300026</v>
      </c>
      <c r="GP231">
        <v>23.574052299560481</v>
      </c>
      <c r="GQ231">
        <v>41.547639135689451</v>
      </c>
      <c r="GR231">
        <v>33.602792780588963</v>
      </c>
      <c r="GS231">
        <v>8.5960632694529941</v>
      </c>
      <c r="GT231">
        <v>42.390809350586402</v>
      </c>
      <c r="GU231"/>
      <c r="GV231"/>
      <c r="GW231"/>
      <c r="GX231"/>
      <c r="GY231"/>
      <c r="GZ231"/>
      <c r="HA231"/>
      <c r="HB231"/>
      <c r="HC231"/>
    </row>
    <row r="232" spans="1:211" s="7" customFormat="1">
      <c r="A232" s="77"/>
      <c r="B232">
        <v>0.60212090978263588</v>
      </c>
      <c r="C232">
        <v>9</v>
      </c>
      <c r="D232">
        <v>39646</v>
      </c>
      <c r="E232">
        <v>0</v>
      </c>
      <c r="F232">
        <v>0</v>
      </c>
      <c r="G232">
        <v>0</v>
      </c>
      <c r="H232">
        <v>31.25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49.146100427350426</v>
      </c>
      <c r="AO232">
        <v>38.410450630350546</v>
      </c>
      <c r="AP232">
        <v>24.674921967205147</v>
      </c>
      <c r="AQ232">
        <v>268.07270351159281</v>
      </c>
      <c r="AR232">
        <v>36.854075287692289</v>
      </c>
      <c r="AS232">
        <v>359.54678268337381</v>
      </c>
      <c r="AT232">
        <v>29.350699542710142</v>
      </c>
      <c r="AU232">
        <v>28.862282675712741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8"/>
        <v>0.75020188533407928</v>
      </c>
      <c r="DH232" s="204">
        <f t="shared" si="359"/>
        <v>0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40.428240451061512</v>
      </c>
      <c r="GA232">
        <v>70.120755004509491</v>
      </c>
      <c r="GB232">
        <v>23.599497563772317</v>
      </c>
      <c r="GC232">
        <v>13.761056257413458</v>
      </c>
      <c r="GD232">
        <v>11.507312924498821</v>
      </c>
      <c r="GE232">
        <v>9.0772576093281412</v>
      </c>
      <c r="GF232">
        <v>17.637636006925288</v>
      </c>
      <c r="GG232">
        <v>13.720690098189829</v>
      </c>
      <c r="GH232">
        <v>6.6840760700267108</v>
      </c>
      <c r="GI232">
        <v>23.496848881768404</v>
      </c>
      <c r="GJ232"/>
      <c r="GK232">
        <v>41.811275920002394</v>
      </c>
      <c r="GL232">
        <v>61.969801569783854</v>
      </c>
      <c r="GM232">
        <v>41.808125901430465</v>
      </c>
      <c r="GN232">
        <v>45.446754150370687</v>
      </c>
      <c r="GO232">
        <v>50.07540360315307</v>
      </c>
      <c r="GP232">
        <v>19.476395100019364</v>
      </c>
      <c r="GQ232">
        <v>23.763497220099385</v>
      </c>
      <c r="GR232">
        <v>20.637656031207388</v>
      </c>
      <c r="GS232">
        <v>8.1730080477069347</v>
      </c>
      <c r="GT232">
        <v>33.126262138478445</v>
      </c>
      <c r="GU232"/>
      <c r="GV232"/>
      <c r="GW232"/>
      <c r="GX232"/>
      <c r="GY232"/>
      <c r="GZ232"/>
      <c r="HA232"/>
      <c r="HB232"/>
      <c r="HC232"/>
    </row>
    <row r="233" spans="1:211" s="7" customFormat="1">
      <c r="A233" s="77"/>
      <c r="B233">
        <v>0.82896938546685206</v>
      </c>
      <c r="C233">
        <v>6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51.73410790598291</v>
      </c>
      <c r="AO233">
        <v>38.510498602683697</v>
      </c>
      <c r="AP233">
        <v>14.464273817292129</v>
      </c>
      <c r="AQ233">
        <v>250.89840359579989</v>
      </c>
      <c r="AR233">
        <v>36.228811644046381</v>
      </c>
      <c r="AS233">
        <v>366.16160056520891</v>
      </c>
      <c r="AT233">
        <v>29.504714475979444</v>
      </c>
      <c r="AU233">
        <v>17.097507829772919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>
        <f t="shared" si="358"/>
        <v>0.75020188533407928</v>
      </c>
      <c r="DH233" s="204">
        <f t="shared" si="359"/>
        <v>0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55.885702717201724</v>
      </c>
      <c r="GA233">
        <v>82.707486813943206</v>
      </c>
      <c r="GB233">
        <v>28.231174655727628</v>
      </c>
      <c r="GC233">
        <v>11.862571908219916</v>
      </c>
      <c r="GD233">
        <v>6.1301406209656273</v>
      </c>
      <c r="GE233">
        <v>6.7986044645996779</v>
      </c>
      <c r="GF233">
        <v>16.337003157386206</v>
      </c>
      <c r="GG233">
        <v>12.469060880971139</v>
      </c>
      <c r="GH233">
        <v>9.0696557386495051</v>
      </c>
      <c r="GI233">
        <v>23.559905654183215</v>
      </c>
      <c r="GJ233"/>
      <c r="GK233">
        <v>63.197378937878007</v>
      </c>
      <c r="GL233">
        <v>80.102509736354222</v>
      </c>
      <c r="GM233">
        <v>50.013459022271945</v>
      </c>
      <c r="GN233">
        <v>39.168680107959879</v>
      </c>
      <c r="GO233">
        <v>26.665315352391897</v>
      </c>
      <c r="GP233">
        <v>14.587258881495984</v>
      </c>
      <c r="GQ233">
        <v>22.011131705114479</v>
      </c>
      <c r="GR233">
        <v>18.755047133351983</v>
      </c>
      <c r="GS233">
        <v>10.158983863898991</v>
      </c>
      <c r="GT233">
        <v>34.409253776311061</v>
      </c>
      <c r="GU233"/>
      <c r="GV233"/>
      <c r="GW233"/>
      <c r="GX233"/>
      <c r="GY233"/>
      <c r="GZ233"/>
      <c r="HA233"/>
      <c r="HB233"/>
      <c r="HC233"/>
    </row>
    <row r="234" spans="1:211" s="7" customFormat="1">
      <c r="A234" s="77"/>
      <c r="B234">
        <v>9.2526201681929043E-2</v>
      </c>
      <c r="C234">
        <v>10</v>
      </c>
      <c r="D234">
        <v>39646</v>
      </c>
      <c r="E234">
        <v>0</v>
      </c>
      <c r="F234">
        <v>0</v>
      </c>
      <c r="G234">
        <v>20.833333333333332</v>
      </c>
      <c r="H234">
        <v>72.916666666666671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47.271047008547008</v>
      </c>
      <c r="AO234">
        <v>37.384154257450795</v>
      </c>
      <c r="AP234">
        <v>16.414472162245545</v>
      </c>
      <c r="AQ234">
        <v>257.93564859426692</v>
      </c>
      <c r="AR234">
        <v>35.545576730934492</v>
      </c>
      <c r="AS234">
        <v>301.03442384585992</v>
      </c>
      <c r="AT234">
        <v>28.747538408224116</v>
      </c>
      <c r="AU234">
        <v>3.8003366683863398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>
        <f t="shared" si="358"/>
        <v>1.0136979772092254</v>
      </c>
      <c r="DH234" s="204">
        <f t="shared" si="359"/>
        <v>7.9215246363172689E-3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57.623855906754045</v>
      </c>
      <c r="GA234">
        <v>96.108416789904211</v>
      </c>
      <c r="GB234">
        <v>31.760071487693583</v>
      </c>
      <c r="GC234">
        <v>10.36283703709228</v>
      </c>
      <c r="GD234">
        <v>8.5834565100501248</v>
      </c>
      <c r="GE234">
        <v>13.961419882660053</v>
      </c>
      <c r="GF234">
        <v>25.713862957779472</v>
      </c>
      <c r="GG234">
        <v>17.404730813022212</v>
      </c>
      <c r="GH234">
        <v>14.470901601680438</v>
      </c>
      <c r="GI234">
        <v>28.997243119022325</v>
      </c>
      <c r="GJ234"/>
      <c r="GK234">
        <v>63.199125568003012</v>
      </c>
      <c r="GL234">
        <v>89.609333595568444</v>
      </c>
      <c r="GM234">
        <v>56.265141400055946</v>
      </c>
      <c r="GN234">
        <v>34.207612580449378</v>
      </c>
      <c r="GO234">
        <v>37.333453769341375</v>
      </c>
      <c r="GP234">
        <v>29.955978060214971</v>
      </c>
      <c r="GQ234">
        <v>34.644739843552969</v>
      </c>
      <c r="GR234">
        <v>26.178919956970475</v>
      </c>
      <c r="GS234">
        <v>18.267341765336809</v>
      </c>
      <c r="GT234">
        <v>41.941960469258021</v>
      </c>
      <c r="GU234"/>
      <c r="GV234"/>
      <c r="GW234"/>
      <c r="GX234"/>
      <c r="GY234"/>
      <c r="GZ234"/>
      <c r="HA234"/>
      <c r="HB234"/>
      <c r="HC234"/>
    </row>
    <row r="235" spans="1:211" s="7" customFormat="1">
      <c r="A235" s="77"/>
      <c r="B235">
        <v>0.13198138897693834</v>
      </c>
      <c r="C235">
        <v>3</v>
      </c>
      <c r="D235">
        <v>39646</v>
      </c>
      <c r="E235">
        <v>0</v>
      </c>
      <c r="F235">
        <v>0</v>
      </c>
      <c r="G235">
        <v>52.083333333333336</v>
      </c>
      <c r="H235">
        <v>41.666666666666664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48.407852564102569</v>
      </c>
      <c r="AO235">
        <v>36.150595061380116</v>
      </c>
      <c r="AP235">
        <v>2.5126557901445978</v>
      </c>
      <c r="AQ235">
        <v>245.66112759609555</v>
      </c>
      <c r="AR235">
        <v>34.468416739320496</v>
      </c>
      <c r="AS235">
        <v>334.23649749404467</v>
      </c>
      <c r="AT235">
        <v>28.515088104706294</v>
      </c>
      <c r="AU235">
        <v>24.575246677747231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36.65935987579099</v>
      </c>
      <c r="GA235">
        <v>59.775069839909712</v>
      </c>
      <c r="GB235">
        <v>31.870349513692513</v>
      </c>
      <c r="GC235">
        <v>15.283091229617138</v>
      </c>
      <c r="GD235">
        <v>7.4106412483591493</v>
      </c>
      <c r="GE235">
        <v>8.4702393535603129</v>
      </c>
      <c r="GF235">
        <v>22.497433073108489</v>
      </c>
      <c r="GG235">
        <v>20.498380387657097</v>
      </c>
      <c r="GH235">
        <v>16.563899079830321</v>
      </c>
      <c r="GI235">
        <v>25.035904621745388</v>
      </c>
      <c r="GJ235"/>
      <c r="GK235">
        <v>37.907124452459321</v>
      </c>
      <c r="GL235">
        <v>52.826716092274744</v>
      </c>
      <c r="GM235">
        <v>56.460506474361686</v>
      </c>
      <c r="GN235">
        <v>50.45843467042765</v>
      </c>
      <c r="GO235">
        <v>32.22937042943731</v>
      </c>
      <c r="GP235">
        <v>18.173961271314365</v>
      </c>
      <c r="GQ235">
        <v>30.311187286225422</v>
      </c>
      <c r="GR235">
        <v>30.832160817707422</v>
      </c>
      <c r="GS235">
        <v>20.61172265700581</v>
      </c>
      <c r="GT235">
        <v>35.50398225989791</v>
      </c>
      <c r="GU235"/>
      <c r="GV235"/>
      <c r="GW235"/>
      <c r="GX235"/>
      <c r="GY235"/>
      <c r="GZ235"/>
      <c r="HA235"/>
      <c r="HB235"/>
      <c r="HC235"/>
    </row>
    <row r="236" spans="1:211" s="7" customFormat="1">
      <c r="A236" s="77"/>
      <c r="B236">
        <v>0.56447219875898469</v>
      </c>
      <c r="C236">
        <v>1</v>
      </c>
      <c r="D236">
        <v>39646</v>
      </c>
      <c r="E236">
        <v>0</v>
      </c>
      <c r="F236">
        <v>0</v>
      </c>
      <c r="G236">
        <v>0</v>
      </c>
      <c r="H236">
        <v>93.75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54.339716880341868</v>
      </c>
      <c r="AO236">
        <v>42.379380202953975</v>
      </c>
      <c r="AP236">
        <v>30.241487611779498</v>
      </c>
      <c r="AQ236">
        <v>291.48575713452146</v>
      </c>
      <c r="AR236">
        <v>41.063110122173683</v>
      </c>
      <c r="AS236">
        <v>389.79145176904524</v>
      </c>
      <c r="AT236">
        <v>32.5521341866556</v>
      </c>
      <c r="AU236">
        <v>46.577727144374556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46.440340708735619</v>
      </c>
      <c r="GA236">
        <v>77.636851064261435</v>
      </c>
      <c r="GB236">
        <v>28.662261484632566</v>
      </c>
      <c r="GC236">
        <v>11.733803983553484</v>
      </c>
      <c r="GD236">
        <v>6.4851773365619279</v>
      </c>
      <c r="GE236">
        <v>6.0701825576782849</v>
      </c>
      <c r="GF236">
        <v>29.308179413600321</v>
      </c>
      <c r="GG236">
        <v>26.166135333553068</v>
      </c>
      <c r="GH236">
        <v>14.009567243551309</v>
      </c>
      <c r="GI236">
        <v>25.953387378910172</v>
      </c>
      <c r="GJ236"/>
      <c r="GK236">
        <v>48.031069882183083</v>
      </c>
      <c r="GL236">
        <v>68.612214096179329</v>
      </c>
      <c r="GM236">
        <v>50.777158858194433</v>
      </c>
      <c r="GN236">
        <v>38.75106024007362</v>
      </c>
      <c r="GO236">
        <v>28.219106688863654</v>
      </c>
      <c r="GP236">
        <v>13.024338287049988</v>
      </c>
      <c r="GQ236">
        <v>39.48742562482883</v>
      </c>
      <c r="GR236">
        <v>39.357182241958327</v>
      </c>
      <c r="GS236">
        <v>16.378341168548427</v>
      </c>
      <c r="GT236">
        <v>36.578620444523686</v>
      </c>
      <c r="GU236"/>
      <c r="GV236"/>
      <c r="GW236"/>
      <c r="GX236"/>
      <c r="GY236"/>
      <c r="GZ236"/>
      <c r="HA236"/>
      <c r="HB236"/>
      <c r="HC236"/>
    </row>
    <row r="237" spans="1:211" s="7" customFormat="1">
      <c r="A237" s="77"/>
      <c r="B237">
        <v>0.9801030425479782</v>
      </c>
      <c r="C237">
        <v>1</v>
      </c>
      <c r="D237">
        <v>39646</v>
      </c>
      <c r="E237">
        <v>0</v>
      </c>
      <c r="F237">
        <v>0</v>
      </c>
      <c r="G237">
        <v>0</v>
      </c>
      <c r="H237">
        <v>93.75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47.623183760683766</v>
      </c>
      <c r="AO237">
        <v>37.650128655330221</v>
      </c>
      <c r="AP237">
        <v>34.047743011038769</v>
      </c>
      <c r="AQ237">
        <v>261.30379306546013</v>
      </c>
      <c r="AR237">
        <v>37.045019271220937</v>
      </c>
      <c r="AS237">
        <v>332.39688083841179</v>
      </c>
      <c r="AT237">
        <v>29.100505182851379</v>
      </c>
      <c r="AU237">
        <v>41.833167943568796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37.437676960516988</v>
      </c>
      <c r="GA237">
        <v>77.322770698221518</v>
      </c>
      <c r="GB237">
        <v>36.050889226561281</v>
      </c>
      <c r="GC237">
        <v>18.331909913355592</v>
      </c>
      <c r="GD237">
        <v>11.358209509670527</v>
      </c>
      <c r="GE237">
        <v>11.35124138285839</v>
      </c>
      <c r="GF237">
        <v>14.88697329134601</v>
      </c>
      <c r="GG237">
        <v>11.170200372536645</v>
      </c>
      <c r="GH237">
        <v>11.511486129824371</v>
      </c>
      <c r="GI237">
        <v>26.271630216404066</v>
      </c>
      <c r="GJ237"/>
      <c r="GK237">
        <v>40.512935200201596</v>
      </c>
      <c r="GL237">
        <v>70.671002635865506</v>
      </c>
      <c r="GM237">
        <v>63.86661883667967</v>
      </c>
      <c r="GN237">
        <v>60.53588124181951</v>
      </c>
      <c r="GO237">
        <v>49.417832467692293</v>
      </c>
      <c r="GP237">
        <v>24.355512596783477</v>
      </c>
      <c r="GQ237">
        <v>20.057480962056982</v>
      </c>
      <c r="GR237">
        <v>16.801396390294485</v>
      </c>
      <c r="GS237">
        <v>12.894094904179488</v>
      </c>
      <c r="GT237">
        <v>37.349792474162001</v>
      </c>
      <c r="GU237"/>
      <c r="GV237"/>
      <c r="GW237"/>
      <c r="GX237"/>
      <c r="GY237"/>
      <c r="GZ237"/>
      <c r="HA237"/>
      <c r="HB237"/>
      <c r="HC237"/>
    </row>
    <row r="238" spans="1:211" s="7" customFormat="1">
      <c r="A238" s="77"/>
      <c r="B238">
        <v>2.6967835407138097E-2</v>
      </c>
      <c r="C238">
        <v>6</v>
      </c>
      <c r="D238">
        <v>39673</v>
      </c>
      <c r="E238">
        <v>0</v>
      </c>
      <c r="F238">
        <v>0</v>
      </c>
      <c r="G238">
        <v>0</v>
      </c>
      <c r="H238">
        <v>10.416666666666666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45.107211538461542</v>
      </c>
      <c r="AO238">
        <v>36.540149395931294</v>
      </c>
      <c r="AP238">
        <v>50.547030860128345</v>
      </c>
      <c r="AQ238">
        <v>245.93951040771796</v>
      </c>
      <c r="AR238">
        <v>34.884128791776988</v>
      </c>
      <c r="AS238">
        <v>332.37212288758445</v>
      </c>
      <c r="AT238">
        <v>26.666538579432924</v>
      </c>
      <c r="AU238">
        <v>32.997567298820357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41.979366150881567</v>
      </c>
      <c r="GA238">
        <v>70.956195212313958</v>
      </c>
      <c r="GB238">
        <v>27.549455949552392</v>
      </c>
      <c r="GC238">
        <v>14.594892722072064</v>
      </c>
      <c r="GD238">
        <v>9.2682542254187208</v>
      </c>
      <c r="GE238">
        <v>11.430620693228033</v>
      </c>
      <c r="GF238">
        <v>21.14407186480431</v>
      </c>
      <c r="GG238">
        <v>16.601798862353615</v>
      </c>
      <c r="GH238">
        <v>9.4184886516744868</v>
      </c>
      <c r="GI238">
        <v>24.369820196514706</v>
      </c>
      <c r="GJ238"/>
      <c r="GK238">
        <v>45.204847002111521</v>
      </c>
      <c r="GL238">
        <v>65.044488495859909</v>
      </c>
      <c r="GM238">
        <v>48.805747653836413</v>
      </c>
      <c r="GN238">
        <v>48.204624348280255</v>
      </c>
      <c r="GO238">
        <v>40.335373802817877</v>
      </c>
      <c r="GP238">
        <v>24.525830866691056</v>
      </c>
      <c r="GQ238">
        <v>28.487779926038428</v>
      </c>
      <c r="GR238">
        <v>24.971208588534932</v>
      </c>
      <c r="GS238">
        <v>10.54971401251049</v>
      </c>
      <c r="GT238">
        <v>34.676692479462936</v>
      </c>
      <c r="GU238"/>
      <c r="GV238"/>
      <c r="GW238"/>
      <c r="GX238"/>
      <c r="GY238"/>
      <c r="GZ238"/>
      <c r="HA238"/>
      <c r="HB238"/>
      <c r="HC238"/>
    </row>
    <row r="239" spans="1:211" s="7" customFormat="1">
      <c r="A239" s="77" t="s">
        <v>61</v>
      </c>
      <c r="B239">
        <v>0.93374006758708616</v>
      </c>
      <c r="C239">
        <v>5</v>
      </c>
      <c r="D239">
        <v>39673</v>
      </c>
      <c r="E239">
        <v>0</v>
      </c>
      <c r="F239">
        <v>0</v>
      </c>
      <c r="G239">
        <v>0</v>
      </c>
      <c r="H239">
        <v>41.666666666666664</v>
      </c>
      <c r="I239">
        <v>41.666666666666664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49.474225427350426</v>
      </c>
      <c r="AO239">
        <v>41.901783944497055</v>
      </c>
      <c r="AP239">
        <v>60.514849930587971</v>
      </c>
      <c r="AQ239">
        <v>287.35510382509733</v>
      </c>
      <c r="AR239">
        <v>39.935946630751111</v>
      </c>
      <c r="AS239">
        <v>362.81221214544939</v>
      </c>
      <c r="AT239">
        <v>30.508492786230022</v>
      </c>
      <c r="AU239">
        <v>36.299428390500637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39.963286973369335</v>
      </c>
      <c r="GA239">
        <v>73.923015364148682</v>
      </c>
      <c r="GB239">
        <v>36.712557382554898</v>
      </c>
      <c r="GC239">
        <v>18.575493493774257</v>
      </c>
      <c r="GD239">
        <v>10.451533577595878</v>
      </c>
      <c r="GE239">
        <v>10.77690872547806</v>
      </c>
      <c r="GF239">
        <v>34.871021263318163</v>
      </c>
      <c r="GG239">
        <v>31.668580760193734</v>
      </c>
      <c r="GH239">
        <v>13.660734330526328</v>
      </c>
      <c r="GI239">
        <v>30.497949882529209</v>
      </c>
      <c r="GJ239"/>
      <c r="GK239">
        <v>41.328030543152899</v>
      </c>
      <c r="GL239">
        <v>65.330080847842723</v>
      </c>
      <c r="GM239">
        <v>65.038809282514165</v>
      </c>
      <c r="GN239">
        <v>61.35191967510309</v>
      </c>
      <c r="GO239">
        <v>45.48499678708226</v>
      </c>
      <c r="GP239">
        <v>23.12320982039336</v>
      </c>
      <c r="GQ239">
        <v>46.982340293649408</v>
      </c>
      <c r="GR239">
        <v>47.633557208001903</v>
      </c>
      <c r="GS239">
        <v>15.987611019936924</v>
      </c>
      <c r="GT239">
        <v>42.964357585267116</v>
      </c>
      <c r="GU239"/>
      <c r="GV239"/>
      <c r="GW239"/>
      <c r="GX239"/>
      <c r="GY239"/>
      <c r="GZ239"/>
      <c r="HA239"/>
      <c r="HB239"/>
      <c r="HC239"/>
    </row>
    <row r="240" spans="1:211" s="7" customFormat="1">
      <c r="A240" s="77" t="s">
        <v>62</v>
      </c>
      <c r="B240">
        <v>0.44201976877547566</v>
      </c>
      <c r="C240">
        <v>6</v>
      </c>
      <c r="D240">
        <v>39673</v>
      </c>
      <c r="E240">
        <v>0</v>
      </c>
      <c r="F240">
        <v>0</v>
      </c>
      <c r="G240">
        <v>0</v>
      </c>
      <c r="H240">
        <v>10.416666666666666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43.150347222222223</v>
      </c>
      <c r="AO240">
        <v>35.588838192077382</v>
      </c>
      <c r="AP240">
        <v>28.512577255576126</v>
      </c>
      <c r="AQ240">
        <v>249.763402009923</v>
      </c>
      <c r="AR240">
        <v>34.375243210772226</v>
      </c>
      <c r="AS240">
        <v>328.12777755450389</v>
      </c>
      <c r="AT240">
        <v>26.741781053678949</v>
      </c>
      <c r="AU240">
        <v>13.511801912439255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52.356589523500993</v>
      </c>
      <c r="GA240">
        <v>70.120755004509476</v>
      </c>
      <c r="GB240">
        <v>19.398907300721934</v>
      </c>
      <c r="GC240">
        <v>13.451089452064075</v>
      </c>
      <c r="GD240">
        <v>10.116121968961043</v>
      </c>
      <c r="GE240">
        <v>12.915480734260106</v>
      </c>
      <c r="GF240">
        <v>26.654185355757054</v>
      </c>
      <c r="GG240">
        <v>17.381115167414311</v>
      </c>
      <c r="GH240">
        <v>10.870071026326483</v>
      </c>
      <c r="GI240">
        <v>25.727306611517992</v>
      </c>
      <c r="GJ240"/>
      <c r="GK240">
        <v>54.155198597553849</v>
      </c>
      <c r="GL240">
        <v>61.969801569783847</v>
      </c>
      <c r="GM240">
        <v>34.366492616511444</v>
      </c>
      <c r="GN240">
        <v>44.415302534711721</v>
      </c>
      <c r="GO240">
        <v>44.012276682122945</v>
      </c>
      <c r="GP240">
        <v>27.711784386138671</v>
      </c>
      <c r="GQ240">
        <v>35.911652749656923</v>
      </c>
      <c r="GR240">
        <v>26.14339903436943</v>
      </c>
      <c r="GS240">
        <v>12.861769831044931</v>
      </c>
      <c r="GT240">
        <v>36.261478095378017</v>
      </c>
      <c r="GU240"/>
      <c r="GV240"/>
      <c r="GW240"/>
      <c r="GX240"/>
      <c r="GY240"/>
      <c r="GZ240"/>
      <c r="HA240"/>
      <c r="HB240"/>
      <c r="HC240"/>
    </row>
    <row r="241" spans="1:211" s="7" customFormat="1">
      <c r="A241" s="77"/>
      <c r="B241">
        <v>0.79157320059063108</v>
      </c>
      <c r="C241">
        <v>4</v>
      </c>
      <c r="D241">
        <v>39673</v>
      </c>
      <c r="E241">
        <v>0</v>
      </c>
      <c r="F241">
        <v>0</v>
      </c>
      <c r="G241">
        <v>0</v>
      </c>
      <c r="H241">
        <v>31.25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46.835470085470078</v>
      </c>
      <c r="AO241">
        <v>34.231776791446883</v>
      </c>
      <c r="AP241">
        <v>12.641191714092001</v>
      </c>
      <c r="AQ241">
        <v>223.6078440535783</v>
      </c>
      <c r="AR241">
        <v>32.676186223708754</v>
      </c>
      <c r="AS241">
        <v>317.82912710512159</v>
      </c>
      <c r="AT241">
        <v>26.355512387908789</v>
      </c>
      <c r="AU241">
        <v>27.846502290205326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48.16237988350521</v>
      </c>
      <c r="GA241">
        <v>73.383279291595358</v>
      </c>
      <c r="GB241">
        <v>28.993095562629371</v>
      </c>
      <c r="GC241">
        <v>13.855642060301843</v>
      </c>
      <c r="GD241">
        <v>9.6528668085381248</v>
      </c>
      <c r="GE241">
        <v>14.054807306624335</v>
      </c>
      <c r="GF241">
        <v>23.297146514379151</v>
      </c>
      <c r="GG241">
        <v>15.846098202900819</v>
      </c>
      <c r="GH241">
        <v>13.075569949580514</v>
      </c>
      <c r="GI241">
        <v>26.885502696681911</v>
      </c>
      <c r="GJ241"/>
      <c r="GK241">
        <v>53.394064294312315</v>
      </c>
      <c r="GL241">
        <v>69.525803956937381</v>
      </c>
      <c r="GM241">
        <v>51.363254081111677</v>
      </c>
      <c r="GN241">
        <v>45.759156110682447</v>
      </c>
      <c r="GO241">
        <v>42.0048678296181</v>
      </c>
      <c r="GP241">
        <v>30.156352495400355</v>
      </c>
      <c r="GQ241">
        <v>31.388655271790476</v>
      </c>
      <c r="GR241">
        <v>23.834539065301477</v>
      </c>
      <c r="GS241">
        <v>16.704421170890811</v>
      </c>
      <c r="GT241">
        <v>38.971052529544686</v>
      </c>
      <c r="GU241"/>
      <c r="GV241"/>
      <c r="GW241"/>
      <c r="GX241"/>
      <c r="GY241"/>
      <c r="GZ241"/>
      <c r="HA241"/>
      <c r="HB241"/>
      <c r="HC241"/>
    </row>
    <row r="242" spans="1:211" s="7" customFormat="1">
      <c r="A242" s="1"/>
      <c r="B242">
        <v>0.48028366805258305</v>
      </c>
      <c r="C242">
        <v>8</v>
      </c>
      <c r="D242">
        <v>39673</v>
      </c>
      <c r="E242">
        <v>0</v>
      </c>
      <c r="F242">
        <v>0</v>
      </c>
      <c r="G242">
        <v>0</v>
      </c>
      <c r="H242">
        <v>187.5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53.847622863247864</v>
      </c>
      <c r="AO242">
        <v>44.614844636804079</v>
      </c>
      <c r="AP242">
        <v>51.058073820885433</v>
      </c>
      <c r="AQ242">
        <v>311.11833458336122</v>
      </c>
      <c r="AR242">
        <v>42.39080935058643</v>
      </c>
      <c r="AS242">
        <v>402.21798648524509</v>
      </c>
      <c r="AT242">
        <v>32.411424883095528</v>
      </c>
      <c r="AU242">
        <v>33.210434707232821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35.508798089531695</v>
      </c>
      <c r="GA242">
        <v>51.728425822998787</v>
      </c>
      <c r="GB242">
        <v>24.47169649667299</v>
      </c>
      <c r="GC242">
        <v>12.721277501240742</v>
      </c>
      <c r="GD242">
        <v>7.4974931993944374</v>
      </c>
      <c r="GE242">
        <v>9.4554766763834817</v>
      </c>
      <c r="GF242">
        <v>31.874292873501762</v>
      </c>
      <c r="GG242">
        <v>25.693822421395069</v>
      </c>
      <c r="GH242">
        <v>13.075569949580514</v>
      </c>
      <c r="GI242">
        <v>24.296479134195923</v>
      </c>
      <c r="GJ242"/>
      <c r="GK242">
        <v>36.72863396948096</v>
      </c>
      <c r="GL242">
        <v>45.715427387545454</v>
      </c>
      <c r="GM242">
        <v>43.353286034575937</v>
      </c>
      <c r="GN242">
        <v>41.997168748281204</v>
      </c>
      <c r="GO242">
        <v>32.60734947762792</v>
      </c>
      <c r="GP242">
        <v>20.287911562520176</v>
      </c>
      <c r="GQ242">
        <v>42.944795424663916</v>
      </c>
      <c r="GR242">
        <v>38.646763789937417</v>
      </c>
      <c r="GS242">
        <v>16.704421170890811</v>
      </c>
      <c r="GT242">
        <v>34.467697215447913</v>
      </c>
      <c r="GU242"/>
      <c r="GV242"/>
      <c r="GW242"/>
      <c r="GX242"/>
      <c r="GY242"/>
      <c r="GZ242"/>
      <c r="HA242"/>
      <c r="HB242"/>
      <c r="HC242"/>
    </row>
    <row r="243" spans="1:211" s="7" customFormat="1">
      <c r="A243" s="1"/>
      <c r="B243">
        <v>0.62154838456643802</v>
      </c>
      <c r="C243">
        <v>9</v>
      </c>
      <c r="D243">
        <v>39673</v>
      </c>
      <c r="E243">
        <v>0</v>
      </c>
      <c r="F243">
        <v>0</v>
      </c>
      <c r="G243">
        <v>0</v>
      </c>
      <c r="H243">
        <v>41.666666666666664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46.244230769230768</v>
      </c>
      <c r="AO243">
        <v>34.628817968225199</v>
      </c>
      <c r="AP243">
        <v>9.3799563312518419</v>
      </c>
      <c r="AQ243">
        <v>230.033370867494</v>
      </c>
      <c r="AR243">
        <v>33.126262138478474</v>
      </c>
      <c r="AS243">
        <v>320.25989203282114</v>
      </c>
      <c r="AT243">
        <v>27.063946965410704</v>
      </c>
      <c r="AU243">
        <v>26.821462337789967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57.81604739476375</v>
      </c>
      <c r="GA243">
        <v>74.3163322743207</v>
      </c>
      <c r="GB243">
        <v>29.644738443532173</v>
      </c>
      <c r="GC243">
        <v>15.818429269090949</v>
      </c>
      <c r="GD243">
        <v>9.2750657588345025</v>
      </c>
      <c r="GE243">
        <v>11.472645034011958</v>
      </c>
      <c r="GF243">
        <v>21.724083811220389</v>
      </c>
      <c r="GG243">
        <v>12.964989438737035</v>
      </c>
      <c r="GH243">
        <v>4.9399115049018061</v>
      </c>
      <c r="GI243">
        <v>26.650099465474742</v>
      </c>
      <c r="GJ243"/>
      <c r="GK243">
        <v>61.594844008134942</v>
      </c>
      <c r="GL243">
        <v>68.014037625307296</v>
      </c>
      <c r="GM243">
        <v>52.517684065645653</v>
      </c>
      <c r="GN243">
        <v>52.238091978375486</v>
      </c>
      <c r="GO243">
        <v>40.356343368325803</v>
      </c>
      <c r="GP243">
        <v>24.615999362524477</v>
      </c>
      <c r="GQ243">
        <v>29.269240223261427</v>
      </c>
      <c r="GR243">
        <v>19.500986507973938</v>
      </c>
      <c r="GS243">
        <v>6.2193573046494368</v>
      </c>
      <c r="GT243">
        <v>37.991493794003453</v>
      </c>
      <c r="GU243"/>
      <c r="GV243"/>
      <c r="GW243"/>
      <c r="GX243"/>
      <c r="GY243"/>
      <c r="GZ243"/>
      <c r="HA243"/>
      <c r="HB243"/>
      <c r="HC243"/>
    </row>
    <row r="244" spans="1:211" s="7" customFormat="1">
      <c r="A244" s="1"/>
      <c r="B244">
        <v>0.80139145460567063</v>
      </c>
      <c r="C244">
        <v>7</v>
      </c>
      <c r="D244">
        <v>39673</v>
      </c>
      <c r="E244">
        <v>0</v>
      </c>
      <c r="F244">
        <v>0</v>
      </c>
      <c r="G244">
        <v>0</v>
      </c>
      <c r="H244">
        <v>114.58333333333333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41.934027777777779</v>
      </c>
      <c r="AO244">
        <v>35.906901851702841</v>
      </c>
      <c r="AP244">
        <v>54.561265532560995</v>
      </c>
      <c r="AQ244">
        <v>253.05130661184785</v>
      </c>
      <c r="AR244">
        <v>34.409253776311047</v>
      </c>
      <c r="AS244">
        <v>306.47144390053018</v>
      </c>
      <c r="AT244">
        <v>26.033076440202962</v>
      </c>
      <c r="AU244">
        <v>25.596727589881731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43.760630891505102</v>
      </c>
      <c r="GA244">
        <v>57.604071623813432</v>
      </c>
      <c r="GB244">
        <v>24.692252548670865</v>
      </c>
      <c r="GC244">
        <v>12.656749577404346</v>
      </c>
      <c r="GD244">
        <v>7.7247732447542514</v>
      </c>
      <c r="GE244">
        <v>9.0445720109406444</v>
      </c>
      <c r="GF244">
        <v>14.957277769699475</v>
      </c>
      <c r="GG244">
        <v>11.146584726928745</v>
      </c>
      <c r="GH244">
        <v>17.554147096353194</v>
      </c>
      <c r="GI244">
        <v>23.104680670130076</v>
      </c>
      <c r="GJ244"/>
      <c r="GK244">
        <v>47.048463299843419</v>
      </c>
      <c r="GL244">
        <v>53.244438007792624</v>
      </c>
      <c r="GM244">
        <v>43.744016183187441</v>
      </c>
      <c r="GN244">
        <v>41.784043212674923</v>
      </c>
      <c r="GO244">
        <v>33.596470553133955</v>
      </c>
      <c r="GP244">
        <v>19.406264047704482</v>
      </c>
      <c r="GQ244">
        <v>20.152203422326437</v>
      </c>
      <c r="GR244">
        <v>16.765875467693441</v>
      </c>
      <c r="GS244">
        <v>21.034777878751868</v>
      </c>
      <c r="GT244">
        <v>33.115186267448614</v>
      </c>
      <c r="GU244"/>
      <c r="GV244"/>
      <c r="GW244"/>
      <c r="GX244"/>
      <c r="GY244"/>
      <c r="GZ244"/>
      <c r="HA244"/>
      <c r="HB244"/>
      <c r="HC244"/>
    </row>
    <row r="245" spans="1:211" s="7" customFormat="1">
      <c r="A245" s="1"/>
      <c r="B245">
        <v>0.42178558970845437</v>
      </c>
      <c r="C245">
        <v>6</v>
      </c>
      <c r="D245">
        <v>39673</v>
      </c>
      <c r="E245">
        <v>0</v>
      </c>
      <c r="F245">
        <v>0</v>
      </c>
      <c r="G245">
        <v>0</v>
      </c>
      <c r="H245">
        <v>10.416666666666666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52.915331196581192</v>
      </c>
      <c r="AO245">
        <v>43.160360700875138</v>
      </c>
      <c r="AP245">
        <v>46.403734677237367</v>
      </c>
      <c r="AQ245">
        <v>304.9867961056587</v>
      </c>
      <c r="AR245">
        <v>41.941960469258035</v>
      </c>
      <c r="AS245">
        <v>393.79336005018115</v>
      </c>
      <c r="AT245">
        <v>32.43037614565943</v>
      </c>
      <c r="AU245">
        <v>31.128360606659772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38.788937240330007</v>
      </c>
      <c r="GA245">
        <v>68.922428043204619</v>
      </c>
      <c r="GB245">
        <v>32.742548446593204</v>
      </c>
      <c r="GC245">
        <v>15.764943922233648</v>
      </c>
      <c r="GD245">
        <v>8.8710373505633591</v>
      </c>
      <c r="GE245">
        <v>10.380012173629865</v>
      </c>
      <c r="GF245">
        <v>31.557922720911169</v>
      </c>
      <c r="GG245">
        <v>24.631118369039573</v>
      </c>
      <c r="GH245">
        <v>13.075569949580514</v>
      </c>
      <c r="GI245">
        <v>27.603848974394886</v>
      </c>
      <c r="GJ245"/>
      <c r="GK245">
        <v>41.916413716631055</v>
      </c>
      <c r="GL245">
        <v>63.24712981224701</v>
      </c>
      <c r="GM245">
        <v>58.005666607507187</v>
      </c>
      <c r="GN245">
        <v>52.069118568696567</v>
      </c>
      <c r="GO245">
        <v>38.606688902900345</v>
      </c>
      <c r="GP245">
        <v>22.271618470855479</v>
      </c>
      <c r="GQ245">
        <v>42.518544353451368</v>
      </c>
      <c r="GR245">
        <v>37.048322272890367</v>
      </c>
      <c r="GS245">
        <v>16.704421170890811</v>
      </c>
      <c r="GT245">
        <v>39.55034695027615</v>
      </c>
      <c r="GU245"/>
      <c r="GV245"/>
      <c r="GW245"/>
      <c r="GX245"/>
      <c r="GY245"/>
      <c r="GZ245"/>
      <c r="HA245"/>
      <c r="HB245"/>
      <c r="HC245"/>
    </row>
    <row r="246" spans="1:211" s="7" customFormat="1">
      <c r="A246" s="1"/>
      <c r="B246">
        <v>0.26631559339404909</v>
      </c>
      <c r="C246">
        <v>8</v>
      </c>
      <c r="D246">
        <v>39673</v>
      </c>
      <c r="E246">
        <v>0</v>
      </c>
      <c r="F246">
        <v>0</v>
      </c>
      <c r="G246">
        <v>0</v>
      </c>
      <c r="H246">
        <v>187.5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48.873744658119662</v>
      </c>
      <c r="AO246">
        <v>36.531516641111168</v>
      </c>
      <c r="AP246">
        <v>25.460607745165671</v>
      </c>
      <c r="AQ246">
        <v>244.06436822327112</v>
      </c>
      <c r="AR246">
        <v>35.50398225989791</v>
      </c>
      <c r="AS246">
        <v>351.16025191659946</v>
      </c>
      <c r="AT246">
        <v>28.27146420774314</v>
      </c>
      <c r="AU246">
        <v>32.853336522940857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42.031617440526837</v>
      </c>
      <c r="GA246">
        <v>74.40475693384721</v>
      </c>
      <c r="GB246">
        <v>33.504469353494933</v>
      </c>
      <c r="GC246">
        <v>16.437523436066805</v>
      </c>
      <c r="GD246">
        <v>10.666675277991724</v>
      </c>
      <c r="GE246">
        <v>14.769221099951087</v>
      </c>
      <c r="GF246">
        <v>30.52093166519758</v>
      </c>
      <c r="GG246">
        <v>19.978836184283296</v>
      </c>
      <c r="GH246">
        <v>6.6278253474746389</v>
      </c>
      <c r="GI246">
        <v>28.098437853371102</v>
      </c>
      <c r="GJ246"/>
      <c r="GK246">
        <v>45.25425463480245</v>
      </c>
      <c r="GL246">
        <v>68.092183655029601</v>
      </c>
      <c r="GM246">
        <v>59.355461666346898</v>
      </c>
      <c r="GN246">
        <v>54.290542420592708</v>
      </c>
      <c r="GO246">
        <v>46.421291875130336</v>
      </c>
      <c r="GP246">
        <v>31.689216924568544</v>
      </c>
      <c r="GQ246">
        <v>41.121388064476918</v>
      </c>
      <c r="GR246">
        <v>30.050700520484423</v>
      </c>
      <c r="GS246">
        <v>7.4238728236184937</v>
      </c>
      <c r="GT246">
        <v>39.915253812875015</v>
      </c>
      <c r="GU246"/>
      <c r="GV246"/>
      <c r="GW246"/>
      <c r="GX246"/>
      <c r="GY246"/>
      <c r="GZ246"/>
      <c r="HA246"/>
      <c r="HB246"/>
      <c r="HC246"/>
    </row>
    <row r="247" spans="1:211" s="7" customFormat="1">
      <c r="A247" s="77" t="s">
        <v>61</v>
      </c>
      <c r="B247">
        <v>0.56946453170378297</v>
      </c>
      <c r="C247">
        <v>8</v>
      </c>
      <c r="D247">
        <v>39673</v>
      </c>
      <c r="E247">
        <v>0</v>
      </c>
      <c r="F247">
        <v>0</v>
      </c>
      <c r="G247">
        <v>0</v>
      </c>
      <c r="H247">
        <v>187.5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50.576095085470072</v>
      </c>
      <c r="AO247">
        <v>37.92165175324034</v>
      </c>
      <c r="AP247">
        <v>8.9409897112961474</v>
      </c>
      <c r="AQ247">
        <v>272.46588650503821</v>
      </c>
      <c r="AR247">
        <v>36.578620444523686</v>
      </c>
      <c r="AS247">
        <v>356.23297751781274</v>
      </c>
      <c r="AT247">
        <v>29.978778787140556</v>
      </c>
      <c r="AU247">
        <v>26.13737002879332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52.239460067532065</v>
      </c>
      <c r="GA247">
        <v>83.728964456195101</v>
      </c>
      <c r="GB247">
        <v>31.088378056609152</v>
      </c>
      <c r="GC247">
        <v>12.979200620289722</v>
      </c>
      <c r="GD247">
        <v>8.949841826524052</v>
      </c>
      <c r="GE247">
        <v>11.883549699454797</v>
      </c>
      <c r="GF247">
        <v>20.370722602916203</v>
      </c>
      <c r="GG247">
        <v>13.224761540423934</v>
      </c>
      <c r="GH247">
        <v>10.5212381133015</v>
      </c>
      <c r="GI247">
        <v>26.568569430635549</v>
      </c>
      <c r="GJ247"/>
      <c r="GK247">
        <v>57.633238240632089</v>
      </c>
      <c r="GL247">
        <v>78.66888943444647</v>
      </c>
      <c r="GM247">
        <v>55.075190492920918</v>
      </c>
      <c r="GN247">
        <v>42.860568411699511</v>
      </c>
      <c r="GO247">
        <v>38.940971221607228</v>
      </c>
      <c r="GP247">
        <v>25.49764687734017</v>
      </c>
      <c r="GQ247">
        <v>27.445832863074425</v>
      </c>
      <c r="GR247">
        <v>19.891716656585437</v>
      </c>
      <c r="GS247">
        <v>12.471039682433428</v>
      </c>
      <c r="GT247">
        <v>38.313254500133624</v>
      </c>
      <c r="GU247"/>
      <c r="GV247"/>
      <c r="GW247"/>
      <c r="GX247"/>
      <c r="GY247"/>
      <c r="GZ247"/>
      <c r="HA247"/>
      <c r="HB247"/>
      <c r="HC247"/>
    </row>
    <row r="248" spans="1:211" s="7" customFormat="1">
      <c r="A248" s="77" t="s">
        <v>62</v>
      </c>
      <c r="B248">
        <v>5.3194977989205583E-2</v>
      </c>
      <c r="C248">
        <v>6</v>
      </c>
      <c r="D248">
        <v>39714</v>
      </c>
      <c r="E248">
        <v>0</v>
      </c>
      <c r="F248">
        <v>0</v>
      </c>
      <c r="G248">
        <v>0</v>
      </c>
      <c r="H248">
        <v>83.333333333333329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51.483386752136752</v>
      </c>
      <c r="AO248">
        <v>39.646254770973499</v>
      </c>
      <c r="AP248">
        <v>30.40082967276669</v>
      </c>
      <c r="AQ248">
        <v>255.69298770129538</v>
      </c>
      <c r="AR248">
        <v>37.349792474162001</v>
      </c>
      <c r="AS248">
        <v>361.5293103941321</v>
      </c>
      <c r="AT248">
        <v>29.839569276823585</v>
      </c>
      <c r="AU248">
        <v>17.097973836539801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65.657687942410107</v>
      </c>
      <c r="GA248">
        <v>77.667281220933091</v>
      </c>
      <c r="GB248">
        <v>23.709775589771251</v>
      </c>
      <c r="GC248">
        <v>13.393794156308372</v>
      </c>
      <c r="GD248">
        <v>6.7985393380702108</v>
      </c>
      <c r="GE248">
        <v>9.8336957434388204</v>
      </c>
      <c r="GF248">
        <v>22.857743524669996</v>
      </c>
      <c r="GG248">
        <v>14.24023430156363</v>
      </c>
      <c r="GH248">
        <v>10.813820303774412</v>
      </c>
      <c r="GI248">
        <v>25.800971618200208</v>
      </c>
      <c r="GJ248"/>
      <c r="GK248">
        <v>73.287666827770494</v>
      </c>
      <c r="GL248">
        <v>75.648186042183141</v>
      </c>
      <c r="GM248">
        <v>42.003490975736206</v>
      </c>
      <c r="GN248">
        <v>44.222225107175092</v>
      </c>
      <c r="GO248">
        <v>29.569844534243853</v>
      </c>
      <c r="GP248">
        <v>21.09942802502098</v>
      </c>
      <c r="GQ248">
        <v>30.796639895106377</v>
      </c>
      <c r="GR248">
        <v>21.419116328430391</v>
      </c>
      <c r="GS248">
        <v>12.11263460695649</v>
      </c>
      <c r="GT248">
        <v>37.554055367962683</v>
      </c>
      <c r="GU248"/>
      <c r="GV248"/>
      <c r="GW248"/>
      <c r="GX248"/>
      <c r="GY248"/>
      <c r="GZ248"/>
      <c r="HA248"/>
      <c r="HB248"/>
      <c r="HC248"/>
    </row>
    <row r="249" spans="1:211" s="7" customFormat="1">
      <c r="A249" s="1"/>
      <c r="B249">
        <v>0.28226387713522727</v>
      </c>
      <c r="C249">
        <v>5</v>
      </c>
      <c r="D249">
        <v>39714</v>
      </c>
      <c r="E249">
        <v>0</v>
      </c>
      <c r="F249">
        <v>0</v>
      </c>
      <c r="G249">
        <v>0</v>
      </c>
      <c r="H249">
        <v>20.833333333333332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48.034775641025639</v>
      </c>
      <c r="AO249">
        <v>37.080630717614376</v>
      </c>
      <c r="AP249">
        <v>37.746845267332709</v>
      </c>
      <c r="AQ249">
        <v>247.31296452881386</v>
      </c>
      <c r="AR249">
        <v>34.676692479462943</v>
      </c>
      <c r="AS249">
        <v>329.01662362854717</v>
      </c>
      <c r="AT249">
        <v>27.753335835994193</v>
      </c>
      <c r="AU249">
        <v>30.739031991122737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58.378873646892259</v>
      </c>
      <c r="GA249">
        <v>83.857007387787618</v>
      </c>
      <c r="GB249">
        <v>26.566978990652775</v>
      </c>
      <c r="GC249">
        <v>15.591553515644089</v>
      </c>
      <c r="GD249">
        <v>11.868114764462282</v>
      </c>
      <c r="GE249">
        <v>15.81516024835104</v>
      </c>
      <c r="GF249">
        <v>36.224382471622341</v>
      </c>
      <c r="GG249">
        <v>29.330631845011645</v>
      </c>
      <c r="GH249">
        <v>13.255650694949276</v>
      </c>
      <c r="GI249">
        <v>31.542970262169792</v>
      </c>
      <c r="GJ249"/>
      <c r="GK249">
        <v>65.776197918713905</v>
      </c>
      <c r="GL249">
        <v>81.118408122744114</v>
      </c>
      <c r="GM249">
        <v>47.065222446385178</v>
      </c>
      <c r="GN249">
        <v>51.49259733564606</v>
      </c>
      <c r="GO249">
        <v>51.645610540696715</v>
      </c>
      <c r="GP249">
        <v>33.933410598644855</v>
      </c>
      <c r="GQ249">
        <v>48.805747653836399</v>
      </c>
      <c r="GR249">
        <v>44.116985870498404</v>
      </c>
      <c r="GS249">
        <v>14.847745647236984</v>
      </c>
      <c r="GT249">
        <v>45.628104841373833</v>
      </c>
      <c r="GU249"/>
      <c r="GV249"/>
      <c r="GW249"/>
      <c r="GX249"/>
      <c r="GY249"/>
      <c r="GZ249"/>
      <c r="HA249"/>
      <c r="HB249"/>
      <c r="HC249"/>
    </row>
    <row r="250" spans="1:211" s="7" customFormat="1">
      <c r="A250" s="1"/>
      <c r="B250">
        <v>0.94740603166546244</v>
      </c>
      <c r="C250">
        <v>7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60.774786324786319</v>
      </c>
      <c r="AO250">
        <v>45.522491306294384</v>
      </c>
      <c r="AP250">
        <v>14.2949235232409</v>
      </c>
      <c r="AQ250">
        <v>301.10108175348853</v>
      </c>
      <c r="AR250">
        <v>42.96435758526718</v>
      </c>
      <c r="AS250">
        <v>422.11193446500192</v>
      </c>
      <c r="AT250">
        <v>35.255996641767823</v>
      </c>
      <c r="AU250">
        <v>30.755938146305688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44.656077432200007</v>
      </c>
      <c r="GA250">
        <v>82.765481316798059</v>
      </c>
      <c r="GB250">
        <v>41.133703697603146</v>
      </c>
      <c r="GC250">
        <v>14.384789699887667</v>
      </c>
      <c r="GD250">
        <v>8.5316691367432984</v>
      </c>
      <c r="GE250">
        <v>14.19021907137255</v>
      </c>
      <c r="GF250">
        <v>24.360501749475294</v>
      </c>
      <c r="GG250">
        <v>18.963363423143601</v>
      </c>
      <c r="GH250">
        <v>9.7673215646994649</v>
      </c>
      <c r="GI250">
        <v>28.455235906045061</v>
      </c>
      <c r="GJ250"/>
      <c r="GK250">
        <v>46.176234404507433</v>
      </c>
      <c r="GL250">
        <v>73.144683820072729</v>
      </c>
      <c r="GM250">
        <v>72.871172716044669</v>
      </c>
      <c r="GN250">
        <v>47.483806429914068</v>
      </c>
      <c r="GO250">
        <v>37.099401326431533</v>
      </c>
      <c r="GP250">
        <v>30.446895426419175</v>
      </c>
      <c r="GQ250">
        <v>32.821332483365971</v>
      </c>
      <c r="GR250">
        <v>28.523300848639469</v>
      </c>
      <c r="GS250">
        <v>10.940444161121988</v>
      </c>
      <c r="GT250">
        <v>39.981717018294319</v>
      </c>
      <c r="GU250"/>
      <c r="GV250"/>
      <c r="GW250"/>
      <c r="GX250"/>
      <c r="GY250"/>
      <c r="GZ250"/>
      <c r="HA250"/>
      <c r="HB250"/>
      <c r="HC250"/>
    </row>
    <row r="251" spans="1:211" s="7" customFormat="1">
      <c r="A251" s="1"/>
      <c r="B251">
        <v>0.54568282004496549</v>
      </c>
      <c r="C251">
        <v>1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50.36936431623932</v>
      </c>
      <c r="AO251">
        <v>37.780915609727181</v>
      </c>
      <c r="AP251">
        <v>4.960881881423254</v>
      </c>
      <c r="AQ251">
        <v>258.99162214503349</v>
      </c>
      <c r="AR251">
        <v>36.261478095378031</v>
      </c>
      <c r="AS251">
        <v>354.98273456929417</v>
      </c>
      <c r="AT251">
        <v>29.828826259917097</v>
      </c>
      <c r="AU251">
        <v>20.144104897521768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40.015049660822378</v>
      </c>
      <c r="GA251">
        <v>62.467427897770584</v>
      </c>
      <c r="GB251">
        <v>27.549455949552392</v>
      </c>
      <c r="GC251">
        <v>14.945824148798522</v>
      </c>
      <c r="GD251">
        <v>8.7411602282766072</v>
      </c>
      <c r="GE251">
        <v>12.12635700176193</v>
      </c>
      <c r="GF251">
        <v>19.913743493618686</v>
      </c>
      <c r="GG251">
        <v>12.469060880971139</v>
      </c>
      <c r="GH251">
        <v>10.228655922828594</v>
      </c>
      <c r="GI251">
        <v>23.685036059085451</v>
      </c>
      <c r="GJ251"/>
      <c r="GK251">
        <v>43.173050229331722</v>
      </c>
      <c r="GL251">
        <v>57.542469642519123</v>
      </c>
      <c r="GM251">
        <v>48.805747653836413</v>
      </c>
      <c r="GN251">
        <v>49.336814558935281</v>
      </c>
      <c r="GO251">
        <v>38.011105006525028</v>
      </c>
      <c r="GP251">
        <v>26.018620408822173</v>
      </c>
      <c r="GQ251">
        <v>26.830136871322971</v>
      </c>
      <c r="GR251">
        <v>18.755047133351983</v>
      </c>
      <c r="GS251">
        <v>12.829444757910373</v>
      </c>
      <c r="GT251">
        <v>33.929896903785306</v>
      </c>
      <c r="GU251"/>
      <c r="GV251"/>
      <c r="GW251"/>
      <c r="GX251"/>
      <c r="GY251"/>
      <c r="GZ251"/>
      <c r="HA251"/>
      <c r="HB251"/>
      <c r="HC251"/>
    </row>
    <row r="252" spans="1:211" s="7" customFormat="1">
      <c r="A252" s="1"/>
      <c r="B252">
        <v>0.33756730251738021</v>
      </c>
      <c r="C252">
        <v>9</v>
      </c>
      <c r="D252">
        <v>39714</v>
      </c>
      <c r="E252">
        <v>0</v>
      </c>
      <c r="F252">
        <v>0</v>
      </c>
      <c r="G252">
        <v>0</v>
      </c>
      <c r="H252">
        <v>270.83333333333331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49.613621794871804</v>
      </c>
      <c r="AO252">
        <v>40.31021668055898</v>
      </c>
      <c r="AP252">
        <v>62.375488949945627</v>
      </c>
      <c r="AQ252">
        <v>267.20638827673662</v>
      </c>
      <c r="AR252">
        <v>38.971052529544714</v>
      </c>
      <c r="AS252">
        <v>347.18343641112028</v>
      </c>
      <c r="AT252">
        <v>29.773933322949699</v>
      </c>
      <c r="AU252">
        <v>40.645632114295765</v>
      </c>
      <c r="AV252"/>
      <c r="AW252"/>
      <c r="FY252" s="211">
        <v>247</v>
      </c>
      <c r="FZ252">
        <v>21.926986200346995</v>
      </c>
      <c r="GA252">
        <v>50.490480589627893</v>
      </c>
      <c r="GB252">
        <v>27.439177923553451</v>
      </c>
      <c r="GC252">
        <v>10.798211946691335</v>
      </c>
      <c r="GD252">
        <v>7.5231677296383648</v>
      </c>
      <c r="GE252">
        <v>10.730215013495924</v>
      </c>
      <c r="GF252">
        <v>18.824024079139999</v>
      </c>
      <c r="GG252">
        <v>15.562710455606021</v>
      </c>
      <c r="GH252">
        <v>12.906817781924296</v>
      </c>
      <c r="GI252">
        <v>20.472619296867055</v>
      </c>
      <c r="GJ252"/>
      <c r="GK252">
        <v>22.668648656610838</v>
      </c>
      <c r="GL252">
        <v>44.621382971433263</v>
      </c>
      <c r="GM252">
        <v>48.610382579530658</v>
      </c>
      <c r="GN252">
        <v>35.657107466784929</v>
      </c>
      <c r="GO252">
        <v>32.732096109521926</v>
      </c>
      <c r="GP252">
        <v>23.023022602800673</v>
      </c>
      <c r="GQ252">
        <v>25.361938737146435</v>
      </c>
      <c r="GR252">
        <v>23.408287994088933</v>
      </c>
      <c r="GS252">
        <v>14.457015498625488</v>
      </c>
      <c r="GT252">
        <v>28.766016316287068</v>
      </c>
      <c r="GU252"/>
      <c r="GV252"/>
      <c r="GW252"/>
      <c r="GX252"/>
      <c r="GY252"/>
      <c r="GZ252"/>
      <c r="HA252"/>
      <c r="HB252"/>
      <c r="HC252"/>
    </row>
    <row r="253" spans="1:211" s="7" customFormat="1">
      <c r="A253" s="1"/>
      <c r="B253">
        <v>0.7931704281254226</v>
      </c>
      <c r="C253">
        <v>3</v>
      </c>
      <c r="D253">
        <v>39714</v>
      </c>
      <c r="E253">
        <v>0</v>
      </c>
      <c r="F253">
        <v>0</v>
      </c>
      <c r="G253">
        <v>0</v>
      </c>
      <c r="H253">
        <v>125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46.718616452991455</v>
      </c>
      <c r="AO253">
        <v>35.345345478097173</v>
      </c>
      <c r="AP253">
        <v>13.55037511844146</v>
      </c>
      <c r="AQ253">
        <v>236.32333216489539</v>
      </c>
      <c r="AR253">
        <v>34.467697215447899</v>
      </c>
      <c r="AS253">
        <v>315.52792797277175</v>
      </c>
      <c r="AT253">
        <v>27.911354594743784</v>
      </c>
      <c r="AU253">
        <v>21.709431651657411</v>
      </c>
      <c r="AV253"/>
      <c r="AW253"/>
      <c r="FY253" s="211">
        <v>248</v>
      </c>
      <c r="FZ253">
        <v>44.292483867048496</v>
      </c>
      <c r="GA253">
        <v>63.351674493035496</v>
      </c>
      <c r="GB253">
        <v>25.694780057752101</v>
      </c>
      <c r="GC253">
        <v>13.170529658340373</v>
      </c>
      <c r="GD253">
        <v>7.7831352357141039</v>
      </c>
      <c r="GE253">
        <v>10.77690872547806</v>
      </c>
      <c r="GF253">
        <v>29.571821207425813</v>
      </c>
      <c r="GG253">
        <v>23.544798671076183</v>
      </c>
      <c r="GH253">
        <v>6.9766582604996197</v>
      </c>
      <c r="GI253">
        <v>24.545178257148486</v>
      </c>
      <c r="GJ253"/>
      <c r="GK253">
        <v>47.606704687843262</v>
      </c>
      <c r="GL253">
        <v>58.323929939742101</v>
      </c>
      <c r="GM253">
        <v>45.520062313239706</v>
      </c>
      <c r="GN253">
        <v>43.461777033664347</v>
      </c>
      <c r="GO253">
        <v>33.828776062126991</v>
      </c>
      <c r="GP253">
        <v>23.12320982039336</v>
      </c>
      <c r="GQ253">
        <v>39.842634850839282</v>
      </c>
      <c r="GR253">
        <v>35.414359833242287</v>
      </c>
      <c r="GS253">
        <v>7.8146029722299932</v>
      </c>
      <c r="GT253">
        <v>34.922556177255849</v>
      </c>
      <c r="GU253"/>
      <c r="GV253"/>
      <c r="GW253"/>
      <c r="GX253"/>
      <c r="GY253"/>
      <c r="GZ253"/>
      <c r="HA253"/>
      <c r="HB253"/>
      <c r="HC253"/>
    </row>
    <row r="254" spans="1:211" s="7" customFormat="1">
      <c r="A254" s="1"/>
      <c r="B254">
        <v>9.0020057271580356E-3</v>
      </c>
      <c r="C254">
        <v>2</v>
      </c>
      <c r="D254">
        <v>39714</v>
      </c>
      <c r="E254">
        <v>0</v>
      </c>
      <c r="F254">
        <v>0</v>
      </c>
      <c r="G254">
        <v>0</v>
      </c>
      <c r="H254">
        <v>104.16666666666667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50.346180555555549</v>
      </c>
      <c r="AO254">
        <v>39.231807823820198</v>
      </c>
      <c r="AP254">
        <v>24.249099575387</v>
      </c>
      <c r="AQ254">
        <v>264.62234239488799</v>
      </c>
      <c r="AR254">
        <v>37.991493794003475</v>
      </c>
      <c r="AS254">
        <v>358.89680143028403</v>
      </c>
      <c r="AT254">
        <v>30.196307678348123</v>
      </c>
      <c r="AU254">
        <v>45.676487616446842</v>
      </c>
      <c r="AV254"/>
      <c r="AW254"/>
      <c r="FY254" s="211">
        <v>249</v>
      </c>
      <c r="FZ254">
        <v>43.69672992956594</v>
      </c>
      <c r="GA254">
        <v>66.888660874095265</v>
      </c>
      <c r="GB254">
        <v>18.41643034182232</v>
      </c>
      <c r="GC254">
        <v>11.609286019144164</v>
      </c>
      <c r="GD254">
        <v>10.38211914911972</v>
      </c>
      <c r="GE254">
        <v>11.53334685958874</v>
      </c>
      <c r="GF254">
        <v>23.297146514379143</v>
      </c>
      <c r="GG254">
        <v>18.963363423143601</v>
      </c>
      <c r="GH254">
        <v>15.056065982626254</v>
      </c>
      <c r="GI254">
        <v>24.340303796709978</v>
      </c>
      <c r="GJ254"/>
      <c r="GK254">
        <v>46.984686468636809</v>
      </c>
      <c r="GL254">
        <v>61.449771128634112</v>
      </c>
      <c r="GM254">
        <v>32.625967409060216</v>
      </c>
      <c r="GN254">
        <v>38.332116841060902</v>
      </c>
      <c r="GO254">
        <v>45.169894441762146</v>
      </c>
      <c r="GP254">
        <v>24.746242745394973</v>
      </c>
      <c r="GQ254">
        <v>31.388655271790466</v>
      </c>
      <c r="GR254">
        <v>28.523300848639469</v>
      </c>
      <c r="GS254">
        <v>17.550531614382926</v>
      </c>
      <c r="GT254">
        <v>34.743947041126511</v>
      </c>
      <c r="GU254"/>
      <c r="GV254"/>
      <c r="GW254"/>
      <c r="GX254"/>
      <c r="GY254"/>
      <c r="GZ254"/>
      <c r="HA254"/>
      <c r="HB254"/>
      <c r="HC254"/>
    </row>
    <row r="255" spans="1:211" s="7" customFormat="1">
      <c r="A255" s="1"/>
      <c r="B255">
        <v>0.92983483533162659</v>
      </c>
      <c r="C255">
        <v>6</v>
      </c>
      <c r="D255">
        <v>39714</v>
      </c>
      <c r="E255">
        <v>0</v>
      </c>
      <c r="F255">
        <v>0</v>
      </c>
      <c r="G255">
        <v>0</v>
      </c>
      <c r="H255">
        <v>83.333333333333329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42.435069444444444</v>
      </c>
      <c r="AO255">
        <v>32.989173834055727</v>
      </c>
      <c r="AP255">
        <v>35.470900275477412</v>
      </c>
      <c r="AQ255">
        <v>222.24574016020017</v>
      </c>
      <c r="AR255">
        <v>33.115186267448607</v>
      </c>
      <c r="AS255">
        <v>317.03850399431906</v>
      </c>
      <c r="AT255">
        <v>25.482754979877711</v>
      </c>
      <c r="AU255">
        <v>38.078338018874241</v>
      </c>
      <c r="AV255"/>
      <c r="AW255"/>
      <c r="FY255" s="211">
        <v>250</v>
      </c>
      <c r="FZ255">
        <v>39.7011974515963</v>
      </c>
      <c r="GA255">
        <v>66.004414278830325</v>
      </c>
      <c r="GB255">
        <v>24.581974522671931</v>
      </c>
      <c r="GC255">
        <v>11.82672306164414</v>
      </c>
      <c r="GD255">
        <v>9.0180203133413883</v>
      </c>
      <c r="GE255">
        <v>10.973022315803053</v>
      </c>
      <c r="GF255">
        <v>31.970961531237776</v>
      </c>
      <c r="GG255">
        <v>20.758152489343995</v>
      </c>
      <c r="GH255">
        <v>8.4844913577036873</v>
      </c>
      <c r="GI255">
        <v>25.097818520792444</v>
      </c>
      <c r="GJ255"/>
      <c r="GK255">
        <v>42.84609691192685</v>
      </c>
      <c r="GL255">
        <v>60.668310831411119</v>
      </c>
      <c r="GM255">
        <v>43.548651108881693</v>
      </c>
      <c r="GN255">
        <v>39.050277032623057</v>
      </c>
      <c r="GO255">
        <v>39.233346402951526</v>
      </c>
      <c r="GP255">
        <v>23.543996134282672</v>
      </c>
      <c r="GQ255">
        <v>43.075038807534419</v>
      </c>
      <c r="GR255">
        <v>31.222890966318928</v>
      </c>
      <c r="GS255">
        <v>10.875794014852875</v>
      </c>
      <c r="GT255">
        <v>35.915785449229475</v>
      </c>
      <c r="GU255"/>
      <c r="GV255"/>
      <c r="GW255"/>
      <c r="GX255"/>
      <c r="GY255"/>
      <c r="GZ255"/>
      <c r="HA255"/>
      <c r="HB255"/>
      <c r="HC255"/>
    </row>
    <row r="256" spans="1:211" s="7" customFormat="1">
      <c r="A256" s="1"/>
      <c r="B256">
        <v>0.46897639746416075</v>
      </c>
      <c r="C256">
        <v>8</v>
      </c>
      <c r="D256">
        <v>39714</v>
      </c>
      <c r="E256">
        <v>0</v>
      </c>
      <c r="F256">
        <v>0</v>
      </c>
      <c r="G256">
        <v>0</v>
      </c>
      <c r="H256">
        <v>52.083333333333336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52.021581196581202</v>
      </c>
      <c r="AO256">
        <v>41.193827082634634</v>
      </c>
      <c r="AP256">
        <v>33.57749953816149</v>
      </c>
      <c r="AQ256">
        <v>272.33836719048088</v>
      </c>
      <c r="AR256">
        <v>39.550346950276179</v>
      </c>
      <c r="AS256">
        <v>382.01771911690747</v>
      </c>
      <c r="AT256">
        <v>31.510417683975941</v>
      </c>
      <c r="AU256">
        <v>30.294858513875585</v>
      </c>
      <c r="AV256"/>
      <c r="AW256"/>
      <c r="FY256" s="211">
        <v>251</v>
      </c>
      <c r="FZ256">
        <v>34.473899952664574</v>
      </c>
      <c r="GA256">
        <v>54.332359221333149</v>
      </c>
      <c r="GB256">
        <v>18.957795196726192</v>
      </c>
      <c r="GC256">
        <v>11.734631264628311</v>
      </c>
      <c r="GD256">
        <v>8.0120974203052118</v>
      </c>
      <c r="GE256">
        <v>10.744223127090565</v>
      </c>
      <c r="GF256">
        <v>29.264239114629412</v>
      </c>
      <c r="GG256">
        <v>21.017924591030894</v>
      </c>
      <c r="GH256">
        <v>10.813820303774412</v>
      </c>
      <c r="GI256">
        <v>22.099212261000108</v>
      </c>
      <c r="GJ256"/>
      <c r="GK256">
        <v>37.458940003888031</v>
      </c>
      <c r="GL256">
        <v>50.353034908067514</v>
      </c>
      <c r="GM256">
        <v>33.585032319288445</v>
      </c>
      <c r="GN256">
        <v>38.75379261873524</v>
      </c>
      <c r="GO256">
        <v>34.86425159392077</v>
      </c>
      <c r="GP256">
        <v>23.053078768078482</v>
      </c>
      <c r="GQ256">
        <v>39.428224087160423</v>
      </c>
      <c r="GR256">
        <v>31.613621114930428</v>
      </c>
      <c r="GS256">
        <v>12.11263460695649</v>
      </c>
      <c r="GT256">
        <v>31.489816522242833</v>
      </c>
      <c r="GU256"/>
      <c r="GV256"/>
      <c r="GW256"/>
      <c r="GX256"/>
      <c r="GY256"/>
      <c r="GZ256"/>
      <c r="HA256"/>
      <c r="HB256"/>
      <c r="HC256"/>
    </row>
    <row r="257" spans="1:211" s="7" customFormat="1">
      <c r="A257" s="1"/>
      <c r="B257">
        <v>0.72943212199094098</v>
      </c>
      <c r="C257">
        <v>7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55.303525641025644</v>
      </c>
      <c r="AO257">
        <v>42.36141663979253</v>
      </c>
      <c r="AP257">
        <v>33.141973931081303</v>
      </c>
      <c r="AQ257">
        <v>277.04029459220521</v>
      </c>
      <c r="AR257">
        <v>39.915253812875051</v>
      </c>
      <c r="AS257">
        <v>392.9776901704779</v>
      </c>
      <c r="AT257">
        <v>31.886595758553241</v>
      </c>
      <c r="AU257">
        <v>34.654881662572308</v>
      </c>
      <c r="AV257"/>
      <c r="AW257"/>
      <c r="FY257" s="211">
        <v>252</v>
      </c>
      <c r="FZ257">
        <v>50.048491674773743</v>
      </c>
      <c r="GA257">
        <v>59.942731043568308</v>
      </c>
      <c r="GB257">
        <v>21.053077690705976</v>
      </c>
      <c r="GC257">
        <v>13.336849642324543</v>
      </c>
      <c r="GD257">
        <v>8.0025375894100002</v>
      </c>
      <c r="GE257">
        <v>10.716206899901279</v>
      </c>
      <c r="GF257">
        <v>24.044131596884707</v>
      </c>
      <c r="GG257">
        <v>18.160431472475011</v>
      </c>
      <c r="GH257">
        <v>10.577488835853574</v>
      </c>
      <c r="GI257">
        <v>23.861845394566746</v>
      </c>
      <c r="GJ257"/>
      <c r="GK257">
        <v>55.367003378685403</v>
      </c>
      <c r="GL257">
        <v>57.647607439147791</v>
      </c>
      <c r="GM257">
        <v>37.296968731097692</v>
      </c>
      <c r="GN257">
        <v>44.034146375966984</v>
      </c>
      <c r="GO257">
        <v>34.809636014341649</v>
      </c>
      <c r="GP257">
        <v>22.99296643752286</v>
      </c>
      <c r="GQ257">
        <v>32.395081412153431</v>
      </c>
      <c r="GR257">
        <v>27.315589480203929</v>
      </c>
      <c r="GS257">
        <v>13.220174906521873</v>
      </c>
      <c r="GT257">
        <v>34.617772888560005</v>
      </c>
      <c r="GU257"/>
      <c r="GV257"/>
      <c r="GW257"/>
      <c r="GX257"/>
      <c r="GY257"/>
      <c r="GZ257"/>
      <c r="HA257"/>
      <c r="HB257"/>
      <c r="HC257"/>
    </row>
    <row r="258" spans="1:211" s="7" customFormat="1">
      <c r="A258" s="1"/>
      <c r="B258">
        <v>0.44097574660526018</v>
      </c>
      <c r="C258">
        <v>2</v>
      </c>
      <c r="D258">
        <v>39747</v>
      </c>
      <c r="E258">
        <v>0</v>
      </c>
      <c r="F258">
        <v>0</v>
      </c>
      <c r="G258">
        <v>0</v>
      </c>
      <c r="H258">
        <v>26.041666666666668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48.402644230769234</v>
      </c>
      <c r="AO258">
        <v>39.679834838087331</v>
      </c>
      <c r="AP258">
        <v>33.413299107272259</v>
      </c>
      <c r="AQ258">
        <v>271.55468641388205</v>
      </c>
      <c r="AR258">
        <v>38.313254500133638</v>
      </c>
      <c r="AS258">
        <v>341.14813483574574</v>
      </c>
      <c r="AT258">
        <v>30.097179345240281</v>
      </c>
      <c r="AU258">
        <v>22.539606152129082</v>
      </c>
      <c r="AV258"/>
      <c r="AW258"/>
      <c r="FY258" s="211">
        <v>253</v>
      </c>
      <c r="FZ258">
        <v>48.825521921031267</v>
      </c>
      <c r="GA258">
        <v>74.846880231479702</v>
      </c>
      <c r="GB258">
        <v>34.517022137666991</v>
      </c>
      <c r="GC258">
        <v>17.157797329233489</v>
      </c>
      <c r="GD258">
        <v>9.827569736504767</v>
      </c>
      <c r="GE258">
        <v>13.097586210990453</v>
      </c>
      <c r="GF258">
        <v>40.548107890360384</v>
      </c>
      <c r="GG258">
        <v>28.267927792656156</v>
      </c>
      <c r="GH258">
        <v>8.833324270728669</v>
      </c>
      <c r="GI258">
        <v>31.147788805020785</v>
      </c>
      <c r="GJ258"/>
      <c r="GK258">
        <v>52.295466471181257</v>
      </c>
      <c r="GL258">
        <v>68.482913803641111</v>
      </c>
      <c r="GM258">
        <v>61.149268257699696</v>
      </c>
      <c r="GN258">
        <v>56.661813031536454</v>
      </c>
      <c r="GO258">
        <v>42.760836590550404</v>
      </c>
      <c r="GP258">
        <v>28.102514534750167</v>
      </c>
      <c r="GQ258">
        <v>54.631178960407858</v>
      </c>
      <c r="GR258">
        <v>42.518544353451368</v>
      </c>
      <c r="GS258">
        <v>11.266524163464373</v>
      </c>
      <c r="GT258">
        <v>44.420654888660721</v>
      </c>
      <c r="GU258"/>
      <c r="GV258"/>
      <c r="GW258"/>
      <c r="GX258"/>
      <c r="GY258"/>
      <c r="GZ258"/>
      <c r="HA258"/>
      <c r="HB258"/>
      <c r="HC258"/>
    </row>
    <row r="259" spans="1:211" s="7" customFormat="1">
      <c r="A259" s="90"/>
      <c r="B259">
        <v>0.32327255981071623</v>
      </c>
      <c r="C259">
        <v>5</v>
      </c>
      <c r="D259">
        <v>39747</v>
      </c>
      <c r="E259">
        <v>0</v>
      </c>
      <c r="F259">
        <v>0</v>
      </c>
      <c r="G259">
        <v>0</v>
      </c>
      <c r="H259">
        <v>145.83333333333334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46.718456196581201</v>
      </c>
      <c r="AO259">
        <v>38.77132877105857</v>
      </c>
      <c r="AP259">
        <v>70.980496425588754</v>
      </c>
      <c r="AQ259">
        <v>270.77354373914011</v>
      </c>
      <c r="AR259">
        <v>37.554055367962661</v>
      </c>
      <c r="AS259">
        <v>360.12797039644045</v>
      </c>
      <c r="AT259">
        <v>28.095191860836476</v>
      </c>
      <c r="AU259">
        <v>46.018042570069241</v>
      </c>
      <c r="AV259"/>
      <c r="AW259"/>
      <c r="FY259" s="211">
        <v>254</v>
      </c>
      <c r="FZ259">
        <v>49.444086600909358</v>
      </c>
      <c r="GA259">
        <v>77.804512267920018</v>
      </c>
      <c r="GB259">
        <v>31.870349513692521</v>
      </c>
      <c r="GC259">
        <v>14.783476319188047</v>
      </c>
      <c r="GD259">
        <v>7.4943065890960332</v>
      </c>
      <c r="GE259">
        <v>13.597208929199356</v>
      </c>
      <c r="GF259">
        <v>35.547701867470252</v>
      </c>
      <c r="GG259">
        <v>23.355873506212983</v>
      </c>
      <c r="GH259">
        <v>12.32165340097848</v>
      </c>
      <c r="GI259">
        <v>28.668537869069631</v>
      </c>
      <c r="GJ259"/>
      <c r="GK259">
        <v>54.741835140906993</v>
      </c>
      <c r="GL259">
        <v>73.433105443052369</v>
      </c>
      <c r="GM259">
        <v>56.460506474361701</v>
      </c>
      <c r="GN259">
        <v>48.804445451812114</v>
      </c>
      <c r="GO259">
        <v>32.58914428443488</v>
      </c>
      <c r="GP259">
        <v>29.174517762991968</v>
      </c>
      <c r="GQ259">
        <v>47.894043973742903</v>
      </c>
      <c r="GR259">
        <v>35.130192452433924</v>
      </c>
      <c r="GS259">
        <v>15.173825649579371</v>
      </c>
      <c r="GT259">
        <v>41.371871104605169</v>
      </c>
      <c r="GU259"/>
      <c r="GV259"/>
      <c r="GW259"/>
      <c r="GX259"/>
      <c r="GY259"/>
      <c r="GZ259"/>
      <c r="HA259"/>
      <c r="HB259"/>
      <c r="HC259"/>
    </row>
    <row r="260" spans="1:211" s="7" customFormat="1">
      <c r="A260" s="77" t="s">
        <v>61</v>
      </c>
      <c r="B260">
        <v>0.18435961753808972</v>
      </c>
      <c r="C260">
        <v>9</v>
      </c>
      <c r="D260">
        <v>39747</v>
      </c>
      <c r="E260">
        <v>0</v>
      </c>
      <c r="F260">
        <v>0</v>
      </c>
      <c r="G260">
        <v>0</v>
      </c>
      <c r="H260">
        <v>31.25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58.433867521367517</v>
      </c>
      <c r="AO260">
        <v>48.443003097577652</v>
      </c>
      <c r="AP260">
        <v>53.082955466493253</v>
      </c>
      <c r="AQ260">
        <v>322.43132382754311</v>
      </c>
      <c r="AR260">
        <v>45.628104841373869</v>
      </c>
      <c r="AS260">
        <v>423.70100610197079</v>
      </c>
      <c r="AT260">
        <v>35.49267741641976</v>
      </c>
      <c r="AU260">
        <v>26.699767818199852</v>
      </c>
      <c r="AV260"/>
      <c r="AW260"/>
      <c r="FY260" s="211">
        <v>255</v>
      </c>
      <c r="FZ260">
        <v>39.509983167971058</v>
      </c>
      <c r="GA260">
        <v>74.718837299887156</v>
      </c>
      <c r="GB260">
        <v>31.639768186603835</v>
      </c>
      <c r="GC260">
        <v>15.146964959338971</v>
      </c>
      <c r="GD260">
        <v>9.3896376750584043</v>
      </c>
      <c r="GE260">
        <v>12.018961464203002</v>
      </c>
      <c r="GF260">
        <v>29.580609267219995</v>
      </c>
      <c r="GG260">
        <v>21.301312338325687</v>
      </c>
      <c r="GH260">
        <v>12.265402678426405</v>
      </c>
      <c r="GI260">
        <v>27.257581676535747</v>
      </c>
      <c r="GJ260"/>
      <c r="GK260">
        <v>40.859154364819105</v>
      </c>
      <c r="GL260">
        <v>66.033395115343438</v>
      </c>
      <c r="GM260">
        <v>56.052015864449672</v>
      </c>
      <c r="GN260">
        <v>50.028031708467253</v>
      </c>
      <c r="GO260">
        <v>40.863633677397537</v>
      </c>
      <c r="GP260">
        <v>25.788189808358975</v>
      </c>
      <c r="GQ260">
        <v>39.854475158372964</v>
      </c>
      <c r="GR260">
        <v>32.039872186142965</v>
      </c>
      <c r="GS260">
        <v>14.424690425490926</v>
      </c>
      <c r="GT260">
        <v>38.410793898106043</v>
      </c>
      <c r="GU260"/>
      <c r="GV260"/>
      <c r="GW260"/>
      <c r="GX260"/>
      <c r="GY260"/>
      <c r="GZ260"/>
      <c r="HA260"/>
      <c r="HB260"/>
      <c r="HC260"/>
    </row>
    <row r="261" spans="1:211" s="7" customFormat="1">
      <c r="A261" s="77" t="s">
        <v>62</v>
      </c>
      <c r="B261">
        <v>0.86194690856240563</v>
      </c>
      <c r="C261">
        <v>2</v>
      </c>
      <c r="D261">
        <v>39747</v>
      </c>
      <c r="E261">
        <v>0</v>
      </c>
      <c r="F261">
        <v>0</v>
      </c>
      <c r="G261">
        <v>0</v>
      </c>
      <c r="H261">
        <v>26.041666666666668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57.342227564102565</v>
      </c>
      <c r="AO261">
        <v>41.948898863481134</v>
      </c>
      <c r="AP261">
        <v>15.294103604813358</v>
      </c>
      <c r="AQ261">
        <v>287.20836299796815</v>
      </c>
      <c r="AR261">
        <v>39.981717018294354</v>
      </c>
      <c r="AS261">
        <v>377.66317323954075</v>
      </c>
      <c r="AT261">
        <v>32.284281137966786</v>
      </c>
      <c r="AU261">
        <v>39.314362247362666</v>
      </c>
      <c r="AV261"/>
      <c r="AW261"/>
      <c r="FY261" s="211">
        <v>256</v>
      </c>
      <c r="FZ261">
        <v>44.248395111592785</v>
      </c>
      <c r="GA261">
        <v>64.717662657998972</v>
      </c>
      <c r="GB261">
        <v>25.253667953756363</v>
      </c>
      <c r="GC261">
        <v>10.85223665161711</v>
      </c>
      <c r="GD261">
        <v>7.6531514826762344</v>
      </c>
      <c r="GE261">
        <v>11.533346859588743</v>
      </c>
      <c r="GF261">
        <v>14.860609111963459</v>
      </c>
      <c r="GG261">
        <v>8.289091608372857</v>
      </c>
      <c r="GH261">
        <v>12.726737036555532</v>
      </c>
      <c r="GI261">
        <v>22.452146629824437</v>
      </c>
      <c r="GJ261"/>
      <c r="GK261">
        <v>49.356059127212163</v>
      </c>
      <c r="GL261">
        <v>61.867493044151992</v>
      </c>
      <c r="GM261">
        <v>44.738602016016713</v>
      </c>
      <c r="GN261">
        <v>35.8201820517992</v>
      </c>
      <c r="GO261">
        <v>33.280436085824455</v>
      </c>
      <c r="GP261">
        <v>24.74624274539498</v>
      </c>
      <c r="GQ261">
        <v>20.021960039455934</v>
      </c>
      <c r="GR261">
        <v>12.467843832966942</v>
      </c>
      <c r="GS261">
        <v>16.313691022279311</v>
      </c>
      <c r="GT261">
        <v>32.742149658157714</v>
      </c>
      <c r="GU261"/>
      <c r="GV261"/>
      <c r="GW261"/>
      <c r="GX261"/>
      <c r="GY261"/>
      <c r="GZ261"/>
      <c r="HA261"/>
      <c r="HB261"/>
      <c r="HC261"/>
    </row>
    <row r="262" spans="1:211" s="7" customFormat="1" ht="12.75" customHeight="1">
      <c r="A262" s="77"/>
      <c r="B262">
        <v>0.47611977235273795</v>
      </c>
      <c r="C262">
        <v>8</v>
      </c>
      <c r="D262">
        <v>39747</v>
      </c>
      <c r="E262">
        <v>0</v>
      </c>
      <c r="F262">
        <v>0</v>
      </c>
      <c r="G262">
        <v>0</v>
      </c>
      <c r="H262">
        <v>31.25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46.080769230769235</v>
      </c>
      <c r="AO262">
        <v>35.523233316634034</v>
      </c>
      <c r="AP262">
        <v>42.108062084470617</v>
      </c>
      <c r="AQ262">
        <v>232.14177124348629</v>
      </c>
      <c r="AR262">
        <v>33.929896903785291</v>
      </c>
      <c r="AS262">
        <v>331.60690010342398</v>
      </c>
      <c r="AT262">
        <v>26.228582674404354</v>
      </c>
      <c r="AU262">
        <v>31.91286476056457</v>
      </c>
      <c r="AV262"/>
      <c r="AW262"/>
      <c r="FY262" s="211">
        <v>257</v>
      </c>
      <c r="FZ262">
        <v>50.554535372009525</v>
      </c>
      <c r="GA262">
        <v>91.647565541513472</v>
      </c>
      <c r="GB262">
        <v>35.730080423655281</v>
      </c>
      <c r="GC262">
        <v>10.357171787099558</v>
      </c>
      <c r="GD262">
        <v>5.7961466018463073</v>
      </c>
      <c r="GE262">
        <v>9.651590266708471</v>
      </c>
      <c r="GF262">
        <v>28.974233141421372</v>
      </c>
      <c r="GG262">
        <v>23.096101404526085</v>
      </c>
      <c r="GH262">
        <v>7.6743240865495794</v>
      </c>
      <c r="GI262">
        <v>26.764261731656266</v>
      </c>
      <c r="GJ262"/>
      <c r="GK262">
        <v>54.089675136222226</v>
      </c>
      <c r="GL262">
        <v>83.330659450878088</v>
      </c>
      <c r="GM262">
        <v>63.298284075062938</v>
      </c>
      <c r="GN262">
        <v>34.181220915822564</v>
      </c>
      <c r="GO262">
        <v>25.194427497758074</v>
      </c>
      <c r="GP262">
        <v>20.708697876409477</v>
      </c>
      <c r="GQ262">
        <v>39.03749393854892</v>
      </c>
      <c r="GR262">
        <v>34.739462303822421</v>
      </c>
      <c r="GS262">
        <v>8.5960632694529906</v>
      </c>
      <c r="GT262">
        <v>38.043188783409029</v>
      </c>
      <c r="GU262"/>
      <c r="GV262"/>
      <c r="GW262"/>
      <c r="GX262"/>
      <c r="GY262"/>
      <c r="GZ262"/>
      <c r="HA262"/>
      <c r="HB262"/>
      <c r="HC262"/>
    </row>
    <row r="263" spans="1:211" s="7" customFormat="1">
      <c r="A263" s="77"/>
      <c r="B263">
        <v>0.77245431454812019</v>
      </c>
      <c r="C263">
        <v>9</v>
      </c>
      <c r="D263">
        <v>39747</v>
      </c>
      <c r="E263">
        <v>0</v>
      </c>
      <c r="F263">
        <v>0</v>
      </c>
      <c r="G263">
        <v>0</v>
      </c>
      <c r="H263">
        <v>31.25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40.681169871794864</v>
      </c>
      <c r="AO263">
        <v>29.93058989328302</v>
      </c>
      <c r="AP263">
        <v>8.6520585862929309</v>
      </c>
      <c r="AQ263">
        <v>196.67441101689136</v>
      </c>
      <c r="AR263">
        <v>28.766016316287043</v>
      </c>
      <c r="AS263">
        <v>286.13391864954764</v>
      </c>
      <c r="AT263">
        <v>23.394252279365759</v>
      </c>
      <c r="AU263">
        <v>17.960738821299472</v>
      </c>
      <c r="AV263"/>
      <c r="AW263"/>
      <c r="FY263" s="211">
        <v>258</v>
      </c>
      <c r="FZ263">
        <v>46.422061231587506</v>
      </c>
      <c r="GA263">
        <v>76.036019077390151</v>
      </c>
      <c r="GB263">
        <v>27.018116369739332</v>
      </c>
      <c r="GC263">
        <v>14.294853289620594</v>
      </c>
      <c r="GD263">
        <v>9.0015344335257765</v>
      </c>
      <c r="GE263">
        <v>11.458636920417316</v>
      </c>
      <c r="GF263">
        <v>20.300418124562746</v>
      </c>
      <c r="GG263">
        <v>11.949516677597339</v>
      </c>
      <c r="GH263">
        <v>12.963068504476368</v>
      </c>
      <c r="GI263">
        <v>25.093735113195159</v>
      </c>
      <c r="GJ263"/>
      <c r="GK263">
        <v>51.615993952015003</v>
      </c>
      <c r="GL263">
        <v>71.870184848606385</v>
      </c>
      <c r="GM263">
        <v>47.864443204908703</v>
      </c>
      <c r="GN263">
        <v>47.205961276560728</v>
      </c>
      <c r="GO263">
        <v>39.165937064747176</v>
      </c>
      <c r="GP263">
        <v>24.585943197246667</v>
      </c>
      <c r="GQ263">
        <v>27.351110402804981</v>
      </c>
      <c r="GR263">
        <v>17.973586836128984</v>
      </c>
      <c r="GS263">
        <v>15.206150722713929</v>
      </c>
      <c r="GT263">
        <v>36.240727069437959</v>
      </c>
      <c r="GU263"/>
      <c r="GV263"/>
      <c r="GW263"/>
      <c r="GX263"/>
      <c r="GY263"/>
      <c r="GZ263"/>
      <c r="HA263"/>
      <c r="HB263"/>
      <c r="HC263"/>
    </row>
    <row r="264" spans="1:211" s="7" customFormat="1">
      <c r="A264" s="77"/>
      <c r="B264">
        <v>0.94875046061731982</v>
      </c>
      <c r="C264">
        <v>6</v>
      </c>
      <c r="D264">
        <v>39747</v>
      </c>
      <c r="E264">
        <v>0</v>
      </c>
      <c r="F264">
        <v>0</v>
      </c>
      <c r="G264">
        <v>0</v>
      </c>
      <c r="H264">
        <v>20.833333333333332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48.50157585470086</v>
      </c>
      <c r="AO264">
        <v>36.985861369057716</v>
      </c>
      <c r="AP264">
        <v>27.164959064650848</v>
      </c>
      <c r="AQ264">
        <v>249.70796843351872</v>
      </c>
      <c r="AR264">
        <v>34.922556177255856</v>
      </c>
      <c r="AS264">
        <v>345.14829308197659</v>
      </c>
      <c r="AT264">
        <v>27.459732080094994</v>
      </c>
      <c r="AU264">
        <v>24.055457244824012</v>
      </c>
      <c r="AV264"/>
      <c r="AW264"/>
      <c r="FY264" s="211">
        <v>259</v>
      </c>
      <c r="FZ264">
        <v>50.896850924100832</v>
      </c>
      <c r="GA264">
        <v>77.804512267920018</v>
      </c>
      <c r="GB264">
        <v>26.566978990652782</v>
      </c>
      <c r="GC264">
        <v>13.20552485302003</v>
      </c>
      <c r="GD264">
        <v>8.6348253197375016</v>
      </c>
      <c r="GE264">
        <v>10.44071399920665</v>
      </c>
      <c r="GF264">
        <v>15.466985237762088</v>
      </c>
      <c r="GG264">
        <v>9.8713398641021506</v>
      </c>
      <c r="GH264">
        <v>8.4844913577036873</v>
      </c>
      <c r="GI264">
        <v>23.791010404268746</v>
      </c>
      <c r="GJ264"/>
      <c r="GK264">
        <v>56.232909742774552</v>
      </c>
      <c r="GL264">
        <v>73.433105443052369</v>
      </c>
      <c r="GM264">
        <v>47.065222446385192</v>
      </c>
      <c r="GN264">
        <v>43.604241468654529</v>
      </c>
      <c r="GO264">
        <v>37.565684626476802</v>
      </c>
      <c r="GP264">
        <v>22.401861853725979</v>
      </c>
      <c r="GQ264">
        <v>20.838941259279981</v>
      </c>
      <c r="GR264">
        <v>14.847745647236987</v>
      </c>
      <c r="GS264">
        <v>10.875794014852874</v>
      </c>
      <c r="GT264">
        <v>34.515710417953883</v>
      </c>
      <c r="GU264"/>
      <c r="GV264"/>
      <c r="GW264"/>
      <c r="GX264"/>
      <c r="GY264"/>
      <c r="GZ264"/>
      <c r="HA264"/>
      <c r="HB264"/>
      <c r="HC264"/>
    </row>
    <row r="265" spans="1:211" s="7" customFormat="1">
      <c r="A265" s="77"/>
      <c r="B265">
        <v>7.9503358453976158E-3</v>
      </c>
      <c r="C265">
        <v>3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46.632451923076914</v>
      </c>
      <c r="AO265">
        <v>36.151511381048849</v>
      </c>
      <c r="AP265">
        <v>32.725796058693504</v>
      </c>
      <c r="AQ265">
        <v>244.1834528901951</v>
      </c>
      <c r="AR265">
        <v>34.743947041126511</v>
      </c>
      <c r="AS265">
        <v>339.23428547757419</v>
      </c>
      <c r="AT265">
        <v>27.339791128920826</v>
      </c>
      <c r="AU265">
        <v>27.783937225435587</v>
      </c>
      <c r="AV265"/>
      <c r="AW265"/>
      <c r="FY265" s="211">
        <v>260</v>
      </c>
      <c r="FZ265">
        <v>39.544443582660477</v>
      </c>
      <c r="GA265">
        <v>65.82756495977732</v>
      </c>
      <c r="GB265">
        <v>28.772539510631496</v>
      </c>
      <c r="GC265">
        <v>11.717860578890978</v>
      </c>
      <c r="GD265">
        <v>6.3387472021074913</v>
      </c>
      <c r="GE265">
        <v>10.076503045745952</v>
      </c>
      <c r="GF265">
        <v>37.771080995398549</v>
      </c>
      <c r="GG265">
        <v>31.928352861880636</v>
      </c>
      <c r="GH265">
        <v>15.753731808676214</v>
      </c>
      <c r="GI265">
        <v>26.72174383047696</v>
      </c>
      <c r="GJ265"/>
      <c r="GK265">
        <v>42.697874013854062</v>
      </c>
      <c r="GL265">
        <v>60.51201877196651</v>
      </c>
      <c r="GM265">
        <v>50.972523932500174</v>
      </c>
      <c r="GN265">
        <v>38.686881335178846</v>
      </c>
      <c r="GO265">
        <v>27.568832561051622</v>
      </c>
      <c r="GP265">
        <v>21.620401556502976</v>
      </c>
      <c r="GQ265">
        <v>50.889641779764403</v>
      </c>
      <c r="GR265">
        <v>48.024287356613407</v>
      </c>
      <c r="GS265">
        <v>18.331991911605922</v>
      </c>
      <c r="GT265">
        <v>38.092172839755229</v>
      </c>
      <c r="GU265"/>
      <c r="GV265"/>
      <c r="GW265"/>
      <c r="GX265"/>
      <c r="GY265"/>
      <c r="GZ265"/>
      <c r="HA265"/>
      <c r="HB265"/>
      <c r="HC265"/>
    </row>
    <row r="266" spans="1:211" s="7" customFormat="1">
      <c r="A266" s="1"/>
      <c r="B266">
        <v>7.3578003036514739E-2</v>
      </c>
      <c r="C266">
        <v>5</v>
      </c>
      <c r="D266">
        <v>39747</v>
      </c>
      <c r="E266">
        <v>0</v>
      </c>
      <c r="F266">
        <v>0</v>
      </c>
      <c r="G266">
        <v>0</v>
      </c>
      <c r="H266">
        <v>145.83333333333334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47.740491452991456</v>
      </c>
      <c r="AO266">
        <v>36.998018766001266</v>
      </c>
      <c r="AP266">
        <v>35.52623302359531</v>
      </c>
      <c r="AQ266">
        <v>248.41677584296508</v>
      </c>
      <c r="AR266">
        <v>35.915785449229475</v>
      </c>
      <c r="AS266">
        <v>339.06176757369252</v>
      </c>
      <c r="AT266">
        <v>27.933852143095624</v>
      </c>
      <c r="AU266">
        <v>35.530879894483846</v>
      </c>
      <c r="AV266"/>
      <c r="AW266"/>
      <c r="FY266" s="211">
        <v>261</v>
      </c>
      <c r="FZ266">
        <v>35.430248919386557</v>
      </c>
      <c r="GA266">
        <v>58.006576649379831</v>
      </c>
      <c r="GB266">
        <v>25.68475478266129</v>
      </c>
      <c r="GC266">
        <v>15.067270215797448</v>
      </c>
      <c r="GD266">
        <v>10.30294349269213</v>
      </c>
      <c r="GE266">
        <v>10.534101423170929</v>
      </c>
      <c r="GF266">
        <v>16.213970320267642</v>
      </c>
      <c r="GG266">
        <v>10.367268421868047</v>
      </c>
      <c r="GH266">
        <v>16.271316889357415</v>
      </c>
      <c r="GI266">
        <v>23.857564335894281</v>
      </c>
      <c r="GJ266"/>
      <c r="GK266">
        <v>36.639268759814897</v>
      </c>
      <c r="GL266">
        <v>51.263795497828745</v>
      </c>
      <c r="GM266">
        <v>45.502301851939187</v>
      </c>
      <c r="GN266">
        <v>49.764812564064641</v>
      </c>
      <c r="GO266">
        <v>44.838333837165791</v>
      </c>
      <c r="GP266">
        <v>22.602236288911364</v>
      </c>
      <c r="GQ266">
        <v>21.845367399642932</v>
      </c>
      <c r="GR266">
        <v>15.593685021858938</v>
      </c>
      <c r="GS266">
        <v>20.970127732482752</v>
      </c>
      <c r="GT266">
        <v>33.959079916209113</v>
      </c>
      <c r="GU266"/>
      <c r="GV266"/>
      <c r="GW266"/>
      <c r="GX266"/>
      <c r="GY266"/>
      <c r="GZ266"/>
      <c r="HA266"/>
      <c r="HB266"/>
      <c r="HC266"/>
    </row>
    <row r="267" spans="1:211" s="7" customFormat="1">
      <c r="A267" s="1"/>
      <c r="B267">
        <v>0.14050775246594593</v>
      </c>
      <c r="C267">
        <v>10</v>
      </c>
      <c r="D267">
        <v>39747</v>
      </c>
      <c r="E267">
        <v>0</v>
      </c>
      <c r="F267">
        <v>0</v>
      </c>
      <c r="G267">
        <v>0</v>
      </c>
      <c r="H267">
        <v>104.16666666666667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42.201201923076923</v>
      </c>
      <c r="AO267">
        <v>33.271242654326862</v>
      </c>
      <c r="AP267">
        <v>11.248518451771067</v>
      </c>
      <c r="AQ267">
        <v>221.45020245318281</v>
      </c>
      <c r="AR267">
        <v>31.489816522242819</v>
      </c>
      <c r="AS267">
        <v>296.72221200212414</v>
      </c>
      <c r="AT267">
        <v>25.456983355413559</v>
      </c>
      <c r="AU267">
        <v>4.2256880477319605</v>
      </c>
      <c r="AV267"/>
      <c r="AW267"/>
      <c r="FY267" s="211">
        <v>262</v>
      </c>
      <c r="FZ267">
        <v>53.44576028154097</v>
      </c>
      <c r="GA267">
        <v>79.00283922922489</v>
      </c>
      <c r="GB267">
        <v>29.885345045711674</v>
      </c>
      <c r="GC267">
        <v>19.386091066924141</v>
      </c>
      <c r="GD267">
        <v>11.967361725423808</v>
      </c>
      <c r="GE267">
        <v>14.008113594642198</v>
      </c>
      <c r="GF267">
        <v>28.974233141421365</v>
      </c>
      <c r="GG267">
        <v>17.900659370788109</v>
      </c>
      <c r="GH267">
        <v>9.7673215646994667</v>
      </c>
      <c r="GI267">
        <v>29.875276367701701</v>
      </c>
      <c r="GJ267"/>
      <c r="GK267">
        <v>57.076743482757252</v>
      </c>
      <c r="GL267">
        <v>72.155777200589199</v>
      </c>
      <c r="GM267">
        <v>52.943935136858201</v>
      </c>
      <c r="GN267">
        <v>64.029195367045986</v>
      </c>
      <c r="GO267">
        <v>52.081869669117438</v>
      </c>
      <c r="GP267">
        <v>30.056165277807668</v>
      </c>
      <c r="GQ267">
        <v>39.037493938548913</v>
      </c>
      <c r="GR267">
        <v>26.92485933159243</v>
      </c>
      <c r="GS267">
        <v>10.94044416112199</v>
      </c>
      <c r="GT267">
        <v>42.416097277680755</v>
      </c>
      <c r="GU267"/>
      <c r="GV267"/>
      <c r="GW267"/>
      <c r="GX267"/>
      <c r="GY267"/>
      <c r="GZ267"/>
      <c r="HA267"/>
      <c r="HB267"/>
      <c r="HC267"/>
    </row>
    <row r="268" spans="1:211" s="7" customFormat="1">
      <c r="A268" s="1"/>
      <c r="B268">
        <v>0.67898753903620968</v>
      </c>
      <c r="C268">
        <v>8</v>
      </c>
      <c r="D268">
        <v>39775</v>
      </c>
      <c r="E268">
        <v>0</v>
      </c>
      <c r="F268">
        <v>0</v>
      </c>
      <c r="G268">
        <v>0</v>
      </c>
      <c r="H268">
        <v>173.61111111111111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43.360256410256412</v>
      </c>
      <c r="AO268">
        <v>35.969694706420164</v>
      </c>
      <c r="AP268">
        <v>37.253299629654208</v>
      </c>
      <c r="AQ268">
        <v>239.7437918404639</v>
      </c>
      <c r="AR268">
        <v>34.617772888559983</v>
      </c>
      <c r="AS268">
        <v>318.92064430621269</v>
      </c>
      <c r="AT268">
        <v>26.734007073065669</v>
      </c>
      <c r="AU268">
        <v>22.398544858996964</v>
      </c>
      <c r="AV268"/>
      <c r="AW268"/>
      <c r="FY268" s="211">
        <v>263</v>
      </c>
      <c r="FZ268">
        <v>39.474545548897154</v>
      </c>
      <c r="GA268">
        <v>62.644277216823568</v>
      </c>
      <c r="GB268">
        <v>25.805058083751042</v>
      </c>
      <c r="GC268">
        <v>15.535574162914228</v>
      </c>
      <c r="GD268">
        <v>11.155091638734024</v>
      </c>
      <c r="GE268">
        <v>14.06881542021898</v>
      </c>
      <c r="GF268">
        <v>28.464525673358754</v>
      </c>
      <c r="GG268">
        <v>18.916132131927803</v>
      </c>
      <c r="GH268">
        <v>8.0794077221266338</v>
      </c>
      <c r="GI268">
        <v>25.940116889657542</v>
      </c>
      <c r="GJ268"/>
      <c r="GK268">
        <v>42.611658822759935</v>
      </c>
      <c r="GL268">
        <v>57.698761701963718</v>
      </c>
      <c r="GM268">
        <v>45.715427387545461</v>
      </c>
      <c r="GN268">
        <v>51.307706379543184</v>
      </c>
      <c r="GO268">
        <v>48.542539173984878</v>
      </c>
      <c r="GP268">
        <v>30.186408660678168</v>
      </c>
      <c r="GQ268">
        <v>38.350756101595373</v>
      </c>
      <c r="GR268">
        <v>28.452259003437383</v>
      </c>
      <c r="GS268">
        <v>9.7359286421529312</v>
      </c>
      <c r="GT268">
        <v>36.991262025607718</v>
      </c>
      <c r="GU268"/>
      <c r="GV268"/>
      <c r="GW268"/>
      <c r="GX268"/>
      <c r="GY268"/>
      <c r="GZ268"/>
      <c r="HA268"/>
      <c r="HB268"/>
      <c r="HC268"/>
    </row>
    <row r="269" spans="1:211" s="7" customFormat="1">
      <c r="A269" s="1"/>
      <c r="B269">
        <v>0.63447377343178069</v>
      </c>
      <c r="C269">
        <v>3</v>
      </c>
      <c r="D269">
        <v>39775</v>
      </c>
      <c r="E269">
        <v>0</v>
      </c>
      <c r="F269">
        <v>0</v>
      </c>
      <c r="G269">
        <v>0</v>
      </c>
      <c r="H269">
        <v>72.916666666666671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59.365892094017099</v>
      </c>
      <c r="AO269">
        <v>46.228971505534346</v>
      </c>
      <c r="AP269">
        <v>27.099456481938319</v>
      </c>
      <c r="AQ269">
        <v>307.06952632567265</v>
      </c>
      <c r="AR269">
        <v>44.420654888660735</v>
      </c>
      <c r="AS269">
        <v>407.71042554023091</v>
      </c>
      <c r="AT269">
        <v>35.406478165559619</v>
      </c>
      <c r="AU269">
        <v>33.892727407774984</v>
      </c>
      <c r="AV269"/>
      <c r="AW269"/>
      <c r="FY269" s="211">
        <v>264</v>
      </c>
      <c r="FZ269">
        <v>45.394281501766862</v>
      </c>
      <c r="GA269">
        <v>79.140070276211816</v>
      </c>
      <c r="GB269">
        <v>35.700004598382847</v>
      </c>
      <c r="GC269">
        <v>13.729331653563731</v>
      </c>
      <c r="GD269">
        <v>7.6350861146879323</v>
      </c>
      <c r="GE269">
        <v>9.8663813418263189</v>
      </c>
      <c r="GF269">
        <v>22.374400235989931</v>
      </c>
      <c r="GG269">
        <v>19.955220538675402</v>
      </c>
      <c r="GH269">
        <v>9.7673215646994649</v>
      </c>
      <c r="GI269">
        <v>26.259046334828955</v>
      </c>
      <c r="GJ269"/>
      <c r="GK269">
        <v>46.951394664586566</v>
      </c>
      <c r="GL269">
        <v>69.940696601458427</v>
      </c>
      <c r="GM269">
        <v>63.245002691161375</v>
      </c>
      <c r="GN269">
        <v>45.334292557902877</v>
      </c>
      <c r="GO269">
        <v>33.214827004292339</v>
      </c>
      <c r="GP269">
        <v>21.169559077335862</v>
      </c>
      <c r="GQ269">
        <v>30.145422980753882</v>
      </c>
      <c r="GR269">
        <v>30.015179597883385</v>
      </c>
      <c r="GS269">
        <v>10.940444161121988</v>
      </c>
      <c r="GT269">
        <v>36.899418300383225</v>
      </c>
      <c r="GU269"/>
      <c r="GV269"/>
      <c r="GW269"/>
      <c r="GX269"/>
      <c r="GY269"/>
      <c r="GZ269"/>
      <c r="HA269"/>
      <c r="HB269"/>
      <c r="HC269"/>
    </row>
    <row r="270" spans="1:211" s="7" customFormat="1">
      <c r="A270" s="1"/>
      <c r="B270">
        <v>0.8751024386714239</v>
      </c>
      <c r="C270">
        <v>6</v>
      </c>
      <c r="D270">
        <v>39775</v>
      </c>
      <c r="E270">
        <v>0</v>
      </c>
      <c r="F270">
        <v>0</v>
      </c>
      <c r="G270">
        <v>10.416666666666666</v>
      </c>
      <c r="H270">
        <v>52.083333333333336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53.578231837606836</v>
      </c>
      <c r="AO270">
        <v>43.477348773792144</v>
      </c>
      <c r="AP270">
        <v>38.84862367974354</v>
      </c>
      <c r="AQ270">
        <v>294.88770686373664</v>
      </c>
      <c r="AR270">
        <v>41.371871104605191</v>
      </c>
      <c r="AS270">
        <v>375.4233546982598</v>
      </c>
      <c r="AT270">
        <v>32.246363516748282</v>
      </c>
      <c r="AU270">
        <v>15.912269250709112</v>
      </c>
      <c r="AV270"/>
      <c r="AW270"/>
      <c r="FY270" s="211">
        <v>265</v>
      </c>
      <c r="FZ270">
        <v>40.989045371662407</v>
      </c>
      <c r="GA270">
        <v>70.297604323562467</v>
      </c>
      <c r="GB270">
        <v>28.782564785722311</v>
      </c>
      <c r="GC270">
        <v>9.9682118017524211</v>
      </c>
      <c r="GD270">
        <v>7.7006110703309396</v>
      </c>
      <c r="GE270">
        <v>12.686681545547614</v>
      </c>
      <c r="GF270">
        <v>31.487618242557705</v>
      </c>
      <c r="GG270">
        <v>22.57655720115228</v>
      </c>
      <c r="GH270">
        <v>11.567736852376445</v>
      </c>
      <c r="GI270">
        <v>25.96025686306837</v>
      </c>
      <c r="GJ270"/>
      <c r="GK270">
        <v>42.390186543661798</v>
      </c>
      <c r="GL270">
        <v>62.126093629228443</v>
      </c>
      <c r="GM270">
        <v>50.9902843938007</v>
      </c>
      <c r="GN270">
        <v>32.896547548418091</v>
      </c>
      <c r="GO270">
        <v>33.482642771335343</v>
      </c>
      <c r="GP270">
        <v>27.220867019934474</v>
      </c>
      <c r="GQ270">
        <v>42.423821893181909</v>
      </c>
      <c r="GR270">
        <v>33.958002006599415</v>
      </c>
      <c r="GS270">
        <v>13.64323012826793</v>
      </c>
      <c r="GT270">
        <v>36.58603314604953</v>
      </c>
      <c r="GU270"/>
      <c r="GV270"/>
      <c r="GW270"/>
      <c r="GX270"/>
      <c r="GY270"/>
      <c r="GZ270"/>
      <c r="HA270"/>
      <c r="HB270"/>
      <c r="HC270"/>
    </row>
    <row r="271" spans="1:211" s="7" customFormat="1">
      <c r="A271" s="77"/>
      <c r="B271">
        <v>0.97232537159869636</v>
      </c>
      <c r="C271">
        <v>6</v>
      </c>
      <c r="D271">
        <v>39775</v>
      </c>
      <c r="E271">
        <v>0</v>
      </c>
      <c r="F271">
        <v>0</v>
      </c>
      <c r="G271">
        <v>10.416666666666666</v>
      </c>
      <c r="H271">
        <v>52.083333333333336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53.993856837606835</v>
      </c>
      <c r="AO271">
        <v>40.435425220694889</v>
      </c>
      <c r="AP271">
        <v>12.905582272159968</v>
      </c>
      <c r="AQ271">
        <v>272.82905871357019</v>
      </c>
      <c r="AR271">
        <v>38.410793898106064</v>
      </c>
      <c r="AS271">
        <v>373.30826580154991</v>
      </c>
      <c r="AT271">
        <v>31.462868010833699</v>
      </c>
      <c r="AU271">
        <v>28.174176006479012</v>
      </c>
      <c r="AV271"/>
      <c r="AW271"/>
      <c r="FY271" s="211">
        <v>266</v>
      </c>
      <c r="FZ271">
        <v>38.731177481052839</v>
      </c>
      <c r="GA271">
        <v>66.583768623449728</v>
      </c>
      <c r="GB271">
        <v>29.003120837720182</v>
      </c>
      <c r="GC271">
        <v>11.717384079588033</v>
      </c>
      <c r="GD271">
        <v>7.66710623157564</v>
      </c>
      <c r="GE271">
        <v>13.933403655470771</v>
      </c>
      <c r="GF271">
        <v>25.977504751604961</v>
      </c>
      <c r="GG271">
        <v>17.381115167414311</v>
      </c>
      <c r="GH271">
        <v>9.0696557386495034</v>
      </c>
      <c r="GI271">
        <v>24.189480038501848</v>
      </c>
      <c r="GJ271"/>
      <c r="GK271">
        <v>40.048955670564737</v>
      </c>
      <c r="GL271">
        <v>58.843960380891843</v>
      </c>
      <c r="GM271">
        <v>51.381014542412196</v>
      </c>
      <c r="GN271">
        <v>38.689147652845762</v>
      </c>
      <c r="GO271">
        <v>33.354178316034897</v>
      </c>
      <c r="GP271">
        <v>29.895865729659359</v>
      </c>
      <c r="GQ271">
        <v>34.999949069563421</v>
      </c>
      <c r="GR271">
        <v>26.143399034369427</v>
      </c>
      <c r="GS271">
        <v>10.158983863898989</v>
      </c>
      <c r="GT271">
        <v>33.988616292494847</v>
      </c>
      <c r="GU271"/>
      <c r="GV271"/>
      <c r="GW271"/>
      <c r="GX271"/>
      <c r="GY271"/>
      <c r="GZ271"/>
      <c r="HA271"/>
      <c r="HB271"/>
      <c r="HC271"/>
    </row>
    <row r="272" spans="1:211" s="7" customFormat="1">
      <c r="A272" s="77"/>
      <c r="B272">
        <v>0.49470573984501098</v>
      </c>
      <c r="C272">
        <v>9</v>
      </c>
      <c r="D272">
        <v>39775</v>
      </c>
      <c r="E272">
        <v>0</v>
      </c>
      <c r="F272">
        <v>0</v>
      </c>
      <c r="G272">
        <v>0</v>
      </c>
      <c r="H272">
        <v>62.5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40.059428418803421</v>
      </c>
      <c r="AO272">
        <v>33.135465962325938</v>
      </c>
      <c r="AP272">
        <v>54.939446465852662</v>
      </c>
      <c r="AQ272">
        <v>222.58704510394651</v>
      </c>
      <c r="AR272">
        <v>32.742149658157693</v>
      </c>
      <c r="AS272">
        <v>309.78486401841138</v>
      </c>
      <c r="AT272">
        <v>24.495871044335129</v>
      </c>
      <c r="AU272">
        <v>29.119828936388679</v>
      </c>
      <c r="AV272"/>
      <c r="AW272"/>
      <c r="FY272" s="211">
        <v>267</v>
      </c>
      <c r="FZ272">
        <v>38.90808802782653</v>
      </c>
      <c r="GA272">
        <v>58.930441516710822</v>
      </c>
      <c r="GB272">
        <v>24.140862418676178</v>
      </c>
      <c r="GC272">
        <v>12.694265148777848</v>
      </c>
      <c r="GD272">
        <v>7.2592159844243724</v>
      </c>
      <c r="GE272">
        <v>7.5877281970978565</v>
      </c>
      <c r="GF272">
        <v>21.284680821511241</v>
      </c>
      <c r="GG272">
        <v>18.632744384633003</v>
      </c>
      <c r="GH272">
        <v>10.464987390749425</v>
      </c>
      <c r="GI272">
        <v>22.006062394383935</v>
      </c>
      <c r="GJ272"/>
      <c r="GK272">
        <v>42.04081736047236</v>
      </c>
      <c r="GL272">
        <v>54.416628453627112</v>
      </c>
      <c r="GM272">
        <v>42.767190811658679</v>
      </c>
      <c r="GN272">
        <v>41.915631455774054</v>
      </c>
      <c r="GO272">
        <v>31.57904297886984</v>
      </c>
      <c r="GP272">
        <v>16.280422858812486</v>
      </c>
      <c r="GQ272">
        <v>28.677224846577339</v>
      </c>
      <c r="GR272">
        <v>28.026007932224836</v>
      </c>
      <c r="GS272">
        <v>11.721904458344985</v>
      </c>
      <c r="GT272">
        <v>31.357236091184639</v>
      </c>
      <c r="GU272"/>
      <c r="GV272"/>
      <c r="GW272"/>
      <c r="GX272"/>
      <c r="GY272"/>
      <c r="GZ272"/>
      <c r="HA272"/>
      <c r="HB272"/>
      <c r="HC272"/>
    </row>
    <row r="273" spans="1:211" s="7" customFormat="1">
      <c r="A273" s="1"/>
      <c r="B273">
        <v>0.19472373583608205</v>
      </c>
      <c r="C273">
        <v>2</v>
      </c>
      <c r="D273">
        <v>39775</v>
      </c>
      <c r="E273">
        <v>0</v>
      </c>
      <c r="F273">
        <v>0</v>
      </c>
      <c r="G273">
        <v>0</v>
      </c>
      <c r="H273">
        <v>62.5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52.079166666666673</v>
      </c>
      <c r="AO273">
        <v>40.121917324738675</v>
      </c>
      <c r="AP273">
        <v>18.322506639804544</v>
      </c>
      <c r="AQ273">
        <v>290.24601035698595</v>
      </c>
      <c r="AR273">
        <v>38.04318878340905</v>
      </c>
      <c r="AS273">
        <v>354.87376829963705</v>
      </c>
      <c r="AT273">
        <v>30.446784538963001</v>
      </c>
      <c r="AU273">
        <v>22.782567609016873</v>
      </c>
      <c r="AV273"/>
      <c r="AW273"/>
      <c r="FY273" s="211">
        <v>268</v>
      </c>
      <c r="FZ273">
        <v>46.108697624553677</v>
      </c>
      <c r="GA273">
        <v>92.70866145583139</v>
      </c>
      <c r="GB273">
        <v>36.261420003468338</v>
      </c>
      <c r="GC273">
        <v>12.807126156726008</v>
      </c>
      <c r="GD273">
        <v>8.3157179430615855</v>
      </c>
      <c r="GE273">
        <v>9.4274604491941982</v>
      </c>
      <c r="GF273">
        <v>25.757803256750385</v>
      </c>
      <c r="GG273">
        <v>23.592029962291974</v>
      </c>
      <c r="GH273">
        <v>13.66073433052633</v>
      </c>
      <c r="GI273">
        <v>28.164204634004218</v>
      </c>
      <c r="GJ273"/>
      <c r="GK273">
        <v>49.493428581122217</v>
      </c>
      <c r="GL273">
        <v>84.268411807545675</v>
      </c>
      <c r="GM273">
        <v>64.239588523990633</v>
      </c>
      <c r="GN273">
        <v>42.292233650082778</v>
      </c>
      <c r="GO273">
        <v>36.181268773372153</v>
      </c>
      <c r="GP273">
        <v>20.227799231964557</v>
      </c>
      <c r="GQ273">
        <v>34.70394138122137</v>
      </c>
      <c r="GR273">
        <v>35.485401678444369</v>
      </c>
      <c r="GS273">
        <v>15.987611019936928</v>
      </c>
      <c r="GT273">
        <v>40.121167655928652</v>
      </c>
      <c r="GU273"/>
      <c r="GV273"/>
      <c r="GW273"/>
      <c r="GX273"/>
      <c r="GY273"/>
      <c r="GZ273"/>
      <c r="HA273"/>
      <c r="HB273"/>
      <c r="HC273"/>
    </row>
    <row r="274" spans="1:211" s="7" customFormat="1">
      <c r="A274" s="1"/>
      <c r="B274">
        <v>0.58707458444031602</v>
      </c>
      <c r="C274">
        <v>2</v>
      </c>
      <c r="D274">
        <v>39775</v>
      </c>
      <c r="E274">
        <v>0</v>
      </c>
      <c r="F274">
        <v>0</v>
      </c>
      <c r="G274">
        <v>0</v>
      </c>
      <c r="H274">
        <v>62.5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46.040838675213678</v>
      </c>
      <c r="AO274">
        <v>37.908003857517045</v>
      </c>
      <c r="AP274">
        <v>32.218454698507948</v>
      </c>
      <c r="AQ274">
        <v>254.53795974211229</v>
      </c>
      <c r="AR274">
        <v>36.240727069437966</v>
      </c>
      <c r="AS274">
        <v>327.70261875405913</v>
      </c>
      <c r="AT274">
        <v>28.376060658228798</v>
      </c>
      <c r="AU274">
        <v>12.430026800723068</v>
      </c>
      <c r="AV274"/>
      <c r="AW274"/>
      <c r="FY274" s="211">
        <v>269</v>
      </c>
      <c r="FZ274">
        <v>44.111453449140413</v>
      </c>
      <c r="GA274">
        <v>66.791048099174361</v>
      </c>
      <c r="GB274">
        <v>22.256110701603465</v>
      </c>
      <c r="GC274">
        <v>11.255536175594559</v>
      </c>
      <c r="GD274">
        <v>7.287117597469682</v>
      </c>
      <c r="GE274">
        <v>10.366004060035223</v>
      </c>
      <c r="GF274">
        <v>30.925182415729992</v>
      </c>
      <c r="GG274">
        <v>23.285026569389281</v>
      </c>
      <c r="GH274">
        <v>10.464987390749428</v>
      </c>
      <c r="GI274">
        <v>24.05514869792826</v>
      </c>
      <c r="GJ274"/>
      <c r="GK274">
        <v>51.020967499714907</v>
      </c>
      <c r="GL274">
        <v>66.036224386340251</v>
      </c>
      <c r="GM274">
        <v>39.428224087160423</v>
      </c>
      <c r="GN274">
        <v>37.152216649338406</v>
      </c>
      <c r="GO274">
        <v>31.687459326100651</v>
      </c>
      <c r="GP274">
        <v>22.24156230557767</v>
      </c>
      <c r="GQ274">
        <v>41.666042211026273</v>
      </c>
      <c r="GR274">
        <v>35.023629684630784</v>
      </c>
      <c r="GS274">
        <v>11.721904458344989</v>
      </c>
      <c r="GT274">
        <v>35.104919516469451</v>
      </c>
      <c r="GU274"/>
      <c r="GV274"/>
      <c r="GW274"/>
      <c r="GX274"/>
      <c r="GY274"/>
      <c r="GZ274"/>
      <c r="HA274"/>
      <c r="HB274"/>
      <c r="HC274"/>
    </row>
    <row r="275" spans="1:211" s="7" customFormat="1">
      <c r="A275" s="1"/>
      <c r="B275">
        <v>0.41960487462912033</v>
      </c>
      <c r="C275">
        <v>3</v>
      </c>
      <c r="D275">
        <v>39775</v>
      </c>
      <c r="E275">
        <v>0</v>
      </c>
      <c r="F275">
        <v>0</v>
      </c>
      <c r="G275">
        <v>0</v>
      </c>
      <c r="H275">
        <v>72.916666666666671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44.053525641025644</v>
      </c>
      <c r="AO275">
        <v>36.138121692039313</v>
      </c>
      <c r="AP275">
        <v>51.398290986954372</v>
      </c>
      <c r="AQ275">
        <v>245.16323321847446</v>
      </c>
      <c r="AR275">
        <v>34.515710417953869</v>
      </c>
      <c r="AS275">
        <v>324.5518003777164</v>
      </c>
      <c r="AT275">
        <v>26.33369784213869</v>
      </c>
      <c r="AU275">
        <v>31.465233990102945</v>
      </c>
      <c r="AV275"/>
      <c r="AW275"/>
      <c r="FY275" s="211">
        <v>270</v>
      </c>
      <c r="FZ275">
        <v>48.651609910169647</v>
      </c>
      <c r="GA275">
        <v>98.681920031566904</v>
      </c>
      <c r="GB275">
        <v>43.30918839230943</v>
      </c>
      <c r="GC275">
        <v>15.236199806062283</v>
      </c>
      <c r="GD275">
        <v>7.7604656679118831</v>
      </c>
      <c r="GE275">
        <v>9.5301866155549053</v>
      </c>
      <c r="GF275">
        <v>33.394627217895412</v>
      </c>
      <c r="GG275">
        <v>28.527699894343051</v>
      </c>
      <c r="GH275">
        <v>14.819734514705418</v>
      </c>
      <c r="GI275">
        <v>31.712681207140111</v>
      </c>
      <c r="GJ275"/>
      <c r="GK275">
        <v>50.314823961217392</v>
      </c>
      <c r="GL275">
        <v>87.210969170086699</v>
      </c>
      <c r="GM275">
        <v>76.725192818258094</v>
      </c>
      <c r="GN275">
        <v>50.295879469163502</v>
      </c>
      <c r="GO275">
        <v>33.743129537076335</v>
      </c>
      <c r="GP275">
        <v>20.448211110668478</v>
      </c>
      <c r="GQ275">
        <v>44.993168627990862</v>
      </c>
      <c r="GR275">
        <v>42.909274502062864</v>
      </c>
      <c r="GS275">
        <v>18.658071913948312</v>
      </c>
      <c r="GT275">
        <v>44.886877371698205</v>
      </c>
      <c r="GU275"/>
      <c r="GV275"/>
      <c r="GW275"/>
      <c r="GX275"/>
      <c r="GY275"/>
      <c r="GZ275"/>
      <c r="HA275"/>
      <c r="HB275"/>
      <c r="HC275"/>
    </row>
    <row r="276" spans="1:211" s="7" customFormat="1">
      <c r="A276" s="1"/>
      <c r="B276">
        <v>0.74099756924218063</v>
      </c>
      <c r="C276">
        <v>9</v>
      </c>
      <c r="D276">
        <v>39775</v>
      </c>
      <c r="E276">
        <v>0</v>
      </c>
      <c r="F276">
        <v>0</v>
      </c>
      <c r="G276">
        <v>0</v>
      </c>
      <c r="H276">
        <v>62.5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51.118803418803417</v>
      </c>
      <c r="AO276">
        <v>39.73966260587931</v>
      </c>
      <c r="AP276">
        <v>26.861161733508368</v>
      </c>
      <c r="AQ276">
        <v>274.45256837624606</v>
      </c>
      <c r="AR276">
        <v>38.092172839755243</v>
      </c>
      <c r="AS276">
        <v>368.81472335962309</v>
      </c>
      <c r="AT276">
        <v>30.28729455661923</v>
      </c>
      <c r="AU276">
        <v>27.480287870596133</v>
      </c>
      <c r="AV276"/>
      <c r="AW276"/>
      <c r="FY276" s="211">
        <v>271</v>
      </c>
      <c r="FZ276">
        <v>38.788937240330021</v>
      </c>
      <c r="GA276">
        <v>80.417633781648789</v>
      </c>
      <c r="GB276">
        <v>36.381723304558086</v>
      </c>
      <c r="GC276">
        <v>14.172967211262964</v>
      </c>
      <c r="GD276">
        <v>7.0794902930243628</v>
      </c>
      <c r="GE276">
        <v>5.8273752553711526</v>
      </c>
      <c r="GF276">
        <v>32.45430481991783</v>
      </c>
      <c r="GG276">
        <v>29.070859743324743</v>
      </c>
      <c r="GH276">
        <v>8.7208228256245235</v>
      </c>
      <c r="GI276">
        <v>26.827752787999327</v>
      </c>
      <c r="GJ276"/>
      <c r="GK276">
        <v>41.91641371663107</v>
      </c>
      <c r="GL276">
        <v>73.406113676145992</v>
      </c>
      <c r="GM276">
        <v>64.452714059596914</v>
      </c>
      <c r="GN276">
        <v>46.803390820415544</v>
      </c>
      <c r="GO276">
        <v>30.801215188644584</v>
      </c>
      <c r="GP276">
        <v>12.503364755567986</v>
      </c>
      <c r="GQ276">
        <v>43.726255721886901</v>
      </c>
      <c r="GR276">
        <v>43.726255721886901</v>
      </c>
      <c r="GS276">
        <v>9.7682537152874893</v>
      </c>
      <c r="GT276">
        <v>38.132970480409391</v>
      </c>
      <c r="GU276"/>
      <c r="GV276"/>
      <c r="GW276"/>
      <c r="GX276"/>
      <c r="GY276"/>
      <c r="GZ276"/>
      <c r="HA276"/>
      <c r="HB276"/>
      <c r="HC276"/>
    </row>
    <row r="277" spans="1:211" s="7" customFormat="1">
      <c r="A277" s="1"/>
      <c r="B277">
        <v>0.25916833680569251</v>
      </c>
      <c r="C277">
        <v>1</v>
      </c>
      <c r="D277">
        <v>39775</v>
      </c>
      <c r="E277">
        <v>0</v>
      </c>
      <c r="F277">
        <v>0</v>
      </c>
      <c r="G277">
        <v>0</v>
      </c>
      <c r="H277">
        <v>96.15384615384616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44.890705128205127</v>
      </c>
      <c r="AO277">
        <v>34.29790088699184</v>
      </c>
      <c r="AP277">
        <v>20.009280634171802</v>
      </c>
      <c r="AQ277">
        <v>221.73601545047552</v>
      </c>
      <c r="AR277">
        <v>33.959079916209113</v>
      </c>
      <c r="AS277">
        <v>317.30909672569572</v>
      </c>
      <c r="AT277">
        <v>27.253643158855695</v>
      </c>
      <c r="AU277">
        <v>31.149600203049367</v>
      </c>
      <c r="AV277"/>
      <c r="AW277"/>
      <c r="FY277" s="211">
        <v>272</v>
      </c>
      <c r="FZ277">
        <v>59.89602753421515</v>
      </c>
      <c r="GA277">
        <v>90.360813920682133</v>
      </c>
      <c r="GB277">
        <v>23.930331641769129</v>
      </c>
      <c r="GC277">
        <v>10.554565507507141</v>
      </c>
      <c r="GD277">
        <v>9.5748718258633012</v>
      </c>
      <c r="GE277">
        <v>12.490567955222623</v>
      </c>
      <c r="GF277">
        <v>28.877564483685362</v>
      </c>
      <c r="GG277">
        <v>19.978836184283299</v>
      </c>
      <c r="GH277">
        <v>4.5348278693247517</v>
      </c>
      <c r="GI277">
        <v>26.93434101716165</v>
      </c>
      <c r="GJ277"/>
      <c r="GK277">
        <v>65.535437298300195</v>
      </c>
      <c r="GL277">
        <v>84.529841663618953</v>
      </c>
      <c r="GM277">
        <v>42.394221124347716</v>
      </c>
      <c r="GN277">
        <v>34.844701540499102</v>
      </c>
      <c r="GO277">
        <v>41.652422975922534</v>
      </c>
      <c r="GP277">
        <v>26.800080706045165</v>
      </c>
      <c r="GQ277">
        <v>38.907250555678424</v>
      </c>
      <c r="GR277">
        <v>30.05070052048443</v>
      </c>
      <c r="GS277">
        <v>5.0794919319494944</v>
      </c>
      <c r="GT277">
        <v>38.713764777239675</v>
      </c>
      <c r="GU277"/>
      <c r="GV277"/>
      <c r="GW277"/>
      <c r="GX277"/>
      <c r="GY277"/>
      <c r="GZ277"/>
      <c r="HA277"/>
      <c r="HB277"/>
      <c r="HC277"/>
    </row>
    <row r="278" spans="1:211" s="7" customFormat="1">
      <c r="A278" s="1"/>
      <c r="B278">
        <v>0.62893847329756181</v>
      </c>
      <c r="C278">
        <v>2</v>
      </c>
      <c r="D278">
        <v>39799</v>
      </c>
      <c r="E278">
        <v>0</v>
      </c>
      <c r="F278">
        <v>0</v>
      </c>
      <c r="G278">
        <v>0</v>
      </c>
      <c r="H278">
        <v>72.916666666666671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57.705528846153854</v>
      </c>
      <c r="AO278">
        <v>44.766258084311985</v>
      </c>
      <c r="AP278">
        <v>18.407668607948541</v>
      </c>
      <c r="AQ278">
        <v>294.21300138807834</v>
      </c>
      <c r="AR278">
        <v>42.416097277680784</v>
      </c>
      <c r="AS278">
        <v>422.50119425948861</v>
      </c>
      <c r="AT278">
        <v>34.324371118581041</v>
      </c>
      <c r="AU278">
        <v>26.974583803462377</v>
      </c>
      <c r="AV278"/>
      <c r="AW278"/>
      <c r="FY278" s="211">
        <v>273</v>
      </c>
      <c r="FZ278">
        <v>41.363311404723312</v>
      </c>
      <c r="GA278">
        <v>78.118592633959963</v>
      </c>
      <c r="GB278">
        <v>33.624772654584689</v>
      </c>
      <c r="GC278">
        <v>12.459805985478422</v>
      </c>
      <c r="GD278">
        <v>6.9016007547593139</v>
      </c>
      <c r="GE278">
        <v>7.7698336738282032</v>
      </c>
      <c r="GF278">
        <v>30.037588376517512</v>
      </c>
      <c r="GG278">
        <v>24.914506116334376</v>
      </c>
      <c r="GH278">
        <v>10.17240520027652</v>
      </c>
      <c r="GI278">
        <v>26.190107285339963</v>
      </c>
      <c r="GJ278"/>
      <c r="GK278">
        <v>44.565309565817444</v>
      </c>
      <c r="GL278">
        <v>71.374316903366207</v>
      </c>
      <c r="GM278">
        <v>59.568587201953171</v>
      </c>
      <c r="GN278">
        <v>41.145090008646449</v>
      </c>
      <c r="GO278">
        <v>30.027041234519235</v>
      </c>
      <c r="GP278">
        <v>16.671153007423982</v>
      </c>
      <c r="GQ278">
        <v>40.470171150124415</v>
      </c>
      <c r="GR278">
        <v>37.474573344102922</v>
      </c>
      <c r="GS278">
        <v>12.080309533821929</v>
      </c>
      <c r="GT278">
        <v>37.342283737247236</v>
      </c>
      <c r="GU278"/>
      <c r="GV278"/>
      <c r="GW278"/>
      <c r="GX278"/>
      <c r="GY278"/>
      <c r="GZ278"/>
      <c r="HA278"/>
      <c r="HB278"/>
      <c r="HC278"/>
    </row>
    <row r="279" spans="1:211" s="7" customFormat="1">
      <c r="A279" s="1"/>
      <c r="B279">
        <v>0.76583382340228479</v>
      </c>
      <c r="C279">
        <v>8</v>
      </c>
      <c r="D279">
        <v>39799</v>
      </c>
      <c r="E279">
        <v>0</v>
      </c>
      <c r="F279">
        <v>0</v>
      </c>
      <c r="G279">
        <v>0</v>
      </c>
      <c r="H279">
        <v>41.666666666666664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50.45165598290599</v>
      </c>
      <c r="AO279">
        <v>38.959270789926883</v>
      </c>
      <c r="AP279">
        <v>35.096911509422611</v>
      </c>
      <c r="AQ279">
        <v>250.08354448840976</v>
      </c>
      <c r="AR279">
        <v>36.991262025607732</v>
      </c>
      <c r="AS279">
        <v>349.83570315243139</v>
      </c>
      <c r="AT279">
        <v>29.20295979387166</v>
      </c>
      <c r="AU279">
        <v>36.919697514018168</v>
      </c>
      <c r="AV279"/>
      <c r="AW279"/>
      <c r="FY279" s="211">
        <v>274</v>
      </c>
      <c r="FZ279">
        <v>51.917589454954253</v>
      </c>
      <c r="GA279">
        <v>92.403769205185867</v>
      </c>
      <c r="GB279">
        <v>39.038421203623365</v>
      </c>
      <c r="GC279">
        <v>15.657397382506325</v>
      </c>
      <c r="GD279">
        <v>7.5663745487465235</v>
      </c>
      <c r="GE279">
        <v>8.7270547694620877</v>
      </c>
      <c r="GF279">
        <v>26.390543561931562</v>
      </c>
      <c r="GG279">
        <v>19.2231355248305</v>
      </c>
      <c r="GH279">
        <v>9.418488651674485</v>
      </c>
      <c r="GI279">
        <v>28.734787804772242</v>
      </c>
      <c r="GJ279"/>
      <c r="GK279">
        <v>53.681403276420163</v>
      </c>
      <c r="GL279">
        <v>81.662601059803407</v>
      </c>
      <c r="GM279">
        <v>69.159236304235435</v>
      </c>
      <c r="GN279">
        <v>51.713909342686094</v>
      </c>
      <c r="GO279">
        <v>32.928806044056309</v>
      </c>
      <c r="GP279">
        <v>18.724990968074174</v>
      </c>
      <c r="GQ279">
        <v>35.556443523646465</v>
      </c>
      <c r="GR279">
        <v>28.914030997250972</v>
      </c>
      <c r="GS279">
        <v>10.549714012510488</v>
      </c>
      <c r="GT279">
        <v>40.375120632173768</v>
      </c>
      <c r="GU279"/>
      <c r="GV279"/>
      <c r="GW279"/>
      <c r="GX279"/>
      <c r="GY279"/>
      <c r="GZ279"/>
      <c r="HA279"/>
      <c r="HB279"/>
      <c r="HC279"/>
    </row>
    <row r="280" spans="1:211" s="7" customFormat="1">
      <c r="A280" s="1"/>
      <c r="B280">
        <v>0.20031746258701055</v>
      </c>
      <c r="C280">
        <v>9</v>
      </c>
      <c r="D280">
        <v>39799</v>
      </c>
      <c r="E280">
        <v>0</v>
      </c>
      <c r="F280">
        <v>0</v>
      </c>
      <c r="G280">
        <v>0</v>
      </c>
      <c r="H280">
        <v>31.25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52.13074252136753</v>
      </c>
      <c r="AO280">
        <v>38.785623763687994</v>
      </c>
      <c r="AP280">
        <v>3.8616224792334286</v>
      </c>
      <c r="AQ280">
        <v>269.82114416063325</v>
      </c>
      <c r="AR280">
        <v>36.899418300383253</v>
      </c>
      <c r="AS280">
        <v>359.35855435624899</v>
      </c>
      <c r="AT280">
        <v>30.407349222995062</v>
      </c>
      <c r="AU280">
        <v>29.509490572627463</v>
      </c>
      <c r="AV280"/>
      <c r="AW280"/>
      <c r="FY280" s="211">
        <v>275</v>
      </c>
      <c r="FZ280">
        <v>46.212711601651989</v>
      </c>
      <c r="GA280">
        <v>68.343073698585201</v>
      </c>
      <c r="GB280">
        <v>24.020559117586433</v>
      </c>
      <c r="GC280">
        <v>10.700943561633808</v>
      </c>
      <c r="GD280">
        <v>7.7565643306327141</v>
      </c>
      <c r="GE280">
        <v>11.201821504515541</v>
      </c>
      <c r="GF280">
        <v>27.743904770235744</v>
      </c>
      <c r="GG280">
        <v>20.521996033264994</v>
      </c>
      <c r="GH280">
        <v>9.4747393742265587</v>
      </c>
      <c r="GI280">
        <v>24.407992624686457</v>
      </c>
      <c r="GJ280"/>
      <c r="GK280">
        <v>51.387855899991969</v>
      </c>
      <c r="GL280">
        <v>65.071480262766272</v>
      </c>
      <c r="GM280">
        <v>42.554065276052413</v>
      </c>
      <c r="GN280">
        <v>35.339685481042459</v>
      </c>
      <c r="GO280">
        <v>33.752173478641886</v>
      </c>
      <c r="GP280">
        <v>24.034913500486862</v>
      </c>
      <c r="GQ280">
        <v>37.379850883833463</v>
      </c>
      <c r="GR280">
        <v>30.867681740308466</v>
      </c>
      <c r="GS280">
        <v>11.298849236598933</v>
      </c>
      <c r="GT280">
        <v>35.274558955023728</v>
      </c>
      <c r="GU280"/>
      <c r="GV280"/>
      <c r="GW280"/>
      <c r="GX280"/>
      <c r="GY280"/>
      <c r="GZ280"/>
      <c r="HA280"/>
      <c r="HB280"/>
      <c r="HC280"/>
    </row>
    <row r="281" spans="1:211" s="7" customFormat="1">
      <c r="A281" s="1"/>
      <c r="B281">
        <v>0.51426984346297133</v>
      </c>
      <c r="C281">
        <v>6</v>
      </c>
      <c r="D281">
        <v>39799</v>
      </c>
      <c r="E281">
        <v>0</v>
      </c>
      <c r="F281">
        <v>0</v>
      </c>
      <c r="G281">
        <v>0</v>
      </c>
      <c r="H281">
        <v>10.416666666666666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50.855902777777779</v>
      </c>
      <c r="AO281">
        <v>37.571770908047768</v>
      </c>
      <c r="AP281">
        <v>12.488865374588267</v>
      </c>
      <c r="AQ281">
        <v>262.01688805773301</v>
      </c>
      <c r="AR281">
        <v>36.586033146049559</v>
      </c>
      <c r="AS281">
        <v>357.08715447475225</v>
      </c>
      <c r="AT281">
        <v>29.503965607496735</v>
      </c>
      <c r="AU281">
        <v>40.089906498825677</v>
      </c>
      <c r="AV281"/>
      <c r="AW281"/>
      <c r="FY281" s="211">
        <v>276</v>
      </c>
      <c r="FZ281">
        <v>35.075306490616867</v>
      </c>
      <c r="GA281">
        <v>60.079962090555242</v>
      </c>
      <c r="GB281">
        <v>26.23614491265597</v>
      </c>
      <c r="GC281">
        <v>13.298956918357868</v>
      </c>
      <c r="GD281">
        <v>8.660499849981429</v>
      </c>
      <c r="GE281">
        <v>11.35124138285839</v>
      </c>
      <c r="GF281">
        <v>18.657050943050521</v>
      </c>
      <c r="GG281">
        <v>13.248377186031833</v>
      </c>
      <c r="GH281">
        <v>10.17240520027652</v>
      </c>
      <c r="GI281">
        <v>22.309192583087814</v>
      </c>
      <c r="GJ281"/>
      <c r="GK281">
        <v>38.072889061722677</v>
      </c>
      <c r="GL281">
        <v>55.432526840017019</v>
      </c>
      <c r="GM281">
        <v>46.479127223467934</v>
      </c>
      <c r="GN281">
        <v>43.924353174854282</v>
      </c>
      <c r="GO281">
        <v>37.690431258370808</v>
      </c>
      <c r="GP281">
        <v>24.355512596783477</v>
      </c>
      <c r="GQ281">
        <v>25.136972894006476</v>
      </c>
      <c r="GR281">
        <v>19.927237579186482</v>
      </c>
      <c r="GS281">
        <v>12.080309533821929</v>
      </c>
      <c r="GT281">
        <v>31.891945994277961</v>
      </c>
      <c r="GU281"/>
      <c r="GV281"/>
      <c r="GW281"/>
      <c r="GX281"/>
      <c r="GY281"/>
      <c r="GZ281"/>
      <c r="HA281"/>
      <c r="HB281"/>
      <c r="HC281"/>
    </row>
    <row r="282" spans="1:211" s="7" customFormat="1">
      <c r="A282" s="1"/>
      <c r="B282">
        <v>0.37508960018280746</v>
      </c>
      <c r="C282">
        <v>4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48.601469017094033</v>
      </c>
      <c r="AO282">
        <v>35.750407055273548</v>
      </c>
      <c r="AP282">
        <v>11.668546431511629</v>
      </c>
      <c r="AQ282">
        <v>244.25371660502785</v>
      </c>
      <c r="AR282">
        <v>33.988616292494847</v>
      </c>
      <c r="AS282">
        <v>345.60663623007565</v>
      </c>
      <c r="AT282">
        <v>27.574638683849386</v>
      </c>
      <c r="AU282">
        <v>36.255360376445111</v>
      </c>
      <c r="AV282"/>
      <c r="AW282"/>
      <c r="FY282" s="211">
        <v>277</v>
      </c>
      <c r="FZ282">
        <v>38.257084264786613</v>
      </c>
      <c r="GA282">
        <v>85.28099005560594</v>
      </c>
      <c r="GB282">
        <v>39.569760783436415</v>
      </c>
      <c r="GC282">
        <v>12.022350710544222</v>
      </c>
      <c r="GD282">
        <v>6.7469138634205574</v>
      </c>
      <c r="GE282">
        <v>7.5130182579264302</v>
      </c>
      <c r="GF282">
        <v>22.137122621546993</v>
      </c>
      <c r="GG282">
        <v>20.0024518298912</v>
      </c>
      <c r="GH282">
        <v>8.7208228256245235</v>
      </c>
      <c r="GI282">
        <v>25.367072593015834</v>
      </c>
      <c r="GJ282"/>
      <c r="GK282">
        <v>41.358172328631213</v>
      </c>
      <c r="GL282">
        <v>77.704145310872491</v>
      </c>
      <c r="GM282">
        <v>70.100540753163131</v>
      </c>
      <c r="GN282">
        <v>39.681043765217765</v>
      </c>
      <c r="GO282">
        <v>29.33215958433626</v>
      </c>
      <c r="GP282">
        <v>16.120123310664177</v>
      </c>
      <c r="GQ282">
        <v>29.825734677344474</v>
      </c>
      <c r="GR282">
        <v>30.086221443085474</v>
      </c>
      <c r="GS282">
        <v>9.7682537152874893</v>
      </c>
      <c r="GT282">
        <v>36.076972211752519</v>
      </c>
      <c r="GU282"/>
      <c r="GV282"/>
      <c r="GW282"/>
      <c r="GX282"/>
      <c r="GY282"/>
      <c r="GZ282"/>
      <c r="HA282"/>
      <c r="HB282"/>
      <c r="HC282"/>
    </row>
    <row r="283" spans="1:211" s="7" customFormat="1">
      <c r="A283" s="1"/>
      <c r="B283">
        <v>0.646623405759712</v>
      </c>
      <c r="C283">
        <v>3</v>
      </c>
      <c r="D283">
        <v>39799</v>
      </c>
      <c r="E283">
        <v>0</v>
      </c>
      <c r="F283">
        <v>0</v>
      </c>
      <c r="G283">
        <v>0</v>
      </c>
      <c r="H283">
        <v>72.115384615384613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42.117361111111116</v>
      </c>
      <c r="AO283">
        <v>32.878210724754631</v>
      </c>
      <c r="AP283">
        <v>18.75048726249608</v>
      </c>
      <c r="AQ283">
        <v>221.90907628479124</v>
      </c>
      <c r="AR283">
        <v>31.35723609118461</v>
      </c>
      <c r="AS283">
        <v>298.66462853347952</v>
      </c>
      <c r="AT283">
        <v>24.963916533960184</v>
      </c>
      <c r="AU283">
        <v>25.450677943737535</v>
      </c>
      <c r="AV283"/>
      <c r="AW283"/>
      <c r="FY283" s="211">
        <v>278</v>
      </c>
      <c r="FZ283">
        <v>42.426528753617866</v>
      </c>
      <c r="GA283">
        <v>82.225745244244706</v>
      </c>
      <c r="GB283">
        <v>29.113398863719119</v>
      </c>
      <c r="GC283">
        <v>12.033330428757779</v>
      </c>
      <c r="GD283">
        <v>8.228143380292023</v>
      </c>
      <c r="GE283">
        <v>10.06249493215131</v>
      </c>
      <c r="GF283">
        <v>21.267104701922872</v>
      </c>
      <c r="GG283">
        <v>15.58632610121392</v>
      </c>
      <c r="GH283">
        <v>11.275154661903537</v>
      </c>
      <c r="GI283">
        <v>24.490706708112501</v>
      </c>
      <c r="GJ283"/>
      <c r="GK283">
        <v>47.47740439530503</v>
      </c>
      <c r="GL283">
        <v>77.340406929167358</v>
      </c>
      <c r="GM283">
        <v>51.576379616717951</v>
      </c>
      <c r="GN283">
        <v>39.728828398142838</v>
      </c>
      <c r="GO283">
        <v>35.791470746750029</v>
      </c>
      <c r="GP283">
        <v>21.590345391225171</v>
      </c>
      <c r="GQ283">
        <v>28.653544231509972</v>
      </c>
      <c r="GR283">
        <v>23.443808916689978</v>
      </c>
      <c r="GS283">
        <v>14.001635203744872</v>
      </c>
      <c r="GT283">
        <v>35.500086838805572</v>
      </c>
      <c r="GU283"/>
      <c r="GV283"/>
      <c r="GW283"/>
      <c r="GX283"/>
      <c r="GY283"/>
      <c r="GZ283"/>
      <c r="HA283"/>
      <c r="HB283"/>
      <c r="HC283"/>
    </row>
    <row r="284" spans="1:211" s="7" customFormat="1">
      <c r="A284" s="1"/>
      <c r="B284">
        <v>0.9316143081042132</v>
      </c>
      <c r="C284">
        <v>2</v>
      </c>
      <c r="D284">
        <v>39799</v>
      </c>
      <c r="E284">
        <v>0</v>
      </c>
      <c r="F284">
        <v>0</v>
      </c>
      <c r="G284">
        <v>0</v>
      </c>
      <c r="H284">
        <v>72.916666666666671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54.034321581196579</v>
      </c>
      <c r="AO284">
        <v>42.300085230360935</v>
      </c>
      <c r="AP284">
        <v>16.507217970998674</v>
      </c>
      <c r="AQ284">
        <v>296.80385581640809</v>
      </c>
      <c r="AR284">
        <v>40.121167655928687</v>
      </c>
      <c r="AS284">
        <v>394.72174260473832</v>
      </c>
      <c r="AT284">
        <v>32.394340750730244</v>
      </c>
      <c r="AU284">
        <v>12.295148406610918</v>
      </c>
      <c r="AV284"/>
      <c r="AW284"/>
      <c r="FY284" s="211">
        <v>279</v>
      </c>
      <c r="FZ284">
        <v>25.533115834857522</v>
      </c>
      <c r="GA284">
        <v>61.897261668545575</v>
      </c>
      <c r="GB284">
        <v>38.266475021630818</v>
      </c>
      <c r="GC284">
        <v>15.033528105378105</v>
      </c>
      <c r="GD284">
        <v>6.9657081208868057</v>
      </c>
      <c r="GE284">
        <v>7.8305354994049852</v>
      </c>
      <c r="GF284">
        <v>28.974233141421365</v>
      </c>
      <c r="GG284">
        <v>24.654734014647474</v>
      </c>
      <c r="GH284">
        <v>11.218903939351462</v>
      </c>
      <c r="GI284">
        <v>25.084301859830784</v>
      </c>
      <c r="GJ284"/>
      <c r="GK284">
        <v>26.402138866193617</v>
      </c>
      <c r="GL284">
        <v>54.702220805609954</v>
      </c>
      <c r="GM284">
        <v>67.791680784095192</v>
      </c>
      <c r="GN284">
        <v>49.634167107505959</v>
      </c>
      <c r="GO284">
        <v>30.293024751236729</v>
      </c>
      <c r="GP284">
        <v>16.801396390294482</v>
      </c>
      <c r="GQ284">
        <v>39.037493938548913</v>
      </c>
      <c r="GR284">
        <v>37.083843195491418</v>
      </c>
      <c r="GS284">
        <v>13.252499979656427</v>
      </c>
      <c r="GT284">
        <v>35.355367663946176</v>
      </c>
      <c r="GU284"/>
      <c r="GV284"/>
      <c r="GW284"/>
      <c r="GX284"/>
      <c r="GY284"/>
      <c r="GZ284"/>
      <c r="HA284"/>
      <c r="HB284"/>
      <c r="HC284"/>
    </row>
    <row r="285" spans="1:211" s="7" customFormat="1">
      <c r="A285" s="1"/>
      <c r="B285">
        <v>0.43767863391040773</v>
      </c>
      <c r="C285">
        <v>2</v>
      </c>
      <c r="D285">
        <v>39799</v>
      </c>
      <c r="E285">
        <v>0</v>
      </c>
      <c r="F285">
        <v>0</v>
      </c>
      <c r="G285">
        <v>0</v>
      </c>
      <c r="H285">
        <v>72.916666666666671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43.736378205128204</v>
      </c>
      <c r="AO285">
        <v>37.108315012470385</v>
      </c>
      <c r="AP285">
        <v>56.143137602053223</v>
      </c>
      <c r="AQ285">
        <v>250.79761515681469</v>
      </c>
      <c r="AR285">
        <v>35.104919516469423</v>
      </c>
      <c r="AS285">
        <v>307.46047315474783</v>
      </c>
      <c r="AT285">
        <v>26.675298516208255</v>
      </c>
      <c r="AU285">
        <v>10.161214230492513</v>
      </c>
      <c r="AV285"/>
      <c r="AW285"/>
      <c r="FY285" s="211">
        <v>280</v>
      </c>
      <c r="FZ285">
        <v>35.792865280153585</v>
      </c>
      <c r="GA285">
        <v>71.486743169472931</v>
      </c>
      <c r="GB285">
        <v>33.504469353494933</v>
      </c>
      <c r="GC285">
        <v>12.597284686726676</v>
      </c>
      <c r="GD285">
        <v>8.5809727622864678</v>
      </c>
      <c r="GE285">
        <v>13.718612580352925</v>
      </c>
      <c r="GF285">
        <v>28.174519700150711</v>
      </c>
      <c r="GG285">
        <v>21.773625250483686</v>
      </c>
      <c r="GH285">
        <v>12.963068504476368</v>
      </c>
      <c r="GI285">
        <v>26.468485804661778</v>
      </c>
      <c r="GJ285"/>
      <c r="GK285">
        <v>38.800022583454854</v>
      </c>
      <c r="GL285">
        <v>65.51336467419371</v>
      </c>
      <c r="GM285">
        <v>59.355461666346898</v>
      </c>
      <c r="GN285">
        <v>41.606840673357866</v>
      </c>
      <c r="GO285">
        <v>37.344329961232418</v>
      </c>
      <c r="GP285">
        <v>29.435004528732975</v>
      </c>
      <c r="GQ285">
        <v>37.96002595298387</v>
      </c>
      <c r="GR285">
        <v>32.750290638163875</v>
      </c>
      <c r="GS285">
        <v>15.206150722713929</v>
      </c>
      <c r="GT285">
        <v>37.733198177346395</v>
      </c>
      <c r="GU285"/>
      <c r="GV285"/>
      <c r="GW285"/>
      <c r="GX285"/>
      <c r="GY285"/>
      <c r="GZ285"/>
      <c r="HA285"/>
      <c r="HB285"/>
      <c r="HC285"/>
    </row>
    <row r="286" spans="1:211" s="7" customFormat="1">
      <c r="A286" s="1"/>
      <c r="B286">
        <v>0.49867366440135913</v>
      </c>
      <c r="C286">
        <v>1</v>
      </c>
      <c r="D286">
        <v>39799</v>
      </c>
      <c r="E286">
        <v>0</v>
      </c>
      <c r="F286">
        <v>0</v>
      </c>
      <c r="G286">
        <v>0</v>
      </c>
      <c r="H286">
        <v>10.416666666666666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62.890972222222217</v>
      </c>
      <c r="AO286">
        <v>47.01855984821708</v>
      </c>
      <c r="AP286">
        <v>30.661308992977098</v>
      </c>
      <c r="AQ286">
        <v>331.62431325765908</v>
      </c>
      <c r="AR286">
        <v>44.886877371698262</v>
      </c>
      <c r="AS286">
        <v>426.62682975351436</v>
      </c>
      <c r="AT286">
        <v>36.158498723961934</v>
      </c>
      <c r="AU286">
        <v>43.893369893683811</v>
      </c>
      <c r="AV286"/>
      <c r="AW286"/>
      <c r="FY286" s="211">
        <v>281</v>
      </c>
      <c r="FZ286">
        <v>61.346137792848992</v>
      </c>
      <c r="GA286">
        <v>98.584307256646028</v>
      </c>
      <c r="GB286">
        <v>40.010872887432164</v>
      </c>
      <c r="GC286">
        <v>14.351084077412571</v>
      </c>
      <c r="GD286">
        <v>7.8027879766285988</v>
      </c>
      <c r="GE286">
        <v>10.076503045745953</v>
      </c>
      <c r="GF286">
        <v>23.007140541171108</v>
      </c>
      <c r="GG286">
        <v>16.365642406274617</v>
      </c>
      <c r="GH286">
        <v>7.6743240865495839</v>
      </c>
      <c r="GI286">
        <v>29.478325830964646</v>
      </c>
      <c r="GJ286"/>
      <c r="GK286">
        <v>67.04580024148332</v>
      </c>
      <c r="GL286">
        <v>91.797422427792839</v>
      </c>
      <c r="GM286">
        <v>70.882001050386137</v>
      </c>
      <c r="GN286">
        <v>47.376322204672654</v>
      </c>
      <c r="GO286">
        <v>33.931653000176958</v>
      </c>
      <c r="GP286">
        <v>21.620401556502983</v>
      </c>
      <c r="GQ286">
        <v>30.99792512317897</v>
      </c>
      <c r="GR286">
        <v>24.615999362524477</v>
      </c>
      <c r="GS286">
        <v>8.5960632694529941</v>
      </c>
      <c r="GT286">
        <v>42.290688536935676</v>
      </c>
      <c r="GU286"/>
      <c r="GV286"/>
      <c r="GW286"/>
      <c r="GX286"/>
      <c r="GY286"/>
      <c r="GZ286"/>
      <c r="HA286"/>
      <c r="HB286"/>
      <c r="HC286"/>
    </row>
    <row r="287" spans="1:211" s="7" customFormat="1">
      <c r="A287" s="1"/>
      <c r="B287">
        <v>0.46666313876543231</v>
      </c>
      <c r="C287">
        <v>8</v>
      </c>
      <c r="D287">
        <v>39799</v>
      </c>
      <c r="E287">
        <v>0</v>
      </c>
      <c r="F287">
        <v>0</v>
      </c>
      <c r="G287">
        <v>0</v>
      </c>
      <c r="H287">
        <v>41.666666666666664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52.260763888888881</v>
      </c>
      <c r="AO287">
        <v>40.523694785647265</v>
      </c>
      <c r="AP287">
        <v>19.145951815320316</v>
      </c>
      <c r="AQ287">
        <v>279.74186726306181</v>
      </c>
      <c r="AR287">
        <v>38.132970480409405</v>
      </c>
      <c r="AS287">
        <v>385.28191316969088</v>
      </c>
      <c r="AT287">
        <v>30.632080711481375</v>
      </c>
      <c r="AU287">
        <v>20.933702043572445</v>
      </c>
      <c r="AV287"/>
      <c r="AW287"/>
      <c r="FY287" s="211">
        <v>282</v>
      </c>
      <c r="FZ287">
        <v>34.006436541252576</v>
      </c>
      <c r="GA287">
        <v>54.204316289740618</v>
      </c>
      <c r="GB287">
        <v>24.802530574669802</v>
      </c>
      <c r="GC287">
        <v>11.251012500504311</v>
      </c>
      <c r="GD287">
        <v>5.6263440370549027</v>
      </c>
      <c r="GE287">
        <v>9.1052738365174264</v>
      </c>
      <c r="GF287">
        <v>24.914149516508818</v>
      </c>
      <c r="GG287">
        <v>19.978836184283299</v>
      </c>
      <c r="GH287">
        <v>13.255650694949276</v>
      </c>
      <c r="GI287">
        <v>21.62984313173714</v>
      </c>
      <c r="GJ287"/>
      <c r="GK287">
        <v>35.168863393606891</v>
      </c>
      <c r="GL287">
        <v>47.903516219769855</v>
      </c>
      <c r="GM287">
        <v>43.939381257493189</v>
      </c>
      <c r="GN287">
        <v>37.110394828384528</v>
      </c>
      <c r="GO287">
        <v>24.429425459811309</v>
      </c>
      <c r="GP287">
        <v>19.536507430574982</v>
      </c>
      <c r="GQ287">
        <v>33.567271857987926</v>
      </c>
      <c r="GR287">
        <v>30.05070052048443</v>
      </c>
      <c r="GS287">
        <v>14.847745647236984</v>
      </c>
      <c r="GT287">
        <v>30.390537523227263</v>
      </c>
      <c r="GU287"/>
      <c r="GV287"/>
      <c r="GW287"/>
      <c r="GX287"/>
      <c r="GY287"/>
      <c r="GZ287"/>
      <c r="HA287"/>
      <c r="HB287"/>
      <c r="HC287"/>
    </row>
    <row r="288" spans="1:211" s="7" customFormat="1">
      <c r="A288" s="1"/>
      <c r="B288">
        <v>0.76747718558378253</v>
      </c>
      <c r="C288">
        <v>4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51.342280982905983</v>
      </c>
      <c r="AO288">
        <v>40.850791309408578</v>
      </c>
      <c r="AP288">
        <v>48.330415424930592</v>
      </c>
      <c r="AQ288">
        <v>287.13274793971459</v>
      </c>
      <c r="AR288">
        <v>38.713764777239703</v>
      </c>
      <c r="AS288">
        <v>373.32212796030615</v>
      </c>
      <c r="AT288">
        <v>29.859262285161776</v>
      </c>
      <c r="AU288">
        <v>45.030219228851976</v>
      </c>
      <c r="AV288"/>
      <c r="AW288"/>
      <c r="FY288" s="211">
        <v>283</v>
      </c>
      <c r="FZ288">
        <v>39.922196753825702</v>
      </c>
      <c r="GA288">
        <v>74.227907614794219</v>
      </c>
      <c r="GB288">
        <v>30.958049480428596</v>
      </c>
      <c r="GC288">
        <v>16.723486927598163</v>
      </c>
      <c r="GD288">
        <v>9.7862267044845979</v>
      </c>
      <c r="GE288">
        <v>8.0733428017121174</v>
      </c>
      <c r="GF288">
        <v>31.944597351855215</v>
      </c>
      <c r="GG288">
        <v>26.449523080847861</v>
      </c>
      <c r="GH288">
        <v>13.660734330526328</v>
      </c>
      <c r="GI288">
        <v>28.014479703499614</v>
      </c>
      <c r="GJ288"/>
      <c r="GK288">
        <v>43.088604162465558</v>
      </c>
      <c r="GL288">
        <v>67.935891595585005</v>
      </c>
      <c r="GM288">
        <v>54.844304496014132</v>
      </c>
      <c r="GN288">
        <v>55.235034644625628</v>
      </c>
      <c r="GO288">
        <v>42.589586198653457</v>
      </c>
      <c r="GP288">
        <v>17.322369921776481</v>
      </c>
      <c r="GQ288">
        <v>43.03951788493336</v>
      </c>
      <c r="GR288">
        <v>39.783433313170868</v>
      </c>
      <c r="GS288">
        <v>15.987611019936924</v>
      </c>
      <c r="GT288">
        <v>39.909924752400684</v>
      </c>
      <c r="GU288"/>
      <c r="GV288"/>
      <c r="GW288"/>
      <c r="GX288"/>
      <c r="GY288"/>
      <c r="GZ288"/>
      <c r="HA288"/>
      <c r="HB288"/>
      <c r="HC288"/>
    </row>
    <row r="289" spans="1:211" s="7" customFormat="1">
      <c r="A289" s="1"/>
      <c r="B289">
        <v>0.95697642500737401</v>
      </c>
      <c r="C289">
        <v>10</v>
      </c>
      <c r="D289">
        <v>39847</v>
      </c>
      <c r="E289">
        <v>0</v>
      </c>
      <c r="F289">
        <v>0</v>
      </c>
      <c r="G289">
        <v>0</v>
      </c>
      <c r="H289">
        <v>10.416666666666666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50.706997863247864</v>
      </c>
      <c r="AO289">
        <v>39.071883568702297</v>
      </c>
      <c r="AP289">
        <v>34.527887759393955</v>
      </c>
      <c r="AQ289">
        <v>271.55252408580225</v>
      </c>
      <c r="AR289">
        <v>37.342283737247257</v>
      </c>
      <c r="AS289">
        <v>344.56315192605012</v>
      </c>
      <c r="AT289">
        <v>29.39009742657834</v>
      </c>
      <c r="AU289">
        <v>34.535367767025754</v>
      </c>
      <c r="AV289"/>
      <c r="AW289"/>
      <c r="FY289" s="211">
        <v>284</v>
      </c>
      <c r="FZ289">
        <v>38.539474595235347</v>
      </c>
      <c r="GA289">
        <v>81.615960742953646</v>
      </c>
      <c r="GB289">
        <v>34.396718836577236</v>
      </c>
      <c r="GC289">
        <v>12.849394558480849</v>
      </c>
      <c r="GD289">
        <v>8.2239972424965995</v>
      </c>
      <c r="GE289">
        <v>9.8196876298441786</v>
      </c>
      <c r="GF289">
        <v>17.057624060509212</v>
      </c>
      <c r="GG289">
        <v>13.720690098189829</v>
      </c>
      <c r="GH289">
        <v>12.67048631400346</v>
      </c>
      <c r="GI289">
        <v>24.766295576386646</v>
      </c>
      <c r="GJ289"/>
      <c r="GK289">
        <v>39.857625176944886</v>
      </c>
      <c r="GL289">
        <v>72.128785433682822</v>
      </c>
      <c r="GM289">
        <v>60.936142722093422</v>
      </c>
      <c r="GN289">
        <v>42.393438306073534</v>
      </c>
      <c r="GO289">
        <v>35.738730075700758</v>
      </c>
      <c r="GP289">
        <v>21.069371859743171</v>
      </c>
      <c r="GQ289">
        <v>22.982036922876386</v>
      </c>
      <c r="GR289">
        <v>20.637656031207388</v>
      </c>
      <c r="GS289">
        <v>15.56455579819087</v>
      </c>
      <c r="GT289">
        <v>35.015818139161276</v>
      </c>
      <c r="GU289"/>
      <c r="GV289"/>
      <c r="GW289"/>
      <c r="GX289"/>
      <c r="GY289"/>
      <c r="GZ289"/>
      <c r="HA289"/>
      <c r="HB289"/>
      <c r="HC289"/>
    </row>
    <row r="290" spans="1:211" s="7" customFormat="1">
      <c r="A290" s="1"/>
      <c r="B290">
        <v>0.99896274697941334</v>
      </c>
      <c r="C290">
        <v>9</v>
      </c>
      <c r="D290">
        <v>39847</v>
      </c>
      <c r="E290">
        <v>0</v>
      </c>
      <c r="F290">
        <v>0</v>
      </c>
      <c r="G290">
        <v>0</v>
      </c>
      <c r="H290">
        <v>31.25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57.396100427350426</v>
      </c>
      <c r="AO290">
        <v>42.326625616085728</v>
      </c>
      <c r="AP290">
        <v>18.319020183590485</v>
      </c>
      <c r="AQ290">
        <v>299.07756210768719</v>
      </c>
      <c r="AR290">
        <v>40.37512063217379</v>
      </c>
      <c r="AS290">
        <v>409.15709144505905</v>
      </c>
      <c r="AT290">
        <v>32.918518127239231</v>
      </c>
      <c r="AU290">
        <v>45.058573703013437</v>
      </c>
      <c r="AV290"/>
      <c r="AW290"/>
      <c r="FY290" s="211">
        <v>285</v>
      </c>
      <c r="FZ290">
        <v>59.748902006045626</v>
      </c>
      <c r="GA290">
        <v>82.234933359639101</v>
      </c>
      <c r="GB290">
        <v>22.707248080690018</v>
      </c>
      <c r="GC290">
        <v>12.485502394915462</v>
      </c>
      <c r="GD290">
        <v>9.8186377510387288</v>
      </c>
      <c r="GE290">
        <v>10.884304263036988</v>
      </c>
      <c r="GF290">
        <v>30.397898828079015</v>
      </c>
      <c r="GG290">
        <v>23.592029962291981</v>
      </c>
      <c r="GH290">
        <v>8.3719899125995436</v>
      </c>
      <c r="GI290">
        <v>27.764018553482121</v>
      </c>
      <c r="GJ290"/>
      <c r="GK290">
        <v>61.799140311823543</v>
      </c>
      <c r="GL290">
        <v>72.675807641738928</v>
      </c>
      <c r="GM290">
        <v>40.227444845683941</v>
      </c>
      <c r="GN290">
        <v>41.218440829719817</v>
      </c>
      <c r="GO290">
        <v>42.708953389632917</v>
      </c>
      <c r="GP290">
        <v>23.353640420856557</v>
      </c>
      <c r="GQ290">
        <v>40.95562375900537</v>
      </c>
      <c r="GR290">
        <v>35.485401678444376</v>
      </c>
      <c r="GS290">
        <v>9.3775235666759915</v>
      </c>
      <c r="GT290">
        <v>39.013737174564362</v>
      </c>
      <c r="GU290"/>
      <c r="GV290"/>
      <c r="GW290"/>
      <c r="GX290"/>
      <c r="GY290"/>
      <c r="GZ290"/>
      <c r="HA290"/>
      <c r="HB290"/>
      <c r="HC290"/>
    </row>
    <row r="291" spans="1:211" s="7" customFormat="1">
      <c r="A291" s="1"/>
      <c r="B291">
        <v>0.18983620583080563</v>
      </c>
      <c r="C291">
        <v>4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44.894177350427348</v>
      </c>
      <c r="AO291">
        <v>36.696111471474644</v>
      </c>
      <c r="AP291">
        <v>44.781396444498597</v>
      </c>
      <c r="AQ291">
        <v>250.38430661701949</v>
      </c>
      <c r="AR291">
        <v>35.274558955023707</v>
      </c>
      <c r="AS291">
        <v>324.39767584357264</v>
      </c>
      <c r="AT291">
        <v>27.228184171780665</v>
      </c>
      <c r="AU291">
        <v>29.018820220004454</v>
      </c>
      <c r="AV291"/>
      <c r="AW291"/>
      <c r="FY291" s="211">
        <v>286</v>
      </c>
      <c r="FZ291">
        <v>48.712512336196724</v>
      </c>
      <c r="GA291">
        <v>54.204316289740611</v>
      </c>
      <c r="GB291">
        <v>22.165883225786146</v>
      </c>
      <c r="GC291">
        <v>12.712603212603153</v>
      </c>
      <c r="GD291">
        <v>7.2690522294813826</v>
      </c>
      <c r="GE291">
        <v>12.56527789439405</v>
      </c>
      <c r="GF291">
        <v>29.554245087837447</v>
      </c>
      <c r="GG291">
        <v>21.277696692717793</v>
      </c>
      <c r="GH291">
        <v>9.4747393742265587</v>
      </c>
      <c r="GI291">
        <v>24.459276428368888</v>
      </c>
      <c r="GJ291"/>
      <c r="GK291">
        <v>50.367381612480251</v>
      </c>
      <c r="GL291">
        <v>47.903516219769848</v>
      </c>
      <c r="GM291">
        <v>39.268379935455712</v>
      </c>
      <c r="GN291">
        <v>41.976199182773279</v>
      </c>
      <c r="GO291">
        <v>31.621850244568545</v>
      </c>
      <c r="GP291">
        <v>26.960380254193474</v>
      </c>
      <c r="GQ291">
        <v>39.818954235771919</v>
      </c>
      <c r="GR291">
        <v>32.004351263541928</v>
      </c>
      <c r="GS291">
        <v>11.298849236598933</v>
      </c>
      <c r="GT291">
        <v>34.47508305297508</v>
      </c>
      <c r="GU291"/>
      <c r="GV291"/>
      <c r="GW291"/>
      <c r="GX291"/>
      <c r="GY291"/>
      <c r="GZ291"/>
      <c r="HA291"/>
      <c r="HB291"/>
      <c r="HC291"/>
    </row>
    <row r="292" spans="1:211" s="7" customFormat="1">
      <c r="A292" s="1"/>
      <c r="B292">
        <v>0.42732144864032584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10.416666666666666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42.494204059829066</v>
      </c>
      <c r="AO292">
        <v>33.499130615650905</v>
      </c>
      <c r="AP292">
        <v>25.544105133936064</v>
      </c>
      <c r="AQ292">
        <v>219.08913755747247</v>
      </c>
      <c r="AR292">
        <v>31.89194599427794</v>
      </c>
      <c r="AS292">
        <v>286.47052907172929</v>
      </c>
      <c r="AT292">
        <v>25.335125485413784</v>
      </c>
      <c r="AU292">
        <v>22.948681044035638</v>
      </c>
      <c r="AV292"/>
      <c r="AW292"/>
      <c r="FY292" s="211">
        <v>287</v>
      </c>
      <c r="FZ292">
        <v>53.976636052699888</v>
      </c>
      <c r="GA292">
        <v>92.522624021384004</v>
      </c>
      <c r="GB292">
        <v>41.314158649237775</v>
      </c>
      <c r="GC292">
        <v>15.132463215233363</v>
      </c>
      <c r="GD292">
        <v>7.4161299585645102</v>
      </c>
      <c r="GE292">
        <v>12.56527789439405</v>
      </c>
      <c r="GF292">
        <v>41.708131783192542</v>
      </c>
      <c r="GG292">
        <v>29.826560402777545</v>
      </c>
      <c r="GH292">
        <v>11.916569765401425</v>
      </c>
      <c r="GI292">
        <v>32.712651165619221</v>
      </c>
      <c r="GJ292"/>
      <c r="GK292">
        <v>61.226208977732895</v>
      </c>
      <c r="GL292">
        <v>88.77671903552951</v>
      </c>
      <c r="GM292">
        <v>73.19086101945409</v>
      </c>
      <c r="GN292">
        <v>49.964774261010753</v>
      </c>
      <c r="GO292">
        <v>32.257594344389616</v>
      </c>
      <c r="GP292">
        <v>26.960380254193474</v>
      </c>
      <c r="GQ292">
        <v>56.194099554853857</v>
      </c>
      <c r="GR292">
        <v>44.862925245120366</v>
      </c>
      <c r="GS292">
        <v>14.03396027687943</v>
      </c>
      <c r="GT292">
        <v>47.380544834661976</v>
      </c>
      <c r="GU292"/>
      <c r="GV292"/>
      <c r="GW292"/>
      <c r="GX292"/>
      <c r="GY292"/>
      <c r="GZ292"/>
      <c r="HA292"/>
      <c r="HB292"/>
      <c r="HC292"/>
    </row>
    <row r="293" spans="1:211" s="7" customFormat="1">
      <c r="A293" s="1"/>
      <c r="B293">
        <v>0.90197108113410085</v>
      </c>
      <c r="C293">
        <v>6</v>
      </c>
      <c r="D293">
        <v>39847</v>
      </c>
      <c r="E293">
        <v>0</v>
      </c>
      <c r="F293">
        <v>0</v>
      </c>
      <c r="G293">
        <v>0</v>
      </c>
      <c r="H293">
        <v>52.083333333333336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49.831810897435901</v>
      </c>
      <c r="AO293">
        <v>38.0053367100355</v>
      </c>
      <c r="AP293">
        <v>28.611625232677078</v>
      </c>
      <c r="AQ293">
        <v>265.61758780579873</v>
      </c>
      <c r="AR293">
        <v>36.076972211752533</v>
      </c>
      <c r="AS293">
        <v>339.69848648669341</v>
      </c>
      <c r="AT293">
        <v>28.375761295526321</v>
      </c>
      <c r="AU293">
        <v>24.331854982641026</v>
      </c>
      <c r="AV293"/>
      <c r="AW293"/>
      <c r="FY293" s="211">
        <v>288</v>
      </c>
      <c r="FZ293">
        <v>52.016439433775055</v>
      </c>
      <c r="GA293">
        <v>74.984111278466614</v>
      </c>
      <c r="GB293">
        <v>24.581974522671928</v>
      </c>
      <c r="GC293">
        <v>11.309759573939871</v>
      </c>
      <c r="GD293">
        <v>7.2855183600974707</v>
      </c>
      <c r="GE293">
        <v>8.55895740632638</v>
      </c>
      <c r="GF293">
        <v>31.267916747703129</v>
      </c>
      <c r="GG293">
        <v>23.332257860605079</v>
      </c>
      <c r="GH293">
        <v>8.0794077221266356</v>
      </c>
      <c r="GI293">
        <v>25.672344253865479</v>
      </c>
      <c r="GJ293"/>
      <c r="GK293">
        <v>53.788287703173822</v>
      </c>
      <c r="GL293">
        <v>66.267833204510325</v>
      </c>
      <c r="GM293">
        <v>43.548651108881685</v>
      </c>
      <c r="GN293">
        <v>37.354348682991692</v>
      </c>
      <c r="GO293">
        <v>31.706521989425465</v>
      </c>
      <c r="GP293">
        <v>18.36431698474048</v>
      </c>
      <c r="GQ293">
        <v>42.127814204839865</v>
      </c>
      <c r="GR293">
        <v>35.094671529832873</v>
      </c>
      <c r="GS293">
        <v>9.7359286421529347</v>
      </c>
      <c r="GT293">
        <v>36.181440729694749</v>
      </c>
      <c r="GU293"/>
      <c r="GV293"/>
      <c r="GW293"/>
      <c r="GX293"/>
      <c r="GY293"/>
      <c r="GZ293"/>
      <c r="HA293"/>
      <c r="HB293"/>
      <c r="HC293"/>
    </row>
    <row r="294" spans="1:211" s="7" customFormat="1">
      <c r="A294" s="1"/>
      <c r="B294">
        <v>0.64305152155581258</v>
      </c>
      <c r="C294">
        <v>2</v>
      </c>
      <c r="D294">
        <v>39847</v>
      </c>
      <c r="E294">
        <v>0</v>
      </c>
      <c r="F294">
        <v>0</v>
      </c>
      <c r="G294">
        <v>0</v>
      </c>
      <c r="H294">
        <v>34.722222222222221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45.700961538461542</v>
      </c>
      <c r="AO294">
        <v>37.51039106680588</v>
      </c>
      <c r="AP294">
        <v>50.113837500688263</v>
      </c>
      <c r="AQ294">
        <v>256.70893377593563</v>
      </c>
      <c r="AR294">
        <v>35.500086838805565</v>
      </c>
      <c r="AS294">
        <v>331.1886903795895</v>
      </c>
      <c r="AT294">
        <v>27.313050370145266</v>
      </c>
      <c r="AU294">
        <v>21.441969322902917</v>
      </c>
      <c r="AV294"/>
      <c r="AW294"/>
      <c r="FY294" s="211">
        <v>289</v>
      </c>
      <c r="FZ294">
        <v>37.374264600770069</v>
      </c>
      <c r="GA294">
        <v>68.794385111612058</v>
      </c>
      <c r="GB294">
        <v>36.17119252765103</v>
      </c>
      <c r="GC294">
        <v>14.599982126052081</v>
      </c>
      <c r="GD294">
        <v>8.2903948440850321</v>
      </c>
      <c r="GE294">
        <v>10.062494932151312</v>
      </c>
      <c r="GF294">
        <v>23.850794281412679</v>
      </c>
      <c r="GG294">
        <v>21.797240896091594</v>
      </c>
      <c r="GH294">
        <v>15.80998253122829</v>
      </c>
      <c r="GI294">
        <v>26.890538351853717</v>
      </c>
      <c r="GJ294"/>
      <c r="GK294">
        <v>38.653546315507086</v>
      </c>
      <c r="GL294">
        <v>60.797611123949338</v>
      </c>
      <c r="GM294">
        <v>64.079744372285944</v>
      </c>
      <c r="GN294">
        <v>48.2137536062545</v>
      </c>
      <c r="GO294">
        <v>36.071062834020196</v>
      </c>
      <c r="GP294">
        <v>21.590345391225174</v>
      </c>
      <c r="GQ294">
        <v>32.134594646412424</v>
      </c>
      <c r="GR294">
        <v>32.785811560764927</v>
      </c>
      <c r="GS294">
        <v>19.081127135694366</v>
      </c>
      <c r="GT294">
        <v>38.004015060783992</v>
      </c>
      <c r="GU294"/>
      <c r="GV294"/>
      <c r="GW294"/>
      <c r="GX294"/>
      <c r="GY294"/>
      <c r="GZ294"/>
      <c r="HA294"/>
      <c r="HB294"/>
      <c r="HC294"/>
    </row>
    <row r="295" spans="1:211" s="7" customFormat="1">
      <c r="A295" s="1"/>
      <c r="B295">
        <v>0.6316281379061548</v>
      </c>
      <c r="C295">
        <v>7</v>
      </c>
      <c r="D295">
        <v>39847</v>
      </c>
      <c r="E295">
        <v>0</v>
      </c>
      <c r="F295">
        <v>0</v>
      </c>
      <c r="G295">
        <v>0</v>
      </c>
      <c r="H295">
        <v>31.25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49.987847222222229</v>
      </c>
      <c r="AO295">
        <v>37.035383348257881</v>
      </c>
      <c r="AP295">
        <v>11.784259932816669</v>
      </c>
      <c r="AQ295">
        <v>245.45879720595491</v>
      </c>
      <c r="AR295">
        <v>35.355367663946183</v>
      </c>
      <c r="AS295">
        <v>346.32691614802104</v>
      </c>
      <c r="AT295">
        <v>28.592244265372376</v>
      </c>
      <c r="AU295">
        <v>19.155175376124319</v>
      </c>
      <c r="AV295"/>
      <c r="AW295"/>
      <c r="FY295" s="211">
        <v>290</v>
      </c>
      <c r="FZ295">
        <v>46.331862389148498</v>
      </c>
      <c r="GA295">
        <v>83.109991839509632</v>
      </c>
      <c r="GB295">
        <v>35.068412267661671</v>
      </c>
      <c r="GC295">
        <v>16.086330457155285</v>
      </c>
      <c r="GD295">
        <v>9.6946757873302936</v>
      </c>
      <c r="GE295">
        <v>13.536507103622576</v>
      </c>
      <c r="GF295">
        <v>21.557110675130915</v>
      </c>
      <c r="GG295">
        <v>13.248377186031833</v>
      </c>
      <c r="GH295">
        <v>14.707233069601275</v>
      </c>
      <c r="GI295">
        <v>28.058860876073538</v>
      </c>
      <c r="GJ295"/>
      <c r="GK295">
        <v>51.51225954383326</v>
      </c>
      <c r="GL295">
        <v>78.12186722639035</v>
      </c>
      <c r="GM295">
        <v>62.126093629228443</v>
      </c>
      <c r="GN295">
        <v>53.122927268296408</v>
      </c>
      <c r="GO295">
        <v>42.18248310717442</v>
      </c>
      <c r="GP295">
        <v>29.044274380121472</v>
      </c>
      <c r="GQ295">
        <v>29.044274380121479</v>
      </c>
      <c r="GR295">
        <v>19.927237579186482</v>
      </c>
      <c r="GS295">
        <v>17.159801465771427</v>
      </c>
      <c r="GT295">
        <v>40.404982425225796</v>
      </c>
      <c r="GU295"/>
      <c r="GV295"/>
      <c r="GW295"/>
      <c r="GX295"/>
      <c r="GY295"/>
      <c r="GZ295"/>
      <c r="HA295"/>
      <c r="HB295"/>
      <c r="HC295"/>
    </row>
    <row r="296" spans="1:211" s="7" customFormat="1">
      <c r="A296" s="1"/>
      <c r="B296">
        <v>0.21056408230547996</v>
      </c>
      <c r="C296">
        <v>7</v>
      </c>
      <c r="D296">
        <v>39847</v>
      </c>
      <c r="E296">
        <v>0</v>
      </c>
      <c r="F296">
        <v>0</v>
      </c>
      <c r="G296">
        <v>0</v>
      </c>
      <c r="H296">
        <v>31.25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51.333333333333329</v>
      </c>
      <c r="AO296">
        <v>39.570468957852675</v>
      </c>
      <c r="AP296">
        <v>35.967831380601986</v>
      </c>
      <c r="AQ296">
        <v>265.06064709226007</v>
      </c>
      <c r="AR296">
        <v>37.733198177346431</v>
      </c>
      <c r="AS296">
        <v>359.8003715093983</v>
      </c>
      <c r="AT296">
        <v>29.848090300548449</v>
      </c>
      <c r="AU296">
        <v>31.319915257369583</v>
      </c>
      <c r="AV296"/>
      <c r="AW296"/>
      <c r="FY296" s="211">
        <v>291</v>
      </c>
      <c r="FZ296">
        <v>58.806856776175167</v>
      </c>
      <c r="GA296">
        <v>92.531812136778399</v>
      </c>
      <c r="GB296">
        <v>29.885345045711674</v>
      </c>
      <c r="GC296">
        <v>13.468825299055379</v>
      </c>
      <c r="GD296">
        <v>9.1824486834320531</v>
      </c>
      <c r="GE296">
        <v>9.698283978690613</v>
      </c>
      <c r="GF296">
        <v>29.677277924956009</v>
      </c>
      <c r="GG296">
        <v>23.899033355194678</v>
      </c>
      <c r="GH296">
        <v>12.614235591451386</v>
      </c>
      <c r="GI296">
        <v>29.548727546684987</v>
      </c>
      <c r="GJ296"/>
      <c r="GK296">
        <v>62.613892413096778</v>
      </c>
      <c r="GL296">
        <v>84.11211974810108</v>
      </c>
      <c r="GM296">
        <v>52.943935136858201</v>
      </c>
      <c r="GN296">
        <v>44.485401593373361</v>
      </c>
      <c r="GO296">
        <v>39.961948719063308</v>
      </c>
      <c r="GP296">
        <v>20.808885094002171</v>
      </c>
      <c r="GQ296">
        <v>39.984718541243467</v>
      </c>
      <c r="GR296">
        <v>35.947173672257968</v>
      </c>
      <c r="GS296">
        <v>14.815420574102429</v>
      </c>
      <c r="GT296">
        <v>42.063983076872837</v>
      </c>
      <c r="GU296"/>
      <c r="GV296"/>
      <c r="GW296"/>
      <c r="GX296"/>
      <c r="GY296"/>
      <c r="GZ296"/>
      <c r="HA296"/>
      <c r="HB296"/>
      <c r="HC296"/>
    </row>
    <row r="297" spans="1:211" s="7" customFormat="1">
      <c r="A297" s="1"/>
      <c r="B297">
        <v>0.28087969371223709</v>
      </c>
      <c r="C297">
        <v>4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55.121233974358987</v>
      </c>
      <c r="AO297">
        <v>43.915427677310696</v>
      </c>
      <c r="AP297">
        <v>39.038303292554126</v>
      </c>
      <c r="AQ297">
        <v>308.69712590167427</v>
      </c>
      <c r="AR297">
        <v>42.290688536935718</v>
      </c>
      <c r="AS297">
        <v>393.98536011597804</v>
      </c>
      <c r="AT297">
        <v>32.988704144660034</v>
      </c>
      <c r="AU297">
        <v>37.713343390834893</v>
      </c>
      <c r="AV297"/>
      <c r="AW297"/>
      <c r="FY297" s="211">
        <v>292</v>
      </c>
      <c r="FZ297">
        <v>49.066333429744134</v>
      </c>
      <c r="GA297">
        <v>84.878485030039514</v>
      </c>
      <c r="GB297">
        <v>30.988125305701033</v>
      </c>
      <c r="GC297">
        <v>12.721214642475209</v>
      </c>
      <c r="GD297">
        <v>7.2687955645191069</v>
      </c>
      <c r="GE297">
        <v>14.918640978293938</v>
      </c>
      <c r="GF297">
        <v>25.810531615515483</v>
      </c>
      <c r="GG297">
        <v>11.949516677597339</v>
      </c>
      <c r="GH297">
        <v>10.46498739074943</v>
      </c>
      <c r="GI297">
        <v>26.047978262032178</v>
      </c>
      <c r="GJ297"/>
      <c r="GK297">
        <v>54.351104992295497</v>
      </c>
      <c r="GL297">
        <v>79.684787820836362</v>
      </c>
      <c r="GM297">
        <v>54.897585879915702</v>
      </c>
      <c r="GN297">
        <v>42.00080125527893</v>
      </c>
      <c r="GO297">
        <v>31.616396151796383</v>
      </c>
      <c r="GP297">
        <v>32.009816020865166</v>
      </c>
      <c r="GQ297">
        <v>34.774983226423466</v>
      </c>
      <c r="GR297">
        <v>17.973586836128984</v>
      </c>
      <c r="GS297">
        <v>11.721904458344991</v>
      </c>
      <c r="GT297">
        <v>37.472394941755212</v>
      </c>
      <c r="GU297"/>
      <c r="GV297"/>
      <c r="GW297"/>
      <c r="GX297"/>
      <c r="GY297"/>
      <c r="GZ297"/>
      <c r="HA297"/>
      <c r="HB297"/>
      <c r="HC297"/>
    </row>
    <row r="298" spans="1:211" s="7" customFormat="1">
      <c r="A298" s="1"/>
      <c r="B298">
        <v>5.9980408431272281E-2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72.916666666666671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43.902884615384622</v>
      </c>
      <c r="AO298">
        <v>31.694434413857731</v>
      </c>
      <c r="AP298">
        <v>11.191491901944497</v>
      </c>
      <c r="AQ298">
        <v>218.77439330721816</v>
      </c>
      <c r="AR298">
        <v>30.390537523227231</v>
      </c>
      <c r="AS298">
        <v>295.10748721443446</v>
      </c>
      <c r="AT298">
        <v>24.385867712722604</v>
      </c>
      <c r="AU298">
        <v>17.588216720670552</v>
      </c>
      <c r="AV298"/>
      <c r="AW298"/>
      <c r="FY298" s="211">
        <v>293</v>
      </c>
      <c r="FZ298">
        <v>38.304171556154408</v>
      </c>
      <c r="GA298">
        <v>69.590207047350518</v>
      </c>
      <c r="GB298">
        <v>31.298908833516212</v>
      </c>
      <c r="GC298">
        <v>13.178287436316319</v>
      </c>
      <c r="GD298">
        <v>6.7709141391866963</v>
      </c>
      <c r="GE298">
        <v>9.637582153113831</v>
      </c>
      <c r="GF298">
        <v>23.727761444294114</v>
      </c>
      <c r="GG298">
        <v>17.097727420119515</v>
      </c>
      <c r="GH298">
        <v>10.464987390749428</v>
      </c>
      <c r="GI298">
        <v>23.940624660145289</v>
      </c>
      <c r="GJ298"/>
      <c r="GK298">
        <v>39.620037069206063</v>
      </c>
      <c r="GL298">
        <v>61.500925391450046</v>
      </c>
      <c r="GM298">
        <v>55.448160180231895</v>
      </c>
      <c r="GN298">
        <v>43.510440465823372</v>
      </c>
      <c r="GO298">
        <v>29.449619873132612</v>
      </c>
      <c r="GP298">
        <v>20.678641711131675</v>
      </c>
      <c r="GQ298">
        <v>31.96883034094088</v>
      </c>
      <c r="GR298">
        <v>25.717147963156886</v>
      </c>
      <c r="GS298">
        <v>11.721904458344989</v>
      </c>
      <c r="GT298">
        <v>33.641710384371294</v>
      </c>
      <c r="GU298"/>
      <c r="GV298"/>
      <c r="GW298"/>
      <c r="GX298"/>
      <c r="GY298"/>
      <c r="GZ298"/>
      <c r="HA298"/>
      <c r="HB298"/>
      <c r="HC298"/>
    </row>
    <row r="299" spans="1:211" s="7" customFormat="1">
      <c r="A299" s="1"/>
      <c r="B299">
        <v>0.21881699849662373</v>
      </c>
      <c r="C299">
        <v>2</v>
      </c>
      <c r="D299">
        <v>39910</v>
      </c>
      <c r="E299">
        <v>0</v>
      </c>
      <c r="F299">
        <v>0</v>
      </c>
      <c r="G299">
        <v>0</v>
      </c>
      <c r="H299">
        <v>20.833333333333332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53.675694444444446</v>
      </c>
      <c r="AO299">
        <v>41.973627798956208</v>
      </c>
      <c r="AP299">
        <v>22.579926029946741</v>
      </c>
      <c r="AQ299">
        <v>279.76054474957243</v>
      </c>
      <c r="AR299">
        <v>39.909924752400705</v>
      </c>
      <c r="AS299">
        <v>380.27160953590192</v>
      </c>
      <c r="AT299">
        <v>32.076158256944503</v>
      </c>
      <c r="AU299">
        <v>20.496608085930468</v>
      </c>
      <c r="AV299"/>
      <c r="AW299"/>
      <c r="FY299" s="211">
        <v>294</v>
      </c>
      <c r="FZ299">
        <v>67.447459688577624</v>
      </c>
      <c r="GA299">
        <v>91.324297060079147</v>
      </c>
      <c r="GB299">
        <v>30.316431874616601</v>
      </c>
      <c r="GC299">
        <v>12.603578524374685</v>
      </c>
      <c r="GD299">
        <v>7.4603081696157094</v>
      </c>
      <c r="GE299">
        <v>12.80808519670118</v>
      </c>
      <c r="GF299">
        <v>38.324728762432088</v>
      </c>
      <c r="GG299">
        <v>27.488611487595456</v>
      </c>
      <c r="GH299">
        <v>11.972820487953497</v>
      </c>
      <c r="GI299">
        <v>31.275755423545874</v>
      </c>
      <c r="GJ299"/>
      <c r="GK299">
        <v>76.960552718821546</v>
      </c>
      <c r="GL299">
        <v>90.054047277992694</v>
      </c>
      <c r="GM299">
        <v>53.707634972780674</v>
      </c>
      <c r="GN299">
        <v>41.596907268007278</v>
      </c>
      <c r="GO299">
        <v>32.432509236937562</v>
      </c>
      <c r="GP299">
        <v>27.481353785675473</v>
      </c>
      <c r="GQ299">
        <v>51.635581154386365</v>
      </c>
      <c r="GR299">
        <v>41.346353907616866</v>
      </c>
      <c r="GS299">
        <v>14.783095500967869</v>
      </c>
      <c r="GT299">
        <v>45.903874716778795</v>
      </c>
      <c r="GU299"/>
      <c r="GV299"/>
      <c r="GW299"/>
      <c r="GX299"/>
      <c r="GY299"/>
      <c r="GZ299"/>
      <c r="HA299"/>
      <c r="HB299"/>
      <c r="HC299"/>
    </row>
    <row r="300" spans="1:211" s="7" customFormat="1">
      <c r="A300" s="1"/>
      <c r="B300">
        <v>0.79996079540213083</v>
      </c>
      <c r="C300">
        <v>6</v>
      </c>
      <c r="D300">
        <v>39910</v>
      </c>
      <c r="E300">
        <v>0</v>
      </c>
      <c r="F300">
        <v>0</v>
      </c>
      <c r="G300">
        <v>0</v>
      </c>
      <c r="H300">
        <v>41.666666666666664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49.765197649572649</v>
      </c>
      <c r="AO300">
        <v>36.632416046567457</v>
      </c>
      <c r="AP300">
        <v>21.593752204149524</v>
      </c>
      <c r="AQ300">
        <v>253.66032965467699</v>
      </c>
      <c r="AR300">
        <v>35.01581813916129</v>
      </c>
      <c r="AS300">
        <v>329.05305344480496</v>
      </c>
      <c r="AT300">
        <v>27.885225317211408</v>
      </c>
      <c r="AU300">
        <v>25.401362299815407</v>
      </c>
      <c r="AV300"/>
      <c r="AW300"/>
      <c r="FY300" s="211">
        <v>295</v>
      </c>
      <c r="FZ300">
        <v>52.129937620801854</v>
      </c>
      <c r="GA300">
        <v>80.908563466741683</v>
      </c>
      <c r="GB300">
        <v>29.22367688971806</v>
      </c>
      <c r="GC300">
        <v>12.136752725759051</v>
      </c>
      <c r="GD300">
        <v>8.3512958507145942</v>
      </c>
      <c r="GE300">
        <v>9.8196876298441804</v>
      </c>
      <c r="GF300">
        <v>17.980370338898432</v>
      </c>
      <c r="GG300">
        <v>15.066781897840123</v>
      </c>
      <c r="GH300">
        <v>12.557984868899313</v>
      </c>
      <c r="GI300">
        <v>25.663978379512553</v>
      </c>
      <c r="GJ300"/>
      <c r="GK300">
        <v>53.920760508386948</v>
      </c>
      <c r="GL300">
        <v>71.503617195904425</v>
      </c>
      <c r="GM300">
        <v>51.771744691023706</v>
      </c>
      <c r="GN300">
        <v>40.078096141284277</v>
      </c>
      <c r="GO300">
        <v>36.336103564197224</v>
      </c>
      <c r="GP300">
        <v>21.069371859743175</v>
      </c>
      <c r="GQ300">
        <v>24.225269213912981</v>
      </c>
      <c r="GR300">
        <v>22.662348619466979</v>
      </c>
      <c r="GS300">
        <v>14.066285350013986</v>
      </c>
      <c r="GT300">
        <v>36.064032665506971</v>
      </c>
      <c r="GU300"/>
      <c r="GV300"/>
      <c r="GW300"/>
      <c r="GX300"/>
      <c r="GY300"/>
      <c r="GZ300"/>
      <c r="HA300"/>
      <c r="HB300"/>
      <c r="HC300"/>
    </row>
    <row r="301" spans="1:211" s="7" customFormat="1">
      <c r="A301" s="1"/>
      <c r="B301">
        <v>8.1601687815982427E-2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20.833333333333332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54.868456196581192</v>
      </c>
      <c r="AO301">
        <v>40.681571361814584</v>
      </c>
      <c r="AP301">
        <v>5.4571378293949246</v>
      </c>
      <c r="AQ301">
        <v>288.00546511181858</v>
      </c>
      <c r="AR301">
        <v>39.013737174564369</v>
      </c>
      <c r="AS301">
        <v>373.76071023114059</v>
      </c>
      <c r="AT301">
        <v>32.039200066729514</v>
      </c>
      <c r="AU301">
        <v>29.167728578736373</v>
      </c>
      <c r="AV301"/>
      <c r="AW301"/>
      <c r="FY301" s="211">
        <v>296</v>
      </c>
      <c r="FZ301">
        <v>60.645881276075883</v>
      </c>
      <c r="GA301">
        <v>100.08752646859642</v>
      </c>
      <c r="GB301">
        <v>30.877847279702092</v>
      </c>
      <c r="GC301">
        <v>9.1962450040572197</v>
      </c>
      <c r="GD301">
        <v>6.6204879011479898</v>
      </c>
      <c r="GE301">
        <v>12.7473833711244</v>
      </c>
      <c r="GF301">
        <v>17.373994213099802</v>
      </c>
      <c r="GG301">
        <v>8.8086358117466528</v>
      </c>
      <c r="GH301">
        <v>11.860319042849349</v>
      </c>
      <c r="GI301">
        <v>25.92848871522239</v>
      </c>
      <c r="GJ301"/>
      <c r="GK301">
        <v>66.324966756895009</v>
      </c>
      <c r="GL301">
        <v>93.125904933071951</v>
      </c>
      <c r="GM301">
        <v>54.70222080560994</v>
      </c>
      <c r="GN301">
        <v>30.362223681562238</v>
      </c>
      <c r="GO301">
        <v>28.799303087116243</v>
      </c>
      <c r="GP301">
        <v>27.351110402804977</v>
      </c>
      <c r="GQ301">
        <v>23.408287994088933</v>
      </c>
      <c r="GR301">
        <v>13.249304130189939</v>
      </c>
      <c r="GS301">
        <v>13.284825052790984</v>
      </c>
      <c r="GT301">
        <v>37.303920739300224</v>
      </c>
      <c r="GU301"/>
      <c r="GV301"/>
      <c r="GW301"/>
      <c r="GX301"/>
      <c r="GY301"/>
      <c r="GZ301"/>
      <c r="HA301"/>
      <c r="HB301"/>
      <c r="HC301"/>
    </row>
    <row r="302" spans="1:211" s="7" customFormat="1">
      <c r="A302" s="1"/>
      <c r="B302">
        <v>0.40006936763295986</v>
      </c>
      <c r="C302">
        <v>5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48.339983974358972</v>
      </c>
      <c r="AO302">
        <v>35.569494523812899</v>
      </c>
      <c r="AP302">
        <v>20.805389591434775</v>
      </c>
      <c r="AQ302">
        <v>242.39560277135277</v>
      </c>
      <c r="AR302">
        <v>34.475083052975087</v>
      </c>
      <c r="AS302">
        <v>329.25601990866198</v>
      </c>
      <c r="AT302">
        <v>27.590658843652847</v>
      </c>
      <c r="AU302">
        <v>49.184684785498646</v>
      </c>
      <c r="AV302"/>
      <c r="AW302"/>
      <c r="FY302" s="211">
        <v>297</v>
      </c>
      <c r="FZ302">
        <v>39.2219402370526</v>
      </c>
      <c r="GA302">
        <v>65.562290981197862</v>
      </c>
      <c r="GB302">
        <v>25.343895429573667</v>
      </c>
      <c r="GC302">
        <v>11.061889545319856</v>
      </c>
      <c r="GD302">
        <v>5.9797815152789919</v>
      </c>
      <c r="GE302">
        <v>8.1947464528656848</v>
      </c>
      <c r="GF302">
        <v>23.754125623676668</v>
      </c>
      <c r="GG302">
        <v>18.420203574161906</v>
      </c>
      <c r="GH302">
        <v>12.614235591451385</v>
      </c>
      <c r="GI302">
        <v>22.398647579085708</v>
      </c>
      <c r="GJ302"/>
      <c r="GK302">
        <v>42.367770677877246</v>
      </c>
      <c r="GL302">
        <v>60.277580682799623</v>
      </c>
      <c r="GM302">
        <v>44.89844616772141</v>
      </c>
      <c r="GN302">
        <v>36.516472549517331</v>
      </c>
      <c r="GO302">
        <v>26.002279459607884</v>
      </c>
      <c r="GP302">
        <v>17.582856687517484</v>
      </c>
      <c r="GQ302">
        <v>32.004351263541928</v>
      </c>
      <c r="GR302">
        <v>27.706319628815432</v>
      </c>
      <c r="GS302">
        <v>14.815420574102426</v>
      </c>
      <c r="GT302">
        <v>32.01765362857018</v>
      </c>
      <c r="GU302"/>
      <c r="GV302"/>
      <c r="GW302"/>
      <c r="GX302"/>
      <c r="GY302"/>
      <c r="GZ302"/>
      <c r="HA302"/>
      <c r="HB302"/>
      <c r="HC302"/>
    </row>
    <row r="303" spans="1:211" s="7" customFormat="1">
      <c r="A303" s="1"/>
      <c r="B303">
        <v>0.11703823392498958</v>
      </c>
      <c r="C303">
        <v>5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59.658733974358974</v>
      </c>
      <c r="AO303">
        <v>49.484806780382591</v>
      </c>
      <c r="AP303">
        <v>57.205614918358023</v>
      </c>
      <c r="AQ303">
        <v>339.09120290850439</v>
      </c>
      <c r="AR303">
        <v>47.380544834661997</v>
      </c>
      <c r="AS303">
        <v>450.99904220146499</v>
      </c>
      <c r="AT303">
        <v>36.775143954549513</v>
      </c>
      <c r="AU303">
        <v>14.671254259810969</v>
      </c>
      <c r="AV303"/>
      <c r="AW303"/>
      <c r="FY303" s="211">
        <v>298</v>
      </c>
      <c r="FZ303">
        <v>38.22562238600927</v>
      </c>
      <c r="GA303">
        <v>54.204316289740611</v>
      </c>
      <c r="GB303">
        <v>19.619463352719801</v>
      </c>
      <c r="GC303">
        <v>11.728966014635592</v>
      </c>
      <c r="GD303">
        <v>9.5135996387668413</v>
      </c>
      <c r="GE303">
        <v>11.976937123419081</v>
      </c>
      <c r="GF303">
        <v>29.844251061045487</v>
      </c>
      <c r="GG303">
        <v>28.291543438264053</v>
      </c>
      <c r="GH303">
        <v>13.255650694949278</v>
      </c>
      <c r="GI303">
        <v>24.301451444715635</v>
      </c>
      <c r="GJ303"/>
      <c r="GK303">
        <v>39.530671859539993</v>
      </c>
      <c r="GL303">
        <v>47.903516219769848</v>
      </c>
      <c r="GM303">
        <v>34.75722276512294</v>
      </c>
      <c r="GN303">
        <v>38.727400954108433</v>
      </c>
      <c r="GO303">
        <v>41.390103959856035</v>
      </c>
      <c r="GP303">
        <v>25.698021312525558</v>
      </c>
      <c r="GQ303">
        <v>40.209684384383415</v>
      </c>
      <c r="GR303">
        <v>42.554065276052413</v>
      </c>
      <c r="GS303">
        <v>14.847745647236987</v>
      </c>
      <c r="GT303">
        <v>34.147085723227875</v>
      </c>
      <c r="GU303"/>
      <c r="GV303"/>
      <c r="GW303"/>
      <c r="GX303"/>
      <c r="GY303"/>
      <c r="GZ303"/>
      <c r="HA303"/>
      <c r="HB303"/>
      <c r="HC303"/>
    </row>
    <row r="304" spans="1:211" s="7" customFormat="1">
      <c r="A304" s="1"/>
      <c r="B304">
        <v>0.84594568955620275</v>
      </c>
      <c r="C304">
        <v>5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50.314743589743578</v>
      </c>
      <c r="AO304">
        <v>37.41698147802439</v>
      </c>
      <c r="AP304">
        <v>16.598954339908275</v>
      </c>
      <c r="AQ304">
        <v>267.08868715957766</v>
      </c>
      <c r="AR304">
        <v>36.181440729694785</v>
      </c>
      <c r="AS304">
        <v>361.69654235452191</v>
      </c>
      <c r="AT304">
        <v>29.309224191714218</v>
      </c>
      <c r="AU304">
        <v>49.395523889251479</v>
      </c>
      <c r="AV304"/>
      <c r="AW304"/>
      <c r="FY304" s="211">
        <v>299</v>
      </c>
      <c r="FZ304">
        <v>57.136091686666354</v>
      </c>
      <c r="GA304">
        <v>85.899962672291423</v>
      </c>
      <c r="GB304">
        <v>27.348950447736147</v>
      </c>
      <c r="GC304">
        <v>11.352139485052559</v>
      </c>
      <c r="GD304">
        <v>8.6088743753317782</v>
      </c>
      <c r="GE304">
        <v>11.822847873878009</v>
      </c>
      <c r="GF304">
        <v>22.594101730844503</v>
      </c>
      <c r="GG304">
        <v>17.640887269101214</v>
      </c>
      <c r="GH304">
        <v>12.963068504476368</v>
      </c>
      <c r="GI304">
        <v>27.003959283404832</v>
      </c>
      <c r="GJ304"/>
      <c r="GK304">
        <v>60.891529740634255</v>
      </c>
      <c r="GL304">
        <v>78.251167518928611</v>
      </c>
      <c r="GM304">
        <v>48.450538427825961</v>
      </c>
      <c r="GN304">
        <v>37.482802473741032</v>
      </c>
      <c r="GO304">
        <v>37.452746308463226</v>
      </c>
      <c r="GP304">
        <v>25.367403494469659</v>
      </c>
      <c r="GQ304">
        <v>30.441430669095926</v>
      </c>
      <c r="GR304">
        <v>26.534129182980934</v>
      </c>
      <c r="GS304">
        <v>15.206150722713929</v>
      </c>
      <c r="GT304">
        <v>38.488479173746654</v>
      </c>
      <c r="GU304"/>
      <c r="GV304"/>
      <c r="GW304"/>
      <c r="GX304"/>
      <c r="GY304"/>
      <c r="GZ304"/>
      <c r="HA304"/>
      <c r="HB304"/>
      <c r="HC304"/>
    </row>
    <row r="305" spans="1:211" s="7" customFormat="1">
      <c r="A305" s="1"/>
      <c r="B305">
        <v>0.89402676195370323</v>
      </c>
      <c r="C305">
        <v>2</v>
      </c>
      <c r="D305">
        <v>39910</v>
      </c>
      <c r="E305">
        <v>0</v>
      </c>
      <c r="F305">
        <v>0</v>
      </c>
      <c r="G305">
        <v>0</v>
      </c>
      <c r="H305">
        <v>20.833333333333332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51.999572649572656</v>
      </c>
      <c r="AO305">
        <v>39.141161204689794</v>
      </c>
      <c r="AP305">
        <v>13.476455208167827</v>
      </c>
      <c r="AQ305">
        <v>263.64127020290783</v>
      </c>
      <c r="AR305">
        <v>38.004015060784013</v>
      </c>
      <c r="AS305">
        <v>366.79421290131899</v>
      </c>
      <c r="AT305">
        <v>30.9287696278863</v>
      </c>
      <c r="AU305">
        <v>32.15556430802264</v>
      </c>
      <c r="AV305"/>
      <c r="AW305"/>
      <c r="FY305" s="211">
        <v>300</v>
      </c>
      <c r="FZ305">
        <v>54.988234844979232</v>
      </c>
      <c r="GA305">
        <v>82.225745244244706</v>
      </c>
      <c r="GB305">
        <v>22.927804132687889</v>
      </c>
      <c r="GC305">
        <v>11.923991446701672</v>
      </c>
      <c r="GD305">
        <v>9.7653182727117631</v>
      </c>
      <c r="GE305">
        <v>11.762146048301231</v>
      </c>
      <c r="GF305">
        <v>33.49129587563143</v>
      </c>
      <c r="GG305">
        <v>29.307016199403751</v>
      </c>
      <c r="GH305">
        <v>11.860319042849353</v>
      </c>
      <c r="GI305">
        <v>28.129306640484923</v>
      </c>
      <c r="GJ305"/>
      <c r="GK305">
        <v>60.467164546294448</v>
      </c>
      <c r="GL305">
        <v>77.340406929167358</v>
      </c>
      <c r="GM305">
        <v>40.618174994295437</v>
      </c>
      <c r="GN305">
        <v>39.367699018365549</v>
      </c>
      <c r="GO305">
        <v>42.481244503280259</v>
      </c>
      <c r="GP305">
        <v>25.23716011159917</v>
      </c>
      <c r="GQ305">
        <v>45.123412010861365</v>
      </c>
      <c r="GR305">
        <v>44.081464947897366</v>
      </c>
      <c r="GS305">
        <v>13.284825052790989</v>
      </c>
      <c r="GT305">
        <v>40.394964221504502</v>
      </c>
      <c r="GU305"/>
      <c r="GV305"/>
      <c r="GW305"/>
      <c r="GX305"/>
      <c r="GY305"/>
      <c r="GZ305"/>
      <c r="HA305"/>
      <c r="HB305"/>
      <c r="HC305"/>
    </row>
    <row r="306" spans="1:211" s="7" customFormat="1">
      <c r="A306" s="1"/>
      <c r="B306">
        <v>0.84033281497272316</v>
      </c>
      <c r="C306">
        <v>5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52.364690170940165</v>
      </c>
      <c r="AO306">
        <v>42.264620100534941</v>
      </c>
      <c r="AP306">
        <v>45.767880948777609</v>
      </c>
      <c r="AQ306">
        <v>281.39936165126551</v>
      </c>
      <c r="AR306">
        <v>40.404982425225825</v>
      </c>
      <c r="AS306">
        <v>392.11980588534095</v>
      </c>
      <c r="AT306">
        <v>31.455983852795644</v>
      </c>
      <c r="AU306">
        <v>25.121731297613699</v>
      </c>
      <c r="AV306"/>
      <c r="AW306"/>
      <c r="FY306" s="211">
        <v>301</v>
      </c>
      <c r="FZ306">
        <v>37.557316350205738</v>
      </c>
      <c r="GA306">
        <v>61.45513837091309</v>
      </c>
      <c r="GB306">
        <v>29.544485692624054</v>
      </c>
      <c r="GC306">
        <v>15.293657307293289</v>
      </c>
      <c r="GD306">
        <v>6.8526288112839957</v>
      </c>
      <c r="GE306">
        <v>10.076503045745952</v>
      </c>
      <c r="GF306">
        <v>23.824430102030128</v>
      </c>
      <c r="GG306">
        <v>15.019550606624321</v>
      </c>
      <c r="GH306">
        <v>10.464987390749428</v>
      </c>
      <c r="GI306">
        <v>23.458486468175675</v>
      </c>
      <c r="GJ306"/>
      <c r="GK306">
        <v>38.841726790554986</v>
      </c>
      <c r="GL306">
        <v>54.311490656998444</v>
      </c>
      <c r="GM306">
        <v>52.340079452640438</v>
      </c>
      <c r="GN306">
        <v>50.50485311402192</v>
      </c>
      <c r="GO306">
        <v>29.813915698912965</v>
      </c>
      <c r="GP306">
        <v>21.62040155650298</v>
      </c>
      <c r="GQ306">
        <v>32.099073723811379</v>
      </c>
      <c r="GR306">
        <v>22.591306774264883</v>
      </c>
      <c r="GS306">
        <v>11.721904458344989</v>
      </c>
      <c r="GT306">
        <v>32.963340024852947</v>
      </c>
      <c r="GU306"/>
      <c r="GV306"/>
      <c r="GW306"/>
      <c r="GX306"/>
      <c r="GY306"/>
      <c r="GZ306"/>
      <c r="HA306"/>
      <c r="HB306"/>
      <c r="HC306"/>
    </row>
    <row r="307" spans="1:211" s="7" customFormat="1">
      <c r="A307" s="1"/>
      <c r="B307">
        <v>0.59257804912611856</v>
      </c>
      <c r="C307">
        <v>1</v>
      </c>
      <c r="D307">
        <v>39910</v>
      </c>
      <c r="E307">
        <v>0</v>
      </c>
      <c r="F307">
        <v>0</v>
      </c>
      <c r="G307">
        <v>0</v>
      </c>
      <c r="H307">
        <v>72.916666666666671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56.477003205128199</v>
      </c>
      <c r="AO307">
        <v>43.773747856897153</v>
      </c>
      <c r="AP307">
        <v>29.775572235462597</v>
      </c>
      <c r="AQ307">
        <v>309.31284633813033</v>
      </c>
      <c r="AR307">
        <v>42.063983076872844</v>
      </c>
      <c r="AS307">
        <v>400.83830595618616</v>
      </c>
      <c r="AT307">
        <v>33.544782864495723</v>
      </c>
      <c r="AU307">
        <v>40.091679377732603</v>
      </c>
      <c r="AV307"/>
      <c r="AW307"/>
      <c r="FY307" s="211">
        <v>302</v>
      </c>
      <c r="FZ307">
        <v>66.863355423388938</v>
      </c>
      <c r="GA307">
        <v>68.864433540349751</v>
      </c>
      <c r="GB307">
        <v>18.306152315823386</v>
      </c>
      <c r="GC307">
        <v>12.414707004252348</v>
      </c>
      <c r="GD307">
        <v>7.5299792630541438</v>
      </c>
      <c r="GE307">
        <v>12.247760652915492</v>
      </c>
      <c r="GF307">
        <v>26.434483860902478</v>
      </c>
      <c r="GG307">
        <v>16.837955318432613</v>
      </c>
      <c r="GH307">
        <v>13.716985053078405</v>
      </c>
      <c r="GI307">
        <v>26.204554250948817</v>
      </c>
      <c r="GJ307"/>
      <c r="GK307">
        <v>76.352903698130746</v>
      </c>
      <c r="GL307">
        <v>70.204955728528518</v>
      </c>
      <c r="GM307">
        <v>32.430602334754468</v>
      </c>
      <c r="GN307">
        <v>40.988454961149138</v>
      </c>
      <c r="GO307">
        <v>32.753065675029845</v>
      </c>
      <c r="GP307">
        <v>26.279107174563165</v>
      </c>
      <c r="GQ307">
        <v>35.615645061314872</v>
      </c>
      <c r="GR307">
        <v>25.326417814545383</v>
      </c>
      <c r="GS307">
        <v>16.736746244025369</v>
      </c>
      <c r="GT307">
        <v>38.777792602651061</v>
      </c>
      <c r="GU307"/>
      <c r="GV307"/>
      <c r="GW307"/>
      <c r="GX307"/>
      <c r="GY307"/>
      <c r="GZ307"/>
      <c r="HA307"/>
      <c r="HB307"/>
      <c r="HC307"/>
    </row>
    <row r="308" spans="1:211" s="7" customFormat="1">
      <c r="A308" s="1"/>
      <c r="B308">
        <v>0.4224172097792227</v>
      </c>
      <c r="C308">
        <v>7</v>
      </c>
      <c r="D308">
        <v>39949</v>
      </c>
      <c r="E308">
        <v>0</v>
      </c>
      <c r="F308">
        <v>0</v>
      </c>
      <c r="G308">
        <v>0</v>
      </c>
      <c r="H308">
        <v>72.916666666666671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48.881116452991456</v>
      </c>
      <c r="AO308">
        <v>39.650336158364063</v>
      </c>
      <c r="AP308">
        <v>29.112070948047872</v>
      </c>
      <c r="AQ308">
        <v>274.11460889666739</v>
      </c>
      <c r="AR308">
        <v>37.472394941755205</v>
      </c>
      <c r="AS308">
        <v>329.81647018273941</v>
      </c>
      <c r="AT308">
        <v>29.444671469620165</v>
      </c>
      <c r="AU308">
        <v>13.348004412484515</v>
      </c>
      <c r="AV308"/>
      <c r="AW308"/>
      <c r="FY308" s="211">
        <v>303</v>
      </c>
      <c r="FZ308">
        <v>23.042943441079078</v>
      </c>
      <c r="GA308">
        <v>66.318494644870242</v>
      </c>
      <c r="GB308">
        <v>30.877847279702092</v>
      </c>
      <c r="GC308">
        <v>10.919684384511555</v>
      </c>
      <c r="GD308">
        <v>7.9214310135423487</v>
      </c>
      <c r="GE308">
        <v>10.426705885612007</v>
      </c>
      <c r="GF308">
        <v>13.726949398513854</v>
      </c>
      <c r="GG308">
        <v>6.7540746438593651</v>
      </c>
      <c r="GH308">
        <v>10.926321748878554</v>
      </c>
      <c r="GI308">
        <v>20.497688810134459</v>
      </c>
      <c r="GJ308"/>
      <c r="GK308">
        <v>23.834539065301477</v>
      </c>
      <c r="GL308">
        <v>58.609522291724943</v>
      </c>
      <c r="GM308">
        <v>54.70222080560994</v>
      </c>
      <c r="GN308">
        <v>36.058311733599311</v>
      </c>
      <c r="GO308">
        <v>34.4653349738755</v>
      </c>
      <c r="GP308">
        <v>22.371805688448173</v>
      </c>
      <c r="GQ308">
        <v>18.494560367610983</v>
      </c>
      <c r="GR308">
        <v>10.158983863898989</v>
      </c>
      <c r="GS308">
        <v>13.610905055133371</v>
      </c>
      <c r="GT308">
        <v>29.021512053506264</v>
      </c>
      <c r="GU308"/>
      <c r="GV308"/>
      <c r="GW308"/>
      <c r="GX308"/>
      <c r="GY308"/>
      <c r="GZ308"/>
      <c r="HA308"/>
      <c r="HB308"/>
      <c r="HC308"/>
    </row>
    <row r="309" spans="1:211" s="7" customFormat="1">
      <c r="A309" s="1"/>
      <c r="B309">
        <v>0.2000943223564855</v>
      </c>
      <c r="C309">
        <v>1</v>
      </c>
      <c r="D309">
        <v>39949</v>
      </c>
      <c r="E309">
        <v>0</v>
      </c>
      <c r="F309">
        <v>0</v>
      </c>
      <c r="G309">
        <v>0</v>
      </c>
      <c r="H309">
        <v>10.416666666666666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47.509241452991446</v>
      </c>
      <c r="AO309">
        <v>35.325741783778973</v>
      </c>
      <c r="AP309">
        <v>1.9575942970344391</v>
      </c>
      <c r="AQ309">
        <v>244.01117208094632</v>
      </c>
      <c r="AR309">
        <v>33.641710384371301</v>
      </c>
      <c r="AS309">
        <v>311.58328034431543</v>
      </c>
      <c r="AT309">
        <v>27.768789007621379</v>
      </c>
      <c r="AU309">
        <v>14.110308218417803</v>
      </c>
      <c r="AV309"/>
      <c r="AW309"/>
      <c r="FY309" s="211">
        <v>304</v>
      </c>
      <c r="FZ309">
        <v>55.139336113445324</v>
      </c>
      <c r="GA309">
        <v>89.918690623049656</v>
      </c>
      <c r="GB309">
        <v>37.925615668543195</v>
      </c>
      <c r="GC309">
        <v>14.270010532079667</v>
      </c>
      <c r="GD309">
        <v>7.6853808813736659</v>
      </c>
      <c r="GE309">
        <v>11.458636920417316</v>
      </c>
      <c r="GF309">
        <v>35.090722758172738</v>
      </c>
      <c r="GG309">
        <v>25.71743806700297</v>
      </c>
      <c r="GH309">
        <v>9.8798230098036122</v>
      </c>
      <c r="GI309">
        <v>30.675408995383279</v>
      </c>
      <c r="GJ309"/>
      <c r="GK309">
        <v>60.623456605739051</v>
      </c>
      <c r="GL309">
        <v>84.139111515007471</v>
      </c>
      <c r="GM309">
        <v>67.187825099877415</v>
      </c>
      <c r="GN309">
        <v>47.108549095834</v>
      </c>
      <c r="GO309">
        <v>33.420698190454225</v>
      </c>
      <c r="GP309">
        <v>24.585943197246667</v>
      </c>
      <c r="GQ309">
        <v>47.278347981991452</v>
      </c>
      <c r="GR309">
        <v>38.682284712538461</v>
      </c>
      <c r="GS309">
        <v>12.438714609298874</v>
      </c>
      <c r="GT309">
        <v>44.1898084974722</v>
      </c>
      <c r="GU309"/>
      <c r="GV309"/>
      <c r="GW309"/>
      <c r="GX309"/>
      <c r="GY309"/>
      <c r="GZ309"/>
      <c r="HA309"/>
      <c r="HB309"/>
      <c r="HC309"/>
    </row>
    <row r="310" spans="1:211" s="7" customFormat="1">
      <c r="A310" s="1"/>
      <c r="B310">
        <v>0.7730767784974315</v>
      </c>
      <c r="C310">
        <v>7</v>
      </c>
      <c r="D310">
        <v>39949</v>
      </c>
      <c r="E310">
        <v>0</v>
      </c>
      <c r="F310">
        <v>0</v>
      </c>
      <c r="G310">
        <v>0</v>
      </c>
      <c r="H310">
        <v>72.916666666666671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54.993108974358975</v>
      </c>
      <c r="AO310">
        <v>47.590191053996513</v>
      </c>
      <c r="AP310">
        <v>87.663550700039053</v>
      </c>
      <c r="AQ310">
        <v>331.0220766754918</v>
      </c>
      <c r="AR310">
        <v>45.90387471677883</v>
      </c>
      <c r="AS310">
        <v>397.37127920468822</v>
      </c>
      <c r="AT310">
        <v>34.657873369108266</v>
      </c>
      <c r="AU310">
        <v>43.053066720986273</v>
      </c>
      <c r="AV310"/>
      <c r="AW310"/>
      <c r="FY310" s="211">
        <v>305</v>
      </c>
      <c r="FZ310">
        <v>57.981308269243584</v>
      </c>
      <c r="GA310">
        <v>74.974923163072219</v>
      </c>
      <c r="GB310">
        <v>22.386439277784017</v>
      </c>
      <c r="GC310">
        <v>13.348380881254654</v>
      </c>
      <c r="GD310">
        <v>10.168537187697043</v>
      </c>
      <c r="GE310">
        <v>11.640742397147665</v>
      </c>
      <c r="GF310">
        <v>19.140394231730586</v>
      </c>
      <c r="GG310">
        <v>15.586326101213924</v>
      </c>
      <c r="GH310">
        <v>10.46498739074943</v>
      </c>
      <c r="GI310">
        <v>25.709881157413086</v>
      </c>
      <c r="GJ310"/>
      <c r="GK310">
        <v>63.572336499526891</v>
      </c>
      <c r="GL310">
        <v>70.932432491938769</v>
      </c>
      <c r="GM310">
        <v>39.659110084067208</v>
      </c>
      <c r="GN310">
        <v>44.083752594666471</v>
      </c>
      <c r="GO310">
        <v>44.249061503694413</v>
      </c>
      <c r="GP310">
        <v>24.97667334585817</v>
      </c>
      <c r="GQ310">
        <v>25.788189808358975</v>
      </c>
      <c r="GR310">
        <v>23.443808916689981</v>
      </c>
      <c r="GS310">
        <v>11.721904458344991</v>
      </c>
      <c r="GT310">
        <v>36.998120470798497</v>
      </c>
      <c r="GU310"/>
      <c r="GV310"/>
      <c r="GW310"/>
      <c r="GX310"/>
      <c r="GY310"/>
      <c r="GZ310"/>
      <c r="HA310"/>
      <c r="HB310"/>
      <c r="HC310"/>
    </row>
    <row r="311" spans="1:211" s="7" customFormat="1">
      <c r="A311" s="1"/>
      <c r="B311">
        <v>0.71387050194598034</v>
      </c>
      <c r="C311">
        <v>10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49.756810897435898</v>
      </c>
      <c r="AO311">
        <v>37.169762980944064</v>
      </c>
      <c r="AP311">
        <v>1.1126135648713258</v>
      </c>
      <c r="AQ311">
        <v>263.83902966872984</v>
      </c>
      <c r="AR311">
        <v>36.064032665506971</v>
      </c>
      <c r="AS311">
        <v>357.63503833465484</v>
      </c>
      <c r="AT311">
        <v>29.912163985222566</v>
      </c>
      <c r="AU311">
        <v>26.323601917614717</v>
      </c>
      <c r="AV311"/>
      <c r="AW311"/>
      <c r="FY311" s="211">
        <v>306</v>
      </c>
      <c r="FZ311">
        <v>51.870358032748626</v>
      </c>
      <c r="GA311">
        <v>79.130882160817407</v>
      </c>
      <c r="GB311">
        <v>28.231174655727628</v>
      </c>
      <c r="GC311">
        <v>11.793206015465628</v>
      </c>
      <c r="GD311">
        <v>6.6164167804581391</v>
      </c>
      <c r="GE311">
        <v>10.744223127090564</v>
      </c>
      <c r="GF311">
        <v>21.724083811220389</v>
      </c>
      <c r="GG311">
        <v>14.263849947171526</v>
      </c>
      <c r="GH311">
        <v>12.557984868899313</v>
      </c>
      <c r="GI311">
        <v>24.91138985638597</v>
      </c>
      <c r="GJ311"/>
      <c r="GK311">
        <v>57.245658110592522</v>
      </c>
      <c r="GL311">
        <v>74.605295888886857</v>
      </c>
      <c r="GM311">
        <v>50.013459022271945</v>
      </c>
      <c r="GN311">
        <v>38.931895286388418</v>
      </c>
      <c r="GO311">
        <v>28.772911422489422</v>
      </c>
      <c r="GP311">
        <v>23.053078768078478</v>
      </c>
      <c r="GQ311">
        <v>29.269240223261427</v>
      </c>
      <c r="GR311">
        <v>21.454637251031432</v>
      </c>
      <c r="GS311">
        <v>14.066285350013986</v>
      </c>
      <c r="GT311">
        <v>35.873510825725866</v>
      </c>
      <c r="GU311"/>
      <c r="GV311"/>
      <c r="GW311"/>
      <c r="GX311"/>
      <c r="GY311"/>
      <c r="GZ311"/>
      <c r="HA311"/>
      <c r="HB311"/>
      <c r="HC311"/>
    </row>
    <row r="312" spans="1:211" s="7" customFormat="1">
      <c r="A312" s="1"/>
      <c r="B312">
        <v>0.94874486595637575</v>
      </c>
      <c r="C312">
        <v>9</v>
      </c>
      <c r="D312">
        <v>39949</v>
      </c>
      <c r="E312">
        <v>0</v>
      </c>
      <c r="F312">
        <v>0</v>
      </c>
      <c r="G312">
        <v>0</v>
      </c>
      <c r="H312">
        <v>20.833333333333332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47.802884615384613</v>
      </c>
      <c r="AO312">
        <v>38.791206758343051</v>
      </c>
      <c r="AP312">
        <v>32.824742871138071</v>
      </c>
      <c r="AQ312">
        <v>284.1468090836222</v>
      </c>
      <c r="AR312">
        <v>37.303920739300224</v>
      </c>
      <c r="AS312">
        <v>353.3855705501615</v>
      </c>
      <c r="AT312">
        <v>29.171481770166967</v>
      </c>
      <c r="AU312">
        <v>26.174148371372802</v>
      </c>
      <c r="AV312"/>
      <c r="AW312"/>
      <c r="FY312" s="211">
        <v>307</v>
      </c>
      <c r="FZ312">
        <v>52.25773954468017</v>
      </c>
      <c r="GA312">
        <v>78.697946978579381</v>
      </c>
      <c r="GB312">
        <v>28.541958183542814</v>
      </c>
      <c r="GC312">
        <v>15.586176188657721</v>
      </c>
      <c r="GD312">
        <v>10.079383136754794</v>
      </c>
      <c r="GE312">
        <v>9.0912657229227847</v>
      </c>
      <c r="GF312">
        <v>23.095021139112934</v>
      </c>
      <c r="GG312">
        <v>18.609128739025106</v>
      </c>
      <c r="GH312">
        <v>8.3719899125995436</v>
      </c>
      <c r="GI312">
        <v>26.895251407075953</v>
      </c>
      <c r="GJ312"/>
      <c r="GK312">
        <v>54.048314170800175</v>
      </c>
      <c r="GL312">
        <v>69.549966452846945</v>
      </c>
      <c r="GM312">
        <v>50.564033322588159</v>
      </c>
      <c r="GN312">
        <v>51.474836874345534</v>
      </c>
      <c r="GO312">
        <v>43.86106373374453</v>
      </c>
      <c r="GP312">
        <v>19.506451265297173</v>
      </c>
      <c r="GQ312">
        <v>31.116328198515781</v>
      </c>
      <c r="GR312">
        <v>27.990487009623788</v>
      </c>
      <c r="GS312">
        <v>9.3775235666759915</v>
      </c>
      <c r="GT312">
        <v>37.793452598464931</v>
      </c>
      <c r="GU312"/>
      <c r="GV312"/>
      <c r="GW312"/>
      <c r="GX312"/>
      <c r="GY312"/>
      <c r="GZ312"/>
      <c r="HA312"/>
      <c r="HB312"/>
      <c r="HC312"/>
    </row>
    <row r="313" spans="1:211" s="7" customFormat="1">
      <c r="A313" s="1"/>
      <c r="B313">
        <v>4.8931494605511716E-2</v>
      </c>
      <c r="C313">
        <v>10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42.626442307692308</v>
      </c>
      <c r="AO313">
        <v>33.418915132007093</v>
      </c>
      <c r="AP313">
        <v>22.342540877406002</v>
      </c>
      <c r="AQ313">
        <v>232.55175652966432</v>
      </c>
      <c r="AR313">
        <v>32.017653628570152</v>
      </c>
      <c r="AS313">
        <v>316.34470721739081</v>
      </c>
      <c r="AT313">
        <v>25.335390657474914</v>
      </c>
      <c r="AU313">
        <v>19.451145730298911</v>
      </c>
      <c r="AV313"/>
      <c r="AW313"/>
      <c r="FY313" s="211">
        <v>308</v>
      </c>
      <c r="FZ313">
        <v>26.896025786964437</v>
      </c>
      <c r="GA313">
        <v>63.754179518601923</v>
      </c>
      <c r="GB313">
        <v>31.318959383697837</v>
      </c>
      <c r="GC313">
        <v>13.854263258510464</v>
      </c>
      <c r="GD313">
        <v>10.956483201306341</v>
      </c>
      <c r="GE313">
        <v>11.155127792533403</v>
      </c>
      <c r="GF313">
        <v>28.780895825949344</v>
      </c>
      <c r="GG313">
        <v>24.13518981127368</v>
      </c>
      <c r="GH313">
        <v>9.8235722872515403</v>
      </c>
      <c r="GI313">
        <v>25.746984034116252</v>
      </c>
      <c r="GJ313"/>
      <c r="GK313">
        <v>27.819986581138775</v>
      </c>
      <c r="GL313">
        <v>56.343287429778236</v>
      </c>
      <c r="GM313">
        <v>55.483681102832946</v>
      </c>
      <c r="GN313">
        <v>45.754602146246413</v>
      </c>
      <c r="GO313">
        <v>47.678196724026101</v>
      </c>
      <c r="GP313">
        <v>23.934726282894168</v>
      </c>
      <c r="GQ313">
        <v>38.77700717280792</v>
      </c>
      <c r="GR313">
        <v>36.302382898268419</v>
      </c>
      <c r="GS313">
        <v>11.689579385210433</v>
      </c>
      <c r="GT313">
        <v>36.289690193203242</v>
      </c>
      <c r="GU313"/>
      <c r="GV313"/>
      <c r="GW313"/>
      <c r="GX313"/>
      <c r="GY313"/>
      <c r="GZ313"/>
      <c r="HA313"/>
      <c r="HB313"/>
      <c r="HC313"/>
    </row>
    <row r="314" spans="1:211" s="7" customFormat="1">
      <c r="A314" s="1"/>
      <c r="B314">
        <v>0.19930822749883026</v>
      </c>
      <c r="C314">
        <v>5</v>
      </c>
      <c r="D314">
        <v>39949</v>
      </c>
      <c r="E314">
        <v>0</v>
      </c>
      <c r="F314">
        <v>0</v>
      </c>
      <c r="G314">
        <v>0</v>
      </c>
      <c r="H314">
        <v>10.416666666666666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48.673317307692315</v>
      </c>
      <c r="AO314">
        <v>35.976551810182357</v>
      </c>
      <c r="AP314">
        <v>9.6000351743984051</v>
      </c>
      <c r="AQ314">
        <v>240.96180144426566</v>
      </c>
      <c r="AR314">
        <v>34.147085723227889</v>
      </c>
      <c r="AS314">
        <v>329.80370321644375</v>
      </c>
      <c r="AT314">
        <v>27.872540842326416</v>
      </c>
      <c r="AU314">
        <v>28.798420628422129</v>
      </c>
      <c r="AV314"/>
      <c r="AW314"/>
      <c r="FY314" s="211">
        <v>309</v>
      </c>
      <c r="FZ314">
        <v>34.230089908039631</v>
      </c>
      <c r="GA314">
        <v>52.435823099210737</v>
      </c>
      <c r="GB314">
        <v>27.228647146646395</v>
      </c>
      <c r="GC314">
        <v>14.79941972385056</v>
      </c>
      <c r="GD314">
        <v>8.3941512385553771</v>
      </c>
      <c r="GE314">
        <v>10.230592295287016</v>
      </c>
      <c r="GF314">
        <v>25.327188326835422</v>
      </c>
      <c r="GG314">
        <v>18.184047118082905</v>
      </c>
      <c r="GH314">
        <v>13.255650694949278</v>
      </c>
      <c r="GI314">
        <v>24.072434031970058</v>
      </c>
      <c r="GJ314"/>
      <c r="GK314">
        <v>35.392082302830033</v>
      </c>
      <c r="GL314">
        <v>46.34059562532385</v>
      </c>
      <c r="GM314">
        <v>48.23741289221968</v>
      </c>
      <c r="GN314">
        <v>48.868624356706903</v>
      </c>
      <c r="GO314">
        <v>36.518272806189565</v>
      </c>
      <c r="GP314">
        <v>21.951019374558864</v>
      </c>
      <c r="GQ314">
        <v>34.12376631207097</v>
      </c>
      <c r="GR314">
        <v>27.35111040280497</v>
      </c>
      <c r="GS314">
        <v>14.847745647236987</v>
      </c>
      <c r="GT314">
        <v>33.823855992109443</v>
      </c>
      <c r="GU314"/>
      <c r="GV314"/>
      <c r="GW314"/>
      <c r="GX314"/>
      <c r="GY314"/>
      <c r="GZ314"/>
      <c r="HA314"/>
      <c r="HB314"/>
      <c r="HC314"/>
    </row>
    <row r="315" spans="1:211" s="7" customFormat="1">
      <c r="A315" s="1"/>
      <c r="B315">
        <v>0.47776687938409612</v>
      </c>
      <c r="C315">
        <v>1</v>
      </c>
      <c r="D315">
        <v>39949</v>
      </c>
      <c r="E315">
        <v>0</v>
      </c>
      <c r="F315">
        <v>0</v>
      </c>
      <c r="G315">
        <v>0</v>
      </c>
      <c r="H315">
        <v>10.416666666666666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51.28429487179487</v>
      </c>
      <c r="AO315">
        <v>39.856637771260026</v>
      </c>
      <c r="AP315">
        <v>25.861486857824264</v>
      </c>
      <c r="AQ315">
        <v>282.37088332878318</v>
      </c>
      <c r="AR315">
        <v>38.488479173746676</v>
      </c>
      <c r="AS315">
        <v>353.81453441283986</v>
      </c>
      <c r="AT315">
        <v>30.554235136603129</v>
      </c>
      <c r="AU315">
        <v>35.196410517340745</v>
      </c>
      <c r="AV315"/>
      <c r="AW315"/>
      <c r="FY315" s="211">
        <v>310</v>
      </c>
      <c r="FZ315">
        <v>48.447768749866036</v>
      </c>
      <c r="GA315">
        <v>77.499620017274481</v>
      </c>
      <c r="GB315">
        <v>30.657291227704224</v>
      </c>
      <c r="GC315">
        <v>12.915212054521799</v>
      </c>
      <c r="GD315">
        <v>8.3587352295595423</v>
      </c>
      <c r="GE315">
        <v>14.979342803870722</v>
      </c>
      <c r="GF315">
        <v>43.861206432767375</v>
      </c>
      <c r="GG315">
        <v>30.369720251759247</v>
      </c>
      <c r="GH315">
        <v>10.870071026326483</v>
      </c>
      <c r="GI315">
        <v>30.14811240281561</v>
      </c>
      <c r="GJ315"/>
      <c r="GK315">
        <v>51.904736322569761</v>
      </c>
      <c r="GL315">
        <v>70.827294695310087</v>
      </c>
      <c r="GM315">
        <v>54.311490656998444</v>
      </c>
      <c r="GN315">
        <v>42.641544051428568</v>
      </c>
      <c r="GO315">
        <v>36.359805508366762</v>
      </c>
      <c r="GP315">
        <v>32.140059403735663</v>
      </c>
      <c r="GQ315">
        <v>59.094974900605898</v>
      </c>
      <c r="GR315">
        <v>45.679906464944409</v>
      </c>
      <c r="GS315">
        <v>12.861769831044931</v>
      </c>
      <c r="GT315">
        <v>42.906555443917163</v>
      </c>
      <c r="GU315"/>
      <c r="GV315"/>
      <c r="GW315"/>
      <c r="GX315"/>
      <c r="GY315"/>
      <c r="GZ315"/>
      <c r="HA315"/>
      <c r="HB315"/>
      <c r="HC315"/>
    </row>
    <row r="316" spans="1:211" s="7" customFormat="1">
      <c r="A316" s="1"/>
      <c r="B316">
        <v>0.12806791042180876</v>
      </c>
      <c r="C316">
        <v>8</v>
      </c>
      <c r="D316">
        <v>39949</v>
      </c>
      <c r="E316">
        <v>0</v>
      </c>
      <c r="F316">
        <v>0</v>
      </c>
      <c r="G316">
        <v>0</v>
      </c>
      <c r="H316">
        <v>41.666666666666664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53.591586538461534</v>
      </c>
      <c r="AO316">
        <v>42.839651633605641</v>
      </c>
      <c r="AP316">
        <v>40.772568603741789</v>
      </c>
      <c r="AQ316">
        <v>296.38117774799593</v>
      </c>
      <c r="AR316">
        <v>40.394964221504523</v>
      </c>
      <c r="AS316">
        <v>382.62914961601496</v>
      </c>
      <c r="AT316">
        <v>31.502235003712283</v>
      </c>
      <c r="AU316">
        <v>32.79218089207405</v>
      </c>
      <c r="AV316"/>
      <c r="AW316"/>
      <c r="FY316" s="211">
        <v>311</v>
      </c>
      <c r="FZ316">
        <v>50.025680932378194</v>
      </c>
      <c r="GA316">
        <v>92.354962817725408</v>
      </c>
      <c r="GB316">
        <v>33.624772654584689</v>
      </c>
      <c r="GC316">
        <v>14.693251985914618</v>
      </c>
      <c r="GD316">
        <v>9.3149912013391578</v>
      </c>
      <c r="GE316">
        <v>13.900718057083271</v>
      </c>
      <c r="GF316">
        <v>31.417313764204238</v>
      </c>
      <c r="GG316">
        <v>22.340400745073286</v>
      </c>
      <c r="GH316">
        <v>15.461149618203306</v>
      </c>
      <c r="GI316">
        <v>30.087149228338568</v>
      </c>
      <c r="GJ316"/>
      <c r="GK316">
        <v>53.54265292816612</v>
      </c>
      <c r="GL316">
        <v>83.95582768865647</v>
      </c>
      <c r="GM316">
        <v>59.568587201953171</v>
      </c>
      <c r="GN316">
        <v>48.517969095132486</v>
      </c>
      <c r="GO316">
        <v>40.525761509897265</v>
      </c>
      <c r="GP316">
        <v>29.825734677344471</v>
      </c>
      <c r="GQ316">
        <v>42.32909943291245</v>
      </c>
      <c r="GR316">
        <v>33.602792780588963</v>
      </c>
      <c r="GS316">
        <v>18.690396987082867</v>
      </c>
      <c r="GT316">
        <v>42.931299612002377</v>
      </c>
      <c r="GU316"/>
      <c r="GV316"/>
      <c r="GW316"/>
      <c r="GX316"/>
      <c r="GY316"/>
      <c r="GZ316"/>
      <c r="HA316"/>
      <c r="HB316"/>
      <c r="HC316"/>
    </row>
    <row r="317" spans="1:211" s="7" customFormat="1">
      <c r="A317" s="1"/>
      <c r="B317">
        <v>0.70391291911920995</v>
      </c>
      <c r="C317">
        <v>3</v>
      </c>
      <c r="D317">
        <v>39949</v>
      </c>
      <c r="E317">
        <v>0</v>
      </c>
      <c r="F317">
        <v>0</v>
      </c>
      <c r="G317">
        <v>0</v>
      </c>
      <c r="H317">
        <v>10.416666666666666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46.726095085470085</v>
      </c>
      <c r="AO317">
        <v>34.680809225090584</v>
      </c>
      <c r="AP317">
        <v>8.5051636700768594</v>
      </c>
      <c r="AQ317">
        <v>233.5471841456457</v>
      </c>
      <c r="AR317">
        <v>32.963340024852954</v>
      </c>
      <c r="AS317">
        <v>321.44199210334023</v>
      </c>
      <c r="AT317">
        <v>27.058794622534929</v>
      </c>
      <c r="AU317">
        <v>18.296852668153484</v>
      </c>
      <c r="AV317"/>
      <c r="AW317"/>
      <c r="FY317" s="211">
        <v>312</v>
      </c>
      <c r="FZ317">
        <v>22.89749477308272</v>
      </c>
      <c r="GA317">
        <v>59.50979586133024</v>
      </c>
      <c r="GB317">
        <v>30.416684625524731</v>
      </c>
      <c r="GC317">
        <v>13.528038754670934</v>
      </c>
      <c r="GD317">
        <v>10.088591536382632</v>
      </c>
      <c r="GE317">
        <v>11.883549699454793</v>
      </c>
      <c r="GF317">
        <v>16.917015103802285</v>
      </c>
      <c r="GG317">
        <v>13.508149287718732</v>
      </c>
      <c r="GH317">
        <v>13.31190141750135</v>
      </c>
      <c r="GI317">
        <v>22.674869500271445</v>
      </c>
      <c r="GJ317"/>
      <c r="GK317">
        <v>23.670177844485057</v>
      </c>
      <c r="GL317">
        <v>52.59227800310785</v>
      </c>
      <c r="GM317">
        <v>53.885239585785911</v>
      </c>
      <c r="GN317">
        <v>44.677134160681376</v>
      </c>
      <c r="GO317">
        <v>43.901138620781609</v>
      </c>
      <c r="GP317">
        <v>25.497646877340163</v>
      </c>
      <c r="GQ317">
        <v>22.792592002337479</v>
      </c>
      <c r="GR317">
        <v>20.317967727797981</v>
      </c>
      <c r="GS317">
        <v>15.596880871325428</v>
      </c>
      <c r="GT317">
        <v>31.969205784943103</v>
      </c>
      <c r="GU317"/>
      <c r="GV317"/>
      <c r="GW317"/>
      <c r="GX317"/>
      <c r="GY317"/>
      <c r="GZ317"/>
      <c r="HA317"/>
      <c r="HB317"/>
      <c r="HC317"/>
    </row>
    <row r="318" spans="1:211" s="7" customFormat="1">
      <c r="A318" s="1"/>
      <c r="B318">
        <v>0.28088481173593416</v>
      </c>
      <c r="C318">
        <v>1</v>
      </c>
      <c r="D318">
        <v>39987</v>
      </c>
      <c r="E318">
        <v>0</v>
      </c>
      <c r="F318">
        <v>0</v>
      </c>
      <c r="G318">
        <v>0</v>
      </c>
      <c r="H318">
        <v>10.416666666666666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44.022435897435898</v>
      </c>
      <c r="AO318">
        <v>39.546569129469255</v>
      </c>
      <c r="AP318">
        <v>78.10588497483181</v>
      </c>
      <c r="AQ318">
        <v>269.42036668314643</v>
      </c>
      <c r="AR318">
        <v>38.777792602651047</v>
      </c>
      <c r="AS318">
        <v>362.17157533002847</v>
      </c>
      <c r="AT318">
        <v>28.68125724296722</v>
      </c>
      <c r="AU318">
        <v>40.721525538768006</v>
      </c>
      <c r="AV318"/>
      <c r="AW318"/>
      <c r="FY318" s="211">
        <v>313</v>
      </c>
      <c r="FZ318">
        <v>44.466395877910116</v>
      </c>
      <c r="GA318">
        <v>52.338210324289854</v>
      </c>
      <c r="GB318">
        <v>21.053077690705976</v>
      </c>
      <c r="GC318">
        <v>15.736264844973029</v>
      </c>
      <c r="GD318">
        <v>11.176695048288099</v>
      </c>
      <c r="GE318">
        <v>15.161448280601068</v>
      </c>
      <c r="GF318">
        <v>27.330865959909154</v>
      </c>
      <c r="GG318">
        <v>16.082254658979821</v>
      </c>
      <c r="GH318">
        <v>7.6743240865495812</v>
      </c>
      <c r="GI318">
        <v>25.134846307925475</v>
      </c>
      <c r="GJ318"/>
      <c r="GK318">
        <v>49.587347197807134</v>
      </c>
      <c r="GL318">
        <v>50.927048883029997</v>
      </c>
      <c r="GM318">
        <v>37.296968731097692</v>
      </c>
      <c r="GN318">
        <v>51.974396108427101</v>
      </c>
      <c r="GO318">
        <v>48.640894141252055</v>
      </c>
      <c r="GP318">
        <v>32.530789552347159</v>
      </c>
      <c r="GQ318">
        <v>36.823356429750426</v>
      </c>
      <c r="GR318">
        <v>24.189748291311936</v>
      </c>
      <c r="GS318">
        <v>8.5960632694529924</v>
      </c>
      <c r="GT318">
        <v>36.188925953872065</v>
      </c>
      <c r="GU318"/>
      <c r="GV318"/>
      <c r="GW318"/>
      <c r="GX318"/>
      <c r="GY318"/>
      <c r="GZ318"/>
      <c r="HA318"/>
      <c r="HB318"/>
      <c r="HC318"/>
    </row>
    <row r="319" spans="1:211" s="7" customFormat="1">
      <c r="A319" s="1"/>
      <c r="B319">
        <v>0.83967679537291673</v>
      </c>
      <c r="C319">
        <v>5</v>
      </c>
      <c r="D319">
        <v>39987</v>
      </c>
      <c r="E319">
        <v>0</v>
      </c>
      <c r="F319">
        <v>0</v>
      </c>
      <c r="G319">
        <v>0</v>
      </c>
      <c r="H319">
        <v>52.083333333333336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39.762019230769234</v>
      </c>
      <c r="AO319">
        <v>30.132769589870897</v>
      </c>
      <c r="AP319">
        <v>6.9846859595738726</v>
      </c>
      <c r="AQ319">
        <v>201.41214125070354</v>
      </c>
      <c r="AR319">
        <v>29.021512053506232</v>
      </c>
      <c r="AS319">
        <v>286.30788604307855</v>
      </c>
      <c r="AT319">
        <v>23.698335643886882</v>
      </c>
      <c r="AU319">
        <v>7.618033967600649</v>
      </c>
      <c r="AV319"/>
      <c r="AW319"/>
      <c r="FY319" s="211">
        <v>314</v>
      </c>
      <c r="FZ319">
        <v>46.600093113583519</v>
      </c>
      <c r="GA319">
        <v>73.657741385569224</v>
      </c>
      <c r="GB319">
        <v>29.22367688971805</v>
      </c>
      <c r="GC319">
        <v>16.171954048399726</v>
      </c>
      <c r="GD319">
        <v>9.8045487374351747</v>
      </c>
      <c r="GE319">
        <v>10.44071399920665</v>
      </c>
      <c r="GF319">
        <v>17.787033023426407</v>
      </c>
      <c r="GG319">
        <v>10.650656169162843</v>
      </c>
      <c r="GH319">
        <v>12.37790412353055</v>
      </c>
      <c r="GI319">
        <v>25.74540066142082</v>
      </c>
      <c r="GJ319"/>
      <c r="GK319">
        <v>48.190511960199608</v>
      </c>
      <c r="GL319">
        <v>65.095642758675837</v>
      </c>
      <c r="GM319">
        <v>51.771744691023692</v>
      </c>
      <c r="GN319">
        <v>53.405728459773961</v>
      </c>
      <c r="GO319">
        <v>42.660649372957721</v>
      </c>
      <c r="GP319">
        <v>22.401861853725983</v>
      </c>
      <c r="GQ319">
        <v>23.964782448171981</v>
      </c>
      <c r="GR319">
        <v>16.019936093071482</v>
      </c>
      <c r="GS319">
        <v>15.922960873667812</v>
      </c>
      <c r="GT319">
        <v>36.502129869204168</v>
      </c>
      <c r="GU319"/>
      <c r="GV319"/>
      <c r="GW319"/>
      <c r="GX319"/>
      <c r="GY319"/>
      <c r="GZ319"/>
      <c r="HA319"/>
      <c r="HB319"/>
      <c r="HC319"/>
    </row>
    <row r="320" spans="1:211" s="7" customFormat="1">
      <c r="A320" s="1"/>
      <c r="B320">
        <v>0.32323908317094574</v>
      </c>
      <c r="C320">
        <v>7</v>
      </c>
      <c r="D320">
        <v>39987</v>
      </c>
      <c r="E320">
        <v>0</v>
      </c>
      <c r="F320">
        <v>0</v>
      </c>
      <c r="G320">
        <v>0</v>
      </c>
      <c r="H320">
        <v>31.25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57.354033119658126</v>
      </c>
      <c r="AO320">
        <v>45.965473950545977</v>
      </c>
      <c r="AP320">
        <v>48.769135296435834</v>
      </c>
      <c r="AQ320">
        <v>317.76106356927147</v>
      </c>
      <c r="AR320">
        <v>44.189808497472221</v>
      </c>
      <c r="AS320">
        <v>416.26916417612915</v>
      </c>
      <c r="AT320">
        <v>34.187898205759524</v>
      </c>
      <c r="AU320">
        <v>33.957893366268237</v>
      </c>
      <c r="AV320"/>
      <c r="AW320"/>
      <c r="FY320" s="211">
        <v>315</v>
      </c>
      <c r="FZ320">
        <v>55.238674694458396</v>
      </c>
      <c r="GA320">
        <v>70.160373276575513</v>
      </c>
      <c r="GB320">
        <v>26.125866886657029</v>
      </c>
      <c r="GC320">
        <v>12.223517891905963</v>
      </c>
      <c r="GD320">
        <v>7.8761985086890265</v>
      </c>
      <c r="GE320">
        <v>12.537261667204765</v>
      </c>
      <c r="GF320">
        <v>25.204155489716857</v>
      </c>
      <c r="GG320">
        <v>17.64088726910121</v>
      </c>
      <c r="GH320">
        <v>11.680238297480592</v>
      </c>
      <c r="GI320">
        <v>26.297139403982619</v>
      </c>
      <c r="GJ320"/>
      <c r="GK320">
        <v>58.934728979004831</v>
      </c>
      <c r="GL320">
        <v>64.341174228359208</v>
      </c>
      <c r="GM320">
        <v>46.283762149162179</v>
      </c>
      <c r="GN320">
        <v>40.345467176434752</v>
      </c>
      <c r="GO320">
        <v>34.246798003701414</v>
      </c>
      <c r="GP320">
        <v>26.900267923637859</v>
      </c>
      <c r="GQ320">
        <v>33.958002006599422</v>
      </c>
      <c r="GR320">
        <v>26.534129182980926</v>
      </c>
      <c r="GS320">
        <v>15.141500576444814</v>
      </c>
      <c r="GT320">
        <v>37.712958342982525</v>
      </c>
      <c r="GU320"/>
      <c r="GV320"/>
      <c r="GW320"/>
      <c r="GX320"/>
      <c r="GY320"/>
      <c r="GZ320"/>
      <c r="HA320"/>
      <c r="HB320"/>
      <c r="HC320"/>
    </row>
    <row r="321" spans="1:211" s="7" customFormat="1">
      <c r="A321" s="1"/>
      <c r="B321">
        <v>0.9503731891402063</v>
      </c>
      <c r="C321">
        <v>2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47.088755341880344</v>
      </c>
      <c r="AO321">
        <v>38.542539017394432</v>
      </c>
      <c r="AP321">
        <v>28.975828381028421</v>
      </c>
      <c r="AQ321">
        <v>261.4019200573062</v>
      </c>
      <c r="AR321">
        <v>36.998120470798511</v>
      </c>
      <c r="AS321">
        <v>363.03571528076787</v>
      </c>
      <c r="AT321">
        <v>29.230761381273922</v>
      </c>
      <c r="AU321">
        <v>32.326392168422714</v>
      </c>
      <c r="AV321"/>
      <c r="AW321"/>
      <c r="FY321" s="211">
        <v>316</v>
      </c>
      <c r="FZ321">
        <v>51.355663199131044</v>
      </c>
      <c r="GA321">
        <v>79.435774411462958</v>
      </c>
      <c r="GB321">
        <v>23.258638210684701</v>
      </c>
      <c r="GC321">
        <v>11.805402329995264</v>
      </c>
      <c r="GD321">
        <v>9.1817458208973068</v>
      </c>
      <c r="GE321">
        <v>13.886709943488629</v>
      </c>
      <c r="GF321">
        <v>20.344358423533656</v>
      </c>
      <c r="GG321">
        <v>9.8241085728863489</v>
      </c>
      <c r="GH321">
        <v>8.7770735481765971</v>
      </c>
      <c r="GI321">
        <v>24.26997152006625</v>
      </c>
      <c r="GJ321"/>
      <c r="GK321">
        <v>58.51983633448377</v>
      </c>
      <c r="GL321">
        <v>77.21110663662914</v>
      </c>
      <c r="GM321">
        <v>41.204270217212695</v>
      </c>
      <c r="GN321">
        <v>38.968337666427757</v>
      </c>
      <c r="GO321">
        <v>39.932867333979225</v>
      </c>
      <c r="GP321">
        <v>29.795678512066662</v>
      </c>
      <c r="GQ321">
        <v>27.410311940473381</v>
      </c>
      <c r="GR321">
        <v>14.776703802034893</v>
      </c>
      <c r="GS321">
        <v>10.517388939375934</v>
      </c>
      <c r="GT321">
        <v>35.516934953105</v>
      </c>
      <c r="GU321"/>
      <c r="GV321"/>
      <c r="GW321"/>
      <c r="GX321"/>
      <c r="GY321"/>
      <c r="GZ321"/>
      <c r="HA321"/>
      <c r="HB321"/>
      <c r="HC321"/>
    </row>
    <row r="322" spans="1:211" s="7" customFormat="1">
      <c r="A322" s="1"/>
      <c r="B322">
        <v>2.6175926855239062E-2</v>
      </c>
      <c r="C322">
        <v>8</v>
      </c>
      <c r="D322">
        <v>39987</v>
      </c>
      <c r="E322">
        <v>0</v>
      </c>
      <c r="F322">
        <v>0</v>
      </c>
      <c r="G322">
        <v>0</v>
      </c>
      <c r="H322">
        <v>10.416666666666666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46.178525641025644</v>
      </c>
      <c r="AO322">
        <v>37.328597214874037</v>
      </c>
      <c r="AP322">
        <v>37.047019001842337</v>
      </c>
      <c r="AQ322">
        <v>261.84356925598524</v>
      </c>
      <c r="AR322">
        <v>35.873510825725852</v>
      </c>
      <c r="AS322">
        <v>336.59200421752854</v>
      </c>
      <c r="AT322">
        <v>27.799579032499192</v>
      </c>
      <c r="AU322">
        <v>22.515767129126623</v>
      </c>
      <c r="AV322"/>
      <c r="AW322"/>
      <c r="FY322" s="211">
        <v>317</v>
      </c>
      <c r="FZ322">
        <v>33.25093019892212</v>
      </c>
      <c r="GA322">
        <v>69.236508409244536</v>
      </c>
      <c r="GB322">
        <v>32.301436342597448</v>
      </c>
      <c r="GC322">
        <v>12.35578147164315</v>
      </c>
      <c r="GD322">
        <v>9.3226201127943078</v>
      </c>
      <c r="GE322">
        <v>13.144279922972595</v>
      </c>
      <c r="GF322">
        <v>23.824430102030128</v>
      </c>
      <c r="GG322">
        <v>15.019550606624323</v>
      </c>
      <c r="GH322">
        <v>11.972820487953499</v>
      </c>
      <c r="GI322">
        <v>25.33087669144707</v>
      </c>
      <c r="GJ322"/>
      <c r="GK322">
        <v>34.387403096383899</v>
      </c>
      <c r="GL322">
        <v>61.188341272560834</v>
      </c>
      <c r="GM322">
        <v>57.224206310284167</v>
      </c>
      <c r="GN322">
        <v>40.805353597167418</v>
      </c>
      <c r="GO322">
        <v>40.567636653606577</v>
      </c>
      <c r="GP322">
        <v>28.202701752342861</v>
      </c>
      <c r="GQ322">
        <v>32.099073723811379</v>
      </c>
      <c r="GR322">
        <v>22.591306774264886</v>
      </c>
      <c r="GS322">
        <v>14.783095500967871</v>
      </c>
      <c r="GT322">
        <v>35.812283057010781</v>
      </c>
      <c r="GU322"/>
      <c r="GV322"/>
      <c r="GW322"/>
      <c r="GX322"/>
      <c r="GY322"/>
      <c r="GZ322"/>
      <c r="HA322"/>
      <c r="HB322"/>
      <c r="HC322"/>
    </row>
    <row r="323" spans="1:211" s="7" customFormat="1">
      <c r="A323" s="1"/>
      <c r="B323">
        <v>0.8304978333832489</v>
      </c>
      <c r="C323">
        <v>3</v>
      </c>
      <c r="D323">
        <v>39987</v>
      </c>
      <c r="E323">
        <v>0</v>
      </c>
      <c r="F323">
        <v>0</v>
      </c>
      <c r="G323">
        <v>0</v>
      </c>
      <c r="H323">
        <v>10.416666666666666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53.02497329059829</v>
      </c>
      <c r="AO323">
        <v>39.528245719290297</v>
      </c>
      <c r="AP323">
        <v>5.1985971210370119</v>
      </c>
      <c r="AQ323">
        <v>271.22586095295117</v>
      </c>
      <c r="AR323">
        <v>37.793452598464953</v>
      </c>
      <c r="AS323">
        <v>362.25453551852081</v>
      </c>
      <c r="AT323">
        <v>31.164587916635298</v>
      </c>
      <c r="AU323">
        <v>33.16304126753213</v>
      </c>
      <c r="AV323"/>
      <c r="AW323"/>
      <c r="FY323" s="211">
        <v>318</v>
      </c>
      <c r="FZ323">
        <v>33.323482297243082</v>
      </c>
      <c r="GA323">
        <v>58.006576649379831</v>
      </c>
      <c r="GB323">
        <v>25.133364652666607</v>
      </c>
      <c r="GC323">
        <v>11.522295788756427</v>
      </c>
      <c r="GD323">
        <v>9.2736481693189887</v>
      </c>
      <c r="GE323">
        <v>13.204981748549377</v>
      </c>
      <c r="GF323">
        <v>20.783761413242811</v>
      </c>
      <c r="GG323">
        <v>13.248377186031833</v>
      </c>
      <c r="GH323">
        <v>7.3254911735246013</v>
      </c>
      <c r="GI323">
        <v>22.139682604082527</v>
      </c>
      <c r="GJ323"/>
      <c r="GK323">
        <v>34.454329946162446</v>
      </c>
      <c r="GL323">
        <v>51.263795497828745</v>
      </c>
      <c r="GM323">
        <v>44.525476480410433</v>
      </c>
      <c r="GN323">
        <v>38.052482095586406</v>
      </c>
      <c r="GO323">
        <v>40.35451111800031</v>
      </c>
      <c r="GP323">
        <v>28.332945135213361</v>
      </c>
      <c r="GQ323">
        <v>28.00232731715748</v>
      </c>
      <c r="GR323">
        <v>19.927237579186482</v>
      </c>
      <c r="GS323">
        <v>8.2053331208414928</v>
      </c>
      <c r="GT323">
        <v>31.108395596514431</v>
      </c>
      <c r="GU323"/>
      <c r="GV323"/>
      <c r="GW323"/>
      <c r="GX323"/>
      <c r="GY323"/>
      <c r="GZ323"/>
      <c r="HA323"/>
      <c r="HB323"/>
      <c r="HC323"/>
    </row>
    <row r="324" spans="1:211" s="7" customFormat="1">
      <c r="A324" s="1"/>
      <c r="B324">
        <v>0.38858474627926221</v>
      </c>
      <c r="C324">
        <v>4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50.46068376068375</v>
      </c>
      <c r="AO324">
        <v>38.007313991640665</v>
      </c>
      <c r="AP324">
        <v>4.300575804448683</v>
      </c>
      <c r="AQ324">
        <v>246.42168090020522</v>
      </c>
      <c r="AR324">
        <v>36.289690193203249</v>
      </c>
      <c r="AS324">
        <v>345.01394634578008</v>
      </c>
      <c r="AT324">
        <v>29.991667332947703</v>
      </c>
      <c r="AU324">
        <v>19.988896712978097</v>
      </c>
      <c r="AV324"/>
      <c r="AW324"/>
      <c r="FY324" s="211">
        <v>319</v>
      </c>
      <c r="FZ324">
        <v>22.737742368234812</v>
      </c>
      <c r="GA324">
        <v>46.688220229988666</v>
      </c>
      <c r="GB324">
        <v>26.23614491265597</v>
      </c>
      <c r="GC324">
        <v>11.247889906976463</v>
      </c>
      <c r="GD324">
        <v>7.7329352353334704</v>
      </c>
      <c r="GE324">
        <v>9.6515902667084728</v>
      </c>
      <c r="GF324">
        <v>24.334137570092743</v>
      </c>
      <c r="GG324">
        <v>20.498380387657097</v>
      </c>
      <c r="GH324">
        <v>8.3719899125995436</v>
      </c>
      <c r="GI324">
        <v>20.750874758987145</v>
      </c>
      <c r="GJ324"/>
      <c r="GK324">
        <v>23.510735766468517</v>
      </c>
      <c r="GL324">
        <v>41.261103693374366</v>
      </c>
      <c r="GM324">
        <v>46.479127223467934</v>
      </c>
      <c r="GN324">
        <v>37.130802351937973</v>
      </c>
      <c r="GO324">
        <v>33.631991475734999</v>
      </c>
      <c r="GP324">
        <v>20.708697876409481</v>
      </c>
      <c r="GQ324">
        <v>32.785811560764927</v>
      </c>
      <c r="GR324">
        <v>30.832160817707425</v>
      </c>
      <c r="GS324">
        <v>9.3775235666759915</v>
      </c>
      <c r="GT324">
        <v>29.157037918622475</v>
      </c>
      <c r="GU324"/>
      <c r="GV324"/>
      <c r="GW324"/>
      <c r="GX324"/>
      <c r="GY324"/>
      <c r="GZ324"/>
      <c r="HA324"/>
      <c r="HB324"/>
      <c r="HC324"/>
    </row>
    <row r="325" spans="1:211" s="7" customFormat="1">
      <c r="A325" s="1"/>
      <c r="B325">
        <v>0.85117513861001193</v>
      </c>
      <c r="C325">
        <v>7</v>
      </c>
      <c r="D325">
        <v>39987</v>
      </c>
      <c r="E325">
        <v>0</v>
      </c>
      <c r="F325">
        <v>0</v>
      </c>
      <c r="G325">
        <v>0</v>
      </c>
      <c r="H325">
        <v>31.25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47.319284188034189</v>
      </c>
      <c r="AO325">
        <v>34.745448571205131</v>
      </c>
      <c r="AP325">
        <v>11.776327169768656</v>
      </c>
      <c r="AQ325">
        <v>228.15804358342737</v>
      </c>
      <c r="AR325">
        <v>33.823855992109458</v>
      </c>
      <c r="AS325">
        <v>326.28323223376646</v>
      </c>
      <c r="AT325">
        <v>27.421360394445397</v>
      </c>
      <c r="AU325">
        <v>23.905434611490442</v>
      </c>
      <c r="AV325"/>
      <c r="AW325"/>
      <c r="FY325" s="211">
        <v>320</v>
      </c>
      <c r="FZ325">
        <v>45.65239528324333</v>
      </c>
      <c r="GA325">
        <v>94.123456008255317</v>
      </c>
      <c r="GB325">
        <v>38.045918969632936</v>
      </c>
      <c r="GC325">
        <v>10.81978411340233</v>
      </c>
      <c r="GD325">
        <v>7.4348034227824629</v>
      </c>
      <c r="GE325">
        <v>10.655505074324497</v>
      </c>
      <c r="GF325">
        <v>20.75739723386026</v>
      </c>
      <c r="GG325">
        <v>15.302938353919123</v>
      </c>
      <c r="GH325">
        <v>9.4747393742265587</v>
      </c>
      <c r="GI325">
        <v>26.375000312123326</v>
      </c>
      <c r="GJ325"/>
      <c r="GK325">
        <v>49.013333222844665</v>
      </c>
      <c r="GL325">
        <v>85.518748283102482</v>
      </c>
      <c r="GM325">
        <v>67.400950635483682</v>
      </c>
      <c r="GN325">
        <v>35.724516804989285</v>
      </c>
      <c r="GO325">
        <v>32.343198211235922</v>
      </c>
      <c r="GP325">
        <v>22.862723054652363</v>
      </c>
      <c r="GQ325">
        <v>27.966806394556432</v>
      </c>
      <c r="GR325">
        <v>23.017557845477434</v>
      </c>
      <c r="GS325">
        <v>11.298849236598933</v>
      </c>
      <c r="GT325">
        <v>37.604627540143923</v>
      </c>
      <c r="GU325"/>
      <c r="GV325"/>
      <c r="GW325"/>
      <c r="GX325"/>
      <c r="GY325"/>
      <c r="GZ325"/>
      <c r="HA325"/>
      <c r="HB325"/>
      <c r="HC325"/>
    </row>
    <row r="326" spans="1:211" s="7" customFormat="1">
      <c r="A326" s="1"/>
      <c r="B326">
        <v>0.11425171256307198</v>
      </c>
      <c r="C326">
        <v>2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58.075961538461534</v>
      </c>
      <c r="AO326">
        <v>44.872813727892165</v>
      </c>
      <c r="AP326">
        <v>28.999552172278985</v>
      </c>
      <c r="AQ326">
        <v>308.10708019646557</v>
      </c>
      <c r="AR326">
        <v>42.906555443917178</v>
      </c>
      <c r="AS326">
        <v>410.43280071068028</v>
      </c>
      <c r="AT326">
        <v>34.178906014860885</v>
      </c>
      <c r="AU326">
        <v>40.40080372179915</v>
      </c>
      <c r="AV326"/>
      <c r="AW326"/>
      <c r="FY326" s="211">
        <v>321</v>
      </c>
      <c r="FZ326">
        <v>56.795941596940409</v>
      </c>
      <c r="GA326">
        <v>79.268113207804362</v>
      </c>
      <c r="GB326">
        <v>30.316431874616601</v>
      </c>
      <c r="GC326">
        <v>15.740677010705433</v>
      </c>
      <c r="GD326">
        <v>8.7559323552153856</v>
      </c>
      <c r="GE326">
        <v>9.698283978690613</v>
      </c>
      <c r="GF326">
        <v>22.084394262781888</v>
      </c>
      <c r="GG326">
        <v>17.35749952180641</v>
      </c>
      <c r="GH326">
        <v>16.563899079830321</v>
      </c>
      <c r="GI326">
        <v>28.311716541161665</v>
      </c>
      <c r="GJ326"/>
      <c r="GK326">
        <v>60.524618846254228</v>
      </c>
      <c r="GL326">
        <v>72.3902152897561</v>
      </c>
      <c r="GM326">
        <v>53.707634972780674</v>
      </c>
      <c r="GN326">
        <v>51.988968794622409</v>
      </c>
      <c r="GO326">
        <v>38.105752814936885</v>
      </c>
      <c r="GP326">
        <v>20.808885094002171</v>
      </c>
      <c r="GQ326">
        <v>29.754692832142378</v>
      </c>
      <c r="GR326">
        <v>26.107878111768382</v>
      </c>
      <c r="GS326">
        <v>20.611722657005807</v>
      </c>
      <c r="GT326">
        <v>40.540884424624004</v>
      </c>
      <c r="GU326"/>
      <c r="GV326"/>
      <c r="GW326"/>
      <c r="GX326"/>
      <c r="GY326"/>
      <c r="GZ326"/>
      <c r="HA326"/>
      <c r="HB326"/>
      <c r="HC326"/>
    </row>
    <row r="327" spans="1:211" s="7" customFormat="1">
      <c r="A327" s="1"/>
      <c r="B327">
        <v>0.62677619035093546</v>
      </c>
      <c r="C327">
        <v>10</v>
      </c>
      <c r="D327">
        <v>39987</v>
      </c>
      <c r="E327">
        <v>0</v>
      </c>
      <c r="F327">
        <v>0</v>
      </c>
      <c r="G327">
        <v>0</v>
      </c>
      <c r="H327">
        <v>10.416666666666666</v>
      </c>
      <c r="I327">
        <v>10.416666666666666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58.011164529914524</v>
      </c>
      <c r="AO327">
        <v>45.34901219137366</v>
      </c>
      <c r="AP327">
        <v>26.121978478157423</v>
      </c>
      <c r="AQ327">
        <v>313.22039100484477</v>
      </c>
      <c r="AR327">
        <v>42.931299612002412</v>
      </c>
      <c r="AS327">
        <v>448.35789307955514</v>
      </c>
      <c r="AT327">
        <v>34.376533230700311</v>
      </c>
      <c r="AU327">
        <v>19.832742154845693</v>
      </c>
      <c r="AV327"/>
      <c r="AW327"/>
      <c r="FY327" s="211">
        <v>322</v>
      </c>
      <c r="FZ327">
        <v>43.987771396396482</v>
      </c>
      <c r="GA327">
        <v>70.562878302141954</v>
      </c>
      <c r="GB327">
        <v>22.055605199787209</v>
      </c>
      <c r="GC327">
        <v>9.9161052566864925</v>
      </c>
      <c r="GD327">
        <v>6.7112214402629249</v>
      </c>
      <c r="GE327">
        <v>10.790916839072706</v>
      </c>
      <c r="GF327">
        <v>28.200883879533261</v>
      </c>
      <c r="GG327">
        <v>22.316785099465385</v>
      </c>
      <c r="GH327">
        <v>12.32165340097848</v>
      </c>
      <c r="GI327">
        <v>23.603990046503849</v>
      </c>
      <c r="GJ327"/>
      <c r="GK327">
        <v>45.487289335522426</v>
      </c>
      <c r="GL327">
        <v>62.360531718395343</v>
      </c>
      <c r="GM327">
        <v>39.073014861149957</v>
      </c>
      <c r="GN327">
        <v>32.732128103175185</v>
      </c>
      <c r="GO327">
        <v>29.18550060039388</v>
      </c>
      <c r="GP327">
        <v>23.153265985671172</v>
      </c>
      <c r="GQ327">
        <v>37.995546875584914</v>
      </c>
      <c r="GR327">
        <v>33.567271857987919</v>
      </c>
      <c r="GS327">
        <v>15.173825649579371</v>
      </c>
      <c r="GT327">
        <v>33.38303546444611</v>
      </c>
      <c r="GU327"/>
      <c r="GV327"/>
      <c r="GW327"/>
      <c r="GX327"/>
      <c r="GY327"/>
      <c r="GZ327"/>
      <c r="HA327"/>
      <c r="HB327"/>
      <c r="HC327"/>
    </row>
    <row r="328" spans="1:211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45.128044871794884</v>
      </c>
      <c r="AO328">
        <v>33.490026147858593</v>
      </c>
      <c r="AP328">
        <v>14.184292042974645</v>
      </c>
      <c r="AQ328">
        <v>214.73609055973986</v>
      </c>
      <c r="AR328">
        <v>31.969205784943103</v>
      </c>
      <c r="AS328">
        <v>316.05003737949085</v>
      </c>
      <c r="AT328">
        <v>25.905729923542832</v>
      </c>
      <c r="AU328">
        <v>23.474105094097503</v>
      </c>
      <c r="AV328"/>
      <c r="AW328"/>
      <c r="FY328" s="211">
        <v>323</v>
      </c>
      <c r="FZ328">
        <v>61.532188078196754</v>
      </c>
      <c r="GA328">
        <v>96.373690768483684</v>
      </c>
      <c r="GB328">
        <v>29.554510967714862</v>
      </c>
      <c r="GC328">
        <v>12.33967586150534</v>
      </c>
      <c r="GD328">
        <v>8.0121843018568075</v>
      </c>
      <c r="GE328">
        <v>9.3947748508066979</v>
      </c>
      <c r="GF328">
        <v>22.523797252491043</v>
      </c>
      <c r="GG328">
        <v>16.365642406274617</v>
      </c>
      <c r="GH328">
        <v>9.7673215646994667</v>
      </c>
      <c r="GI328">
        <v>27.238943955184869</v>
      </c>
      <c r="GJ328"/>
      <c r="GK328">
        <v>67.245199896474986</v>
      </c>
      <c r="GL328">
        <v>89.843771684735344</v>
      </c>
      <c r="GM328">
        <v>52.357839913940943</v>
      </c>
      <c r="GN328">
        <v>40.725278474950862</v>
      </c>
      <c r="GO328">
        <v>34.834270080500559</v>
      </c>
      <c r="GP328">
        <v>20.157668179649672</v>
      </c>
      <c r="GQ328">
        <v>30.346708208826474</v>
      </c>
      <c r="GR328">
        <v>24.615999362524477</v>
      </c>
      <c r="GS328">
        <v>10.94044416112199</v>
      </c>
      <c r="GT328">
        <v>39.144892452172989</v>
      </c>
      <c r="GU328"/>
      <c r="GV328"/>
      <c r="GW328"/>
      <c r="GX328"/>
      <c r="GY328"/>
      <c r="GZ328"/>
      <c r="HA328"/>
      <c r="HB328"/>
      <c r="HC328"/>
    </row>
    <row r="329" spans="1:211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46.114850427350426</v>
      </c>
      <c r="AO329">
        <v>37.675553855834856</v>
      </c>
      <c r="AP329">
        <v>38.123359699623869</v>
      </c>
      <c r="AQ329">
        <v>236.15438308013216</v>
      </c>
      <c r="AR329">
        <v>36.188925953872065</v>
      </c>
      <c r="AS329">
        <v>337.48316430516689</v>
      </c>
      <c r="AT329">
        <v>28.435862431934638</v>
      </c>
      <c r="AU329">
        <v>33.696822130525277</v>
      </c>
      <c r="AV329"/>
      <c r="AW329"/>
      <c r="FY329" s="211">
        <v>324</v>
      </c>
      <c r="FZ329">
        <v>34.5352909808839</v>
      </c>
      <c r="GA329">
        <v>75.160960597519605</v>
      </c>
      <c r="GB329">
        <v>36.712557382554898</v>
      </c>
      <c r="GC329">
        <v>14.235214030819545</v>
      </c>
      <c r="GD329">
        <v>7.620645669817006</v>
      </c>
      <c r="GE329">
        <v>14.08282353381362</v>
      </c>
      <c r="GF329">
        <v>33.737361549868552</v>
      </c>
      <c r="GG329">
        <v>20.262223931578092</v>
      </c>
      <c r="GH329">
        <v>10.521238113301502</v>
      </c>
      <c r="GI329">
        <v>27.226283358531145</v>
      </c>
      <c r="GJ329"/>
      <c r="GK329">
        <v>35.715885601662997</v>
      </c>
      <c r="GL329">
        <v>66.424125263954934</v>
      </c>
      <c r="GM329">
        <v>65.038809282514165</v>
      </c>
      <c r="GN329">
        <v>47.005142109482826</v>
      </c>
      <c r="GO329">
        <v>33.151982295075108</v>
      </c>
      <c r="GP329">
        <v>30.21646482595597</v>
      </c>
      <c r="GQ329">
        <v>45.454940621804454</v>
      </c>
      <c r="GR329">
        <v>30.476951591696967</v>
      </c>
      <c r="GS329">
        <v>12.471039682433432</v>
      </c>
      <c r="GT329">
        <v>38.366531496698038</v>
      </c>
      <c r="GU329"/>
      <c r="GV329"/>
      <c r="GW329"/>
      <c r="GX329"/>
      <c r="GY329"/>
      <c r="GZ329"/>
      <c r="HA329"/>
      <c r="HB329"/>
      <c r="HC329"/>
    </row>
    <row r="330" spans="1:211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49.916372863247872</v>
      </c>
      <c r="AO330">
        <v>37.593594838047224</v>
      </c>
      <c r="AP330">
        <v>21.863565836562692</v>
      </c>
      <c r="AQ330">
        <v>252.45972215145295</v>
      </c>
      <c r="AR330">
        <v>36.502129869204182</v>
      </c>
      <c r="AS330">
        <v>366.60857135123814</v>
      </c>
      <c r="AT330">
        <v>29.318155739273767</v>
      </c>
      <c r="AU330">
        <v>36.144301069964236</v>
      </c>
      <c r="AV330"/>
      <c r="AW330"/>
      <c r="FY330" s="211">
        <v>325</v>
      </c>
      <c r="FZ330">
        <v>49.136375594345267</v>
      </c>
      <c r="GA330">
        <v>68.834003383678123</v>
      </c>
      <c r="GB330">
        <v>21.484164519610907</v>
      </c>
      <c r="GC330">
        <v>12.217826271091949</v>
      </c>
      <c r="GD330">
        <v>8.4209866933525461</v>
      </c>
      <c r="GE330">
        <v>9.8803894554209588</v>
      </c>
      <c r="GF330">
        <v>13.726949398513854</v>
      </c>
      <c r="GG330">
        <v>11.170200372536643</v>
      </c>
      <c r="GH330">
        <v>11.567736852376441</v>
      </c>
      <c r="GI330">
        <v>22.309068824871296</v>
      </c>
      <c r="GJ330"/>
      <c r="GK330">
        <v>52.611200608642392</v>
      </c>
      <c r="GL330">
        <v>63.168983782524705</v>
      </c>
      <c r="GM330">
        <v>38.060668567020166</v>
      </c>
      <c r="GN330">
        <v>40.345869250122917</v>
      </c>
      <c r="GO330">
        <v>36.639397595636908</v>
      </c>
      <c r="GP330">
        <v>21.199615242613667</v>
      </c>
      <c r="GQ330">
        <v>18.494560367610983</v>
      </c>
      <c r="GR330">
        <v>16.801396390294482</v>
      </c>
      <c r="GS330">
        <v>13.643230128267927</v>
      </c>
      <c r="GT330">
        <v>31.88981145343568</v>
      </c>
      <c r="GU330"/>
      <c r="GV330"/>
      <c r="GW330"/>
      <c r="GX330"/>
      <c r="GY330"/>
      <c r="GZ330"/>
      <c r="HA330"/>
      <c r="HB330"/>
      <c r="HC330"/>
    </row>
    <row r="331" spans="1:211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48.915064102564109</v>
      </c>
      <c r="AO331">
        <v>38.43987885693079</v>
      </c>
      <c r="AP331">
        <v>30.651725417414156</v>
      </c>
      <c r="AQ331">
        <v>264.984313385772</v>
      </c>
      <c r="AR331">
        <v>37.712958342982546</v>
      </c>
      <c r="AS331">
        <v>347.47689434171389</v>
      </c>
      <c r="AT331">
        <v>29.674260520919486</v>
      </c>
      <c r="AU331">
        <v>36.995857897169742</v>
      </c>
      <c r="AV331"/>
      <c r="AW331"/>
      <c r="FY331" s="211">
        <v>326</v>
      </c>
      <c r="FZ331">
        <v>54.050165355405341</v>
      </c>
      <c r="GA331">
        <v>90.763318946248546</v>
      </c>
      <c r="GB331">
        <v>35.940611200562344</v>
      </c>
      <c r="GC331">
        <v>15.806232954561315</v>
      </c>
      <c r="GD331">
        <v>9.7554148953026818</v>
      </c>
      <c r="GE331">
        <v>11.351241382858396</v>
      </c>
      <c r="GF331">
        <v>31.074579432231101</v>
      </c>
      <c r="GG331">
        <v>24.371346267352671</v>
      </c>
      <c r="GH331">
        <v>12.265402678426408</v>
      </c>
      <c r="GI331">
        <v>30.941781261100687</v>
      </c>
      <c r="GJ331"/>
      <c r="GK331">
        <v>57.701911720535648</v>
      </c>
      <c r="GL331">
        <v>82.549199153655096</v>
      </c>
      <c r="GM331">
        <v>63.671253762373915</v>
      </c>
      <c r="GN331">
        <v>52.201649598336161</v>
      </c>
      <c r="GO331">
        <v>42.451156344349187</v>
      </c>
      <c r="GP331">
        <v>24.355512596783484</v>
      </c>
      <c r="GQ331">
        <v>41.867327439098865</v>
      </c>
      <c r="GR331">
        <v>36.657592124278864</v>
      </c>
      <c r="GS331">
        <v>14.42469042549093</v>
      </c>
      <c r="GT331">
        <v>44.023267938369706</v>
      </c>
      <c r="GU331"/>
      <c r="GV331"/>
      <c r="GW331"/>
      <c r="GX331"/>
      <c r="GY331"/>
      <c r="GZ331"/>
      <c r="HA331"/>
      <c r="HB331"/>
      <c r="HC331"/>
    </row>
    <row r="332" spans="1:211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43.511324786324785</v>
      </c>
      <c r="AO332">
        <v>37.385343633578842</v>
      </c>
      <c r="AP332">
        <v>47.403983776079556</v>
      </c>
      <c r="AQ332">
        <v>252.13944598032276</v>
      </c>
      <c r="AR332">
        <v>35.516934953104986</v>
      </c>
      <c r="AS332">
        <v>317.65568609577616</v>
      </c>
      <c r="AT332">
        <v>26.934268610987271</v>
      </c>
      <c r="AU332">
        <v>9.1236656647312575</v>
      </c>
      <c r="AV332"/>
      <c r="AW332"/>
      <c r="FY332" s="211">
        <v>327</v>
      </c>
      <c r="FZ332">
        <v>33.468930965239451</v>
      </c>
      <c r="GA332">
        <v>54.646439587373081</v>
      </c>
      <c r="GB332">
        <v>27.008091094648524</v>
      </c>
      <c r="GC332">
        <v>13.388416829322004</v>
      </c>
      <c r="GD332">
        <v>7.7861401981558114</v>
      </c>
      <c r="GE332">
        <v>8.3768519295960324</v>
      </c>
      <c r="GF332">
        <v>15.370316580026074</v>
      </c>
      <c r="GG332">
        <v>10.390884067475948</v>
      </c>
      <c r="GH332">
        <v>7.0329089830516915</v>
      </c>
      <c r="GI332">
        <v>20.646357378289689</v>
      </c>
      <c r="GJ332"/>
      <c r="GK332">
        <v>34.618691166978863</v>
      </c>
      <c r="GL332">
        <v>48.294246368381351</v>
      </c>
      <c r="GM332">
        <v>47.846682743608184</v>
      </c>
      <c r="GN332">
        <v>44.204464645874566</v>
      </c>
      <c r="GO332">
        <v>33.867876168970341</v>
      </c>
      <c r="GP332">
        <v>17.973586836128984</v>
      </c>
      <c r="GQ332">
        <v>20.708697876409481</v>
      </c>
      <c r="GR332">
        <v>15.629205944459986</v>
      </c>
      <c r="GS332">
        <v>8.5637381963184342</v>
      </c>
      <c r="GT332">
        <v>29.121137230457062</v>
      </c>
      <c r="GU332"/>
      <c r="GV332"/>
      <c r="GW332"/>
      <c r="GX332"/>
      <c r="GY332"/>
      <c r="GZ332"/>
      <c r="HA332"/>
      <c r="HB332"/>
      <c r="HC332"/>
    </row>
    <row r="333" spans="1:211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48.785897435897439</v>
      </c>
      <c r="AO333">
        <v>36.766140173840071</v>
      </c>
      <c r="AP333">
        <v>11.243703492437428</v>
      </c>
      <c r="AQ333">
        <v>245.75923434622919</v>
      </c>
      <c r="AR333">
        <v>35.812283057010781</v>
      </c>
      <c r="AS333">
        <v>341.16179917989024</v>
      </c>
      <c r="AT333">
        <v>29.117584257128073</v>
      </c>
      <c r="AU333">
        <v>31.081750921430078</v>
      </c>
      <c r="AV333"/>
      <c r="AW333"/>
      <c r="FY333" s="211">
        <v>328</v>
      </c>
      <c r="FZ333">
        <v>44.829989443061621</v>
      </c>
      <c r="GA333">
        <v>79.268113207804362</v>
      </c>
      <c r="GB333">
        <v>31.860324238601706</v>
      </c>
      <c r="GC333">
        <v>12.955473066829976</v>
      </c>
      <c r="GD333">
        <v>9.3360812809686902</v>
      </c>
      <c r="GE333">
        <v>11.883549699454797</v>
      </c>
      <c r="GF333">
        <v>17.470662870835817</v>
      </c>
      <c r="GG333">
        <v>16.861570964040517</v>
      </c>
      <c r="GH333">
        <v>16.507648357278249</v>
      </c>
      <c r="GI333">
        <v>26.382906451830053</v>
      </c>
      <c r="GJ333"/>
      <c r="GK333">
        <v>48.156876914471297</v>
      </c>
      <c r="GL333">
        <v>72.3902152897561</v>
      </c>
      <c r="GM333">
        <v>56.442746013061168</v>
      </c>
      <c r="GN333">
        <v>42.774519812960683</v>
      </c>
      <c r="GO333">
        <v>40.613208291620154</v>
      </c>
      <c r="GP333">
        <v>25.49764687734017</v>
      </c>
      <c r="GQ333">
        <v>23.538531376959433</v>
      </c>
      <c r="GR333">
        <v>25.361938737146435</v>
      </c>
      <c r="GS333">
        <v>19.862587432917366</v>
      </c>
      <c r="GT333">
        <v>37.722790005805891</v>
      </c>
      <c r="GU333"/>
      <c r="GV333"/>
      <c r="GW333"/>
      <c r="GX333"/>
      <c r="GY333"/>
      <c r="GZ333"/>
      <c r="HA333"/>
      <c r="HB333"/>
      <c r="HC333"/>
    </row>
    <row r="334" spans="1:211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44.012633547008548</v>
      </c>
      <c r="AO334">
        <v>32.42268338869016</v>
      </c>
      <c r="AP334">
        <v>9.5671768651518683</v>
      </c>
      <c r="AQ334">
        <v>213.96166168279609</v>
      </c>
      <c r="AR334">
        <v>31.10839559651442</v>
      </c>
      <c r="AS334">
        <v>306.00595001155591</v>
      </c>
      <c r="AT334">
        <v>25.268665952718937</v>
      </c>
      <c r="AU334">
        <v>34.586282119989576</v>
      </c>
      <c r="AV334"/>
      <c r="AW334"/>
      <c r="FY334" s="211">
        <v>329</v>
      </c>
      <c r="FZ334">
        <v>51.220331474093214</v>
      </c>
      <c r="GA334">
        <v>69.855481025929976</v>
      </c>
      <c r="GB334">
        <v>24.351393195583238</v>
      </c>
      <c r="GC334">
        <v>11.463234421493221</v>
      </c>
      <c r="GD334">
        <v>6.5990661394506054</v>
      </c>
      <c r="GE334">
        <v>12.261768766510134</v>
      </c>
      <c r="GF334">
        <v>28.227248058915816</v>
      </c>
      <c r="GG334">
        <v>16.885186609648418</v>
      </c>
      <c r="GH334">
        <v>9.0696557386495051</v>
      </c>
      <c r="GI334">
        <v>24.622392267441974</v>
      </c>
      <c r="GJ334"/>
      <c r="GK334">
        <v>52.971788971775588</v>
      </c>
      <c r="GL334">
        <v>61.735363480616932</v>
      </c>
      <c r="GM334">
        <v>43.140160498969657</v>
      </c>
      <c r="GN334">
        <v>37.826690775967926</v>
      </c>
      <c r="GO334">
        <v>28.680053206198728</v>
      </c>
      <c r="GP334">
        <v>26.309163339840975</v>
      </c>
      <c r="GQ334">
        <v>38.031067798185973</v>
      </c>
      <c r="GR334">
        <v>25.397459659747479</v>
      </c>
      <c r="GS334">
        <v>10.158983863898991</v>
      </c>
      <c r="GT334">
        <v>34.596410867805794</v>
      </c>
      <c r="GU334"/>
      <c r="GV334"/>
      <c r="GW334"/>
      <c r="GX334"/>
      <c r="GY334"/>
      <c r="GZ334"/>
      <c r="HA334"/>
      <c r="HB334"/>
      <c r="HC334"/>
    </row>
    <row r="335" spans="1:211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41.567013888888894</v>
      </c>
      <c r="AO335">
        <v>30.487499225116409</v>
      </c>
      <c r="AP335">
        <v>7.1481644447459756</v>
      </c>
      <c r="AQ335">
        <v>198.2499055492344</v>
      </c>
      <c r="AR335">
        <v>29.157037918622464</v>
      </c>
      <c r="AS335">
        <v>277.43675711659694</v>
      </c>
      <c r="AT335">
        <v>23.590813171562768</v>
      </c>
      <c r="AU335">
        <v>24.408764679698542</v>
      </c>
      <c r="AV335"/>
      <c r="AW335"/>
      <c r="FY335" s="211">
        <v>330</v>
      </c>
      <c r="FZ335">
        <v>46.018498782114676</v>
      </c>
      <c r="GA335">
        <v>67.949756788413168</v>
      </c>
      <c r="GB335">
        <v>30.426709900615538</v>
      </c>
      <c r="GC335">
        <v>13.024299601515789</v>
      </c>
      <c r="GD335">
        <v>7.098420422204585</v>
      </c>
      <c r="GE335">
        <v>10.608811362342355</v>
      </c>
      <c r="GF335">
        <v>18.077038996634442</v>
      </c>
      <c r="GG335">
        <v>10.650656169162843</v>
      </c>
      <c r="GH335">
        <v>10.464987390749428</v>
      </c>
      <c r="GI335">
        <v>23.924425321248769</v>
      </c>
      <c r="GJ335"/>
      <c r="GK335">
        <v>49.38969417294048</v>
      </c>
      <c r="GL335">
        <v>62.387523485301699</v>
      </c>
      <c r="GM335">
        <v>53.903000047086422</v>
      </c>
      <c r="GN335">
        <v>43.017203459196814</v>
      </c>
      <c r="GO335">
        <v>30.892273148263037</v>
      </c>
      <c r="GP335">
        <v>22.762535837059669</v>
      </c>
      <c r="GQ335">
        <v>24.355512596783477</v>
      </c>
      <c r="GR335">
        <v>16.019936093071482</v>
      </c>
      <c r="GS335">
        <v>11.721904458344989</v>
      </c>
      <c r="GT335">
        <v>34.052476884683678</v>
      </c>
      <c r="GU335"/>
      <c r="GV335"/>
      <c r="GW335"/>
      <c r="GX335"/>
      <c r="GY335"/>
      <c r="GZ335"/>
      <c r="HA335"/>
      <c r="HB335"/>
      <c r="HC335"/>
    </row>
    <row r="336" spans="1:211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50.509161324786326</v>
      </c>
      <c r="AO336">
        <v>39.275131122908512</v>
      </c>
      <c r="AP336">
        <v>26.074018179121886</v>
      </c>
      <c r="AQ336">
        <v>278.64193814577021</v>
      </c>
      <c r="AR336">
        <v>37.604627540143944</v>
      </c>
      <c r="AS336">
        <v>356.54787250188332</v>
      </c>
      <c r="AT336">
        <v>29.841417439301043</v>
      </c>
      <c r="AU336">
        <v>29.120272736296414</v>
      </c>
      <c r="AV336"/>
      <c r="AW336"/>
      <c r="FY336" s="211">
        <v>331</v>
      </c>
      <c r="FZ336">
        <v>37.083711736131789</v>
      </c>
      <c r="GA336">
        <v>49.517809334836443</v>
      </c>
      <c r="GB336">
        <v>25.44414818048179</v>
      </c>
      <c r="GC336">
        <v>13.415266976309596</v>
      </c>
      <c r="GD336">
        <v>7.6358008416686989</v>
      </c>
      <c r="GE336">
        <v>11.411943208435176</v>
      </c>
      <c r="GF336">
        <v>19.597373341028103</v>
      </c>
      <c r="GG336">
        <v>15.043166252232224</v>
      </c>
      <c r="GH336">
        <v>13.66073433052633</v>
      </c>
      <c r="GI336">
        <v>22.555749650827916</v>
      </c>
      <c r="GJ336"/>
      <c r="GK336">
        <v>38.355331395133575</v>
      </c>
      <c r="GL336">
        <v>43.761776644487952</v>
      </c>
      <c r="GM336">
        <v>45.076050780726632</v>
      </c>
      <c r="GN336">
        <v>44.270105721059934</v>
      </c>
      <c r="GO336">
        <v>33.187577869533762</v>
      </c>
      <c r="GP336">
        <v>24.48575597965398</v>
      </c>
      <c r="GQ336">
        <v>26.40388580011043</v>
      </c>
      <c r="GR336">
        <v>22.626827696865934</v>
      </c>
      <c r="GS336">
        <v>15.987611019936928</v>
      </c>
      <c r="GT336">
        <v>31.802091373088263</v>
      </c>
      <c r="GU336"/>
      <c r="GV336"/>
      <c r="GW336"/>
      <c r="GX336"/>
      <c r="GY336"/>
      <c r="GZ336"/>
      <c r="HA336"/>
      <c r="HB336"/>
      <c r="HC336"/>
    </row>
    <row r="337" spans="1:211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53.229540598290598</v>
      </c>
      <c r="AO337">
        <v>41.454125383789304</v>
      </c>
      <c r="AP337">
        <v>43.614652211462086</v>
      </c>
      <c r="AQ337">
        <v>284.89288942955312</v>
      </c>
      <c r="AR337">
        <v>40.540884424624025</v>
      </c>
      <c r="AS337">
        <v>370.39317980703134</v>
      </c>
      <c r="AT337">
        <v>31.710228446216462</v>
      </c>
      <c r="AU337">
        <v>47.232616733253096</v>
      </c>
      <c r="AV337"/>
      <c r="AW337"/>
      <c r="FY337" s="211">
        <v>332</v>
      </c>
      <c r="FZ337">
        <v>47.660800528758244</v>
      </c>
      <c r="GA337">
        <v>74.276714002254678</v>
      </c>
      <c r="GB337">
        <v>28.120896629728694</v>
      </c>
      <c r="GC337">
        <v>13.434543830567566</v>
      </c>
      <c r="GD337">
        <v>9.6125899347660955</v>
      </c>
      <c r="GE337">
        <v>12.625979719970834</v>
      </c>
      <c r="GF337">
        <v>27.330865959909154</v>
      </c>
      <c r="GG337">
        <v>22.057012997778486</v>
      </c>
      <c r="GH337">
        <v>16.451397634726174</v>
      </c>
      <c r="GI337">
        <v>27.942837453648963</v>
      </c>
      <c r="GJ337"/>
      <c r="GK337">
        <v>49.295775556255563</v>
      </c>
      <c r="GL337">
        <v>65.642664966731942</v>
      </c>
      <c r="GM337">
        <v>49.818093947966204</v>
      </c>
      <c r="GN337">
        <v>44.360654961479348</v>
      </c>
      <c r="GO337">
        <v>41.820908995504603</v>
      </c>
      <c r="GP337">
        <v>27.090623637063977</v>
      </c>
      <c r="GQ337">
        <v>36.823356429750426</v>
      </c>
      <c r="GR337">
        <v>33.176541709376423</v>
      </c>
      <c r="GS337">
        <v>19.113452208828921</v>
      </c>
      <c r="GT337">
        <v>39.37431742766114</v>
      </c>
      <c r="GU337"/>
      <c r="GV337"/>
      <c r="GW337"/>
      <c r="GX337"/>
      <c r="GY337"/>
      <c r="GZ337"/>
      <c r="HA337"/>
      <c r="HB337"/>
      <c r="HC337"/>
    </row>
    <row r="338" spans="1:211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47.421047008547013</v>
      </c>
      <c r="AO338">
        <v>35.211141045190629</v>
      </c>
      <c r="AP338">
        <v>31.260222954166164</v>
      </c>
      <c r="AQ338">
        <v>250.46781086082871</v>
      </c>
      <c r="AR338">
        <v>33.383035464446117</v>
      </c>
      <c r="AS338">
        <v>331.26948525126954</v>
      </c>
      <c r="AT338">
        <v>26.78386317328216</v>
      </c>
      <c r="AU338">
        <v>36.824288613538698</v>
      </c>
      <c r="AV338"/>
      <c r="AW338"/>
      <c r="FY338" s="211">
        <v>333</v>
      </c>
      <c r="FZ338">
        <v>43.13641361115728</v>
      </c>
      <c r="GA338">
        <v>63.931028837654921</v>
      </c>
      <c r="GB338">
        <v>29.875319770620862</v>
      </c>
      <c r="GC338">
        <v>15.380422473440202</v>
      </c>
      <c r="GD338">
        <v>6.9639391001039153</v>
      </c>
      <c r="GE338">
        <v>7.9519391505585535</v>
      </c>
      <c r="GF338">
        <v>18.727355421403985</v>
      </c>
      <c r="GG338">
        <v>15.562710455606021</v>
      </c>
      <c r="GH338">
        <v>15.056065982626254</v>
      </c>
      <c r="GI338">
        <v>24.20491798243291</v>
      </c>
      <c r="GJ338"/>
      <c r="GK338">
        <v>44.610163791489505</v>
      </c>
      <c r="GL338">
        <v>56.499579489222846</v>
      </c>
      <c r="GM338">
        <v>52.926174675557682</v>
      </c>
      <c r="GN338">
        <v>50.772224149172402</v>
      </c>
      <c r="GO338">
        <v>30.276651808369184</v>
      </c>
      <c r="GP338">
        <v>17.061883156035485</v>
      </c>
      <c r="GQ338">
        <v>25.231695354275931</v>
      </c>
      <c r="GR338">
        <v>23.408287994088933</v>
      </c>
      <c r="GS338">
        <v>17.550531614382926</v>
      </c>
      <c r="GT338">
        <v>34.119043448815049</v>
      </c>
      <c r="GU338"/>
      <c r="GV338"/>
      <c r="GW338"/>
      <c r="GX338"/>
      <c r="GY338"/>
      <c r="GZ338"/>
      <c r="HA338"/>
      <c r="HB338"/>
      <c r="HC338"/>
    </row>
    <row r="339" spans="1:211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51.129380341880349</v>
      </c>
      <c r="AO339">
        <v>41.021207241489833</v>
      </c>
      <c r="AP339">
        <v>29.959216487406742</v>
      </c>
      <c r="AQ339">
        <v>293.10273000721412</v>
      </c>
      <c r="AR339">
        <v>39.144892452173004</v>
      </c>
      <c r="AS339">
        <v>355.96123482860338</v>
      </c>
      <c r="AT339">
        <v>30.585807000561786</v>
      </c>
      <c r="AU339">
        <v>13.731967614879153</v>
      </c>
      <c r="AV339"/>
      <c r="AW339"/>
      <c r="FY339" s="211">
        <v>334</v>
      </c>
      <c r="FZ339">
        <v>38.387884724577013</v>
      </c>
      <c r="GA339">
        <v>61.671605962032132</v>
      </c>
      <c r="GB339">
        <v>27.900340577730827</v>
      </c>
      <c r="GC339">
        <v>7.8248279291143596</v>
      </c>
      <c r="GD339">
        <v>4.0096420569402005</v>
      </c>
      <c r="GE339">
        <v>9.5301866155549053</v>
      </c>
      <c r="GF339">
        <v>29.070901799157383</v>
      </c>
      <c r="GG339">
        <v>18.420203574161906</v>
      </c>
      <c r="GH339">
        <v>8.540742080255761</v>
      </c>
      <c r="GI339">
        <v>22.107731752871175</v>
      </c>
      <c r="GJ339"/>
      <c r="GK339">
        <v>41.496945170988184</v>
      </c>
      <c r="GL339">
        <v>56.839155375018422</v>
      </c>
      <c r="GM339">
        <v>49.427363799354708</v>
      </c>
      <c r="GN339">
        <v>25.794248601289929</v>
      </c>
      <c r="GO339">
        <v>17.39355040614269</v>
      </c>
      <c r="GP339">
        <v>20.448211110668478</v>
      </c>
      <c r="GQ339">
        <v>39.167737321419416</v>
      </c>
      <c r="GR339">
        <v>27.706319628815432</v>
      </c>
      <c r="GS339">
        <v>11.624929238941316</v>
      </c>
      <c r="GT339">
        <v>31.822105187369264</v>
      </c>
      <c r="GU339"/>
      <c r="GV339"/>
      <c r="GW339"/>
      <c r="GX339"/>
      <c r="GY339"/>
      <c r="GZ339"/>
      <c r="HA339"/>
      <c r="HB339"/>
      <c r="HC339"/>
    </row>
    <row r="340" spans="1:211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54.190438034188034</v>
      </c>
      <c r="AO340">
        <v>40.432187277127888</v>
      </c>
      <c r="AP340">
        <v>11.025390076521528</v>
      </c>
      <c r="AQ340">
        <v>274.09459914868785</v>
      </c>
      <c r="AR340">
        <v>38.366531496698052</v>
      </c>
      <c r="AS340">
        <v>374.34866430576784</v>
      </c>
      <c r="AT340">
        <v>31.300989391645704</v>
      </c>
      <c r="AU340">
        <v>23.060909912462257</v>
      </c>
      <c r="AV340"/>
      <c r="AW340"/>
      <c r="FY340" s="211">
        <v>335</v>
      </c>
      <c r="FZ340">
        <v>41.97071501449976</v>
      </c>
      <c r="GA340">
        <v>62.732701876350049</v>
      </c>
      <c r="GB340">
        <v>25.253667953756359</v>
      </c>
      <c r="GC340">
        <v>12.612415018487573</v>
      </c>
      <c r="GD340">
        <v>7.8149263215925666</v>
      </c>
      <c r="GE340">
        <v>11.762146048301231</v>
      </c>
      <c r="GF340">
        <v>28.244824178504178</v>
      </c>
      <c r="GG340">
        <v>17.853428079572311</v>
      </c>
      <c r="GH340">
        <v>11.916569765401425</v>
      </c>
      <c r="GI340">
        <v>24.666955088832268</v>
      </c>
      <c r="GJ340"/>
      <c r="GK340">
        <v>45.201696983539591</v>
      </c>
      <c r="GL340">
        <v>57.776907731686009</v>
      </c>
      <c r="GM340">
        <v>44.738602016016706</v>
      </c>
      <c r="GN340">
        <v>41.633773050836972</v>
      </c>
      <c r="GO340">
        <v>33.984478987634922</v>
      </c>
      <c r="GP340">
        <v>25.23716011159917</v>
      </c>
      <c r="GQ340">
        <v>38.054748413253328</v>
      </c>
      <c r="GR340">
        <v>26.853817486390337</v>
      </c>
      <c r="GS340">
        <v>14.03396027687943</v>
      </c>
      <c r="GT340">
        <v>35.202697335464791</v>
      </c>
      <c r="GU340"/>
      <c r="GV340"/>
      <c r="GW340"/>
      <c r="GX340"/>
      <c r="GY340"/>
      <c r="GZ340"/>
      <c r="HA340"/>
      <c r="HB340"/>
      <c r="HC340"/>
    </row>
    <row r="341" spans="1:211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42.706864316239304</v>
      </c>
      <c r="AO341">
        <v>33.285473338616988</v>
      </c>
      <c r="AP341">
        <v>33.550189755295754</v>
      </c>
      <c r="AQ341">
        <v>228.74770136579798</v>
      </c>
      <c r="AR341">
        <v>31.889811453435669</v>
      </c>
      <c r="AS341">
        <v>302.50734284958389</v>
      </c>
      <c r="AT341">
        <v>25.006167976099295</v>
      </c>
      <c r="AU341">
        <v>35.611482303815649</v>
      </c>
      <c r="AV341"/>
      <c r="AW341"/>
      <c r="FY341" s="211">
        <v>336</v>
      </c>
      <c r="FZ341">
        <v>31.38497508549149</v>
      </c>
      <c r="GA341">
        <v>63.793797790667973</v>
      </c>
      <c r="GB341">
        <v>28.662261484632566</v>
      </c>
      <c r="GC341">
        <v>12.746371693843781</v>
      </c>
      <c r="GD341">
        <v>7.343880351057325</v>
      </c>
      <c r="GE341">
        <v>7.8305354994049878</v>
      </c>
      <c r="GF341">
        <v>18.797659899757452</v>
      </c>
      <c r="GG341">
        <v>12.941373793129136</v>
      </c>
      <c r="GH341">
        <v>7.0329089830516915</v>
      </c>
      <c r="GI341">
        <v>21.086461392082196</v>
      </c>
      <c r="GJ341"/>
      <c r="GK341">
        <v>34.258102803845674</v>
      </c>
      <c r="GL341">
        <v>58.714660088353611</v>
      </c>
      <c r="GM341">
        <v>50.777158858194433</v>
      </c>
      <c r="GN341">
        <v>42.080050901016968</v>
      </c>
      <c r="GO341">
        <v>31.938827498418505</v>
      </c>
      <c r="GP341">
        <v>16.801396390294485</v>
      </c>
      <c r="GQ341">
        <v>25.32641781454539</v>
      </c>
      <c r="GR341">
        <v>19.465465585372893</v>
      </c>
      <c r="GS341">
        <v>8.5637381963184342</v>
      </c>
      <c r="GT341">
        <v>30.172849034264487</v>
      </c>
      <c r="GU341"/>
      <c r="GV341"/>
      <c r="GW341"/>
      <c r="GX341"/>
      <c r="GY341"/>
      <c r="GZ341"/>
      <c r="HA341"/>
      <c r="HB341"/>
      <c r="HC341"/>
    </row>
    <row r="342" spans="1:211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59.135122863247865</v>
      </c>
      <c r="AO342">
        <v>45.990356110327177</v>
      </c>
      <c r="AP342">
        <v>23.324161127722412</v>
      </c>
      <c r="AQ342">
        <v>316.32009437404952</v>
      </c>
      <c r="AR342">
        <v>44.023267938369749</v>
      </c>
      <c r="AS342">
        <v>418.16633344966249</v>
      </c>
      <c r="AT342">
        <v>35.399339975724878</v>
      </c>
      <c r="AU342">
        <v>35.589065257521739</v>
      </c>
      <c r="AV342"/>
      <c r="AW342"/>
      <c r="FY342" s="211">
        <v>337</v>
      </c>
      <c r="FZ342">
        <v>68.200944699380514</v>
      </c>
      <c r="GA342">
        <v>112.02485550467307</v>
      </c>
      <c r="GB342">
        <v>32.080880290599573</v>
      </c>
      <c r="GC342">
        <v>12.439801196855392</v>
      </c>
      <c r="GD342">
        <v>10.022107053242603</v>
      </c>
      <c r="GE342">
        <v>14.493728199256459</v>
      </c>
      <c r="GF342">
        <v>20.757397233860257</v>
      </c>
      <c r="GG342">
        <v>18.679975675848805</v>
      </c>
      <c r="GH342">
        <v>20.288559678000968</v>
      </c>
      <c r="GI342">
        <v>31.463154643324927</v>
      </c>
      <c r="GJ342"/>
      <c r="GK342">
        <v>74.139569729125014</v>
      </c>
      <c r="GL342">
        <v>103.67561894558244</v>
      </c>
      <c r="GM342">
        <v>56.833476161672664</v>
      </c>
      <c r="GN342">
        <v>41.071337113884915</v>
      </c>
      <c r="GO342">
        <v>43.598787375882381</v>
      </c>
      <c r="GP342">
        <v>31.098112340771664</v>
      </c>
      <c r="GQ342">
        <v>27.966806394556425</v>
      </c>
      <c r="GR342">
        <v>28.097049777426928</v>
      </c>
      <c r="GS342">
        <v>23.411483843555423</v>
      </c>
      <c r="GT342">
        <v>45.190024700958368</v>
      </c>
      <c r="GU342"/>
      <c r="GV342"/>
      <c r="GW342"/>
      <c r="GX342"/>
      <c r="GY342"/>
      <c r="GZ342"/>
      <c r="HA342"/>
      <c r="HB342"/>
      <c r="HC342"/>
    </row>
    <row r="343" spans="1:211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40.213247863247865</v>
      </c>
      <c r="AO343">
        <v>30.08283271775872</v>
      </c>
      <c r="AP343">
        <v>6.4561086486656096</v>
      </c>
      <c r="AQ343">
        <v>198.1153376131783</v>
      </c>
      <c r="AR343">
        <v>29.121137230457045</v>
      </c>
      <c r="AS343">
        <v>273.25792268649269</v>
      </c>
      <c r="AT343">
        <v>23.828620762323308</v>
      </c>
      <c r="AU343">
        <v>27.060309509152681</v>
      </c>
      <c r="AV343"/>
      <c r="AW343"/>
      <c r="FY343" s="211">
        <v>338</v>
      </c>
      <c r="FZ343">
        <v>52.343962646822604</v>
      </c>
      <c r="GA343">
        <v>73.825402589227792</v>
      </c>
      <c r="GB343">
        <v>29.203626339536434</v>
      </c>
      <c r="GC343">
        <v>14.362728871225658</v>
      </c>
      <c r="GD343">
        <v>7.7150515152018659</v>
      </c>
      <c r="GE343">
        <v>6.9667018277353847</v>
      </c>
      <c r="GF343">
        <v>29.070901799157387</v>
      </c>
      <c r="GG343">
        <v>28.031771336577162</v>
      </c>
      <c r="GH343">
        <v>17.554147096353194</v>
      </c>
      <c r="GI343">
        <v>28.151840823657377</v>
      </c>
      <c r="GJ343"/>
      <c r="GK343">
        <v>57.732053506013948</v>
      </c>
      <c r="GL343">
        <v>69.916534105548862</v>
      </c>
      <c r="GM343">
        <v>51.736223768422661</v>
      </c>
      <c r="GN343">
        <v>47.410942998937578</v>
      </c>
      <c r="GO343">
        <v>33.545487480552573</v>
      </c>
      <c r="GP343">
        <v>14.947932864829676</v>
      </c>
      <c r="GQ343">
        <v>39.167737321419423</v>
      </c>
      <c r="GR343">
        <v>42.163335127440916</v>
      </c>
      <c r="GS343">
        <v>21.034777878751868</v>
      </c>
      <c r="GT343">
        <v>40.643255991032092</v>
      </c>
      <c r="GU343"/>
      <c r="GV343"/>
      <c r="GW343"/>
      <c r="GX343"/>
      <c r="GY343"/>
      <c r="GZ343"/>
      <c r="HA343"/>
      <c r="HB343"/>
      <c r="HC343"/>
    </row>
    <row r="344" spans="1:211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50.542040598290612</v>
      </c>
      <c r="AO344">
        <v>39.236106075203871</v>
      </c>
      <c r="AP344">
        <v>38.146402223784563</v>
      </c>
      <c r="AQ344">
        <v>267.35631958070576</v>
      </c>
      <c r="AR344">
        <v>37.722790005805926</v>
      </c>
      <c r="AS344">
        <v>365.52462770755261</v>
      </c>
      <c r="AT344">
        <v>29.552171206964193</v>
      </c>
      <c r="AU344">
        <v>33.574363000689985</v>
      </c>
      <c r="AV344"/>
      <c r="AW344"/>
      <c r="FY344" s="211">
        <v>339</v>
      </c>
      <c r="FZ344">
        <v>35.799350954170002</v>
      </c>
      <c r="GA344">
        <v>37.403630979706818</v>
      </c>
      <c r="GB344">
        <v>14.757204933675807</v>
      </c>
      <c r="GC344">
        <v>11.67119421957694</v>
      </c>
      <c r="GD344">
        <v>8.4033596381832165</v>
      </c>
      <c r="GE344">
        <v>9.9877849929798845</v>
      </c>
      <c r="GF344">
        <v>25.81053161551549</v>
      </c>
      <c r="GG344">
        <v>18.963363423143608</v>
      </c>
      <c r="GH344">
        <v>11.511486129824371</v>
      </c>
      <c r="GI344">
        <v>20.978972001425507</v>
      </c>
      <c r="GJ344"/>
      <c r="GK344">
        <v>37.026848889854477</v>
      </c>
      <c r="GL344">
        <v>33.055770572532872</v>
      </c>
      <c r="GM344">
        <v>26.14339903436943</v>
      </c>
      <c r="GN344">
        <v>38.536589844238712</v>
      </c>
      <c r="GO344">
        <v>36.558347693226644</v>
      </c>
      <c r="GP344">
        <v>21.430045843076865</v>
      </c>
      <c r="GQ344">
        <v>34.774983226423473</v>
      </c>
      <c r="GR344">
        <v>28.523300848639476</v>
      </c>
      <c r="GS344">
        <v>12.894094904179488</v>
      </c>
      <c r="GT344">
        <v>29.479534749610703</v>
      </c>
      <c r="GU344"/>
      <c r="GV344"/>
      <c r="GW344"/>
      <c r="GX344"/>
      <c r="GY344"/>
      <c r="GZ344"/>
      <c r="HA344"/>
      <c r="HB344"/>
      <c r="HC344"/>
    </row>
    <row r="345" spans="1:211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49.182291666666671</v>
      </c>
      <c r="AO345">
        <v>35.884714246300803</v>
      </c>
      <c r="AP345">
        <v>12.228410748366857</v>
      </c>
      <c r="AQ345">
        <v>254.5557576977161</v>
      </c>
      <c r="AR345">
        <v>34.596410867805787</v>
      </c>
      <c r="AS345">
        <v>328.53487905911743</v>
      </c>
      <c r="AT345">
        <v>27.904922082824623</v>
      </c>
      <c r="AU345">
        <v>33.359203570100043</v>
      </c>
      <c r="AV345"/>
      <c r="AW345"/>
      <c r="FY345" s="211">
        <v>340</v>
      </c>
      <c r="FZ345">
        <v>49.897390406307636</v>
      </c>
      <c r="GA345">
        <v>76.566567034549109</v>
      </c>
      <c r="GB345">
        <v>24.812555849760614</v>
      </c>
      <c r="GC345">
        <v>12.116007840122883</v>
      </c>
      <c r="GD345">
        <v>9.0398803878577407</v>
      </c>
      <c r="GE345">
        <v>12.462551728033338</v>
      </c>
      <c r="GF345">
        <v>19.597373341028103</v>
      </c>
      <c r="GG345">
        <v>13.484533642110831</v>
      </c>
      <c r="GH345">
        <v>10.521238113301502</v>
      </c>
      <c r="GI345">
        <v>24.549337838929311</v>
      </c>
      <c r="GJ345"/>
      <c r="GK345">
        <v>55.210711319240801</v>
      </c>
      <c r="GL345">
        <v>72.339061026940158</v>
      </c>
      <c r="GM345">
        <v>43.957141718793707</v>
      </c>
      <c r="GN345">
        <v>40.013419181741547</v>
      </c>
      <c r="GO345">
        <v>39.337155462990864</v>
      </c>
      <c r="GP345">
        <v>26.73996837548955</v>
      </c>
      <c r="GQ345">
        <v>26.40388580011043</v>
      </c>
      <c r="GR345">
        <v>20.282446805196933</v>
      </c>
      <c r="GS345">
        <v>12.471039682433432</v>
      </c>
      <c r="GT345">
        <v>35.47598679671384</v>
      </c>
      <c r="GU345"/>
      <c r="GV345"/>
      <c r="GW345"/>
      <c r="GX345"/>
      <c r="GY345"/>
      <c r="GZ345"/>
      <c r="HA345"/>
      <c r="HB345"/>
      <c r="HC345"/>
    </row>
    <row r="346" spans="1:211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44.71728098290599</v>
      </c>
      <c r="AO346">
        <v>34.85020601827317</v>
      </c>
      <c r="AP346">
        <v>22.420568977616437</v>
      </c>
      <c r="AQ346">
        <v>238.24360473500161</v>
      </c>
      <c r="AR346">
        <v>34.052476884683685</v>
      </c>
      <c r="AS346">
        <v>325.85521884759731</v>
      </c>
      <c r="AT346">
        <v>27.144425517861055</v>
      </c>
      <c r="AU346">
        <v>38.937415468279994</v>
      </c>
      <c r="AV346"/>
      <c r="AW346"/>
      <c r="FY346" s="211">
        <v>341</v>
      </c>
      <c r="FZ346">
        <v>51.402894621336635</v>
      </c>
      <c r="GA346">
        <v>86.076811991344385</v>
      </c>
      <c r="GB346">
        <v>29.644738443532173</v>
      </c>
      <c r="GC346">
        <v>12.200027565335125</v>
      </c>
      <c r="GD346">
        <v>9.6577474225138396</v>
      </c>
      <c r="GE346">
        <v>12.355156190474418</v>
      </c>
      <c r="GF346">
        <v>34.958901861259996</v>
      </c>
      <c r="GG346">
        <v>26.898220347397963</v>
      </c>
      <c r="GH346">
        <v>7.0329089830516907</v>
      </c>
      <c r="GI346">
        <v>28.813850709710042</v>
      </c>
      <c r="GJ346"/>
      <c r="GK346">
        <v>54.955581500311382</v>
      </c>
      <c r="GL346">
        <v>78.407459578373192</v>
      </c>
      <c r="GM346">
        <v>52.517684065645653</v>
      </c>
      <c r="GN346">
        <v>40.279402698459045</v>
      </c>
      <c r="GO346">
        <v>42.013096959256224</v>
      </c>
      <c r="GP346">
        <v>26.509537775026363</v>
      </c>
      <c r="GQ346">
        <v>47.10074336898623</v>
      </c>
      <c r="GR346">
        <v>40.458330842590733</v>
      </c>
      <c r="GS346">
        <v>8.5637381963184325</v>
      </c>
      <c r="GT346">
        <v>41.030168818103583</v>
      </c>
      <c r="GU346"/>
      <c r="GV346"/>
      <c r="GW346"/>
      <c r="GX346"/>
      <c r="GY346"/>
      <c r="GZ346"/>
      <c r="HA346"/>
      <c r="HB346"/>
      <c r="HC346"/>
    </row>
    <row r="347" spans="1:211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44.309027777777786</v>
      </c>
      <c r="AO347">
        <v>32.595701428059741</v>
      </c>
      <c r="AP347">
        <v>11.516779416566617</v>
      </c>
      <c r="AQ347">
        <v>215.36570385247811</v>
      </c>
      <c r="AR347">
        <v>31.802091373088253</v>
      </c>
      <c r="AS347">
        <v>318.50302046548364</v>
      </c>
      <c r="AT347">
        <v>25.615134800163151</v>
      </c>
      <c r="AU347">
        <v>26.238211224440356</v>
      </c>
      <c r="AV347"/>
      <c r="AW347"/>
      <c r="FY347" s="211">
        <v>342</v>
      </c>
      <c r="FZ347">
        <v>34.688902183069828</v>
      </c>
      <c r="GA347">
        <v>55.835578433283551</v>
      </c>
      <c r="GB347">
        <v>24.561923972490309</v>
      </c>
      <c r="GC347">
        <v>11.962948678632081</v>
      </c>
      <c r="GD347">
        <v>7.5134933832385311</v>
      </c>
      <c r="GE347">
        <v>13.46179716445115</v>
      </c>
      <c r="GF347">
        <v>25.441433104159799</v>
      </c>
      <c r="GG347">
        <v>15.255707062703323</v>
      </c>
      <c r="GH347">
        <v>13.7169850530784</v>
      </c>
      <c r="GI347">
        <v>23.0045845951967</v>
      </c>
      <c r="GJ347"/>
      <c r="GK347">
        <v>37.679008894539251</v>
      </c>
      <c r="GL347">
        <v>51.681517413346626</v>
      </c>
      <c r="GM347">
        <v>43.513130186280648</v>
      </c>
      <c r="GN347">
        <v>39.500208718902975</v>
      </c>
      <c r="GO347">
        <v>32.685656336825495</v>
      </c>
      <c r="GP347">
        <v>28.88397483197317</v>
      </c>
      <c r="GQ347">
        <v>34.277690310008829</v>
      </c>
      <c r="GR347">
        <v>22.946516000275341</v>
      </c>
      <c r="GS347">
        <v>16.736746244025365</v>
      </c>
      <c r="GT347">
        <v>32.978446394335911</v>
      </c>
      <c r="GU347"/>
      <c r="GV347"/>
      <c r="GW347"/>
      <c r="GX347"/>
      <c r="GY347"/>
      <c r="GZ347"/>
      <c r="HA347"/>
      <c r="HB347"/>
      <c r="HC347"/>
    </row>
    <row r="348" spans="1:211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54.310763888888893</v>
      </c>
      <c r="AO348">
        <v>40.651638984061854</v>
      </c>
      <c r="AP348">
        <v>7.977704487806629</v>
      </c>
      <c r="AQ348">
        <v>279.51363869210888</v>
      </c>
      <c r="AR348">
        <v>39.374317427661147</v>
      </c>
      <c r="AS348">
        <v>380.74257857130038</v>
      </c>
      <c r="AT348">
        <v>32.283939499217198</v>
      </c>
      <c r="AU348">
        <v>30.64247068651564</v>
      </c>
      <c r="AV348"/>
      <c r="AW348"/>
      <c r="FY348" s="211">
        <v>343</v>
      </c>
      <c r="FZ348">
        <v>52.593425291917271</v>
      </c>
      <c r="GA348">
        <v>88.543514342691807</v>
      </c>
      <c r="GB348">
        <v>33.394191327496003</v>
      </c>
      <c r="GC348">
        <v>13.269890571381129</v>
      </c>
      <c r="GD348">
        <v>7.8663622636320207</v>
      </c>
      <c r="GE348">
        <v>11.62673428355302</v>
      </c>
      <c r="GF348">
        <v>21.724083811220389</v>
      </c>
      <c r="GG348">
        <v>15.043166252232224</v>
      </c>
      <c r="GH348">
        <v>9.8235722872515403</v>
      </c>
      <c r="GI348">
        <v>26.624221157543001</v>
      </c>
      <c r="GJ348"/>
      <c r="GK348">
        <v>59.790842045700117</v>
      </c>
      <c r="GL348">
        <v>85.260147698026032</v>
      </c>
      <c r="GM348">
        <v>59.160096592041157</v>
      </c>
      <c r="GN348">
        <v>43.801470786939042</v>
      </c>
      <c r="GO348">
        <v>34.20399073800273</v>
      </c>
      <c r="GP348">
        <v>24.946617180580358</v>
      </c>
      <c r="GQ348">
        <v>29.269240223261427</v>
      </c>
      <c r="GR348">
        <v>22.626827696865934</v>
      </c>
      <c r="GS348">
        <v>11.689579385210433</v>
      </c>
      <c r="GT348">
        <v>38.822749796843169</v>
      </c>
      <c r="GU348"/>
      <c r="GV348"/>
      <c r="GW348"/>
      <c r="GX348"/>
      <c r="GY348"/>
      <c r="GZ348"/>
      <c r="HA348"/>
      <c r="HB348"/>
      <c r="HC348"/>
    </row>
    <row r="349" spans="1:211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47.812606837606836</v>
      </c>
      <c r="AO349">
        <v>35.245623548140991</v>
      </c>
      <c r="AP349">
        <v>15.071716795796815</v>
      </c>
      <c r="AQ349">
        <v>240.79011278560489</v>
      </c>
      <c r="AR349">
        <v>34.119043448815049</v>
      </c>
      <c r="AS349">
        <v>326.77295917183068</v>
      </c>
      <c r="AT349">
        <v>27.43387751667645</v>
      </c>
      <c r="AU349">
        <v>23.162423616493214</v>
      </c>
      <c r="AV349"/>
      <c r="AW349"/>
      <c r="FY349" s="211">
        <v>344</v>
      </c>
      <c r="FZ349">
        <v>32.937077989696043</v>
      </c>
      <c r="GA349">
        <v>47.130343527621122</v>
      </c>
      <c r="GB349">
        <v>21.283659017794662</v>
      </c>
      <c r="GC349">
        <v>13.165488904952682</v>
      </c>
      <c r="GD349">
        <v>7.0599125692154461</v>
      </c>
      <c r="GE349">
        <v>8.713046655867446</v>
      </c>
      <c r="GF349">
        <v>24.044131596884707</v>
      </c>
      <c r="GG349">
        <v>18.679975675848805</v>
      </c>
      <c r="GH349">
        <v>9.1821571837536489</v>
      </c>
      <c r="GI349">
        <v>20.702970801230837</v>
      </c>
      <c r="GJ349"/>
      <c r="GK349">
        <v>34.060449778979006</v>
      </c>
      <c r="GL349">
        <v>41.651833841985855</v>
      </c>
      <c r="GM349">
        <v>37.705459341009714</v>
      </c>
      <c r="GN349">
        <v>43.483529417446441</v>
      </c>
      <c r="GO349">
        <v>30.724687257017084</v>
      </c>
      <c r="GP349">
        <v>18.694934802796368</v>
      </c>
      <c r="GQ349">
        <v>32.395081412153431</v>
      </c>
      <c r="GR349">
        <v>28.097049777426928</v>
      </c>
      <c r="GS349">
        <v>11.657254312075874</v>
      </c>
      <c r="GT349">
        <v>29.308586420247018</v>
      </c>
      <c r="GU349"/>
      <c r="GV349"/>
      <c r="GW349"/>
      <c r="GX349"/>
      <c r="GY349"/>
      <c r="GZ349"/>
      <c r="HA349"/>
      <c r="HB349"/>
      <c r="HC349"/>
    </row>
    <row r="350" spans="1:211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41.593402777777776</v>
      </c>
      <c r="AO350">
        <v>32.172056584000785</v>
      </c>
      <c r="AP350">
        <v>39.987178810787796</v>
      </c>
      <c r="AQ350">
        <v>227.46406707239566</v>
      </c>
      <c r="AR350">
        <v>31.822105187369253</v>
      </c>
      <c r="AS350">
        <v>295.95623493294522</v>
      </c>
      <c r="AT350">
        <v>24.340681301562171</v>
      </c>
      <c r="AU350">
        <v>30.84832292513121</v>
      </c>
      <c r="AV350"/>
      <c r="AW350"/>
      <c r="FY350" s="211">
        <v>345</v>
      </c>
      <c r="FZ350">
        <v>40.299949924990933</v>
      </c>
      <c r="GA350">
        <v>56.985099007127957</v>
      </c>
      <c r="GB350">
        <v>19.850044679808491</v>
      </c>
      <c r="GC350">
        <v>12.456283959586372</v>
      </c>
      <c r="GD350">
        <v>8.9979292596079237</v>
      </c>
      <c r="GE350">
        <v>13.522498990027936</v>
      </c>
      <c r="GF350">
        <v>31.364585405439144</v>
      </c>
      <c r="GG350">
        <v>18.656360030240911</v>
      </c>
      <c r="GH350">
        <v>9.4747393742265569</v>
      </c>
      <c r="GI350">
        <v>24.00133854749151</v>
      </c>
      <c r="GJ350"/>
      <c r="GK350">
        <v>43.479334311077054</v>
      </c>
      <c r="GL350">
        <v>52.697415799736518</v>
      </c>
      <c r="GM350">
        <v>35.165713375034969</v>
      </c>
      <c r="GN350">
        <v>41.129617194115028</v>
      </c>
      <c r="GO350">
        <v>39.145910285779728</v>
      </c>
      <c r="GP350">
        <v>29.01421821484367</v>
      </c>
      <c r="GQ350">
        <v>42.258057587710368</v>
      </c>
      <c r="GR350">
        <v>28.061528854825887</v>
      </c>
      <c r="GS350">
        <v>11.298849236598929</v>
      </c>
      <c r="GT350">
        <v>34.269572959240215</v>
      </c>
      <c r="GU350"/>
      <c r="GV350"/>
      <c r="GW350"/>
      <c r="GX350"/>
      <c r="GY350"/>
      <c r="GZ350"/>
      <c r="HA350"/>
      <c r="HB350"/>
      <c r="HC350"/>
    </row>
    <row r="351" spans="1:211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46.993669871794872</v>
      </c>
      <c r="AO351">
        <v>36.271784239330124</v>
      </c>
      <c r="AP351">
        <v>29.035965418407752</v>
      </c>
      <c r="AQ351">
        <v>244.82834934529774</v>
      </c>
      <c r="AR351">
        <v>35.202697335464791</v>
      </c>
      <c r="AS351">
        <v>327.15424729357187</v>
      </c>
      <c r="AT351">
        <v>27.533029195943246</v>
      </c>
      <c r="AU351">
        <v>29.254681773761433</v>
      </c>
      <c r="AV351"/>
      <c r="AW351"/>
      <c r="FY351" s="211">
        <v>346</v>
      </c>
      <c r="FZ351">
        <v>45.498295478865153</v>
      </c>
      <c r="GA351">
        <v>72.459414424264338</v>
      </c>
      <c r="GB351">
        <v>26.015588860658095</v>
      </c>
      <c r="GC351">
        <v>10.291039997230964</v>
      </c>
      <c r="GD351">
        <v>7.442424449484105</v>
      </c>
      <c r="GE351">
        <v>11.141119678938759</v>
      </c>
      <c r="GF351">
        <v>18.024310637869345</v>
      </c>
      <c r="GG351">
        <v>14.240234301563627</v>
      </c>
      <c r="GH351">
        <v>13.773235775630475</v>
      </c>
      <c r="GI351">
        <v>23.522821209279812</v>
      </c>
      <c r="GJ351"/>
      <c r="GK351">
        <v>48.845821983456304</v>
      </c>
      <c r="GL351">
        <v>66.372971001139007</v>
      </c>
      <c r="GM351">
        <v>46.088397074856431</v>
      </c>
      <c r="GN351">
        <v>33.951277705456235</v>
      </c>
      <c r="GO351">
        <v>32.346005241755144</v>
      </c>
      <c r="GP351">
        <v>23.904670117616362</v>
      </c>
      <c r="GQ351">
        <v>24.284470751581388</v>
      </c>
      <c r="GR351">
        <v>21.419116328430388</v>
      </c>
      <c r="GS351">
        <v>17.48588146811381</v>
      </c>
      <c r="GT351">
        <v>33.810115303952614</v>
      </c>
      <c r="GU351"/>
      <c r="GV351"/>
      <c r="GW351"/>
      <c r="GX351"/>
      <c r="GY351"/>
      <c r="GZ351"/>
      <c r="HA351"/>
      <c r="HB351"/>
      <c r="HC351"/>
    </row>
    <row r="352" spans="1:211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40.653819444444444</v>
      </c>
      <c r="AO352">
        <v>31.809866717062484</v>
      </c>
      <c r="AP352">
        <v>25.430825654098296</v>
      </c>
      <c r="AQ352">
        <v>211.62022597311861</v>
      </c>
      <c r="AR352">
        <v>30.172849034264456</v>
      </c>
      <c r="AS352">
        <v>293.80818860018462</v>
      </c>
      <c r="AT352">
        <v>23.667445293688971</v>
      </c>
      <c r="AU352">
        <v>16.534234956629046</v>
      </c>
      <c r="AV352"/>
      <c r="AW352"/>
      <c r="FY352" s="211">
        <v>347</v>
      </c>
      <c r="FZ352">
        <v>37.911770176783207</v>
      </c>
      <c r="GA352">
        <v>64.373152135287384</v>
      </c>
      <c r="GB352">
        <v>33.745075955674437</v>
      </c>
      <c r="GC352">
        <v>18.123923744450572</v>
      </c>
      <c r="GD352">
        <v>10.688555101707601</v>
      </c>
      <c r="GE352">
        <v>9.0165557837513592</v>
      </c>
      <c r="GF352">
        <v>28.297552537269276</v>
      </c>
      <c r="GG352">
        <v>23.355873506212983</v>
      </c>
      <c r="GH352">
        <v>10.5212381133015</v>
      </c>
      <c r="GI352">
        <v>27.832810264211577</v>
      </c>
      <c r="GJ352"/>
      <c r="GK352">
        <v>39.203718542135114</v>
      </c>
      <c r="GL352">
        <v>56.890309637834342</v>
      </c>
      <c r="GM352">
        <v>59.781712737559445</v>
      </c>
      <c r="GN352">
        <v>59.852775911863695</v>
      </c>
      <c r="GO352">
        <v>46.507838528517098</v>
      </c>
      <c r="GP352">
        <v>19.346151717148867</v>
      </c>
      <c r="GQ352">
        <v>38.125790258455417</v>
      </c>
      <c r="GR352">
        <v>35.130192452433924</v>
      </c>
      <c r="GS352">
        <v>12.471039682433428</v>
      </c>
      <c r="GT352">
        <v>39.218019949820103</v>
      </c>
      <c r="GU352"/>
      <c r="GV352"/>
      <c r="GW352"/>
      <c r="GX352"/>
      <c r="GY352"/>
      <c r="GZ352"/>
      <c r="HA352"/>
      <c r="HB352"/>
      <c r="HC352"/>
    </row>
    <row r="353" spans="1:211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59.220352564102562</v>
      </c>
      <c r="AO353">
        <v>47.508226638341625</v>
      </c>
      <c r="AP353">
        <v>38.758809005254378</v>
      </c>
      <c r="AQ353">
        <v>340.45140417504257</v>
      </c>
      <c r="AR353">
        <v>45.190024700958418</v>
      </c>
      <c r="AS353">
        <v>443.93764949397462</v>
      </c>
      <c r="AT353">
        <v>35.48913465074174</v>
      </c>
      <c r="AU353">
        <v>24.594799673000185</v>
      </c>
      <c r="AV353"/>
      <c r="AW353"/>
      <c r="FY353" s="211">
        <v>348</v>
      </c>
      <c r="FZ353">
        <v>39.736635070670189</v>
      </c>
      <c r="GA353">
        <v>92.669043183765353</v>
      </c>
      <c r="GB353">
        <v>42.457040009590372</v>
      </c>
      <c r="GC353">
        <v>17.627542936907176</v>
      </c>
      <c r="GD353">
        <v>10.805867430657432</v>
      </c>
      <c r="GE353">
        <v>13.326385399702943</v>
      </c>
      <c r="GF353">
        <v>18.077038996634446</v>
      </c>
      <c r="GG353">
        <v>10.131111965789048</v>
      </c>
      <c r="GH353">
        <v>14.650982347049203</v>
      </c>
      <c r="GI353">
        <v>29.048042849195141</v>
      </c>
      <c r="GJ353"/>
      <c r="GK353">
        <v>41.093592453985998</v>
      </c>
      <c r="GL353">
        <v>81.897039148970308</v>
      </c>
      <c r="GM353">
        <v>75.215553607713673</v>
      </c>
      <c r="GN353">
        <v>58.205628304453299</v>
      </c>
      <c r="GO353">
        <v>47.009706738469944</v>
      </c>
      <c r="GP353">
        <v>28.593431900954361</v>
      </c>
      <c r="GQ353">
        <v>24.355512596783484</v>
      </c>
      <c r="GR353">
        <v>15.238475795848485</v>
      </c>
      <c r="GS353">
        <v>16.410666241682986</v>
      </c>
      <c r="GT353">
        <v>40.817006327727213</v>
      </c>
      <c r="GU353"/>
      <c r="GV353"/>
      <c r="GW353"/>
      <c r="GX353"/>
      <c r="GY353"/>
      <c r="GZ353"/>
      <c r="HA353"/>
      <c r="HB353"/>
      <c r="HC353"/>
    </row>
    <row r="354" spans="1:211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51.946554487179483</v>
      </c>
      <c r="AO354">
        <v>41.829828104294961</v>
      </c>
      <c r="AP354">
        <v>52.135232386975439</v>
      </c>
      <c r="AQ354">
        <v>287.22613484549487</v>
      </c>
      <c r="AR354">
        <v>40.643255991032106</v>
      </c>
      <c r="AS354">
        <v>389.29693587147528</v>
      </c>
      <c r="AT354">
        <v>31.166053600826444</v>
      </c>
      <c r="AU354">
        <v>36.767677764786804</v>
      </c>
      <c r="AV354"/>
      <c r="AW354"/>
      <c r="FY354" s="211">
        <v>349</v>
      </c>
      <c r="FZ354">
        <v>43.287514879623373</v>
      </c>
      <c r="GA354">
        <v>57.033905394588402</v>
      </c>
      <c r="GB354">
        <v>28.100846079547072</v>
      </c>
      <c r="GC354">
        <v>13.675621242465597</v>
      </c>
      <c r="GD354">
        <v>7.9115000021802384</v>
      </c>
      <c r="GE354">
        <v>9.637582153113831</v>
      </c>
      <c r="GF354">
        <v>24.650507722683329</v>
      </c>
      <c r="GG354">
        <v>20.521996033264998</v>
      </c>
      <c r="GH354">
        <v>6.2789924344496564</v>
      </c>
      <c r="GI354">
        <v>24.084217398179835</v>
      </c>
      <c r="GJ354"/>
      <c r="GK354">
        <v>44.766455850934101</v>
      </c>
      <c r="GL354">
        <v>50.404189170883448</v>
      </c>
      <c r="GM354">
        <v>49.78257302536516</v>
      </c>
      <c r="GN354">
        <v>45.153055437899908</v>
      </c>
      <c r="GO354">
        <v>34.413441108406914</v>
      </c>
      <c r="GP354">
        <v>20.678641711131675</v>
      </c>
      <c r="GQ354">
        <v>33.212062631977467</v>
      </c>
      <c r="GR354">
        <v>30.867681740308473</v>
      </c>
      <c r="GS354">
        <v>7.0331426750069932</v>
      </c>
      <c r="GT354">
        <v>33.841535058338124</v>
      </c>
      <c r="GU354"/>
      <c r="GV354"/>
      <c r="GW354"/>
      <c r="GX354"/>
      <c r="GY354"/>
      <c r="GZ354"/>
      <c r="HA354"/>
      <c r="HB354"/>
      <c r="HC354"/>
    </row>
    <row r="355" spans="1:211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40.209508547008554</v>
      </c>
      <c r="AO355">
        <v>29.842291560615212</v>
      </c>
      <c r="AP355">
        <v>3.1881119667096702</v>
      </c>
      <c r="AQ355">
        <v>195.28687888820167</v>
      </c>
      <c r="AR355">
        <v>29.479534749610693</v>
      </c>
      <c r="AS355">
        <v>287.93932425724967</v>
      </c>
      <c r="AT355">
        <v>24.220689637836472</v>
      </c>
      <c r="AU355">
        <v>24.036285944798795</v>
      </c>
      <c r="AV355"/>
      <c r="AW355"/>
      <c r="FY355" s="211">
        <v>350</v>
      </c>
      <c r="FZ355">
        <v>32.021819242517687</v>
      </c>
      <c r="GA355">
        <v>75.868357873731554</v>
      </c>
      <c r="GB355">
        <v>33.504469353494926</v>
      </c>
      <c r="GC355">
        <v>13.004645594664643</v>
      </c>
      <c r="GD355">
        <v>10.409629832498609</v>
      </c>
      <c r="GE355">
        <v>8.5449492927317401</v>
      </c>
      <c r="GF355">
        <v>21.117707685421763</v>
      </c>
      <c r="GG355">
        <v>22.293169453857491</v>
      </c>
      <c r="GH355">
        <v>6.627825347474638</v>
      </c>
      <c r="GI355">
        <v>24.714784434554353</v>
      </c>
      <c r="GJ355"/>
      <c r="GK355">
        <v>33.119547403739482</v>
      </c>
      <c r="GL355">
        <v>67.049293501733331</v>
      </c>
      <c r="GM355">
        <v>59.355461666346876</v>
      </c>
      <c r="GN355">
        <v>42.948449260763823</v>
      </c>
      <c r="GO355">
        <v>45.298294909756052</v>
      </c>
      <c r="GP355">
        <v>18.334260819462674</v>
      </c>
      <c r="GQ355">
        <v>28.452259003437383</v>
      </c>
      <c r="GR355">
        <v>33.531750935386881</v>
      </c>
      <c r="GS355">
        <v>7.4238728236184919</v>
      </c>
      <c r="GT355">
        <v>34.729887161379665</v>
      </c>
      <c r="GU355"/>
      <c r="GV355"/>
      <c r="GW355"/>
      <c r="GX355"/>
      <c r="GY355"/>
      <c r="GZ355"/>
      <c r="HA355"/>
      <c r="HB355"/>
      <c r="HC355"/>
    </row>
    <row r="356" spans="1:211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45.022622863247868</v>
      </c>
      <c r="AO356">
        <v>37.223081616965125</v>
      </c>
      <c r="AP356">
        <v>30.674218379423717</v>
      </c>
      <c r="AQ356">
        <v>253.04743618200106</v>
      </c>
      <c r="AR356">
        <v>35.475986796713819</v>
      </c>
      <c r="AS356">
        <v>345.47355398498229</v>
      </c>
      <c r="AT356">
        <v>27.792925273441515</v>
      </c>
      <c r="AU356">
        <v>14.340737446158871</v>
      </c>
      <c r="AV356"/>
      <c r="AW356"/>
      <c r="FY356" s="211">
        <v>351</v>
      </c>
      <c r="FZ356">
        <v>33.424842209783733</v>
      </c>
      <c r="GA356">
        <v>49.380578287849517</v>
      </c>
      <c r="GB356">
        <v>17.734711635647084</v>
      </c>
      <c r="GC356">
        <v>10.500540802581362</v>
      </c>
      <c r="GD356">
        <v>8.8233210979463799</v>
      </c>
      <c r="GE356">
        <v>16.193379315406379</v>
      </c>
      <c r="GF356">
        <v>35.855283960266654</v>
      </c>
      <c r="GG356">
        <v>23.025254467702386</v>
      </c>
      <c r="GH356">
        <v>9.0696557386495034</v>
      </c>
      <c r="GI356">
        <v>23.12525462216016</v>
      </c>
      <c r="GJ356"/>
      <c r="GK356">
        <v>36.368045606347764</v>
      </c>
      <c r="GL356">
        <v>45.976857243618724</v>
      </c>
      <c r="GM356">
        <v>31.418256040624676</v>
      </c>
      <c r="GN356">
        <v>34.681626955484823</v>
      </c>
      <c r="GO356">
        <v>38.399028124617303</v>
      </c>
      <c r="GP356">
        <v>34.74492706114566</v>
      </c>
      <c r="GQ356">
        <v>48.308454737421769</v>
      </c>
      <c r="GR356">
        <v>34.632899536019288</v>
      </c>
      <c r="GS356">
        <v>10.158983863898989</v>
      </c>
      <c r="GT356">
        <v>32.930553674582093</v>
      </c>
      <c r="GU356"/>
      <c r="GV356"/>
      <c r="GW356"/>
      <c r="GX356"/>
      <c r="GY356"/>
      <c r="GZ356"/>
      <c r="HA356"/>
      <c r="HB356"/>
      <c r="HC356"/>
    </row>
    <row r="357" spans="1:211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56.111244658119666</v>
      </c>
      <c r="AO357">
        <v>43.183574380307086</v>
      </c>
      <c r="AP357">
        <v>32.177313939556925</v>
      </c>
      <c r="AQ357">
        <v>299.04125813595624</v>
      </c>
      <c r="AR357">
        <v>41.030168818103611</v>
      </c>
      <c r="AS357">
        <v>380.85290719228635</v>
      </c>
      <c r="AT357">
        <v>32.449685381449875</v>
      </c>
      <c r="AU357">
        <v>38.544181594328954</v>
      </c>
      <c r="AV357"/>
      <c r="AW357"/>
      <c r="FY357" s="211">
        <v>352</v>
      </c>
      <c r="FZ357">
        <v>30.679210099086468</v>
      </c>
      <c r="GA357">
        <v>66.406919304396737</v>
      </c>
      <c r="GB357">
        <v>31.379111034242715</v>
      </c>
      <c r="GC357">
        <v>13.533766863429181</v>
      </c>
      <c r="GD357">
        <v>8.7134481478415005</v>
      </c>
      <c r="GE357">
        <v>10.912320490226268</v>
      </c>
      <c r="GF357">
        <v>29.290603294011959</v>
      </c>
      <c r="GG357">
        <v>21.041540236638799</v>
      </c>
      <c r="GH357">
        <v>6.6840760700267099</v>
      </c>
      <c r="GI357">
        <v>24.527855748658268</v>
      </c>
      <c r="GJ357"/>
      <c r="GK357">
        <v>31.719218905881942</v>
      </c>
      <c r="GL357">
        <v>58.687668321447248</v>
      </c>
      <c r="GM357">
        <v>55.59024387063608</v>
      </c>
      <c r="GN357">
        <v>44.699893318310437</v>
      </c>
      <c r="GO357">
        <v>37.920861858834009</v>
      </c>
      <c r="GP357">
        <v>23.413752751412169</v>
      </c>
      <c r="GQ357">
        <v>39.463745009761467</v>
      </c>
      <c r="GR357">
        <v>31.649142037531476</v>
      </c>
      <c r="GS357">
        <v>8.1730080477069329</v>
      </c>
      <c r="GT357">
        <v>34.573415538564085</v>
      </c>
      <c r="GU357"/>
      <c r="GV357"/>
      <c r="GW357"/>
      <c r="GX357"/>
      <c r="GY357"/>
      <c r="GZ357"/>
      <c r="HA357"/>
      <c r="HB357"/>
      <c r="HC357"/>
    </row>
    <row r="358" spans="1:211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43.000908119658128</v>
      </c>
      <c r="AO358">
        <v>34.088289533051359</v>
      </c>
      <c r="AP358">
        <v>23.696697031626236</v>
      </c>
      <c r="AQ358">
        <v>225.44335363030365</v>
      </c>
      <c r="AR358">
        <v>32.97844639433589</v>
      </c>
      <c r="AS358">
        <v>324.40707608338425</v>
      </c>
      <c r="AT358">
        <v>26.092090036565505</v>
      </c>
      <c r="AU358">
        <v>14.524443272427273</v>
      </c>
      <c r="AV358"/>
      <c r="AW358"/>
      <c r="FY358" s="211">
        <v>353</v>
      </c>
      <c r="FZ358">
        <v>35.334397476477832</v>
      </c>
      <c r="GA358">
        <v>69.943905685456485</v>
      </c>
      <c r="GB358">
        <v>32.5019418444137</v>
      </c>
      <c r="GC358">
        <v>13.220241544243514</v>
      </c>
      <c r="GD358">
        <v>9.3592839278949818</v>
      </c>
      <c r="GE358">
        <v>13.326385399702941</v>
      </c>
      <c r="GF358">
        <v>24.694448021654242</v>
      </c>
      <c r="GG358">
        <v>15.798866911685019</v>
      </c>
      <c r="GH358">
        <v>10.464987390749428</v>
      </c>
      <c r="GI358">
        <v>25.59337654100446</v>
      </c>
      <c r="GJ358"/>
      <c r="GK358">
        <v>36.543603513004996</v>
      </c>
      <c r="GL358">
        <v>61.813509510339244</v>
      </c>
      <c r="GM358">
        <v>57.579415536294626</v>
      </c>
      <c r="GN358">
        <v>43.629807656802818</v>
      </c>
      <c r="GO358">
        <v>40.692500595562528</v>
      </c>
      <c r="GP358">
        <v>28.593431900954357</v>
      </c>
      <c r="GQ358">
        <v>33.271264169645875</v>
      </c>
      <c r="GR358">
        <v>23.763497220099385</v>
      </c>
      <c r="GS358">
        <v>11.721904458344989</v>
      </c>
      <c r="GT358">
        <v>35.961737654570598</v>
      </c>
      <c r="GU358"/>
      <c r="GV358"/>
      <c r="GW358"/>
      <c r="GX358"/>
      <c r="GY358"/>
      <c r="GZ358"/>
      <c r="HA358"/>
      <c r="HB358"/>
      <c r="HC358"/>
    </row>
    <row r="359" spans="1:211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48.836885683760684</v>
      </c>
      <c r="AO359">
        <v>40.957156214347037</v>
      </c>
      <c r="AP359">
        <v>63.045188975270108</v>
      </c>
      <c r="AQ359">
        <v>280.5091615889184</v>
      </c>
      <c r="AR359">
        <v>38.82274979684319</v>
      </c>
      <c r="AS359">
        <v>360.53059531089878</v>
      </c>
      <c r="AT359">
        <v>29.319626801901048</v>
      </c>
      <c r="AU359">
        <v>18.560797634824386</v>
      </c>
      <c r="AV359"/>
      <c r="AW359"/>
      <c r="FY359" s="211">
        <v>354</v>
      </c>
      <c r="FZ359">
        <v>53.221618312561674</v>
      </c>
      <c r="GA359">
        <v>81.341498648979751</v>
      </c>
      <c r="GB359">
        <v>33.063357249499184</v>
      </c>
      <c r="GC359">
        <v>12.539113459303822</v>
      </c>
      <c r="GD359">
        <v>6.6455267012092394</v>
      </c>
      <c r="GE359">
        <v>7.6951237346567769</v>
      </c>
      <c r="GF359">
        <v>29.967283898164045</v>
      </c>
      <c r="GG359">
        <v>27.535842778811254</v>
      </c>
      <c r="GH359">
        <v>14.009567243551309</v>
      </c>
      <c r="GI359">
        <v>28.177196750278796</v>
      </c>
      <c r="GJ359"/>
      <c r="GK359">
        <v>58.649136627021996</v>
      </c>
      <c r="GL359">
        <v>76.558946631944352</v>
      </c>
      <c r="GM359">
        <v>58.574001369123884</v>
      </c>
      <c r="GN359">
        <v>41.380149225403265</v>
      </c>
      <c r="GO359">
        <v>28.882249227158518</v>
      </c>
      <c r="GP359">
        <v>16.510853459275673</v>
      </c>
      <c r="GQ359">
        <v>40.375448689854963</v>
      </c>
      <c r="GR359">
        <v>41.417395752818955</v>
      </c>
      <c r="GS359">
        <v>16.378341168548427</v>
      </c>
      <c r="GT359">
        <v>40.57183541634155</v>
      </c>
      <c r="GU359"/>
      <c r="GV359"/>
      <c r="GW359"/>
      <c r="GX359"/>
      <c r="GY359"/>
      <c r="GZ359"/>
      <c r="HA359"/>
      <c r="HB359"/>
      <c r="HC359"/>
    </row>
    <row r="360" spans="1:211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40.813274572649568</v>
      </c>
      <c r="AO360">
        <v>30.77788663611377</v>
      </c>
      <c r="AP360">
        <v>20.196973418736082</v>
      </c>
      <c r="AQ360">
        <v>202.89876392286538</v>
      </c>
      <c r="AR360">
        <v>29.308586420247</v>
      </c>
      <c r="AS360">
        <v>293.6201386922134</v>
      </c>
      <c r="AT360">
        <v>23.802197524078011</v>
      </c>
      <c r="AU360">
        <v>30.66712613964242</v>
      </c>
      <c r="AV360"/>
      <c r="AW360"/>
      <c r="FY360" s="211">
        <v>355</v>
      </c>
      <c r="FZ360">
        <v>54.4507292689661</v>
      </c>
      <c r="GA360">
        <v>78.688758863184944</v>
      </c>
      <c r="GB360">
        <v>27.128394395738269</v>
      </c>
      <c r="GC360">
        <v>12.718870679429871</v>
      </c>
      <c r="GD360">
        <v>8.4790722701506027</v>
      </c>
      <c r="GE360">
        <v>10.973022315803053</v>
      </c>
      <c r="GF360">
        <v>20.634364396741699</v>
      </c>
      <c r="GG360">
        <v>15.019550606624323</v>
      </c>
      <c r="GH360">
        <v>11.860319042849351</v>
      </c>
      <c r="GI360">
        <v>25.847076933295469</v>
      </c>
      <c r="GJ360"/>
      <c r="GK360">
        <v>59.916992319666413</v>
      </c>
      <c r="GL360">
        <v>74.214565740275361</v>
      </c>
      <c r="GM360">
        <v>48.059808279214451</v>
      </c>
      <c r="GN360">
        <v>41.993059515737684</v>
      </c>
      <c r="GO360">
        <v>36.883511418510373</v>
      </c>
      <c r="GP360">
        <v>23.543996134282668</v>
      </c>
      <c r="GQ360">
        <v>27.801042089084884</v>
      </c>
      <c r="GR360">
        <v>22.591306774264886</v>
      </c>
      <c r="GS360">
        <v>13.284825052790985</v>
      </c>
      <c r="GT360">
        <v>37.189235831853424</v>
      </c>
      <c r="GU360"/>
      <c r="GV360"/>
      <c r="GW360"/>
      <c r="GX360"/>
      <c r="GY360"/>
      <c r="GZ360"/>
      <c r="HA360"/>
      <c r="HB360"/>
      <c r="HC360"/>
    </row>
    <row r="361" spans="1:211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45.564850427350436</v>
      </c>
      <c r="AO361">
        <v>35.652021781896238</v>
      </c>
      <c r="AP361">
        <v>22.629533923569497</v>
      </c>
      <c r="AQ361">
        <v>235.60882917854772</v>
      </c>
      <c r="AR361">
        <v>34.269572959240222</v>
      </c>
      <c r="AS361">
        <v>315.67462322840942</v>
      </c>
      <c r="AT361">
        <v>27.162729594904192</v>
      </c>
      <c r="AU361">
        <v>22.500330622741266</v>
      </c>
      <c r="AV361"/>
      <c r="AW361"/>
      <c r="FY361" s="211">
        <v>356</v>
      </c>
      <c r="FZ361">
        <v>74.267317578227463</v>
      </c>
      <c r="GA361">
        <v>86.372516126595499</v>
      </c>
      <c r="GB361">
        <v>22.376414002693206</v>
      </c>
      <c r="GC361">
        <v>14.528985996444302</v>
      </c>
      <c r="GD361">
        <v>8.8308552430964298</v>
      </c>
      <c r="GE361">
        <v>11.35124138285839</v>
      </c>
      <c r="GF361">
        <v>29.070901799157383</v>
      </c>
      <c r="GG361">
        <v>21.277696692717793</v>
      </c>
      <c r="GH361">
        <v>13.31190141750135</v>
      </c>
      <c r="GI361">
        <v>29.548857571552919</v>
      </c>
      <c r="GJ361"/>
      <c r="GK361">
        <v>84.011214610916142</v>
      </c>
      <c r="GL361">
        <v>85.677869613543891</v>
      </c>
      <c r="GM361">
        <v>39.64134962276669</v>
      </c>
      <c r="GN361">
        <v>47.986944848237961</v>
      </c>
      <c r="GO361">
        <v>38.431816668556735</v>
      </c>
      <c r="GP361">
        <v>24.355512596783477</v>
      </c>
      <c r="GQ361">
        <v>39.167737321419416</v>
      </c>
      <c r="GR361">
        <v>32.004351263541928</v>
      </c>
      <c r="GS361">
        <v>15.596880871325428</v>
      </c>
      <c r="GT361">
        <v>43.369799818996889</v>
      </c>
      <c r="GU361"/>
      <c r="GV361"/>
      <c r="GW361"/>
      <c r="GX361"/>
      <c r="GY361"/>
      <c r="GZ361"/>
      <c r="HA361"/>
      <c r="HB361"/>
      <c r="HC361"/>
    </row>
    <row r="362" spans="1:211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45.135496794871798</v>
      </c>
      <c r="AO362">
        <v>34.850872697635765</v>
      </c>
      <c r="AP362">
        <v>48.069356976528411</v>
      </c>
      <c r="AQ362">
        <v>242.40848481378464</v>
      </c>
      <c r="AR362">
        <v>33.810115303952607</v>
      </c>
      <c r="AS362">
        <v>323.64547718516889</v>
      </c>
      <c r="AT362">
        <v>25.830963635044871</v>
      </c>
      <c r="AU362">
        <v>40.200870266372</v>
      </c>
      <c r="AV362"/>
      <c r="AW362"/>
      <c r="FY362" s="211">
        <v>357</v>
      </c>
      <c r="FZ362">
        <v>32.021819242517687</v>
      </c>
      <c r="GA362">
        <v>59.067672563697776</v>
      </c>
      <c r="GB362">
        <v>25.454173455572604</v>
      </c>
      <c r="GC362">
        <v>13.443731106452335</v>
      </c>
      <c r="GD362">
        <v>10.345636981875744</v>
      </c>
      <c r="GE362">
        <v>7.8305354994049852</v>
      </c>
      <c r="GF362">
        <v>21.170436044186861</v>
      </c>
      <c r="GG362">
        <v>21.561084440012593</v>
      </c>
      <c r="GH362">
        <v>14.763483792153346</v>
      </c>
      <c r="GI362">
        <v>23.993433465360571</v>
      </c>
      <c r="GJ362"/>
      <c r="GK362">
        <v>33.119547403739482</v>
      </c>
      <c r="GL362">
        <v>52.201547854496354</v>
      </c>
      <c r="GM362">
        <v>45.093811242027158</v>
      </c>
      <c r="GN362">
        <v>44.402519440637583</v>
      </c>
      <c r="GO362">
        <v>45.024135586155879</v>
      </c>
      <c r="GP362">
        <v>16.801396390294482</v>
      </c>
      <c r="GQ362">
        <v>28.523300848639476</v>
      </c>
      <c r="GR362">
        <v>32.430602334754475</v>
      </c>
      <c r="GS362">
        <v>17.908936689859871</v>
      </c>
      <c r="GT362">
        <v>33.933946354084377</v>
      </c>
      <c r="GU362"/>
      <c r="GV362"/>
      <c r="GW362"/>
      <c r="GX362"/>
      <c r="GY362"/>
      <c r="GZ362"/>
      <c r="HA362"/>
      <c r="HB362"/>
      <c r="HC362"/>
    </row>
    <row r="363" spans="1:211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54.608814102564097</v>
      </c>
      <c r="AO363">
        <v>40.652754941820149</v>
      </c>
      <c r="AP363">
        <v>11.404467133082743</v>
      </c>
      <c r="AQ363">
        <v>263.86650731864989</v>
      </c>
      <c r="AR363">
        <v>39.218019949820125</v>
      </c>
      <c r="AS363">
        <v>395.58577268685019</v>
      </c>
      <c r="AT363">
        <v>31.87520074999556</v>
      </c>
      <c r="AU363">
        <v>29.558496868926973</v>
      </c>
      <c r="AV363"/>
      <c r="AW363"/>
      <c r="FY363" s="211">
        <v>358</v>
      </c>
      <c r="FZ363">
        <v>59.820476899982097</v>
      </c>
      <c r="GA363">
        <v>115.47341722620631</v>
      </c>
      <c r="GB363">
        <v>50.818119435327894</v>
      </c>
      <c r="GC363">
        <v>16.744093933055193</v>
      </c>
      <c r="GD363">
        <v>8.8931738392415074</v>
      </c>
      <c r="GE363">
        <v>9.3947748508066979</v>
      </c>
      <c r="GF363">
        <v>24.501110706182224</v>
      </c>
      <c r="GG363">
        <v>19.955220538675402</v>
      </c>
      <c r="GH363">
        <v>9.8235722872515403</v>
      </c>
      <c r="GI363">
        <v>33.305743999389023</v>
      </c>
      <c r="GJ363"/>
      <c r="GK363">
        <v>65.45729126857789</v>
      </c>
      <c r="GL363">
        <v>106.72331410475212</v>
      </c>
      <c r="GM363">
        <v>90.027778332349612</v>
      </c>
      <c r="GN363">
        <v>55.299256207724767</v>
      </c>
      <c r="GO363">
        <v>38.698689649059261</v>
      </c>
      <c r="GP363">
        <v>20.157668179649672</v>
      </c>
      <c r="GQ363">
        <v>33.010777403904882</v>
      </c>
      <c r="GR363">
        <v>30.015179597883385</v>
      </c>
      <c r="GS363">
        <v>11.689579385210433</v>
      </c>
      <c r="GT363">
        <v>47.776823207820414</v>
      </c>
      <c r="GU363"/>
      <c r="GV363"/>
      <c r="GW363"/>
      <c r="GX363"/>
      <c r="GY363"/>
      <c r="GZ363"/>
      <c r="HA363"/>
      <c r="HB363"/>
      <c r="HC363"/>
    </row>
    <row r="364" spans="1:211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57.985550213675211</v>
      </c>
      <c r="AO364">
        <v>42.883661311658983</v>
      </c>
      <c r="AP364">
        <v>10.231448264570883</v>
      </c>
      <c r="AQ364">
        <v>288.52969018996134</v>
      </c>
      <c r="AR364">
        <v>40.81700632772727</v>
      </c>
      <c r="AS364">
        <v>374.01152334772064</v>
      </c>
      <c r="AT364">
        <v>33.363751601285429</v>
      </c>
      <c r="AU364">
        <v>23.052191044259025</v>
      </c>
      <c r="AV364"/>
      <c r="AW364"/>
      <c r="FY364" s="211">
        <v>359</v>
      </c>
      <c r="FZ364">
        <v>46.021008715834498</v>
      </c>
      <c r="GA364">
        <v>79.838279437029385</v>
      </c>
      <c r="GB364">
        <v>34.61727488857511</v>
      </c>
      <c r="GC364">
        <v>16.178998100183826</v>
      </c>
      <c r="GD364">
        <v>8.6914735578205207</v>
      </c>
      <c r="GE364">
        <v>7.5877281970978565</v>
      </c>
      <c r="GF364">
        <v>21.073767386450847</v>
      </c>
      <c r="GG364">
        <v>19.482907626517406</v>
      </c>
      <c r="GH364">
        <v>18.364314367507298</v>
      </c>
      <c r="GI364">
        <v>27.829791078032347</v>
      </c>
      <c r="GJ364"/>
      <c r="GK364">
        <v>51.196525406372125</v>
      </c>
      <c r="GL364">
        <v>75.230464126665282</v>
      </c>
      <c r="GM364">
        <v>61.326872870704918</v>
      </c>
      <c r="GN364">
        <v>53.43667408883681</v>
      </c>
      <c r="GO364">
        <v>37.825228605677339</v>
      </c>
      <c r="GP364">
        <v>16.280422858812486</v>
      </c>
      <c r="GQ364">
        <v>28.393057465768976</v>
      </c>
      <c r="GR364">
        <v>29.304761145862479</v>
      </c>
      <c r="GS364">
        <v>23.314508624151749</v>
      </c>
      <c r="GT364">
        <v>40.411238594535021</v>
      </c>
      <c r="GU364"/>
      <c r="GV364"/>
      <c r="GW364"/>
      <c r="GX364"/>
      <c r="GY364"/>
      <c r="GZ364"/>
      <c r="HA364"/>
      <c r="HB364"/>
      <c r="HC364"/>
    </row>
    <row r="365" spans="1:211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47.497195512820511</v>
      </c>
      <c r="AO365">
        <v>35.015277841025224</v>
      </c>
      <c r="AP365">
        <v>7.5178412497691971</v>
      </c>
      <c r="AQ365">
        <v>235.18268334009639</v>
      </c>
      <c r="AR365">
        <v>33.841535058338145</v>
      </c>
      <c r="AS365">
        <v>322.60196703268798</v>
      </c>
      <c r="AT365">
        <v>27.507066339428391</v>
      </c>
      <c r="AU365">
        <v>42.367035399447261</v>
      </c>
      <c r="AV365"/>
      <c r="AW365"/>
      <c r="FY365" s="211">
        <v>360</v>
      </c>
      <c r="FZ365">
        <v>30.952460690961153</v>
      </c>
      <c r="GA365">
        <v>61.720412349492577</v>
      </c>
      <c r="GB365">
        <v>29.444232941715928</v>
      </c>
      <c r="GC365">
        <v>11.80348417013542</v>
      </c>
      <c r="GD365">
        <v>8.0985979400731249</v>
      </c>
      <c r="GE365">
        <v>9.8803894554209588</v>
      </c>
      <c r="GF365">
        <v>32.524609298271308</v>
      </c>
      <c r="GG365">
        <v>28.267927792656156</v>
      </c>
      <c r="GH365">
        <v>10.926321748878554</v>
      </c>
      <c r="GI365">
        <v>25.014148017104464</v>
      </c>
      <c r="GJ365"/>
      <c r="GK365">
        <v>32.011133789111597</v>
      </c>
      <c r="GL365">
        <v>54.545928746165352</v>
      </c>
      <c r="GM365">
        <v>52.162474839635202</v>
      </c>
      <c r="GN365">
        <v>38.969682526656399</v>
      </c>
      <c r="GO365">
        <v>35.227689949569339</v>
      </c>
      <c r="GP365">
        <v>21.199615242613667</v>
      </c>
      <c r="GQ365">
        <v>43.820978182156374</v>
      </c>
      <c r="GR365">
        <v>42.518544353451368</v>
      </c>
      <c r="GS365">
        <v>13.610905055133371</v>
      </c>
      <c r="GT365">
        <v>35.366636363121167</v>
      </c>
      <c r="GU365"/>
      <c r="GV365"/>
      <c r="GW365"/>
      <c r="GX365"/>
      <c r="GY365"/>
      <c r="GZ365"/>
      <c r="HA365"/>
      <c r="HB365"/>
      <c r="HC365"/>
    </row>
    <row r="366" spans="1:211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49.572489316239306</v>
      </c>
      <c r="AO366">
        <v>37.024307748562464</v>
      </c>
      <c r="AP366">
        <v>2.7411407610690719</v>
      </c>
      <c r="AQ366">
        <v>248.10735811094742</v>
      </c>
      <c r="AR366">
        <v>34.729887161379686</v>
      </c>
      <c r="AS366">
        <v>335.06115905414697</v>
      </c>
      <c r="AT366">
        <v>28.735591776046459</v>
      </c>
      <c r="AU366">
        <v>23.051804412607801</v>
      </c>
      <c r="AV366"/>
      <c r="AW366"/>
      <c r="FY366" s="211">
        <v>361</v>
      </c>
      <c r="FZ366">
        <v>55.776180270471507</v>
      </c>
      <c r="GA366">
        <v>99.782634217950886</v>
      </c>
      <c r="GB366">
        <v>31.188630807517281</v>
      </c>
      <c r="GC366">
        <v>12.699530966406369</v>
      </c>
      <c r="GD366">
        <v>10.403552775263124</v>
      </c>
      <c r="GE366">
        <v>11.580040571570885</v>
      </c>
      <c r="GF366">
        <v>20.757397233860257</v>
      </c>
      <c r="GG366">
        <v>18.679975675848805</v>
      </c>
      <c r="GH366">
        <v>18.308063644955226</v>
      </c>
      <c r="GI366">
        <v>29.420985975904486</v>
      </c>
      <c r="GJ366"/>
      <c r="GK366">
        <v>59.484901205632852</v>
      </c>
      <c r="GL366">
        <v>90.520094185329668</v>
      </c>
      <c r="GM366">
        <v>55.252795105926154</v>
      </c>
      <c r="GN366">
        <v>41.906142782316003</v>
      </c>
      <c r="GO366">
        <v>45.232813802836986</v>
      </c>
      <c r="GP366">
        <v>24.846429962987674</v>
      </c>
      <c r="GQ366">
        <v>27.966806394556425</v>
      </c>
      <c r="GR366">
        <v>28.097049777426928</v>
      </c>
      <c r="GS366">
        <v>22.565373400063301</v>
      </c>
      <c r="GT366">
        <v>42.100537981803143</v>
      </c>
      <c r="GU366"/>
      <c r="GV366"/>
      <c r="GW366"/>
      <c r="GX366"/>
      <c r="GY366"/>
      <c r="GZ366"/>
      <c r="HA366"/>
      <c r="HB366"/>
      <c r="HC366"/>
    </row>
    <row r="367" spans="1:211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44.370058760683762</v>
      </c>
      <c r="AO367">
        <v>34.761963284376108</v>
      </c>
      <c r="AP367">
        <v>18.544486405301772</v>
      </c>
      <c r="AQ367">
        <v>227.13282213799317</v>
      </c>
      <c r="AR367">
        <v>32.930553674582079</v>
      </c>
      <c r="AS367">
        <v>315.93638996833619</v>
      </c>
      <c r="AT367">
        <v>26.453845428974574</v>
      </c>
      <c r="AU367">
        <v>20.261147356094398</v>
      </c>
      <c r="AV367"/>
      <c r="AW367"/>
      <c r="FY367" s="211">
        <v>362</v>
      </c>
      <c r="FZ367">
        <v>38.475085031103944</v>
      </c>
      <c r="GA367">
        <v>54.332359221333157</v>
      </c>
      <c r="GB367">
        <v>20.391409534712359</v>
      </c>
      <c r="GC367">
        <v>9.5646608427128559</v>
      </c>
      <c r="GD367">
        <v>6.8523721463217226</v>
      </c>
      <c r="GE367">
        <v>10.366004060035225</v>
      </c>
      <c r="GF367">
        <v>19.984047971972153</v>
      </c>
      <c r="GG367">
        <v>14.523622048858424</v>
      </c>
      <c r="GH367">
        <v>13.716985053078401</v>
      </c>
      <c r="GI367">
        <v>21.054637647068414</v>
      </c>
      <c r="GJ367"/>
      <c r="GK367">
        <v>41.589460399226169</v>
      </c>
      <c r="GL367">
        <v>50.353034908067528</v>
      </c>
      <c r="GM367">
        <v>36.124778285263197</v>
      </c>
      <c r="GN367">
        <v>31.57904297886984</v>
      </c>
      <c r="GO367">
        <v>29.808461606140813</v>
      </c>
      <c r="GP367">
        <v>22.241562305577673</v>
      </c>
      <c r="GQ367">
        <v>26.92485933159243</v>
      </c>
      <c r="GR367">
        <v>21.845367399642932</v>
      </c>
      <c r="GS367">
        <v>16.736746244025369</v>
      </c>
      <c r="GT367">
        <v>30.236861173249594</v>
      </c>
      <c r="GU367"/>
      <c r="GV367"/>
      <c r="GW367"/>
      <c r="GX367"/>
      <c r="GY367"/>
      <c r="GZ367"/>
      <c r="HA367"/>
      <c r="HB367"/>
      <c r="HC367"/>
    </row>
    <row r="368" spans="1:211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49.153792735042735</v>
      </c>
      <c r="AO368">
        <v>36.589094966008588</v>
      </c>
      <c r="AP368">
        <v>15.98912998934258</v>
      </c>
      <c r="AQ368">
        <v>243.16885128855864</v>
      </c>
      <c r="AR368">
        <v>34.573415538564099</v>
      </c>
      <c r="AS368">
        <v>321.66722117771639</v>
      </c>
      <c r="AT368">
        <v>28.163792153195217</v>
      </c>
      <c r="AU368">
        <v>28.835263641825552</v>
      </c>
      <c r="AV368"/>
      <c r="AW368"/>
      <c r="FY368" s="211">
        <v>363</v>
      </c>
      <c r="FZ368">
        <v>47.22730892984341</v>
      </c>
      <c r="GA368">
        <v>84.838866757973449</v>
      </c>
      <c r="GB368">
        <v>31.078352781518344</v>
      </c>
      <c r="GC368">
        <v>8.4376282584422047</v>
      </c>
      <c r="GD368">
        <v>5.5142242549491147</v>
      </c>
      <c r="GE368">
        <v>11.411943208435176</v>
      </c>
      <c r="GF368">
        <v>23.393815172115161</v>
      </c>
      <c r="GG368">
        <v>16.365642406274617</v>
      </c>
      <c r="GH368">
        <v>15.056065982626254</v>
      </c>
      <c r="GI368">
        <v>25.055872733199227</v>
      </c>
      <c r="GJ368"/>
      <c r="GK368">
        <v>50.640030648497273</v>
      </c>
      <c r="GL368">
        <v>77.313415162260981</v>
      </c>
      <c r="GM368">
        <v>55.057430031620399</v>
      </c>
      <c r="GN368">
        <v>27.856632448857724</v>
      </c>
      <c r="GO368">
        <v>23.984851885343776</v>
      </c>
      <c r="GP368">
        <v>24.48575597965398</v>
      </c>
      <c r="GQ368">
        <v>31.518898654660973</v>
      </c>
      <c r="GR368">
        <v>24.615999362524477</v>
      </c>
      <c r="GS368">
        <v>17.550531614382926</v>
      </c>
      <c r="GT368">
        <v>35.750348566901074</v>
      </c>
      <c r="GU368"/>
      <c r="GV368"/>
      <c r="GW368"/>
      <c r="GX368"/>
      <c r="GY368"/>
      <c r="GZ368"/>
      <c r="HA368"/>
      <c r="HB368"/>
      <c r="HC368"/>
    </row>
    <row r="369" spans="1:211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50.972702991452991</v>
      </c>
      <c r="AO369">
        <v>37.357067221561934</v>
      </c>
      <c r="AP369">
        <v>8.0587013714679667</v>
      </c>
      <c r="AQ369">
        <v>250.2378347432826</v>
      </c>
      <c r="AR369">
        <v>35.961737654570612</v>
      </c>
      <c r="AS369">
        <v>366.14934591995177</v>
      </c>
      <c r="AT369">
        <v>29.161357723004041</v>
      </c>
      <c r="AU369">
        <v>26.069910131088612</v>
      </c>
      <c r="AV369"/>
      <c r="AW369"/>
      <c r="FY369" s="211">
        <v>364</v>
      </c>
      <c r="FZ369">
        <v>37.710927552391674</v>
      </c>
      <c r="GA369">
        <v>74.846880231479702</v>
      </c>
      <c r="GB369">
        <v>31.188630807517281</v>
      </c>
      <c r="GC369">
        <v>11.01355646120809</v>
      </c>
      <c r="GD369">
        <v>6.7823298724163932</v>
      </c>
      <c r="GE369">
        <v>9.5021703883656219</v>
      </c>
      <c r="GF369">
        <v>15.44062105837954</v>
      </c>
      <c r="GG369">
        <v>11.406356828615641</v>
      </c>
      <c r="GH369">
        <v>12.265402678426405</v>
      </c>
      <c r="GI369">
        <v>22.496780957217741</v>
      </c>
      <c r="GJ369"/>
      <c r="GK369">
        <v>40.804850083431248</v>
      </c>
      <c r="GL369">
        <v>68.482913803641111</v>
      </c>
      <c r="GM369">
        <v>55.252795105926154</v>
      </c>
      <c r="GN369">
        <v>36.352995890814881</v>
      </c>
      <c r="GO369">
        <v>29.49062688215907</v>
      </c>
      <c r="GP369">
        <v>20.388098780112863</v>
      </c>
      <c r="GQ369">
        <v>20.803420336678936</v>
      </c>
      <c r="GR369">
        <v>17.156605616304937</v>
      </c>
      <c r="GS369">
        <v>14.424690425490926</v>
      </c>
      <c r="GT369">
        <v>32.155276566737271</v>
      </c>
      <c r="GU369"/>
      <c r="GV369"/>
      <c r="GW369"/>
      <c r="GX369"/>
      <c r="GY369"/>
      <c r="GZ369"/>
      <c r="HA369"/>
      <c r="HB369"/>
      <c r="HC369"/>
    </row>
    <row r="370" spans="1:211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52.138461538461527</v>
      </c>
      <c r="AO370">
        <v>41.929835756749164</v>
      </c>
      <c r="AP370">
        <v>39.60060040797957</v>
      </c>
      <c r="AQ370">
        <v>294.19612877701582</v>
      </c>
      <c r="AR370">
        <v>40.571835416341571</v>
      </c>
      <c r="AS370">
        <v>393.26226709768611</v>
      </c>
      <c r="AT370">
        <v>31.609603192482606</v>
      </c>
      <c r="AU370">
        <v>25.789144845695713</v>
      </c>
      <c r="AV370"/>
      <c r="AW370"/>
      <c r="FY370" s="211">
        <v>365</v>
      </c>
      <c r="FZ370">
        <v>44.138872664862561</v>
      </c>
      <c r="GA370">
        <v>71.181850918827394</v>
      </c>
      <c r="GB370">
        <v>32.191158316598525</v>
      </c>
      <c r="GC370">
        <v>16.805414124827177</v>
      </c>
      <c r="GD370">
        <v>11.039283780851303</v>
      </c>
      <c r="GE370">
        <v>13.447789050856509</v>
      </c>
      <c r="GF370">
        <v>15.950328526442156</v>
      </c>
      <c r="GG370">
        <v>10.390884067475948</v>
      </c>
      <c r="GH370">
        <v>13.716985053078405</v>
      </c>
      <c r="GI370">
        <v>26.735005469471094</v>
      </c>
      <c r="GJ370"/>
      <c r="GK370">
        <v>45.643581394967015</v>
      </c>
      <c r="GL370">
        <v>62.907553926451435</v>
      </c>
      <c r="GM370">
        <v>57.028841235978433</v>
      </c>
      <c r="GN370">
        <v>55.478746393810908</v>
      </c>
      <c r="GO370">
        <v>48.012521700937327</v>
      </c>
      <c r="GP370">
        <v>28.85391866669536</v>
      </c>
      <c r="GQ370">
        <v>21.49015817363248</v>
      </c>
      <c r="GR370">
        <v>15.629205944459986</v>
      </c>
      <c r="GS370">
        <v>16.736746244025369</v>
      </c>
      <c r="GT370">
        <v>37.782369749908128</v>
      </c>
      <c r="GU370"/>
      <c r="GV370"/>
      <c r="GW370"/>
      <c r="GX370"/>
      <c r="GY370"/>
      <c r="GZ370"/>
      <c r="HA370"/>
      <c r="HB370"/>
      <c r="HC370"/>
    </row>
    <row r="371" spans="1:211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47.583707264957262</v>
      </c>
      <c r="AO371">
        <v>38.54783431556811</v>
      </c>
      <c r="AP371">
        <v>34.471502525105734</v>
      </c>
      <c r="AQ371">
        <v>265.80015877278367</v>
      </c>
      <c r="AR371">
        <v>37.189235831853431</v>
      </c>
      <c r="AS371">
        <v>351.71435730608709</v>
      </c>
      <c r="AT371">
        <v>29.027922379169851</v>
      </c>
      <c r="AU371">
        <v>27.851803400796335</v>
      </c>
      <c r="AV371"/>
      <c r="AW371"/>
      <c r="FY371" s="211">
        <v>366</v>
      </c>
      <c r="FZ371">
        <v>54.418778787996516</v>
      </c>
      <c r="GA371">
        <v>84.436361732407036</v>
      </c>
      <c r="GB371">
        <v>29.554510967714865</v>
      </c>
      <c r="GC371">
        <v>12.334460739994274</v>
      </c>
      <c r="GD371">
        <v>8.097551531024509</v>
      </c>
      <c r="GE371">
        <v>13.46179716445115</v>
      </c>
      <c r="GF371">
        <v>33.640692892132549</v>
      </c>
      <c r="GG371">
        <v>23.379489151820877</v>
      </c>
      <c r="GH371">
        <v>12.265402678426405</v>
      </c>
      <c r="GI371">
        <v>28.796596056959565</v>
      </c>
      <c r="GJ371"/>
      <c r="GK371">
        <v>59.885103904063108</v>
      </c>
      <c r="GL371">
        <v>79.294057672224852</v>
      </c>
      <c r="GM371">
        <v>52.35783991394095</v>
      </c>
      <c r="GN371">
        <v>40.723414230972111</v>
      </c>
      <c r="GO371">
        <v>35.223135985133311</v>
      </c>
      <c r="GP371">
        <v>28.88397483197317</v>
      </c>
      <c r="GQ371">
        <v>45.324697238933958</v>
      </c>
      <c r="GR371">
        <v>35.165713375034962</v>
      </c>
      <c r="GS371">
        <v>14.424690425490926</v>
      </c>
      <c r="GT371">
        <v>41.44309349351245</v>
      </c>
      <c r="GU371"/>
      <c r="GV371"/>
      <c r="GW371"/>
      <c r="GX371"/>
      <c r="GY371"/>
      <c r="GZ371"/>
      <c r="HA371"/>
      <c r="HB371"/>
      <c r="HC371"/>
    </row>
    <row r="372" spans="1:211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1.1646714346682511E-5</v>
      </c>
      <c r="H372" s="59">
        <f t="shared" ref="H372:AK372" si="360">+H36</f>
        <v>8.4444000000000012E-4</v>
      </c>
      <c r="I372" s="59">
        <f t="shared" si="360"/>
        <v>6.1225757958347789E-2</v>
      </c>
      <c r="J372" s="59">
        <f t="shared" si="360"/>
        <v>0.75020188533407928</v>
      </c>
      <c r="K372" s="59">
        <f t="shared" si="360"/>
        <v>4.4391471715861259</v>
      </c>
      <c r="L372" s="59">
        <f t="shared" si="360"/>
        <v>17.628015506744671</v>
      </c>
      <c r="M372" s="59">
        <f t="shared" si="360"/>
        <v>54.39306410326423</v>
      </c>
      <c r="N372" s="59">
        <f t="shared" si="360"/>
        <v>141.0180433149788</v>
      </c>
      <c r="O372" s="59">
        <f t="shared" si="360"/>
        <v>321.85845088936549</v>
      </c>
      <c r="P372" s="59">
        <f t="shared" si="360"/>
        <v>666.48058921747793</v>
      </c>
      <c r="Q372" s="59">
        <f t="shared" si="360"/>
        <v>1278.1116606294734</v>
      </c>
      <c r="R372" s="59">
        <f t="shared" si="360"/>
        <v>2303.4330366622853</v>
      </c>
      <c r="S372" s="59">
        <f t="shared" si="360"/>
        <v>3943.7456508447622</v>
      </c>
      <c r="T372" s="59">
        <f t="shared" si="360"/>
        <v>6467.5339082490427</v>
      </c>
      <c r="U372" s="59">
        <f t="shared" si="360"/>
        <v>10224.452403678983</v>
      </c>
      <c r="V372" s="59">
        <f t="shared" si="360"/>
        <v>15660.757979084645</v>
      </c>
      <c r="W372" s="59">
        <f t="shared" si="360"/>
        <v>23336.208150965249</v>
      </c>
      <c r="X372" s="59">
        <f t="shared" si="360"/>
        <v>33942.445644359832</v>
      </c>
      <c r="Y372" s="59">
        <f t="shared" si="360"/>
        <v>48322.887640763322</v>
      </c>
      <c r="Z372" s="59">
        <f t="shared" si="360"/>
        <v>67494.137352448117</v>
      </c>
      <c r="AA372" s="59">
        <f t="shared" si="360"/>
        <v>92668.934651889795</v>
      </c>
      <c r="AB372" s="59">
        <f t="shared" si="360"/>
        <v>125280.6616941641</v>
      </c>
      <c r="AC372" s="59">
        <f t="shared" si="360"/>
        <v>167009.41875793086</v>
      </c>
      <c r="AD372" s="59">
        <f t="shared" si="360"/>
        <v>219809.68488549121</v>
      </c>
      <c r="AE372" s="59">
        <f t="shared" si="360"/>
        <v>285939.57731503504</v>
      </c>
      <c r="AF372" s="59">
        <f t="shared" si="360"/>
        <v>367991.7231609475</v>
      </c>
      <c r="AG372" s="59">
        <f t="shared" si="360"/>
        <v>468925.75630460773</v>
      </c>
      <c r="AH372" s="59">
        <f t="shared" si="360"/>
        <v>592102.4520031251</v>
      </c>
      <c r="AI372" s="59">
        <f t="shared" si="360"/>
        <v>741319.51130251598</v>
      </c>
      <c r="AJ372" s="59">
        <f t="shared" si="360"/>
        <v>920849.00695114571</v>
      </c>
      <c r="AK372" s="59">
        <f t="shared" si="360"/>
        <v>1135476.5021454457</v>
      </c>
      <c r="AL372" s="78"/>
      <c r="AM372" s="43">
        <v>356</v>
      </c>
      <c r="AN372">
        <v>51.210576923076928</v>
      </c>
      <c r="AO372">
        <v>45.024347723608855</v>
      </c>
      <c r="AP372">
        <v>69.91984510277878</v>
      </c>
      <c r="AQ372">
        <v>310.93668781084472</v>
      </c>
      <c r="AR372">
        <v>43.369799818996889</v>
      </c>
      <c r="AS372">
        <v>399.11079068419167</v>
      </c>
      <c r="AT372">
        <v>32.830300009423205</v>
      </c>
      <c r="AU372">
        <v>39.9180642265556</v>
      </c>
      <c r="AV372"/>
      <c r="AW372"/>
      <c r="FY372" s="211">
        <v>367</v>
      </c>
      <c r="FZ372">
        <v>56.289265166674568</v>
      </c>
      <c r="GA372">
        <v>86.814639424227963</v>
      </c>
      <c r="GB372">
        <v>30.617190127340965</v>
      </c>
      <c r="GC372">
        <v>14.528347291666057</v>
      </c>
      <c r="GD372">
        <v>9.6889777953152016</v>
      </c>
      <c r="GE372">
        <v>11.5193387459941</v>
      </c>
      <c r="GF372">
        <v>32.550973477653848</v>
      </c>
      <c r="GG372">
        <v>28.551315539950952</v>
      </c>
      <c r="GH372">
        <v>14.122068688655455</v>
      </c>
      <c r="GI372">
        <v>30.347094605906083</v>
      </c>
      <c r="GJ372"/>
      <c r="GK372">
        <v>65.423678716952537</v>
      </c>
      <c r="GL372">
        <v>86.068599762155387</v>
      </c>
      <c r="GM372">
        <v>54.240448811796341</v>
      </c>
      <c r="GN372">
        <v>47.973314948583102</v>
      </c>
      <c r="GO372">
        <v>42.153348399334895</v>
      </c>
      <c r="GP372">
        <v>24.716186580117171</v>
      </c>
      <c r="GQ372">
        <v>43.856499104757411</v>
      </c>
      <c r="GR372">
        <v>42.944795424663909</v>
      </c>
      <c r="GS372">
        <v>17.87661161672531</v>
      </c>
      <c r="GT372">
        <v>44.710117329913302</v>
      </c>
      <c r="GU372"/>
      <c r="GV372"/>
      <c r="GW372"/>
      <c r="GX372"/>
      <c r="GY372"/>
      <c r="GZ372"/>
      <c r="HA372"/>
      <c r="HB372"/>
      <c r="HC372"/>
    </row>
    <row r="373" spans="1:211" s="7" customFormat="1">
      <c r="A373" s="95"/>
      <c r="B373" s="71">
        <f t="shared" ref="B373:B378" si="361">+C4</f>
        <v>39646</v>
      </c>
      <c r="C373" s="18">
        <f t="shared" ref="C373:C382" si="362">+D70</f>
        <v>64.583333333333343</v>
      </c>
      <c r="D373" s="18">
        <f t="shared" ref="D373:D382" si="363">SUM(G373:AK373)</f>
        <v>43.426754165711245</v>
      </c>
      <c r="E373" s="19">
        <f t="shared" ref="E373:E382" si="364">IF(C373&lt;1, 0.000001, D373/C373)</f>
        <v>0.67241425804972244</v>
      </c>
      <c r="F373" s="19"/>
      <c r="G373" s="18">
        <f>AVERAGE(E228:E237)*G$372</f>
        <v>0</v>
      </c>
      <c r="H373" s="18">
        <f t="shared" ref="H373:AK373" si="365">AVERAGE(F228:F237)*H$372</f>
        <v>0</v>
      </c>
      <c r="I373" s="18">
        <f t="shared" si="365"/>
        <v>0.44643781844628599</v>
      </c>
      <c r="J373" s="18">
        <f t="shared" si="365"/>
        <v>42.98031634726496</v>
      </c>
      <c r="K373" s="18">
        <f t="shared" si="365"/>
        <v>0</v>
      </c>
      <c r="L373" s="18">
        <f t="shared" si="365"/>
        <v>0</v>
      </c>
      <c r="M373" s="18">
        <f t="shared" si="365"/>
        <v>0</v>
      </c>
      <c r="N373" s="18">
        <f t="shared" si="365"/>
        <v>0</v>
      </c>
      <c r="O373" s="18">
        <f t="shared" si="365"/>
        <v>0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46.079567307692308</v>
      </c>
      <c r="AO373">
        <v>34.943974414468912</v>
      </c>
      <c r="AP373">
        <v>11.645404938876249</v>
      </c>
      <c r="AQ373">
        <v>229.65200659123451</v>
      </c>
      <c r="AR373">
        <v>33.933946354084377</v>
      </c>
      <c r="AS373">
        <v>317.40746581804228</v>
      </c>
      <c r="AT373">
        <v>27.807065284555659</v>
      </c>
      <c r="AU373">
        <v>29.687903249376895</v>
      </c>
      <c r="AV373"/>
      <c r="AW373"/>
      <c r="FY373" s="211">
        <v>368</v>
      </c>
      <c r="FZ373">
        <v>34.233088443951722</v>
      </c>
      <c r="GA373">
        <v>60.659316435174652</v>
      </c>
      <c r="GB373">
        <v>26.426625139381407</v>
      </c>
      <c r="GC373">
        <v>13.83232814737951</v>
      </c>
      <c r="GD373">
        <v>8.3596197399509862</v>
      </c>
      <c r="GE373">
        <v>11.654750510742307</v>
      </c>
      <c r="GF373">
        <v>26.021445050575874</v>
      </c>
      <c r="GG373">
        <v>16.814339672824715</v>
      </c>
      <c r="GH373">
        <v>13.773235775630477</v>
      </c>
      <c r="GI373">
        <v>24.125495517495608</v>
      </c>
      <c r="GJ373"/>
      <c r="GK373">
        <v>35.403301482773799</v>
      </c>
      <c r="GL373">
        <v>53.608176389497743</v>
      </c>
      <c r="GM373">
        <v>46.816575988177867</v>
      </c>
      <c r="GN373">
        <v>45.67447370127443</v>
      </c>
      <c r="GO373">
        <v>36.367991979800529</v>
      </c>
      <c r="GP373">
        <v>25.006729511135976</v>
      </c>
      <c r="GQ373">
        <v>35.059150607231828</v>
      </c>
      <c r="GR373">
        <v>25.290896891944339</v>
      </c>
      <c r="GS373">
        <v>17.48588146811381</v>
      </c>
      <c r="GT373">
        <v>34.226580305219557</v>
      </c>
      <c r="GU373"/>
      <c r="GV373"/>
      <c r="GW373"/>
      <c r="GX373"/>
      <c r="GY373"/>
      <c r="GZ373"/>
      <c r="HA373"/>
      <c r="HB373"/>
      <c r="HC373"/>
    </row>
    <row r="374" spans="1:211" s="7" customFormat="1">
      <c r="A374" s="95"/>
      <c r="B374" s="71">
        <f t="shared" si="361"/>
        <v>39673</v>
      </c>
      <c r="C374" s="18">
        <f t="shared" si="362"/>
        <v>86.458333333333343</v>
      </c>
      <c r="D374" s="18">
        <f t="shared" si="363"/>
        <v>80.231810028892468</v>
      </c>
      <c r="E374" s="19">
        <f t="shared" si="364"/>
        <v>0.92798238105706943</v>
      </c>
      <c r="F374" s="19">
        <f>IF(F388&lt;0,0,F388)</f>
        <v>1.1931042246385068E-2</v>
      </c>
      <c r="G374" s="18">
        <f>AVERAGE(E238:E247)*G$372</f>
        <v>0</v>
      </c>
      <c r="H374" s="18">
        <f t="shared" ref="H374:AK374" si="366">AVERAGE(F238:F247)*H$372</f>
        <v>0</v>
      </c>
      <c r="I374" s="18">
        <f t="shared" si="366"/>
        <v>0</v>
      </c>
      <c r="J374" s="18">
        <f t="shared" si="366"/>
        <v>61.735363480616947</v>
      </c>
      <c r="K374" s="18">
        <f t="shared" si="366"/>
        <v>18.496446548275522</v>
      </c>
      <c r="L374" s="18">
        <f t="shared" si="366"/>
        <v>0</v>
      </c>
      <c r="M374" s="18">
        <f t="shared" si="366"/>
        <v>0</v>
      </c>
      <c r="N374" s="18">
        <f t="shared" si="366"/>
        <v>0</v>
      </c>
      <c r="O374" s="18">
        <f t="shared" si="366"/>
        <v>0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62.762473290598301</v>
      </c>
      <c r="AO374">
        <v>49.885635733693249</v>
      </c>
      <c r="AP374">
        <v>49.632207073783555</v>
      </c>
      <c r="AQ374">
        <v>348.7297037161178</v>
      </c>
      <c r="AR374">
        <v>47.776823207820442</v>
      </c>
      <c r="AS374">
        <v>446.63542477367378</v>
      </c>
      <c r="AT374">
        <v>37.352188483338921</v>
      </c>
      <c r="AU374">
        <v>43.28652478601559</v>
      </c>
      <c r="AV374"/>
      <c r="AW374"/>
      <c r="FY374" s="211">
        <v>369</v>
      </c>
      <c r="FZ374">
        <v>43.408686998647468</v>
      </c>
      <c r="GA374">
        <v>76.301293055969637</v>
      </c>
      <c r="GB374">
        <v>28.221149380636817</v>
      </c>
      <c r="GC374">
        <v>10.390362376802349</v>
      </c>
      <c r="GD374">
        <v>9.0500878133816496</v>
      </c>
      <c r="GE374">
        <v>14.008113594642198</v>
      </c>
      <c r="GF374">
        <v>28.051486863032146</v>
      </c>
      <c r="GG374">
        <v>19.931604893067497</v>
      </c>
      <c r="GH374">
        <v>13.660734330526328</v>
      </c>
      <c r="GI374">
        <v>26.581214022003678</v>
      </c>
      <c r="GJ374"/>
      <c r="GK374">
        <v>48.493302781694936</v>
      </c>
      <c r="GL374">
        <v>72.104622937773286</v>
      </c>
      <c r="GM374">
        <v>49.995698560971427</v>
      </c>
      <c r="GN374">
        <v>34.310044786606824</v>
      </c>
      <c r="GO374">
        <v>39.377241014579042</v>
      </c>
      <c r="GP374">
        <v>30.056165277807668</v>
      </c>
      <c r="GQ374">
        <v>37.794261647512322</v>
      </c>
      <c r="GR374">
        <v>29.97965867528233</v>
      </c>
      <c r="GS374">
        <v>15.987611019936924</v>
      </c>
      <c r="GT374">
        <v>38.329623004938924</v>
      </c>
      <c r="GU374"/>
      <c r="GV374"/>
      <c r="GW374"/>
      <c r="GX374"/>
      <c r="GY374"/>
      <c r="GZ374"/>
      <c r="HA374"/>
      <c r="HB374"/>
      <c r="HC374"/>
    </row>
    <row r="375" spans="1:211" s="7" customFormat="1">
      <c r="A375" s="95"/>
      <c r="B375" s="71">
        <f t="shared" si="361"/>
        <v>39714</v>
      </c>
      <c r="C375" s="18">
        <f t="shared" si="362"/>
        <v>75</v>
      </c>
      <c r="D375" s="18">
        <f t="shared" si="363"/>
        <v>56.265141400055946</v>
      </c>
      <c r="E375" s="19">
        <f t="shared" si="364"/>
        <v>0.75020188533407928</v>
      </c>
      <c r="F375" s="19">
        <f>IF(F389&lt;0,0,F389)</f>
        <v>0</v>
      </c>
      <c r="G375" s="18">
        <f>AVERAGE(E248:E257)*G$372</f>
        <v>0</v>
      </c>
      <c r="H375" s="18">
        <f t="shared" ref="H375:AK375" si="367">AVERAGE(F248:F257)*H$372</f>
        <v>0</v>
      </c>
      <c r="I375" s="18">
        <f t="shared" si="367"/>
        <v>0</v>
      </c>
      <c r="J375" s="18">
        <f t="shared" si="367"/>
        <v>56.265141400055946</v>
      </c>
      <c r="K375" s="18">
        <f t="shared" si="367"/>
        <v>0</v>
      </c>
      <c r="L375" s="18">
        <f t="shared" si="367"/>
        <v>0</v>
      </c>
      <c r="M375" s="18">
        <f t="shared" si="367"/>
        <v>0</v>
      </c>
      <c r="N375" s="18">
        <f t="shared" si="367"/>
        <v>0</v>
      </c>
      <c r="O375" s="18">
        <f t="shared" si="367"/>
        <v>0</v>
      </c>
      <c r="P375" s="18">
        <f t="shared" si="367"/>
        <v>0</v>
      </c>
      <c r="Q375" s="18">
        <f t="shared" si="367"/>
        <v>0</v>
      </c>
      <c r="R375" s="18">
        <f t="shared" si="367"/>
        <v>0</v>
      </c>
      <c r="S375" s="18">
        <f t="shared" si="367"/>
        <v>0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50.155261752136752</v>
      </c>
      <c r="AO375">
        <v>41.671975378738722</v>
      </c>
      <c r="AP375">
        <v>50.673739112848239</v>
      </c>
      <c r="AQ375">
        <v>279.68554335504911</v>
      </c>
      <c r="AR375">
        <v>40.411238594535043</v>
      </c>
      <c r="AS375">
        <v>358.76197324623848</v>
      </c>
      <c r="AT375">
        <v>31.340097943757346</v>
      </c>
      <c r="AU375">
        <v>22.048630345810182</v>
      </c>
      <c r="AV375"/>
      <c r="AW375"/>
      <c r="FY375" s="211">
        <v>370</v>
      </c>
      <c r="FZ375">
        <v>37.083711736131789</v>
      </c>
      <c r="GA375">
        <v>70.297604323562453</v>
      </c>
      <c r="GB375">
        <v>34.176162784579354</v>
      </c>
      <c r="GC375">
        <v>16.032080687988682</v>
      </c>
      <c r="GD375">
        <v>10.900604958110144</v>
      </c>
      <c r="GE375">
        <v>10.776908725478064</v>
      </c>
      <c r="GF375">
        <v>27.014495807318557</v>
      </c>
      <c r="GG375">
        <v>24.631118369039573</v>
      </c>
      <c r="GH375">
        <v>13.424402862605493</v>
      </c>
      <c r="GI375">
        <v>28.208453485251351</v>
      </c>
      <c r="GJ375"/>
      <c r="GK375">
        <v>38.355331395133575</v>
      </c>
      <c r="GL375">
        <v>62.126093629228428</v>
      </c>
      <c r="GM375">
        <v>60.545412573481904</v>
      </c>
      <c r="GN375">
        <v>52.947588972958108</v>
      </c>
      <c r="GO375">
        <v>47.435015023142022</v>
      </c>
      <c r="GP375">
        <v>23.123209820393363</v>
      </c>
      <c r="GQ375">
        <v>36.397105358537871</v>
      </c>
      <c r="GR375">
        <v>37.048322272890367</v>
      </c>
      <c r="GS375">
        <v>17.09515131950231</v>
      </c>
      <c r="GT375">
        <v>39.965603133959533</v>
      </c>
      <c r="GU375"/>
      <c r="GV375"/>
      <c r="GW375"/>
      <c r="GX375"/>
      <c r="GY375"/>
      <c r="GZ375"/>
      <c r="HA375"/>
      <c r="HB375"/>
      <c r="HC375"/>
    </row>
    <row r="376" spans="1:211" s="7" customFormat="1">
      <c r="A376" s="95"/>
      <c r="B376" s="71">
        <f t="shared" si="361"/>
        <v>39747</v>
      </c>
      <c r="C376" s="18">
        <f t="shared" si="362"/>
        <v>56.249999999999986</v>
      </c>
      <c r="D376" s="18">
        <f t="shared" si="363"/>
        <v>42.198856050041947</v>
      </c>
      <c r="E376" s="19">
        <f t="shared" si="364"/>
        <v>0.75020188533407928</v>
      </c>
      <c r="F376" s="19">
        <f>IF(F390&lt;0,0,F390)</f>
        <v>0</v>
      </c>
      <c r="G376" s="18">
        <f>AVERAGE(E258:E267)*G$372</f>
        <v>0</v>
      </c>
      <c r="H376" s="18">
        <f t="shared" ref="H376:AK376" si="368">AVERAGE(F258:F267)*H$372</f>
        <v>0</v>
      </c>
      <c r="I376" s="18">
        <f t="shared" si="368"/>
        <v>0</v>
      </c>
      <c r="J376" s="18">
        <f t="shared" si="368"/>
        <v>42.198856050041947</v>
      </c>
      <c r="K376" s="18">
        <f t="shared" si="368"/>
        <v>0</v>
      </c>
      <c r="L376" s="18">
        <f t="shared" si="368"/>
        <v>0</v>
      </c>
      <c r="M376" s="18">
        <f t="shared" si="368"/>
        <v>0</v>
      </c>
      <c r="N376" s="18">
        <f t="shared" si="368"/>
        <v>0</v>
      </c>
      <c r="O376" s="18">
        <f t="shared" si="368"/>
        <v>0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49.280422008547006</v>
      </c>
      <c r="AO376">
        <v>36.943358904761382</v>
      </c>
      <c r="AP376">
        <v>14.822101035701344</v>
      </c>
      <c r="AQ376">
        <v>248.63258440470966</v>
      </c>
      <c r="AR376">
        <v>35.366636363121209</v>
      </c>
      <c r="AS376">
        <v>355.8549329669973</v>
      </c>
      <c r="AT376">
        <v>28.635764765185669</v>
      </c>
      <c r="AU376">
        <v>25.102181990939211</v>
      </c>
      <c r="AV376"/>
      <c r="AW376"/>
      <c r="FY376" s="211">
        <v>371</v>
      </c>
      <c r="FZ376">
        <v>31.739917514261194</v>
      </c>
      <c r="GA376">
        <v>78.078974361893913</v>
      </c>
      <c r="GB376">
        <v>32.642295695685078</v>
      </c>
      <c r="GC376">
        <v>10.104599624215655</v>
      </c>
      <c r="GD376">
        <v>7.2200802860060627</v>
      </c>
      <c r="GE376">
        <v>9.4087829644013414</v>
      </c>
      <c r="GF376">
        <v>19.544644982262998</v>
      </c>
      <c r="GG376">
        <v>16.814339672824715</v>
      </c>
      <c r="GH376">
        <v>14.470901601680438</v>
      </c>
      <c r="GI376">
        <v>23.489108968659135</v>
      </c>
      <c r="GJ376"/>
      <c r="GK376">
        <v>32.824482501937901</v>
      </c>
      <c r="GL376">
        <v>69.002944244790839</v>
      </c>
      <c r="GM376">
        <v>57.828061994501951</v>
      </c>
      <c r="GN376">
        <v>33.362375452019762</v>
      </c>
      <c r="GO376">
        <v>31.408724708962268</v>
      </c>
      <c r="GP376">
        <v>20.187724344927481</v>
      </c>
      <c r="GQ376">
        <v>26.332843954908334</v>
      </c>
      <c r="GR376">
        <v>25.290896891944339</v>
      </c>
      <c r="GS376">
        <v>18.267341765336809</v>
      </c>
      <c r="GT376">
        <v>33.332290985129447</v>
      </c>
      <c r="GU376"/>
      <c r="GV376"/>
      <c r="GW376"/>
      <c r="GX376"/>
      <c r="GY376"/>
      <c r="GZ376"/>
      <c r="HA376"/>
      <c r="HB376"/>
      <c r="HC376"/>
    </row>
    <row r="377" spans="1:211" s="7" customFormat="1">
      <c r="A377" s="95"/>
      <c r="B377" s="71">
        <f t="shared" si="361"/>
        <v>39775</v>
      </c>
      <c r="C377" s="18">
        <f t="shared" si="362"/>
        <v>79.059829059829042</v>
      </c>
      <c r="D377" s="18">
        <f t="shared" si="363"/>
        <v>57.875465882841006</v>
      </c>
      <c r="E377" s="19">
        <f t="shared" si="364"/>
        <v>0.73204643332890806</v>
      </c>
      <c r="F377" s="19">
        <f>IF(F391&lt;0,0,F391)</f>
        <v>0</v>
      </c>
      <c r="G377" s="18">
        <f>AVERAGE(E268:E277)*G$372</f>
        <v>0</v>
      </c>
      <c r="H377" s="18">
        <f t="shared" ref="H377:AK377" si="369">AVERAGE(F268:F277)*H$372</f>
        <v>0</v>
      </c>
      <c r="I377" s="18">
        <f t="shared" si="369"/>
        <v>0.12755366241322455</v>
      </c>
      <c r="J377" s="18">
        <f t="shared" si="369"/>
        <v>57.747912220427779</v>
      </c>
      <c r="K377" s="18">
        <f t="shared" si="369"/>
        <v>0</v>
      </c>
      <c r="L377" s="18">
        <f t="shared" si="369"/>
        <v>0</v>
      </c>
      <c r="M377" s="18">
        <f t="shared" si="369"/>
        <v>0</v>
      </c>
      <c r="N377" s="18">
        <f t="shared" si="369"/>
        <v>0</v>
      </c>
      <c r="O377" s="18">
        <f t="shared" si="369"/>
        <v>0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56.659054487179489</v>
      </c>
      <c r="AO377">
        <v>43.797294459887915</v>
      </c>
      <c r="AP377">
        <v>39.685056304049169</v>
      </c>
      <c r="AQ377">
        <v>308.59699213974886</v>
      </c>
      <c r="AR377">
        <v>42.100537981803193</v>
      </c>
      <c r="AS377">
        <v>403.08748989161768</v>
      </c>
      <c r="AT377">
        <v>32.868436333273863</v>
      </c>
      <c r="AU377">
        <v>29.775611304579236</v>
      </c>
      <c r="AV377"/>
      <c r="AW377"/>
      <c r="FY377" s="211">
        <v>372</v>
      </c>
      <c r="FZ377">
        <v>30.766410405613396</v>
      </c>
      <c r="GA377">
        <v>69.236508409244536</v>
      </c>
      <c r="GB377">
        <v>30.526962651523668</v>
      </c>
      <c r="GC377">
        <v>13.768765384797083</v>
      </c>
      <c r="GD377">
        <v>9.5083675935237491</v>
      </c>
      <c r="GE377">
        <v>10.851618664649486</v>
      </c>
      <c r="GF377">
        <v>23.631092786558099</v>
      </c>
      <c r="GG377">
        <v>16.837955318432613</v>
      </c>
      <c r="GH377">
        <v>9.1259064612015752</v>
      </c>
      <c r="GI377">
        <v>24.120913853052894</v>
      </c>
      <c r="GJ377"/>
      <c r="GK377">
        <v>31.811734134119927</v>
      </c>
      <c r="GL377">
        <v>61.188341272560841</v>
      </c>
      <c r="GM377">
        <v>54.080604660091659</v>
      </c>
      <c r="GN377">
        <v>45.464535940773381</v>
      </c>
      <c r="GO377">
        <v>41.367334137675869</v>
      </c>
      <c r="GP377">
        <v>23.283509368541669</v>
      </c>
      <c r="GQ377">
        <v>31.83858695807038</v>
      </c>
      <c r="GR377">
        <v>25.326417814545383</v>
      </c>
      <c r="GS377">
        <v>10.90811908798743</v>
      </c>
      <c r="GT377">
        <v>34.001275795589052</v>
      </c>
      <c r="GU377"/>
      <c r="GV377"/>
      <c r="GW377"/>
      <c r="GX377"/>
      <c r="GY377"/>
      <c r="GZ377"/>
      <c r="HA377"/>
      <c r="HB377"/>
      <c r="HC377"/>
    </row>
    <row r="378" spans="1:211" s="7" customFormat="1">
      <c r="A378" s="95"/>
      <c r="B378" s="71">
        <f t="shared" si="361"/>
        <v>39799</v>
      </c>
      <c r="C378" s="18">
        <f t="shared" si="362"/>
        <v>42.628205128205131</v>
      </c>
      <c r="D378" s="18">
        <f t="shared" si="363"/>
        <v>31.979759855587357</v>
      </c>
      <c r="E378" s="19">
        <f t="shared" si="364"/>
        <v>0.75020188533407928</v>
      </c>
      <c r="F378" s="19">
        <f t="shared" ref="F378:F382" si="370">IF(F392&lt;0,0,F392)</f>
        <v>1.0207668872629337E-3</v>
      </c>
      <c r="G378" s="18">
        <f>AVERAGE(E278:E287)*G$372</f>
        <v>0</v>
      </c>
      <c r="H378" s="18">
        <f t="shared" ref="H378:AK378" si="371">AVERAGE(F278:F287)*H$372</f>
        <v>0</v>
      </c>
      <c r="I378" s="18">
        <f t="shared" si="371"/>
        <v>0</v>
      </c>
      <c r="J378" s="18">
        <f t="shared" si="371"/>
        <v>31.979759855587357</v>
      </c>
      <c r="K378" s="18">
        <f t="shared" si="371"/>
        <v>0</v>
      </c>
      <c r="L378" s="18">
        <f t="shared" si="371"/>
        <v>0</v>
      </c>
      <c r="M378" s="18">
        <f t="shared" si="371"/>
        <v>0</v>
      </c>
      <c r="N378" s="18">
        <f t="shared" si="371"/>
        <v>0</v>
      </c>
      <c r="O378" s="18">
        <f t="shared" si="371"/>
        <v>0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38.830074786324786</v>
      </c>
      <c r="AO378">
        <v>30.744017463165552</v>
      </c>
      <c r="AP378">
        <v>30.281846783692039</v>
      </c>
      <c r="AQ378">
        <v>209.26118355719663</v>
      </c>
      <c r="AR378">
        <v>30.236861173249572</v>
      </c>
      <c r="AS378">
        <v>283.96325135467305</v>
      </c>
      <c r="AT378">
        <v>23.545017135756172</v>
      </c>
      <c r="AU378">
        <v>29.822578267763035</v>
      </c>
      <c r="AV378"/>
      <c r="AW378"/>
      <c r="FY378" s="211">
        <v>373</v>
      </c>
      <c r="FZ378">
        <v>52.530501534362614</v>
      </c>
      <c r="GA378">
        <v>79.887085824489844</v>
      </c>
      <c r="GB378">
        <v>26.346422938654904</v>
      </c>
      <c r="GC378">
        <v>13.305713047135608</v>
      </c>
      <c r="GD378">
        <v>8.6138300064130711</v>
      </c>
      <c r="GE378">
        <v>9.0912657229227847</v>
      </c>
      <c r="GF378">
        <v>18.53401810593196</v>
      </c>
      <c r="GG378">
        <v>11.146584726928744</v>
      </c>
      <c r="GH378">
        <v>7.7305748091016531</v>
      </c>
      <c r="GI378">
        <v>24.464597130983147</v>
      </c>
      <c r="GJ378"/>
      <c r="GK378">
        <v>56.13584110751772</v>
      </c>
      <c r="GL378">
        <v>72.937237497812205</v>
      </c>
      <c r="GM378">
        <v>46.674492297773682</v>
      </c>
      <c r="GN378">
        <v>43.946667600590835</v>
      </c>
      <c r="GO378">
        <v>37.487324444523807</v>
      </c>
      <c r="GP378">
        <v>19.506451265297173</v>
      </c>
      <c r="GQ378">
        <v>24.971208588534932</v>
      </c>
      <c r="GR378">
        <v>16.765875467693437</v>
      </c>
      <c r="GS378">
        <v>9.3451984935414334</v>
      </c>
      <c r="GT378">
        <v>34.922812986378318</v>
      </c>
      <c r="GU378"/>
      <c r="GV378"/>
      <c r="GW378"/>
      <c r="GX378"/>
      <c r="GY378"/>
      <c r="GZ378"/>
      <c r="HA378"/>
      <c r="HB378"/>
      <c r="HC378"/>
    </row>
    <row r="379" spans="1:211" s="7" customFormat="1">
      <c r="A379" s="77" t="s">
        <v>61</v>
      </c>
      <c r="B379" s="71">
        <f t="shared" ref="B379:B382" si="372">+C10</f>
        <v>39847</v>
      </c>
      <c r="C379" s="18">
        <f t="shared" si="362"/>
        <v>20.138888888888889</v>
      </c>
      <c r="D379" s="18">
        <f t="shared" si="363"/>
        <v>15.108232412977985</v>
      </c>
      <c r="E379" s="19">
        <f t="shared" si="364"/>
        <v>0.75020188533407928</v>
      </c>
      <c r="F379" s="19">
        <f t="shared" si="370"/>
        <v>0</v>
      </c>
      <c r="G379" s="18">
        <f>AVERAGE(E288:E297)*G$372</f>
        <v>0</v>
      </c>
      <c r="H379" s="18">
        <f t="shared" ref="H379:AK379" si="373">AVERAGE(F288:F297)*H$372</f>
        <v>0</v>
      </c>
      <c r="I379" s="18">
        <f t="shared" si="373"/>
        <v>0</v>
      </c>
      <c r="J379" s="18">
        <f t="shared" si="373"/>
        <v>15.108232412977985</v>
      </c>
      <c r="K379" s="18">
        <f t="shared" si="373"/>
        <v>0</v>
      </c>
      <c r="L379" s="18">
        <f t="shared" si="373"/>
        <v>0</v>
      </c>
      <c r="M379" s="18">
        <f t="shared" si="373"/>
        <v>0</v>
      </c>
      <c r="N379" s="18">
        <f t="shared" si="373"/>
        <v>0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47.427831196581202</v>
      </c>
      <c r="AO379">
        <v>36.877389435470363</v>
      </c>
      <c r="AP379">
        <v>28.733320023256226</v>
      </c>
      <c r="AQ379">
        <v>268.37972048537694</v>
      </c>
      <c r="AR379">
        <v>35.750348566901067</v>
      </c>
      <c r="AS379">
        <v>335.89094530214021</v>
      </c>
      <c r="AT379">
        <v>28.195768379088218</v>
      </c>
      <c r="AU379">
        <v>34.885918116677104</v>
      </c>
      <c r="AV379"/>
      <c r="AW379"/>
      <c r="FY379" s="211">
        <v>374</v>
      </c>
      <c r="FZ379">
        <v>45.361842418605036</v>
      </c>
      <c r="GA379">
        <v>66.888660874095265</v>
      </c>
      <c r="GB379">
        <v>24.692252548670865</v>
      </c>
      <c r="GC379">
        <v>10.88437489600425</v>
      </c>
      <c r="GD379">
        <v>7.6365037042034496</v>
      </c>
      <c r="GE379">
        <v>11.958259638626222</v>
      </c>
      <c r="GF379">
        <v>22.207427099900453</v>
      </c>
      <c r="GG379">
        <v>17.381115167414311</v>
      </c>
      <c r="GH379">
        <v>12.209151955874331</v>
      </c>
      <c r="GI379">
        <v>23.783443936453367</v>
      </c>
      <c r="GJ379"/>
      <c r="GK379">
        <v>48.715118302471154</v>
      </c>
      <c r="GL379">
        <v>61.449771128634112</v>
      </c>
      <c r="GM379">
        <v>43.744016183187441</v>
      </c>
      <c r="GN379">
        <v>35.93400983359782</v>
      </c>
      <c r="GO379">
        <v>33.216659254617852</v>
      </c>
      <c r="GP379">
        <v>25.657946425488479</v>
      </c>
      <c r="GQ379">
        <v>29.920457137613926</v>
      </c>
      <c r="GR379">
        <v>26.14339903436943</v>
      </c>
      <c r="GS379">
        <v>13.675555201402485</v>
      </c>
      <c r="GT379">
        <v>33.854361215858567</v>
      </c>
      <c r="GU379"/>
      <c r="GV379"/>
      <c r="GW379"/>
      <c r="GX379"/>
      <c r="GY379"/>
      <c r="GZ379"/>
      <c r="HA379"/>
      <c r="HB379"/>
      <c r="HC379"/>
    </row>
    <row r="380" spans="1:211" s="7" customFormat="1">
      <c r="A380" s="77" t="s">
        <v>62</v>
      </c>
      <c r="B380" s="71">
        <f t="shared" si="372"/>
        <v>39910</v>
      </c>
      <c r="C380" s="18">
        <f t="shared" si="362"/>
        <v>25</v>
      </c>
      <c r="D380" s="18">
        <f t="shared" si="363"/>
        <v>18.755047133351983</v>
      </c>
      <c r="E380" s="19">
        <f t="shared" si="364"/>
        <v>0.75020188533407928</v>
      </c>
      <c r="F380" s="19">
        <f t="shared" si="370"/>
        <v>0</v>
      </c>
      <c r="G380" s="18">
        <f>AVERAGE(E298:E307)*G$372</f>
        <v>0</v>
      </c>
      <c r="H380" s="18">
        <f t="shared" ref="H380:AK380" si="374">AVERAGE(F298:F307)*H$372</f>
        <v>0</v>
      </c>
      <c r="I380" s="18">
        <f t="shared" si="374"/>
        <v>0</v>
      </c>
      <c r="J380" s="18">
        <f t="shared" si="374"/>
        <v>18.755047133351983</v>
      </c>
      <c r="K380" s="18">
        <f t="shared" si="374"/>
        <v>0</v>
      </c>
      <c r="L380" s="18">
        <f t="shared" si="374"/>
        <v>0</v>
      </c>
      <c r="M380" s="18">
        <f t="shared" si="374"/>
        <v>0</v>
      </c>
      <c r="N380" s="18">
        <f t="shared" si="374"/>
        <v>0</v>
      </c>
      <c r="O380" s="18">
        <f t="shared" si="374"/>
        <v>0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42.881383547008554</v>
      </c>
      <c r="AO380">
        <v>33.531227349129743</v>
      </c>
      <c r="AP380">
        <v>22.137259565658148</v>
      </c>
      <c r="AQ380">
        <v>232.65365683601806</v>
      </c>
      <c r="AR380">
        <v>32.155276566737243</v>
      </c>
      <c r="AS380">
        <v>300.72130203581742</v>
      </c>
      <c r="AT380">
        <v>25.399006542896853</v>
      </c>
      <c r="AU380">
        <v>14.871520054525519</v>
      </c>
      <c r="AV380"/>
      <c r="AW380"/>
      <c r="FY380" s="211">
        <v>375</v>
      </c>
      <c r="FZ380">
        <v>47.455982164070136</v>
      </c>
      <c r="GA380">
        <v>86.951870471214903</v>
      </c>
      <c r="GB380">
        <v>34.276415535487487</v>
      </c>
      <c r="GC380">
        <v>15.560254714979854</v>
      </c>
      <c r="GD380">
        <v>9.1549853832057142</v>
      </c>
      <c r="GE380">
        <v>12.780068969511897</v>
      </c>
      <c r="GF380">
        <v>19.500704683292085</v>
      </c>
      <c r="GG380">
        <v>11.406356828615642</v>
      </c>
      <c r="GH380">
        <v>9.4747393742265587</v>
      </c>
      <c r="GI380">
        <v>26.409081186480879</v>
      </c>
      <c r="GJ380"/>
      <c r="GK380">
        <v>54.476912024583719</v>
      </c>
      <c r="GL380">
        <v>83.853519163024629</v>
      </c>
      <c r="GM380">
        <v>60.723017186487141</v>
      </c>
      <c r="GN380">
        <v>51.389222342948138</v>
      </c>
      <c r="GO380">
        <v>39.838091550954331</v>
      </c>
      <c r="GP380">
        <v>27.421241455119858</v>
      </c>
      <c r="GQ380">
        <v>26.273642417239927</v>
      </c>
      <c r="GR380">
        <v>17.15660561630494</v>
      </c>
      <c r="GS380">
        <v>11.298849236598933</v>
      </c>
      <c r="GT380">
        <v>38.522102483172802</v>
      </c>
      <c r="GU380"/>
      <c r="GV380"/>
      <c r="GW380"/>
      <c r="GX380"/>
      <c r="GY380"/>
      <c r="GZ380"/>
      <c r="HA380"/>
      <c r="HB380"/>
      <c r="HC380"/>
    </row>
    <row r="381" spans="1:211" s="7" customFormat="1">
      <c r="A381" s="1"/>
      <c r="B381" s="71">
        <f t="shared" si="372"/>
        <v>39949</v>
      </c>
      <c r="C381" s="18">
        <f t="shared" si="362"/>
        <v>24.999999999999996</v>
      </c>
      <c r="D381" s="18">
        <f t="shared" si="363"/>
        <v>18.755047133351979</v>
      </c>
      <c r="E381" s="19">
        <f t="shared" si="364"/>
        <v>0.75020188533407928</v>
      </c>
      <c r="F381" s="19">
        <f t="shared" si="370"/>
        <v>0</v>
      </c>
      <c r="G381" s="18">
        <f>AVERAGE(E308:E317)*G$372</f>
        <v>0</v>
      </c>
      <c r="H381" s="18">
        <f t="shared" ref="H381:AK381" si="375">AVERAGE(F308:F317)*H$372</f>
        <v>0</v>
      </c>
      <c r="I381" s="18">
        <f t="shared" si="375"/>
        <v>0</v>
      </c>
      <c r="J381" s="18">
        <f t="shared" si="375"/>
        <v>18.755047133351979</v>
      </c>
      <c r="K381" s="18">
        <f t="shared" si="375"/>
        <v>0</v>
      </c>
      <c r="L381" s="18">
        <f t="shared" si="375"/>
        <v>0</v>
      </c>
      <c r="M381" s="18">
        <f t="shared" si="375"/>
        <v>0</v>
      </c>
      <c r="N381" s="18">
        <f t="shared" si="375"/>
        <v>0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52.623798076923073</v>
      </c>
      <c r="AO381">
        <v>38.956364343086648</v>
      </c>
      <c r="AP381">
        <v>21.123130199461006</v>
      </c>
      <c r="AQ381">
        <v>255.59757197329105</v>
      </c>
      <c r="AR381">
        <v>37.78236974990817</v>
      </c>
      <c r="AS381">
        <v>364.78393410571368</v>
      </c>
      <c r="AT381">
        <v>30.151489062499774</v>
      </c>
      <c r="AU381">
        <v>38.22704776695376</v>
      </c>
      <c r="AV381"/>
      <c r="AW381"/>
      <c r="FY381" s="211">
        <v>376</v>
      </c>
      <c r="FZ381">
        <v>34.188999688496004</v>
      </c>
      <c r="GA381">
        <v>69.099277362257595</v>
      </c>
      <c r="GB381">
        <v>30.326457149707423</v>
      </c>
      <c r="GC381">
        <v>11.523674590547799</v>
      </c>
      <c r="GD381">
        <v>8.0585579820638475</v>
      </c>
      <c r="GE381">
        <v>12.112348888167283</v>
      </c>
      <c r="GF381">
        <v>18.463713627578493</v>
      </c>
      <c r="GG381">
        <v>9.61156776241525</v>
      </c>
      <c r="GH381">
        <v>8.3719899125995436</v>
      </c>
      <c r="GI381">
        <v>22.492510041965641</v>
      </c>
      <c r="GJ381"/>
      <c r="GK381">
        <v>37.152655922142699</v>
      </c>
      <c r="GL381">
        <v>63.403421871691606</v>
      </c>
      <c r="GM381">
        <v>53.725395434081207</v>
      </c>
      <c r="GN381">
        <v>38.057036060022426</v>
      </c>
      <c r="GO381">
        <v>35.066447614880566</v>
      </c>
      <c r="GP381">
        <v>25.988564243544353</v>
      </c>
      <c r="GQ381">
        <v>24.876486128265476</v>
      </c>
      <c r="GR381">
        <v>14.457015498625486</v>
      </c>
      <c r="GS381">
        <v>9.3775235666759915</v>
      </c>
      <c r="GT381">
        <v>32.039701733209185</v>
      </c>
      <c r="GU381"/>
      <c r="GV381"/>
      <c r="GW381"/>
      <c r="GX381"/>
      <c r="GY381"/>
      <c r="GZ381"/>
      <c r="HA381"/>
      <c r="HB381"/>
      <c r="HC381"/>
    </row>
    <row r="382" spans="1:211" s="7" customFormat="1">
      <c r="A382" s="1"/>
      <c r="B382" s="71">
        <f t="shared" si="372"/>
        <v>39987</v>
      </c>
      <c r="C382" s="18">
        <f t="shared" si="362"/>
        <v>16.666666666666668</v>
      </c>
      <c r="D382" s="18">
        <f t="shared" si="363"/>
        <v>16.346016095413869</v>
      </c>
      <c r="E382" s="19">
        <f t="shared" si="364"/>
        <v>0.98076096572483207</v>
      </c>
      <c r="F382" s="19">
        <f t="shared" si="370"/>
        <v>7.0522740850577723E-3</v>
      </c>
      <c r="G382" s="18">
        <f>AVERAGE(E318:E327)*G$372</f>
        <v>0</v>
      </c>
      <c r="H382" s="18">
        <f t="shared" ref="H382:AK382" si="376">AVERAGE(F318:F327)*H$372</f>
        <v>0</v>
      </c>
      <c r="I382" s="18">
        <f t="shared" si="376"/>
        <v>0</v>
      </c>
      <c r="J382" s="18">
        <f t="shared" si="376"/>
        <v>11.721904458344989</v>
      </c>
      <c r="K382" s="18">
        <f t="shared" si="376"/>
        <v>4.6241116370688804</v>
      </c>
      <c r="L382" s="18">
        <f t="shared" si="376"/>
        <v>0</v>
      </c>
      <c r="M382" s="18">
        <f t="shared" si="376"/>
        <v>0</v>
      </c>
      <c r="N382" s="18">
        <f t="shared" si="376"/>
        <v>0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53.516933760683763</v>
      </c>
      <c r="AO382">
        <v>43.272572107127971</v>
      </c>
      <c r="AP382">
        <v>36.919846509671324</v>
      </c>
      <c r="AQ382">
        <v>300.38564170292778</v>
      </c>
      <c r="AR382">
        <v>41.443093493512464</v>
      </c>
      <c r="AS382">
        <v>405.34098302242137</v>
      </c>
      <c r="AT382">
        <v>32.448829450572887</v>
      </c>
      <c r="AU382">
        <v>25.853082529106551</v>
      </c>
      <c r="AV382"/>
      <c r="AW382"/>
      <c r="FY382" s="211">
        <v>377</v>
      </c>
      <c r="FZ382">
        <v>48.406678530322409</v>
      </c>
      <c r="GA382">
        <v>88.857594708731725</v>
      </c>
      <c r="GB382">
        <v>36.712557382554898</v>
      </c>
      <c r="GC382">
        <v>11.84515035505626</v>
      </c>
      <c r="GD382">
        <v>5.9872406433234628</v>
      </c>
      <c r="GE382">
        <v>8.3768519295960306</v>
      </c>
      <c r="GF382">
        <v>29.527880908454893</v>
      </c>
      <c r="GG382">
        <v>24.890890470726479</v>
      </c>
      <c r="GH382">
        <v>11.916569765401425</v>
      </c>
      <c r="GI382">
        <v>27.562087893424085</v>
      </c>
      <c r="GJ382"/>
      <c r="GK382">
        <v>53.66530994188242</v>
      </c>
      <c r="GL382">
        <v>83.201359158339869</v>
      </c>
      <c r="GM382">
        <v>65.038809282514165</v>
      </c>
      <c r="GN382">
        <v>39.080418514309564</v>
      </c>
      <c r="GO382">
        <v>26.008718997124838</v>
      </c>
      <c r="GP382">
        <v>17.97358683612898</v>
      </c>
      <c r="GQ382">
        <v>39.783433313170868</v>
      </c>
      <c r="GR382">
        <v>37.439052421501877</v>
      </c>
      <c r="GS382">
        <v>14.03396027687943</v>
      </c>
      <c r="GT382">
        <v>39.706046362314346</v>
      </c>
      <c r="GU382"/>
      <c r="GV382"/>
      <c r="GW382"/>
      <c r="GX382"/>
      <c r="GY382"/>
      <c r="GZ382"/>
      <c r="HA382"/>
      <c r="HB382"/>
      <c r="HC382"/>
    </row>
    <row r="383" spans="1:211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53.138461538461527</v>
      </c>
      <c r="AO383">
        <v>46.996360069499936</v>
      </c>
      <c r="AP383">
        <v>75.113020903051961</v>
      </c>
      <c r="AQ383">
        <v>315.02921086338517</v>
      </c>
      <c r="AR383">
        <v>44.710117329913338</v>
      </c>
      <c r="AS383">
        <v>400.1851401279614</v>
      </c>
      <c r="AT383">
        <v>34.042469103372049</v>
      </c>
      <c r="AU383">
        <v>11.271906862994101</v>
      </c>
      <c r="AV383"/>
      <c r="AW383"/>
      <c r="FY383" s="211">
        <v>378</v>
      </c>
      <c r="FZ383">
        <v>42.022966304145044</v>
      </c>
      <c r="GA383">
        <v>70.160373276575513</v>
      </c>
      <c r="GB383">
        <v>26.777509767559838</v>
      </c>
      <c r="GC383">
        <v>16.775656331429623</v>
      </c>
      <c r="GD383">
        <v>13.4893261780858</v>
      </c>
      <c r="GE383">
        <v>15.87586207392782</v>
      </c>
      <c r="GF383">
        <v>15.466985237762088</v>
      </c>
      <c r="GG383">
        <v>10.131111965789048</v>
      </c>
      <c r="GH383">
        <v>14.009567243551309</v>
      </c>
      <c r="GI383">
        <v>26.458355785065532</v>
      </c>
      <c r="GJ383"/>
      <c r="GK383">
        <v>45.251104616230521</v>
      </c>
      <c r="GL383">
        <v>64.341174228359208</v>
      </c>
      <c r="GM383">
        <v>47.438192133696155</v>
      </c>
      <c r="GN383">
        <v>55.395821582870795</v>
      </c>
      <c r="GO383">
        <v>58.69243643811398</v>
      </c>
      <c r="GP383">
        <v>34.063653981515351</v>
      </c>
      <c r="GQ383">
        <v>20.838941259279981</v>
      </c>
      <c r="GR383">
        <v>15.238475795848485</v>
      </c>
      <c r="GS383">
        <v>16.378341168548427</v>
      </c>
      <c r="GT383">
        <v>37.719803123173811</v>
      </c>
      <c r="GU383"/>
      <c r="GV383"/>
      <c r="GW383"/>
      <c r="GX383"/>
      <c r="GY383"/>
      <c r="GZ383"/>
      <c r="HA383"/>
      <c r="HB383"/>
      <c r="HC383"/>
    </row>
    <row r="384" spans="1:211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46.993269230769229</v>
      </c>
      <c r="AO384">
        <v>35.493975832516988</v>
      </c>
      <c r="AP384">
        <v>18.729586333558675</v>
      </c>
      <c r="AQ384">
        <v>235.90024443310725</v>
      </c>
      <c r="AR384">
        <v>34.226580305219571</v>
      </c>
      <c r="AS384">
        <v>327.48088142984079</v>
      </c>
      <c r="AT384">
        <v>27.54562993848052</v>
      </c>
      <c r="AU384">
        <v>21.431273182402997</v>
      </c>
      <c r="AV384"/>
      <c r="AW384"/>
      <c r="FY384" s="211">
        <v>379</v>
      </c>
      <c r="FZ384">
        <v>47.195847051066089</v>
      </c>
      <c r="GA384">
        <v>63.046782242389995</v>
      </c>
      <c r="GB384">
        <v>22.496717303782955</v>
      </c>
      <c r="GC384">
        <v>12.052759371368097</v>
      </c>
      <c r="GD384">
        <v>8.0704594112650643</v>
      </c>
      <c r="GE384">
        <v>9.651590266708471</v>
      </c>
      <c r="GF384">
        <v>39.440812356293321</v>
      </c>
      <c r="GG384">
        <v>28.574931185558857</v>
      </c>
      <c r="GH384">
        <v>4.5348278693247526</v>
      </c>
      <c r="GI384">
        <v>25.902139776957291</v>
      </c>
      <c r="GJ384"/>
      <c r="GK384">
        <v>48.812530179406089</v>
      </c>
      <c r="GL384">
        <v>55.718119191999854</v>
      </c>
      <c r="GM384">
        <v>39.854475158372964</v>
      </c>
      <c r="GN384">
        <v>39.785318886251794</v>
      </c>
      <c r="GO384">
        <v>35.096557102913799</v>
      </c>
      <c r="GP384">
        <v>20.708697876409477</v>
      </c>
      <c r="GQ384">
        <v>53.139300211163942</v>
      </c>
      <c r="GR384">
        <v>42.98031634726496</v>
      </c>
      <c r="GS384">
        <v>5.0794919319494953</v>
      </c>
      <c r="GT384">
        <v>36.39647091676126</v>
      </c>
      <c r="GU384"/>
      <c r="GV384"/>
      <c r="GW384"/>
      <c r="GX384"/>
      <c r="GY384"/>
      <c r="GZ384"/>
      <c r="HA384"/>
      <c r="HB384"/>
      <c r="HC384"/>
    </row>
    <row r="385" spans="1:211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48.640304487179478</v>
      </c>
      <c r="AO385">
        <v>39.64282297071037</v>
      </c>
      <c r="AP385">
        <v>45.256937223988032</v>
      </c>
      <c r="AQ385">
        <v>269.60473332870981</v>
      </c>
      <c r="AR385">
        <v>38.329623004938938</v>
      </c>
      <c r="AS385">
        <v>354.26851613760977</v>
      </c>
      <c r="AT385">
        <v>29.919227812809257</v>
      </c>
      <c r="AU385">
        <v>24.151258127646276</v>
      </c>
      <c r="AV385"/>
      <c r="AW385"/>
      <c r="FY385" s="211">
        <v>380</v>
      </c>
      <c r="FZ385">
        <v>60.130697840266038</v>
      </c>
      <c r="GA385">
        <v>90.793749102920174</v>
      </c>
      <c r="GB385">
        <v>27.348950447736136</v>
      </c>
      <c r="GC385">
        <v>10.26396478600255</v>
      </c>
      <c r="GD385">
        <v>7.6039228742386404</v>
      </c>
      <c r="GE385">
        <v>11.519338745994098</v>
      </c>
      <c r="GF385">
        <v>37.744716816016009</v>
      </c>
      <c r="GG385">
        <v>29.826560402777545</v>
      </c>
      <c r="GH385">
        <v>8.0794077221266338</v>
      </c>
      <c r="GI385">
        <v>28.787576066062989</v>
      </c>
      <c r="GJ385"/>
      <c r="GK385">
        <v>69.394757034274136</v>
      </c>
      <c r="GL385">
        <v>89.585171099658879</v>
      </c>
      <c r="GM385">
        <v>48.450538427825947</v>
      </c>
      <c r="GN385">
        <v>33.873372919946839</v>
      </c>
      <c r="GO385">
        <v>33.061856457446027</v>
      </c>
      <c r="GP385">
        <v>24.716186580117167</v>
      </c>
      <c r="GQ385">
        <v>50.854120857163359</v>
      </c>
      <c r="GR385">
        <v>44.862925245120366</v>
      </c>
      <c r="GS385">
        <v>9.7359286421529312</v>
      </c>
      <c r="GT385">
        <v>42.299440283772476</v>
      </c>
      <c r="GU385"/>
      <c r="GV385"/>
      <c r="GW385"/>
      <c r="GX385"/>
      <c r="GY385"/>
      <c r="GZ385"/>
      <c r="HA385"/>
      <c r="HB385"/>
      <c r="HC385"/>
    </row>
    <row r="386" spans="1:211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54.621661324786331</v>
      </c>
      <c r="AO386">
        <v>41.503883349922745</v>
      </c>
      <c r="AP386">
        <v>17.840997444365769</v>
      </c>
      <c r="AQ386">
        <v>272.54554374006545</v>
      </c>
      <c r="AR386">
        <v>39.965603133959576</v>
      </c>
      <c r="AS386">
        <v>384.19422830592407</v>
      </c>
      <c r="AT386">
        <v>32.656138937764872</v>
      </c>
      <c r="AU386">
        <v>33.938004938389717</v>
      </c>
      <c r="AV386"/>
      <c r="AW386"/>
      <c r="FY386" s="211">
        <v>381</v>
      </c>
      <c r="FZ386">
        <v>60.354839809245334</v>
      </c>
      <c r="GA386">
        <v>70.770157777866586</v>
      </c>
      <c r="GB386">
        <v>21.043052415615165</v>
      </c>
      <c r="GC386">
        <v>14.505296976453923</v>
      </c>
      <c r="GD386">
        <v>9.3564487488639489</v>
      </c>
      <c r="GE386">
        <v>11.715452336319089</v>
      </c>
      <c r="GF386">
        <v>42.094806414136585</v>
      </c>
      <c r="GG386">
        <v>37.100179250010704</v>
      </c>
      <c r="GH386">
        <v>17.149063460776141</v>
      </c>
      <c r="GI386">
        <v>30.649443469364765</v>
      </c>
      <c r="GJ386"/>
      <c r="GK386">
        <v>67.822363890009399</v>
      </c>
      <c r="GL386">
        <v>69.552795723843758</v>
      </c>
      <c r="GM386">
        <v>37.279208269797174</v>
      </c>
      <c r="GN386">
        <v>47.881822921623225</v>
      </c>
      <c r="GO386">
        <v>40.68883609491153</v>
      </c>
      <c r="GP386">
        <v>25.136972894006476</v>
      </c>
      <c r="GQ386">
        <v>56.715073086335842</v>
      </c>
      <c r="GR386">
        <v>55.803369406242346</v>
      </c>
      <c r="GS386">
        <v>19.894912506051924</v>
      </c>
      <c r="GT386">
        <v>44.480078769421169</v>
      </c>
      <c r="GU386"/>
      <c r="GV386"/>
      <c r="GW386"/>
      <c r="GX386"/>
      <c r="GY386"/>
      <c r="GZ386"/>
      <c r="HA386"/>
      <c r="HB386"/>
      <c r="HC386"/>
    </row>
    <row r="387" spans="1:211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46.046581196581201</v>
      </c>
      <c r="AO387">
        <v>34.783768684445917</v>
      </c>
      <c r="AP387">
        <v>22.664080090079853</v>
      </c>
      <c r="AQ387">
        <v>243.51364567189057</v>
      </c>
      <c r="AR387">
        <v>33.332290985129447</v>
      </c>
      <c r="AS387">
        <v>336.10999972085443</v>
      </c>
      <c r="AT387">
        <v>26.842263034836179</v>
      </c>
      <c r="AU387">
        <v>25.222078764855802</v>
      </c>
      <c r="AV387"/>
      <c r="AW387"/>
      <c r="FY387" s="211">
        <v>382</v>
      </c>
      <c r="FZ387">
        <v>47.474261641218249</v>
      </c>
      <c r="GA387">
        <v>87.226332565188784</v>
      </c>
      <c r="GB387">
        <v>30.216179123708475</v>
      </c>
      <c r="GC387">
        <v>13.83860777685431</v>
      </c>
      <c r="GD387">
        <v>8.7070749272446903</v>
      </c>
      <c r="GE387">
        <v>5.8273752553711535</v>
      </c>
      <c r="GF387">
        <v>28.420585374387837</v>
      </c>
      <c r="GG387">
        <v>29.614019592306452</v>
      </c>
      <c r="GH387">
        <v>18.195562199851082</v>
      </c>
      <c r="GI387">
        <v>28.317356861385822</v>
      </c>
      <c r="GJ387"/>
      <c r="GK387">
        <v>50.891987954751798</v>
      </c>
      <c r="GL387">
        <v>79.423357964763085</v>
      </c>
      <c r="GM387">
        <v>53.530030359775438</v>
      </c>
      <c r="GN387">
        <v>45.699054444677913</v>
      </c>
      <c r="GO387">
        <v>37.884451472447921</v>
      </c>
      <c r="GP387">
        <v>12.503364755567988</v>
      </c>
      <c r="GQ387">
        <v>38.291554563926965</v>
      </c>
      <c r="GR387">
        <v>44.543236941710958</v>
      </c>
      <c r="GS387">
        <v>21.067102951886422</v>
      </c>
      <c r="GT387">
        <v>40.3330254605577</v>
      </c>
      <c r="GU387"/>
      <c r="GV387"/>
      <c r="GW387"/>
      <c r="GX387"/>
      <c r="GY387"/>
      <c r="GZ387"/>
      <c r="HA387"/>
      <c r="HB387"/>
      <c r="HC387"/>
    </row>
    <row r="388" spans="1:211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1.1931042246385068E-2</v>
      </c>
      <c r="G388" s="13"/>
      <c r="H388" s="19">
        <f>IF(G406&lt;0,0,G406)</f>
        <v>3.1910676096697274E-2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48.472195512820512</v>
      </c>
      <c r="AO388">
        <v>35.927045916995553</v>
      </c>
      <c r="AP388">
        <v>16.585406908291336</v>
      </c>
      <c r="AQ388">
        <v>238.37450152859711</v>
      </c>
      <c r="AR388">
        <v>34.001275795589073</v>
      </c>
      <c r="AS388">
        <v>340.93859379593692</v>
      </c>
      <c r="AT388">
        <v>27.513622479235142</v>
      </c>
      <c r="AU388">
        <v>27.977040102225267</v>
      </c>
      <c r="AV388"/>
      <c r="AW388"/>
      <c r="FY388" s="211">
        <v>383</v>
      </c>
      <c r="FZ388">
        <v>40.93379554610506</v>
      </c>
      <c r="GA388">
        <v>85.15294712401338</v>
      </c>
      <c r="GB388">
        <v>38.36672777253893</v>
      </c>
      <c r="GC388">
        <v>14.490643143995971</v>
      </c>
      <c r="GD388">
        <v>8.9297507727905874</v>
      </c>
      <c r="GE388">
        <v>10.548109536765574</v>
      </c>
      <c r="GF388">
        <v>25.520525642307454</v>
      </c>
      <c r="GG388">
        <v>20.0024518298912</v>
      </c>
      <c r="GH388">
        <v>12.265402678426408</v>
      </c>
      <c r="GI388">
        <v>28.099127159266889</v>
      </c>
      <c r="GJ388"/>
      <c r="GK388">
        <v>42.329559731027118</v>
      </c>
      <c r="GL388">
        <v>75.254626622574818</v>
      </c>
      <c r="GM388">
        <v>67.969285397100393</v>
      </c>
      <c r="GN388">
        <v>47.852624226477197</v>
      </c>
      <c r="GO388">
        <v>38.853535104435423</v>
      </c>
      <c r="GP388">
        <v>22.632292454189177</v>
      </c>
      <c r="GQ388">
        <v>34.384253077811977</v>
      </c>
      <c r="GR388">
        <v>30.086221443085474</v>
      </c>
      <c r="GS388">
        <v>14.42469042549093</v>
      </c>
      <c r="GT388">
        <v>39.592264747173175</v>
      </c>
      <c r="GU388"/>
      <c r="GV388"/>
      <c r="GW388"/>
      <c r="GX388"/>
      <c r="GY388"/>
      <c r="GZ388"/>
      <c r="HA388"/>
      <c r="HB388"/>
      <c r="HC388"/>
    </row>
    <row r="389" spans="1:211" s="7" customFormat="1">
      <c r="A389" s="1"/>
      <c r="B389" s="13"/>
      <c r="C389" s="21"/>
      <c r="D389" s="96"/>
      <c r="E389" s="3"/>
      <c r="F389" s="19">
        <f t="shared" si="377"/>
        <v>-5.1870828273864449E-3</v>
      </c>
      <c r="G389" s="13"/>
      <c r="H389" s="19">
        <f t="shared" ref="H389:H398" si="378">IF(G407&lt;0,0,G407)</f>
        <v>4.7436437056852868E-4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45.784989316239312</v>
      </c>
      <c r="AO389">
        <v>36.269310974966359</v>
      </c>
      <c r="AP389">
        <v>14.771426336246899</v>
      </c>
      <c r="AQ389">
        <v>251.65059384692435</v>
      </c>
      <c r="AR389">
        <v>34.922812986378318</v>
      </c>
      <c r="AS389">
        <v>302.81577039019948</v>
      </c>
      <c r="AT389">
        <v>28.204044689040355</v>
      </c>
      <c r="AU389">
        <v>23.835509573755246</v>
      </c>
      <c r="AV389"/>
      <c r="AW389"/>
      <c r="FY389" s="211">
        <v>384</v>
      </c>
      <c r="FZ389">
        <v>55.981554160110463</v>
      </c>
      <c r="GA389">
        <v>85.802349897370505</v>
      </c>
      <c r="GB389">
        <v>28.993095562629371</v>
      </c>
      <c r="GC389">
        <v>12.493085804768031</v>
      </c>
      <c r="GD389">
        <v>9.1579350777413673</v>
      </c>
      <c r="GE389">
        <v>18.364636922575919</v>
      </c>
      <c r="GF389">
        <v>25.230519669099408</v>
      </c>
      <c r="GG389">
        <v>8.8322514573545572</v>
      </c>
      <c r="GH389">
        <v>5.9864102439767493</v>
      </c>
      <c r="GI389">
        <v>26.87487921544928</v>
      </c>
      <c r="GJ389"/>
      <c r="GK389">
        <v>63.293044184687929</v>
      </c>
      <c r="GL389">
        <v>82.837620776634736</v>
      </c>
      <c r="GM389">
        <v>51.363254081111677</v>
      </c>
      <c r="GN389">
        <v>41.24348763411799</v>
      </c>
      <c r="GO389">
        <v>39.833580244722647</v>
      </c>
      <c r="GP389">
        <v>39.403632679205849</v>
      </c>
      <c r="GQ389">
        <v>33.993522929200466</v>
      </c>
      <c r="GR389">
        <v>13.284825052790989</v>
      </c>
      <c r="GS389">
        <v>7.3915477504839355</v>
      </c>
      <c r="GT389">
        <v>39.174989838041334</v>
      </c>
      <c r="GU389"/>
      <c r="GV389"/>
      <c r="GW389"/>
      <c r="GX389"/>
      <c r="GY389"/>
      <c r="GZ389"/>
      <c r="HA389"/>
      <c r="HB389"/>
      <c r="HC389"/>
    </row>
    <row r="390" spans="1:211" s="7" customFormat="1">
      <c r="A390" s="1"/>
      <c r="B390" s="13"/>
      <c r="C390" s="21"/>
      <c r="D390" s="96"/>
      <c r="E390" s="3"/>
      <c r="F390" s="19">
        <f t="shared" si="377"/>
        <v>0</v>
      </c>
      <c r="G390" s="13"/>
      <c r="H390" s="19">
        <f t="shared" si="378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45.416372863247872</v>
      </c>
      <c r="AO390">
        <v>35.231129371724123</v>
      </c>
      <c r="AP390">
        <v>20.574209578210091</v>
      </c>
      <c r="AQ390">
        <v>243.00303223984758</v>
      </c>
      <c r="AR390">
        <v>33.854361215858539</v>
      </c>
      <c r="AS390">
        <v>318.80289110175914</v>
      </c>
      <c r="AT390">
        <v>26.930757824346415</v>
      </c>
      <c r="AU390">
        <v>25.001504407972575</v>
      </c>
      <c r="AV390"/>
      <c r="AW390"/>
      <c r="FY390" s="211">
        <v>385</v>
      </c>
      <c r="FZ390">
        <v>49.86858259208794</v>
      </c>
      <c r="GA390">
        <v>81.036606398334243</v>
      </c>
      <c r="GB390">
        <v>28.441705432634688</v>
      </c>
      <c r="GC390">
        <v>9.035338835003655</v>
      </c>
      <c r="GD390">
        <v>6.0535434786067963</v>
      </c>
      <c r="GE390">
        <v>10.744223127090564</v>
      </c>
      <c r="GF390">
        <v>30.661540621904511</v>
      </c>
      <c r="GG390">
        <v>19.4120606896937</v>
      </c>
      <c r="GH390">
        <v>11.218903939351462</v>
      </c>
      <c r="GI390">
        <v>25.896102247776117</v>
      </c>
      <c r="GJ390"/>
      <c r="GK390">
        <v>53.363922508834023</v>
      </c>
      <c r="GL390">
        <v>73.953135884202098</v>
      </c>
      <c r="GM390">
        <v>50.386428709582923</v>
      </c>
      <c r="GN390">
        <v>29.830776031877367</v>
      </c>
      <c r="GO390">
        <v>26.331965155674396</v>
      </c>
      <c r="GP390">
        <v>23.053078768078478</v>
      </c>
      <c r="GQ390">
        <v>41.310832985015828</v>
      </c>
      <c r="GR390">
        <v>29.198198378059338</v>
      </c>
      <c r="GS390">
        <v>13.252499979656427</v>
      </c>
      <c r="GT390">
        <v>36.929129867752728</v>
      </c>
      <c r="GU390"/>
      <c r="GV390"/>
      <c r="GW390"/>
      <c r="GX390"/>
      <c r="GY390"/>
      <c r="GZ390"/>
      <c r="HA390"/>
      <c r="HB390"/>
      <c r="HC390"/>
    </row>
    <row r="391" spans="1:211" s="7" customFormat="1">
      <c r="A391" s="1"/>
      <c r="B391" s="13"/>
      <c r="C391" s="21"/>
      <c r="D391" s="96"/>
      <c r="E391" s="3"/>
      <c r="F391" s="19">
        <f t="shared" si="377"/>
        <v>-8.7494304622537031E-4</v>
      </c>
      <c r="G391" s="13"/>
      <c r="H391" s="19">
        <f t="shared" si="378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48.389663461538454</v>
      </c>
      <c r="AO391">
        <v>41.095320347643437</v>
      </c>
      <c r="AP391">
        <v>63.699538143899247</v>
      </c>
      <c r="AQ391">
        <v>272.97045931108516</v>
      </c>
      <c r="AR391">
        <v>38.522102483172823</v>
      </c>
      <c r="AS391">
        <v>343.3232656858375</v>
      </c>
      <c r="AT391">
        <v>29.52795219511701</v>
      </c>
      <c r="AU391">
        <v>14.385631088312769</v>
      </c>
      <c r="AV391"/>
      <c r="AW391"/>
      <c r="FY391" s="211">
        <v>386</v>
      </c>
      <c r="FZ391">
        <v>36.673519481804725</v>
      </c>
      <c r="GA391">
        <v>47.435235778266659</v>
      </c>
      <c r="GB391">
        <v>21.283659017794662</v>
      </c>
      <c r="GC391">
        <v>13.100786612992914</v>
      </c>
      <c r="GD391">
        <v>8.1924707063339177</v>
      </c>
      <c r="GE391">
        <v>11.836855987472656</v>
      </c>
      <c r="GF391">
        <v>28.974233141421372</v>
      </c>
      <c r="GG391">
        <v>23.875417709586777</v>
      </c>
      <c r="GH391">
        <v>13.311901417501348</v>
      </c>
      <c r="GI391">
        <v>23.482153206041833</v>
      </c>
      <c r="GJ391"/>
      <c r="GK391">
        <v>39.728324884406668</v>
      </c>
      <c r="GL391">
        <v>44.25764458972813</v>
      </c>
      <c r="GM391">
        <v>37.705459341009714</v>
      </c>
      <c r="GN391">
        <v>43.246787254079322</v>
      </c>
      <c r="GO391">
        <v>35.627549356155079</v>
      </c>
      <c r="GP391">
        <v>25.397459659747479</v>
      </c>
      <c r="GQ391">
        <v>39.03749393854892</v>
      </c>
      <c r="GR391">
        <v>35.911652749656916</v>
      </c>
      <c r="GS391">
        <v>15.596880871325425</v>
      </c>
      <c r="GT391">
        <v>33.539141678289162</v>
      </c>
      <c r="GU391"/>
      <c r="GV391"/>
      <c r="GW391"/>
      <c r="GX391"/>
      <c r="GY391"/>
      <c r="GZ391"/>
      <c r="HA391"/>
      <c r="HB391"/>
      <c r="HC391"/>
    </row>
    <row r="392" spans="1:211" s="7" customFormat="1">
      <c r="A392" s="1"/>
      <c r="B392" s="13"/>
      <c r="C392" s="21"/>
      <c r="D392" s="96"/>
      <c r="E392" s="3"/>
      <c r="F392" s="19">
        <f t="shared" si="377"/>
        <v>1.0207668872629337E-3</v>
      </c>
      <c r="G392" s="13"/>
      <c r="H392" s="19">
        <f t="shared" si="378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42.966052350427347</v>
      </c>
      <c r="AO392">
        <v>33.4144248073139</v>
      </c>
      <c r="AP392">
        <v>23.804513313941257</v>
      </c>
      <c r="AQ392">
        <v>224.24909700579889</v>
      </c>
      <c r="AR392">
        <v>32.039701733209171</v>
      </c>
      <c r="AS392">
        <v>315.74683970918596</v>
      </c>
      <c r="AT392">
        <v>25.432142497251792</v>
      </c>
      <c r="AU392">
        <v>22.590297702630878</v>
      </c>
      <c r="AV392"/>
      <c r="AW392"/>
      <c r="FY392" s="211">
        <v>387</v>
      </c>
      <c r="FZ392">
        <v>38.722037742478769</v>
      </c>
      <c r="GA392">
        <v>66.004414278830296</v>
      </c>
      <c r="GB392">
        <v>28.120896629728694</v>
      </c>
      <c r="GC392">
        <v>10.781666325194827</v>
      </c>
      <c r="GD392">
        <v>7.060445648339515</v>
      </c>
      <c r="GE392">
        <v>10.987030429397697</v>
      </c>
      <c r="GF392">
        <v>22.717134567963072</v>
      </c>
      <c r="GG392">
        <v>17.924275016396006</v>
      </c>
      <c r="GH392">
        <v>19.354562384030174</v>
      </c>
      <c r="GI392">
        <v>24.612329928331754</v>
      </c>
      <c r="GJ392"/>
      <c r="GK392">
        <v>41.841417705480694</v>
      </c>
      <c r="GL392">
        <v>60.668310831411105</v>
      </c>
      <c r="GM392">
        <v>49.818093947966204</v>
      </c>
      <c r="GN392">
        <v>35.602459893552556</v>
      </c>
      <c r="GO392">
        <v>30.71833303590881</v>
      </c>
      <c r="GP392">
        <v>23.574052299560481</v>
      </c>
      <c r="GQ392">
        <v>30.607194974567474</v>
      </c>
      <c r="GR392">
        <v>26.960380254193474</v>
      </c>
      <c r="GS392">
        <v>23.737563845897807</v>
      </c>
      <c r="GT392">
        <v>35.344520701964193</v>
      </c>
      <c r="GU392"/>
      <c r="GV392"/>
      <c r="GW392"/>
      <c r="GX392"/>
      <c r="GY392"/>
      <c r="GZ392"/>
      <c r="HA392"/>
      <c r="HB392"/>
      <c r="HC392"/>
    </row>
    <row r="393" spans="1:211" s="7" customFormat="1">
      <c r="A393" s="1"/>
      <c r="B393" s="13"/>
      <c r="C393" s="21"/>
      <c r="D393" s="96"/>
      <c r="E393" s="3"/>
      <c r="F393" s="19">
        <f t="shared" si="377"/>
        <v>0</v>
      </c>
      <c r="G393" s="13"/>
      <c r="H393" s="19">
        <f t="shared" si="378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52.072222222222216</v>
      </c>
      <c r="AO393">
        <v>41.593069510416633</v>
      </c>
      <c r="AP393">
        <v>43.352469122004685</v>
      </c>
      <c r="AQ393">
        <v>294.08350258759168</v>
      </c>
      <c r="AR393">
        <v>39.706046362314368</v>
      </c>
      <c r="AS393">
        <v>345.03348604285867</v>
      </c>
      <c r="AT393">
        <v>30.656672609962527</v>
      </c>
      <c r="AU393">
        <v>18.830598861090877</v>
      </c>
      <c r="AV393"/>
      <c r="AW393"/>
      <c r="FY393" s="211">
        <v>388</v>
      </c>
      <c r="FZ393">
        <v>42.703410614434695</v>
      </c>
      <c r="GA393">
        <v>72.596645471251307</v>
      </c>
      <c r="GB393">
        <v>34.055859483489613</v>
      </c>
      <c r="GC393">
        <v>15.764655999227294</v>
      </c>
      <c r="GD393">
        <v>7.5283997748814535</v>
      </c>
      <c r="GE393">
        <v>6.0094807321015002</v>
      </c>
      <c r="GF393">
        <v>19.377671846173527</v>
      </c>
      <c r="GG393">
        <v>19.955220538675395</v>
      </c>
      <c r="GH393">
        <v>15.753731808676214</v>
      </c>
      <c r="GI393">
        <v>25.782960804084428</v>
      </c>
      <c r="GJ393"/>
      <c r="GK393">
        <v>44.158806830243329</v>
      </c>
      <c r="GL393">
        <v>64.157890402008249</v>
      </c>
      <c r="GM393">
        <v>60.332287037875645</v>
      </c>
      <c r="GN393">
        <v>52.060487365370271</v>
      </c>
      <c r="GO393">
        <v>32.754865931702078</v>
      </c>
      <c r="GP393">
        <v>12.894094904179484</v>
      </c>
      <c r="GQ393">
        <v>26.107878111768382</v>
      </c>
      <c r="GR393">
        <v>30.015179597883375</v>
      </c>
      <c r="GS393">
        <v>18.331991911605922</v>
      </c>
      <c r="GT393">
        <v>36.337165964639077</v>
      </c>
      <c r="GU393"/>
      <c r="GV393"/>
      <c r="GW393"/>
      <c r="GX393"/>
      <c r="GY393"/>
      <c r="GZ393"/>
      <c r="HA393"/>
      <c r="HB393"/>
      <c r="HC393"/>
    </row>
    <row r="394" spans="1:211" s="7" customFormat="1">
      <c r="A394" s="1"/>
      <c r="B394" s="13"/>
      <c r="C394" s="21"/>
      <c r="D394" s="96"/>
      <c r="E394" s="3"/>
      <c r="F394" s="19">
        <f t="shared" si="377"/>
        <v>0</v>
      </c>
      <c r="G394" s="13"/>
      <c r="H394" s="19">
        <f t="shared" si="378"/>
        <v>2.943643705685256E-4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51.258413461538467</v>
      </c>
      <c r="AO394">
        <v>39.535794432763673</v>
      </c>
      <c r="AP394">
        <v>34.128251935617492</v>
      </c>
      <c r="AQ394">
        <v>251.16771416389159</v>
      </c>
      <c r="AR394">
        <v>37.71980312317384</v>
      </c>
      <c r="AS394">
        <v>363.33416232584392</v>
      </c>
      <c r="AT394">
        <v>29.740537690489731</v>
      </c>
      <c r="AU394">
        <v>31.904603387981023</v>
      </c>
      <c r="AV394"/>
      <c r="AW394"/>
      <c r="FY394" s="211">
        <v>389</v>
      </c>
      <c r="FZ394">
        <v>44.420774393119054</v>
      </c>
      <c r="GA394">
        <v>84.445549847801445</v>
      </c>
      <c r="GB394">
        <v>35.72005514856447</v>
      </c>
      <c r="GC394">
        <v>13.519076543026989</v>
      </c>
      <c r="GD394">
        <v>6.8455606129059445</v>
      </c>
      <c r="GE394">
        <v>8.5449492927317401</v>
      </c>
      <c r="GF394">
        <v>23.754125623676661</v>
      </c>
      <c r="GG394">
        <v>18.939747777535704</v>
      </c>
      <c r="GH394">
        <v>8.3719899125995418</v>
      </c>
      <c r="GI394">
        <v>25.674905336960581</v>
      </c>
      <c r="GJ394"/>
      <c r="GK394">
        <v>45.938646296768596</v>
      </c>
      <c r="GL394">
        <v>74.629458384796422</v>
      </c>
      <c r="GM394">
        <v>63.280523613762412</v>
      </c>
      <c r="GN394">
        <v>44.647533391847169</v>
      </c>
      <c r="GO394">
        <v>29.787492040632895</v>
      </c>
      <c r="GP394">
        <v>18.334260819462674</v>
      </c>
      <c r="GQ394">
        <v>32.004351263541921</v>
      </c>
      <c r="GR394">
        <v>28.487779926038424</v>
      </c>
      <c r="GS394">
        <v>9.3775235666759897</v>
      </c>
      <c r="GT394">
        <v>36.077707356276363</v>
      </c>
      <c r="GU394"/>
      <c r="GV394"/>
      <c r="GW394"/>
      <c r="GX394"/>
      <c r="GY394"/>
      <c r="GZ394"/>
      <c r="HA394"/>
      <c r="HB394"/>
      <c r="HC394"/>
    </row>
    <row r="395" spans="1:211" s="7" customFormat="1">
      <c r="A395" s="1"/>
      <c r="B395" s="13"/>
      <c r="C395" s="21"/>
      <c r="D395" s="96"/>
      <c r="E395" s="3"/>
      <c r="F395" s="19">
        <f t="shared" si="377"/>
        <v>0</v>
      </c>
      <c r="G395" s="13"/>
      <c r="H395" s="19">
        <f t="shared" si="378"/>
        <v>2.0274364370568523E-2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51.19027777777778</v>
      </c>
      <c r="AO395">
        <v>37.75712778024937</v>
      </c>
      <c r="AP395">
        <v>6.2872436655598181</v>
      </c>
      <c r="AQ395">
        <v>260.96686683471489</v>
      </c>
      <c r="AR395">
        <v>36.39647091676126</v>
      </c>
      <c r="AS395">
        <v>375.52536397493964</v>
      </c>
      <c r="AT395">
        <v>29.676186467118864</v>
      </c>
      <c r="AU395">
        <v>38.441355693706505</v>
      </c>
      <c r="AV395"/>
      <c r="AW395"/>
      <c r="FY395" s="211">
        <v>390</v>
      </c>
      <c r="FZ395">
        <v>38.827028923961578</v>
      </c>
      <c r="GA395">
        <v>61.278289051860114</v>
      </c>
      <c r="GB395">
        <v>30.637240677522598</v>
      </c>
      <c r="GC395">
        <v>15.354123847169157</v>
      </c>
      <c r="GD395">
        <v>8.2492137107220351</v>
      </c>
      <c r="GE395">
        <v>8.0126409761353372</v>
      </c>
      <c r="GF395">
        <v>14.210292687193919</v>
      </c>
      <c r="GG395">
        <v>10.910428270849746</v>
      </c>
      <c r="GH395">
        <v>10.116154477724448</v>
      </c>
      <c r="GI395">
        <v>22.88752152883033</v>
      </c>
      <c r="GJ395"/>
      <c r="GK395">
        <v>40.144620917374652</v>
      </c>
      <c r="GL395">
        <v>54.155198597553849</v>
      </c>
      <c r="GM395">
        <v>54.2759697343974</v>
      </c>
      <c r="GN395">
        <v>50.708404659761442</v>
      </c>
      <c r="GO395">
        <v>35.896179935125502</v>
      </c>
      <c r="GP395">
        <v>17.192126538905985</v>
      </c>
      <c r="GQ395">
        <v>19.145777281963483</v>
      </c>
      <c r="GR395">
        <v>16.410666241682986</v>
      </c>
      <c r="GS395">
        <v>11.331174309733489</v>
      </c>
      <c r="GT395">
        <v>32.158744435718901</v>
      </c>
      <c r="GU395"/>
      <c r="GV395"/>
      <c r="GW395"/>
      <c r="GX395"/>
      <c r="GY395"/>
      <c r="GZ395"/>
      <c r="HA395"/>
      <c r="HB395"/>
      <c r="HC395"/>
    </row>
    <row r="396" spans="1:211" s="7" customFormat="1">
      <c r="A396" s="1"/>
      <c r="B396" s="13"/>
      <c r="C396" s="21"/>
      <c r="D396" s="96"/>
      <c r="E396" s="3"/>
      <c r="F396" s="19">
        <f t="shared" si="377"/>
        <v>7.0522740850577723E-3</v>
      </c>
      <c r="G396" s="13"/>
      <c r="H396" s="19">
        <f t="shared" si="378"/>
        <v>3.7952252840782512E-2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51.205769230769228</v>
      </c>
      <c r="AO396">
        <v>44.683429754747813</v>
      </c>
      <c r="AP396">
        <v>70.374861238157763</v>
      </c>
      <c r="AQ396">
        <v>312.09888480414082</v>
      </c>
      <c r="AR396">
        <v>42.299440283772512</v>
      </c>
      <c r="AS396">
        <v>382.63599207363592</v>
      </c>
      <c r="AT396">
        <v>31.935115068917341</v>
      </c>
      <c r="AU396">
        <v>16.90753057508465</v>
      </c>
      <c r="AV396"/>
      <c r="AW396"/>
      <c r="FY396" s="211">
        <v>391</v>
      </c>
      <c r="FZ396">
        <v>35.107745573778693</v>
      </c>
      <c r="GA396">
        <v>73.657741385569224</v>
      </c>
      <c r="GB396">
        <v>39.670013534344541</v>
      </c>
      <c r="GC396">
        <v>14.091017734262916</v>
      </c>
      <c r="GD396">
        <v>9.2571070215973208</v>
      </c>
      <c r="GE396">
        <v>11.990945237013719</v>
      </c>
      <c r="GF396">
        <v>22.014089784428428</v>
      </c>
      <c r="GG396">
        <v>20.238608285970198</v>
      </c>
      <c r="GH396">
        <v>13.255650694949278</v>
      </c>
      <c r="GI396">
        <v>27.234527583765544</v>
      </c>
      <c r="GJ396"/>
      <c r="GK396">
        <v>36.309165423838095</v>
      </c>
      <c r="GL396">
        <v>65.095642758675837</v>
      </c>
      <c r="GM396">
        <v>70.27814536616836</v>
      </c>
      <c r="GN396">
        <v>46.502003691158954</v>
      </c>
      <c r="GO396">
        <v>40.243490366720913</v>
      </c>
      <c r="GP396">
        <v>25.72807747780336</v>
      </c>
      <c r="GQ396">
        <v>29.659970371872927</v>
      </c>
      <c r="GR396">
        <v>30.441430669095926</v>
      </c>
      <c r="GS396">
        <v>14.847745647236987</v>
      </c>
      <c r="GT396">
        <v>38.267703435167455</v>
      </c>
      <c r="GU396"/>
      <c r="GV396"/>
      <c r="GW396"/>
      <c r="GX396"/>
      <c r="GY396"/>
      <c r="GZ396"/>
      <c r="HA396"/>
      <c r="HB396"/>
      <c r="HC396"/>
    </row>
    <row r="397" spans="1:211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56.087206196581199</v>
      </c>
      <c r="AO397">
        <v>46.525543356224283</v>
      </c>
      <c r="AP397">
        <v>57.009115002161678</v>
      </c>
      <c r="AQ397">
        <v>314.7387406586522</v>
      </c>
      <c r="AR397">
        <v>44.480078769421191</v>
      </c>
      <c r="AS397">
        <v>403.05384649629138</v>
      </c>
      <c r="AT397">
        <v>34.038191195193065</v>
      </c>
      <c r="AU397">
        <v>28.896590081344684</v>
      </c>
      <c r="AV397"/>
      <c r="AW397"/>
      <c r="FY397" s="211">
        <v>392</v>
      </c>
      <c r="FZ397">
        <v>39.986097715764856</v>
      </c>
      <c r="GA397">
        <v>77.322770698221518</v>
      </c>
      <c r="GB397">
        <v>40.341706965428976</v>
      </c>
      <c r="GC397">
        <v>15.744939133610618</v>
      </c>
      <c r="GD397">
        <v>6.3911624208434894</v>
      </c>
      <c r="GE397">
        <v>9.1659756620942101</v>
      </c>
      <c r="GF397">
        <v>43.861206432767375</v>
      </c>
      <c r="GG397">
        <v>34.266301777062729</v>
      </c>
      <c r="GH397">
        <v>8.0231569995745602</v>
      </c>
      <c r="GI397">
        <v>29.652254251342438</v>
      </c>
      <c r="GJ397"/>
      <c r="GK397">
        <v>43.152380993672168</v>
      </c>
      <c r="GL397">
        <v>70.671002635865506</v>
      </c>
      <c r="GM397">
        <v>71.468096273303402</v>
      </c>
      <c r="GN397">
        <v>51.995365673935019</v>
      </c>
      <c r="GO397">
        <v>27.80561738262309</v>
      </c>
      <c r="GP397">
        <v>19.666750813445482</v>
      </c>
      <c r="GQ397">
        <v>59.094974900605898</v>
      </c>
      <c r="GR397">
        <v>51.540858694116906</v>
      </c>
      <c r="GS397">
        <v>8.9867934180644902</v>
      </c>
      <c r="GT397">
        <v>42.101572593653806</v>
      </c>
      <c r="GU397"/>
      <c r="GV397"/>
      <c r="GW397"/>
      <c r="GX397"/>
      <c r="GY397"/>
      <c r="GZ397"/>
      <c r="HA397"/>
      <c r="HB397"/>
      <c r="HC397"/>
    </row>
    <row r="398" spans="1:211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54.878579059829065</v>
      </c>
      <c r="AO398">
        <v>42.416716687006613</v>
      </c>
      <c r="AP398">
        <v>33.877861661507353</v>
      </c>
      <c r="AQ398">
        <v>297.83735531751682</v>
      </c>
      <c r="AR398">
        <v>40.333025460557735</v>
      </c>
      <c r="AS398">
        <v>367.63263839290414</v>
      </c>
      <c r="AT398">
        <v>32.03911153066138</v>
      </c>
      <c r="AU398">
        <v>31.608889935213401</v>
      </c>
      <c r="AV398"/>
      <c r="AW398"/>
      <c r="FY398" s="211">
        <v>393</v>
      </c>
      <c r="FZ398">
        <v>22.514089001447765</v>
      </c>
      <c r="GA398">
        <v>61.720412349492577</v>
      </c>
      <c r="GB398">
        <v>31.30893410860703</v>
      </c>
      <c r="GC398">
        <v>9.8460742883326748</v>
      </c>
      <c r="GD398">
        <v>6.5790501028227197</v>
      </c>
      <c r="GE398">
        <v>7.5270263715210737</v>
      </c>
      <c r="GF398">
        <v>19.210698710084049</v>
      </c>
      <c r="GG398">
        <v>23.096101404526088</v>
      </c>
      <c r="GH398">
        <v>22.381557156150855</v>
      </c>
      <c r="GI398">
        <v>22.554058818403387</v>
      </c>
      <c r="GJ398"/>
      <c r="GK398">
        <v>23.287516857245382</v>
      </c>
      <c r="GL398">
        <v>54.545928746165352</v>
      </c>
      <c r="GM398">
        <v>55.465920641532428</v>
      </c>
      <c r="GN398">
        <v>32.508507120263857</v>
      </c>
      <c r="GO398">
        <v>28.618966095449395</v>
      </c>
      <c r="GP398">
        <v>16.150179475941986</v>
      </c>
      <c r="GQ398">
        <v>25.882912268628431</v>
      </c>
      <c r="GR398">
        <v>34.739462303822428</v>
      </c>
      <c r="GS398">
        <v>25.755864735224421</v>
      </c>
      <c r="GT398">
        <v>31.802236119616012</v>
      </c>
      <c r="GU398"/>
      <c r="GV398"/>
      <c r="GW398"/>
      <c r="GX398"/>
      <c r="GY398"/>
      <c r="GZ398"/>
      <c r="HA398"/>
      <c r="HB398"/>
      <c r="HC398"/>
    </row>
    <row r="399" spans="1:211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55.522142094017099</v>
      </c>
      <c r="AO399">
        <v>41.337935322936573</v>
      </c>
      <c r="AP399">
        <v>13.925209734168977</v>
      </c>
      <c r="AQ399">
        <v>284.30948120610151</v>
      </c>
      <c r="AR399">
        <v>39.592264747173189</v>
      </c>
      <c r="AS399">
        <v>377.73165932594293</v>
      </c>
      <c r="AT399">
        <v>32.185133454333567</v>
      </c>
      <c r="AU399">
        <v>36.423339068818549</v>
      </c>
      <c r="AV399"/>
      <c r="AW399"/>
      <c r="FY399" s="211">
        <v>394</v>
      </c>
      <c r="FZ399">
        <v>38.617535163188229</v>
      </c>
      <c r="GA399">
        <v>74.581606252900201</v>
      </c>
      <c r="GB399">
        <v>32.401689093505574</v>
      </c>
      <c r="GC399">
        <v>16.756829605653301</v>
      </c>
      <c r="GD399">
        <v>10.301707551033314</v>
      </c>
      <c r="GE399">
        <v>9.8943975690156041</v>
      </c>
      <c r="GF399">
        <v>32.260967504445816</v>
      </c>
      <c r="GG399">
        <v>24.654734014647477</v>
      </c>
      <c r="GH399">
        <v>14.763483792153343</v>
      </c>
      <c r="GI399">
        <v>28.76065249124726</v>
      </c>
      <c r="GJ399"/>
      <c r="GK399">
        <v>41.742602440098835</v>
      </c>
      <c r="GL399">
        <v>68.24847571447421</v>
      </c>
      <c r="GM399">
        <v>57.401810923289396</v>
      </c>
      <c r="GN399">
        <v>55.32979976309943</v>
      </c>
      <c r="GO399">
        <v>44.815606673189983</v>
      </c>
      <c r="GP399">
        <v>21.22967140789148</v>
      </c>
      <c r="GQ399">
        <v>43.465768956145915</v>
      </c>
      <c r="GR399">
        <v>37.083843195491426</v>
      </c>
      <c r="GS399">
        <v>17.908936689859864</v>
      </c>
      <c r="GT399">
        <v>41.0669451365168</v>
      </c>
      <c r="GU399"/>
      <c r="GV399"/>
      <c r="GW399"/>
      <c r="GX399"/>
      <c r="GY399"/>
      <c r="GZ399"/>
      <c r="HA399"/>
      <c r="HB399"/>
      <c r="HC399"/>
    </row>
    <row r="400" spans="1:211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49.04086538461538</v>
      </c>
      <c r="AO400">
        <v>41.181950517099757</v>
      </c>
      <c r="AP400">
        <v>62.755892900889769</v>
      </c>
      <c r="AQ400">
        <v>277.71671801107567</v>
      </c>
      <c r="AR400">
        <v>39.174989838041355</v>
      </c>
      <c r="AS400">
        <v>338.11736479981312</v>
      </c>
      <c r="AT400">
        <v>29.611720968837911</v>
      </c>
      <c r="AU400">
        <v>28.382061938905501</v>
      </c>
      <c r="AV400"/>
      <c r="AW400"/>
      <c r="FY400" s="211">
        <v>395</v>
      </c>
      <c r="FZ400">
        <v>47.678102801521845</v>
      </c>
      <c r="GA400">
        <v>103.10315300789159</v>
      </c>
      <c r="GB400">
        <v>42.54726748540768</v>
      </c>
      <c r="GC400">
        <v>15.592869458669934</v>
      </c>
      <c r="GD400">
        <v>9.0587631338854155</v>
      </c>
      <c r="GE400">
        <v>12.261768766510134</v>
      </c>
      <c r="GF400">
        <v>29.650913745573458</v>
      </c>
      <c r="GG400">
        <v>19.199519879222603</v>
      </c>
      <c r="GH400">
        <v>8.0794077221266356</v>
      </c>
      <c r="GI400">
        <v>30.351569131062675</v>
      </c>
      <c r="GJ400"/>
      <c r="GK400">
        <v>49.302075593399422</v>
      </c>
      <c r="GL400">
        <v>91.118270656201702</v>
      </c>
      <c r="GM400">
        <v>75.375397759418362</v>
      </c>
      <c r="GN400">
        <v>51.500783807079827</v>
      </c>
      <c r="GO400">
        <v>39.423670122724388</v>
      </c>
      <c r="GP400">
        <v>26.309163339840975</v>
      </c>
      <c r="GQ400">
        <v>39.949197618642415</v>
      </c>
      <c r="GR400">
        <v>28.878510074649924</v>
      </c>
      <c r="GS400">
        <v>9.7359286421529347</v>
      </c>
      <c r="GT400">
        <v>42.757253947267507</v>
      </c>
      <c r="GU400"/>
      <c r="GV400"/>
      <c r="GW400"/>
      <c r="GX400"/>
      <c r="GY400"/>
      <c r="GZ400"/>
      <c r="HA400"/>
      <c r="HB400"/>
      <c r="HC400"/>
    </row>
    <row r="401" spans="1:211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49.007451923076928</v>
      </c>
      <c r="AO401">
        <v>37.76099682687336</v>
      </c>
      <c r="AP401">
        <v>31.996819071459328</v>
      </c>
      <c r="AQ401">
        <v>272.36860736248366</v>
      </c>
      <c r="AR401">
        <v>36.929129867752742</v>
      </c>
      <c r="AS401">
        <v>350.10726075071477</v>
      </c>
      <c r="AT401">
        <v>28.903617642897398</v>
      </c>
      <c r="AU401">
        <v>40.439414103089035</v>
      </c>
      <c r="AV401"/>
      <c r="AW401"/>
      <c r="FY401" s="211">
        <v>396</v>
      </c>
      <c r="FZ401">
        <v>49.622118482905357</v>
      </c>
      <c r="GA401">
        <v>81.173837445321169</v>
      </c>
      <c r="GB401">
        <v>30.877847279702102</v>
      </c>
      <c r="GC401">
        <v>11.495912023948829</v>
      </c>
      <c r="GD401">
        <v>6.2116855096522485</v>
      </c>
      <c r="GE401">
        <v>11.108434080551262</v>
      </c>
      <c r="GF401">
        <v>38.834436230494696</v>
      </c>
      <c r="GG401">
        <v>28.551315539950952</v>
      </c>
      <c r="GH401">
        <v>11.218903939351463</v>
      </c>
      <c r="GI401">
        <v>28.189650957493377</v>
      </c>
      <c r="GJ401"/>
      <c r="GK401">
        <v>51.316353149091597</v>
      </c>
      <c r="GL401">
        <v>71.738055285071326</v>
      </c>
      <c r="GM401">
        <v>54.702220805609954</v>
      </c>
      <c r="GN401">
        <v>37.934619733101876</v>
      </c>
      <c r="GO401">
        <v>26.994175571979881</v>
      </c>
      <c r="GP401">
        <v>23.834539065301477</v>
      </c>
      <c r="GQ401">
        <v>52.322318991339905</v>
      </c>
      <c r="GR401">
        <v>42.944795424663909</v>
      </c>
      <c r="GS401">
        <v>13.252499979656431</v>
      </c>
      <c r="GT401">
        <v>39.717513699535552</v>
      </c>
      <c r="GU401"/>
      <c r="GV401"/>
      <c r="GW401"/>
      <c r="GX401"/>
      <c r="GY401"/>
      <c r="GZ401"/>
      <c r="HA401"/>
      <c r="HB401"/>
      <c r="HC401"/>
    </row>
    <row r="402" spans="1:211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45.0178685897436</v>
      </c>
      <c r="AO402">
        <v>35.004839432294681</v>
      </c>
      <c r="AP402">
        <v>28.637612068245467</v>
      </c>
      <c r="AQ402">
        <v>228.16623305921686</v>
      </c>
      <c r="AR402">
        <v>33.539141678289148</v>
      </c>
      <c r="AS402">
        <v>324.05841753952166</v>
      </c>
      <c r="AT402">
        <v>26.385997451002819</v>
      </c>
      <c r="AU402">
        <v>28.481059823150726</v>
      </c>
      <c r="AV402"/>
      <c r="AW402"/>
      <c r="FY402" s="211">
        <v>397</v>
      </c>
      <c r="FZ402">
        <v>42.371278928060512</v>
      </c>
      <c r="GA402">
        <v>97.523211342328111</v>
      </c>
      <c r="GB402">
        <v>39.800342110525108</v>
      </c>
      <c r="GC402">
        <v>10.726352048064491</v>
      </c>
      <c r="GD402">
        <v>9.0603623712576269</v>
      </c>
      <c r="GE402">
        <v>16.758373230390283</v>
      </c>
      <c r="GF402">
        <v>26.197206246459537</v>
      </c>
      <c r="GG402">
        <v>16.365642406274617</v>
      </c>
      <c r="GH402">
        <v>13.36815214005342</v>
      </c>
      <c r="GI402">
        <v>28.970864203507499</v>
      </c>
      <c r="GJ402"/>
      <c r="GK402">
        <v>47.416777582670356</v>
      </c>
      <c r="GL402">
        <v>90.859670071125265</v>
      </c>
      <c r="GM402">
        <v>70.509031363075167</v>
      </c>
      <c r="GN402">
        <v>35.404405098789525</v>
      </c>
      <c r="GO402">
        <v>39.404607459399571</v>
      </c>
      <c r="GP402">
        <v>35.957192394017241</v>
      </c>
      <c r="GQ402">
        <v>35.295956757905465</v>
      </c>
      <c r="GR402">
        <v>24.615999362524477</v>
      </c>
      <c r="GS402">
        <v>16.346016095413866</v>
      </c>
      <c r="GT402">
        <v>41.794477851692889</v>
      </c>
      <c r="GU402"/>
      <c r="GV402"/>
      <c r="GW402"/>
      <c r="GX402"/>
      <c r="GY402"/>
      <c r="GZ402"/>
      <c r="HA402"/>
      <c r="HB402"/>
      <c r="HC402"/>
    </row>
    <row r="403" spans="1:211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45.445486111111109</v>
      </c>
      <c r="AO403">
        <v>35.887232749050284</v>
      </c>
      <c r="AP403">
        <v>34.893583578921614</v>
      </c>
      <c r="AQ403">
        <v>246.28479295069079</v>
      </c>
      <c r="AR403">
        <v>35.344520701964193</v>
      </c>
      <c r="AS403">
        <v>335.50300096836156</v>
      </c>
      <c r="AT403">
        <v>27.580203668013553</v>
      </c>
      <c r="AU403">
        <v>25.040317788885453</v>
      </c>
      <c r="AV403"/>
      <c r="AW403"/>
      <c r="FY403" s="211">
        <v>398</v>
      </c>
      <c r="FZ403">
        <v>41.023994388544068</v>
      </c>
      <c r="GA403">
        <v>81.615960742953646</v>
      </c>
      <c r="GB403">
        <v>35.730080423655281</v>
      </c>
      <c r="GC403">
        <v>11.830496522598304</v>
      </c>
      <c r="GD403">
        <v>6.6241128242653646</v>
      </c>
      <c r="GE403">
        <v>10.33798783284594</v>
      </c>
      <c r="GF403">
        <v>32.111570487944704</v>
      </c>
      <c r="GG403">
        <v>25.386819028492372</v>
      </c>
      <c r="GH403">
        <v>9.0696557386495034</v>
      </c>
      <c r="GI403">
        <v>26.751683893253681</v>
      </c>
      <c r="GJ403"/>
      <c r="GK403">
        <v>42.433294139208861</v>
      </c>
      <c r="GL403">
        <v>72.128785433682822</v>
      </c>
      <c r="GM403">
        <v>63.298284075062938</v>
      </c>
      <c r="GN403">
        <v>39.051219819163528</v>
      </c>
      <c r="GO403">
        <v>28.802067459431122</v>
      </c>
      <c r="GP403">
        <v>22.181449975022055</v>
      </c>
      <c r="GQ403">
        <v>43.264483728073323</v>
      </c>
      <c r="GR403">
        <v>38.184991796123825</v>
      </c>
      <c r="GS403">
        <v>10.158983863898989</v>
      </c>
      <c r="GT403">
        <v>37.591422653135048</v>
      </c>
      <c r="GU403"/>
      <c r="GV403"/>
      <c r="GW403"/>
      <c r="GX403"/>
      <c r="GY403"/>
      <c r="GZ403"/>
      <c r="HA403"/>
      <c r="HB403"/>
      <c r="HC403"/>
    </row>
    <row r="404" spans="1:211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50.750347222222224</v>
      </c>
      <c r="AO404">
        <v>37.715064805727593</v>
      </c>
      <c r="AP404">
        <v>15.758275516596193</v>
      </c>
      <c r="AQ404">
        <v>259.52803707299546</v>
      </c>
      <c r="AR404">
        <v>36.337165964639098</v>
      </c>
      <c r="AS404">
        <v>356.47518214116769</v>
      </c>
      <c r="AT404">
        <v>29.457962018752657</v>
      </c>
      <c r="AU404">
        <v>31.572669329476717</v>
      </c>
      <c r="AV404"/>
      <c r="AW404"/>
      <c r="FY404" s="211">
        <v>399</v>
      </c>
      <c r="FZ404">
        <v>39.771095485359616</v>
      </c>
      <c r="GA404">
        <v>61.671605962032132</v>
      </c>
      <c r="GB404">
        <v>23.599497563772317</v>
      </c>
      <c r="GC404">
        <v>10.894904485736159</v>
      </c>
      <c r="GD404">
        <v>6.7360312093149322</v>
      </c>
      <c r="GE404">
        <v>13.340393513297581</v>
      </c>
      <c r="GF404">
        <v>31.970961531237773</v>
      </c>
      <c r="GG404">
        <v>25.434050319708174</v>
      </c>
      <c r="GH404">
        <v>12.209151955874333</v>
      </c>
      <c r="GI404">
        <v>23.998098072388512</v>
      </c>
      <c r="GJ404"/>
      <c r="GK404">
        <v>42.932312103020962</v>
      </c>
      <c r="GL404">
        <v>56.839155375018422</v>
      </c>
      <c r="GM404">
        <v>41.808125901430465</v>
      </c>
      <c r="GN404">
        <v>35.957267045874843</v>
      </c>
      <c r="GO404">
        <v>29.284798354201538</v>
      </c>
      <c r="GP404">
        <v>28.623488066232163</v>
      </c>
      <c r="GQ404">
        <v>43.075038807534412</v>
      </c>
      <c r="GR404">
        <v>38.256033641325921</v>
      </c>
      <c r="GS404">
        <v>13.675555201402489</v>
      </c>
      <c r="GT404">
        <v>34.155166073517968</v>
      </c>
      <c r="GU404"/>
      <c r="GV404"/>
      <c r="GW404"/>
      <c r="GX404"/>
      <c r="GY404"/>
      <c r="GZ404"/>
      <c r="HA404"/>
      <c r="HB404"/>
      <c r="HC404"/>
    </row>
    <row r="405" spans="1:211" s="7" customFormat="1">
      <c r="A405" s="188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2.887096774193548</v>
      </c>
      <c r="E405" s="108">
        <f t="shared" ref="E405:E414" si="381">IF(D405=0,0.00000001,(1-$A$43/100)*($A$39*(D405^($A$41))))</f>
        <v>0.59186122329973467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51.502003205128197</v>
      </c>
      <c r="AO405">
        <v>38.256527665980286</v>
      </c>
      <c r="AP405">
        <v>8.9877196360638063</v>
      </c>
      <c r="AQ405">
        <v>270.23673448892214</v>
      </c>
      <c r="AR405">
        <v>36.077707356276385</v>
      </c>
      <c r="AS405">
        <v>343.27748008325494</v>
      </c>
      <c r="AT405">
        <v>29.609152228637043</v>
      </c>
      <c r="AU405">
        <v>33.301298077588115</v>
      </c>
      <c r="AV405"/>
      <c r="AW405"/>
      <c r="FY405" s="211">
        <v>400</v>
      </c>
      <c r="FZ405">
        <v>47.893105031927107</v>
      </c>
      <c r="GA405">
        <v>70.120755004509476</v>
      </c>
      <c r="GB405">
        <v>25.464198730663419</v>
      </c>
      <c r="GC405">
        <v>11.072329905464947</v>
      </c>
      <c r="GD405">
        <v>9.3360615317691664</v>
      </c>
      <c r="GE405">
        <v>12.658665318358327</v>
      </c>
      <c r="GF405">
        <v>32.647642135389859</v>
      </c>
      <c r="GG405">
        <v>24.135189811273673</v>
      </c>
      <c r="GH405">
        <v>5.6375773309517685</v>
      </c>
      <c r="GI405">
        <v>26.433191248921471</v>
      </c>
      <c r="GJ405"/>
      <c r="GK405">
        <v>49.522144484050628</v>
      </c>
      <c r="GL405">
        <v>61.969801569783847</v>
      </c>
      <c r="GM405">
        <v>45.111571703327691</v>
      </c>
      <c r="GN405">
        <v>36.57015600710708</v>
      </c>
      <c r="GO405">
        <v>40.630470698272724</v>
      </c>
      <c r="GP405">
        <v>27.160754689378852</v>
      </c>
      <c r="GQ405">
        <v>43.986742487627907</v>
      </c>
      <c r="GR405">
        <v>36.302382898268412</v>
      </c>
      <c r="GS405">
        <v>7.000817601872436</v>
      </c>
      <c r="GT405">
        <v>37.250349395030277</v>
      </c>
      <c r="GU405"/>
      <c r="GV405"/>
      <c r="GW405"/>
      <c r="GX405"/>
      <c r="GY405"/>
      <c r="GZ405"/>
      <c r="HA405"/>
      <c r="HB405"/>
      <c r="HC405"/>
    </row>
    <row r="406" spans="1:211" s="7" customFormat="1">
      <c r="A406" s="188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3.0481927710843371</v>
      </c>
      <c r="E406" s="108">
        <f t="shared" si="381"/>
        <v>0.82784876847784528</v>
      </c>
      <c r="F406" s="19">
        <f t="shared" ref="F406:F414" si="382">IF(C374&lt;1,0,LN(E406/E405)/E21)</f>
        <v>1.2428085319848195E-2</v>
      </c>
      <c r="G406" s="19">
        <f t="shared" ref="G406:G414" si="383">IF(D406=0, 0, 0.051-(0.068*LN(D406))+(0.006*A406))</f>
        <v>3.1910676096697274E-2</v>
      </c>
      <c r="H406" s="19">
        <f t="shared" ref="H406:H414" si="384">+IF((G406&gt;0),G406,0)</f>
        <v>3.1910676096697274E-2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45.086111111111116</v>
      </c>
      <c r="AO406">
        <v>33.141886265221771</v>
      </c>
      <c r="AP406">
        <v>10.724216997266522</v>
      </c>
      <c r="AQ406">
        <v>220.48293415196926</v>
      </c>
      <c r="AR406">
        <v>32.158744435718909</v>
      </c>
      <c r="AS406">
        <v>292.98981678278381</v>
      </c>
      <c r="AT406">
        <v>26.041071170448031</v>
      </c>
      <c r="AU406">
        <v>39.300188088267589</v>
      </c>
      <c r="AV406"/>
      <c r="AW406"/>
      <c r="FY406" s="211">
        <v>401</v>
      </c>
      <c r="FZ406">
        <v>27.802633397760985</v>
      </c>
      <c r="GA406">
        <v>71.005001599774417</v>
      </c>
      <c r="GB406">
        <v>33.725025405492815</v>
      </c>
      <c r="GC406">
        <v>12.389612811649311</v>
      </c>
      <c r="GD406">
        <v>6.8906233343485868</v>
      </c>
      <c r="GE406">
        <v>8.5449492927317401</v>
      </c>
      <c r="GF406">
        <v>21.4604420173949</v>
      </c>
      <c r="GG406">
        <v>20.262223931578095</v>
      </c>
      <c r="GH406">
        <v>13.36815214005342</v>
      </c>
      <c r="GI406">
        <v>23.149126420185596</v>
      </c>
      <c r="GJ406"/>
      <c r="GK406">
        <v>28.757738937806369</v>
      </c>
      <c r="GL406">
        <v>62.751261867006846</v>
      </c>
      <c r="GM406">
        <v>59.746191814958408</v>
      </c>
      <c r="GN406">
        <v>40.905572808413375</v>
      </c>
      <c r="GO406">
        <v>29.970593404614615</v>
      </c>
      <c r="GP406">
        <v>18.334260819462674</v>
      </c>
      <c r="GQ406">
        <v>28.914030997250975</v>
      </c>
      <c r="GR406">
        <v>30.47695159169697</v>
      </c>
      <c r="GS406">
        <v>16.346016095413866</v>
      </c>
      <c r="GT406">
        <v>32.746914250008842</v>
      </c>
      <c r="GU406"/>
      <c r="GV406"/>
      <c r="GW406"/>
      <c r="GX406"/>
      <c r="GY406"/>
      <c r="GZ406"/>
      <c r="HA406"/>
      <c r="HB406"/>
      <c r="HC406"/>
    </row>
    <row r="407" spans="1:211" s="7" customFormat="1">
      <c r="A407" s="188">
        <v>4.03</v>
      </c>
      <c r="B407" s="71">
        <f t="shared" si="379"/>
        <v>39714</v>
      </c>
      <c r="C407" s="61">
        <f>B407-$B$405</f>
        <v>68</v>
      </c>
      <c r="D407" s="61">
        <f t="shared" si="380"/>
        <v>3</v>
      </c>
      <c r="E407" s="108">
        <f t="shared" si="381"/>
        <v>0.75020188533407928</v>
      </c>
      <c r="F407" s="19">
        <f t="shared" si="382"/>
        <v>-2.4021497605897888E-3</v>
      </c>
      <c r="G407" s="19">
        <f t="shared" si="383"/>
        <v>4.7436437056852868E-4</v>
      </c>
      <c r="H407" s="19">
        <f t="shared" si="384"/>
        <v>4.7436437056852868E-4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54.250774572649576</v>
      </c>
      <c r="AO407">
        <v>39.737337520773885</v>
      </c>
      <c r="AP407">
        <v>8.7308171504755876</v>
      </c>
      <c r="AQ407">
        <v>266.51744683567983</v>
      </c>
      <c r="AR407">
        <v>38.267703435167483</v>
      </c>
      <c r="AS407">
        <v>376.57848921922516</v>
      </c>
      <c r="AT407">
        <v>31.045952879335051</v>
      </c>
      <c r="AU407">
        <v>30.659343622884538</v>
      </c>
      <c r="AV407"/>
      <c r="AW407"/>
      <c r="FY407" s="211">
        <v>402</v>
      </c>
      <c r="FZ407">
        <v>34.296989405890869</v>
      </c>
      <c r="GA407">
        <v>66.406919304396723</v>
      </c>
      <c r="GB407">
        <v>28.120896629728694</v>
      </c>
      <c r="GC407">
        <v>16.127682348248484</v>
      </c>
      <c r="GD407">
        <v>11.380345998348675</v>
      </c>
      <c r="GE407">
        <v>13.947411769065413</v>
      </c>
      <c r="GF407">
        <v>21.073767386450843</v>
      </c>
      <c r="GG407">
        <v>11.170200372536643</v>
      </c>
      <c r="GH407">
        <v>11.511486129824371</v>
      </c>
      <c r="GI407">
        <v>25.062609542496432</v>
      </c>
      <c r="GJ407"/>
      <c r="GK407">
        <v>35.467078313980402</v>
      </c>
      <c r="GL407">
        <v>58.687668321447234</v>
      </c>
      <c r="GM407">
        <v>49.818093947966204</v>
      </c>
      <c r="GN407">
        <v>53.251825790938277</v>
      </c>
      <c r="GO407">
        <v>49.509833213851216</v>
      </c>
      <c r="GP407">
        <v>29.925921894937165</v>
      </c>
      <c r="GQ407">
        <v>28.393057465768972</v>
      </c>
      <c r="GR407">
        <v>16.801396390294482</v>
      </c>
      <c r="GS407">
        <v>12.894094904179488</v>
      </c>
      <c r="GT407">
        <v>35.21643156914925</v>
      </c>
      <c r="GU407"/>
      <c r="GV407"/>
      <c r="GW407"/>
      <c r="GX407"/>
      <c r="GY407"/>
      <c r="GZ407"/>
      <c r="HA407"/>
      <c r="HB407"/>
      <c r="HC407"/>
    </row>
    <row r="408" spans="1:211" s="7" customFormat="1">
      <c r="A408" s="188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2.9999999999999996</v>
      </c>
      <c r="E408" s="108">
        <f t="shared" si="381"/>
        <v>0.75020188533407794</v>
      </c>
      <c r="F408" s="19">
        <f t="shared" si="382"/>
        <v>-5.3828995133340974E-17</v>
      </c>
      <c r="G408" s="19">
        <f t="shared" si="383"/>
        <v>-1.9025635629431461E-2</v>
      </c>
      <c r="H408" s="19">
        <f t="shared" si="384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57.87361111111111</v>
      </c>
      <c r="AO408">
        <v>44.648341337928585</v>
      </c>
      <c r="AP408">
        <v>21.777277398868929</v>
      </c>
      <c r="AQ408">
        <v>304.75557205671078</v>
      </c>
      <c r="AR408">
        <v>42.101572593653827</v>
      </c>
      <c r="AS408">
        <v>423.74820223950894</v>
      </c>
      <c r="AT408">
        <v>33.862358569434896</v>
      </c>
      <c r="AU408">
        <v>19.395875162043751</v>
      </c>
      <c r="AV408"/>
      <c r="AW408"/>
      <c r="FY408" s="211">
        <v>403</v>
      </c>
      <c r="FZ408">
        <v>57.383044398041179</v>
      </c>
      <c r="GA408">
        <v>106.85660698007038</v>
      </c>
      <c r="GB408">
        <v>34.837830940572971</v>
      </c>
      <c r="GC408">
        <v>11.297826857120432</v>
      </c>
      <c r="GD408">
        <v>7.8463462270041324</v>
      </c>
      <c r="GE408">
        <v>11.141119678938759</v>
      </c>
      <c r="GF408">
        <v>31.68095555802973</v>
      </c>
      <c r="GG408">
        <v>25.174278218021271</v>
      </c>
      <c r="GH408">
        <v>9.0696557386495034</v>
      </c>
      <c r="GI408">
        <v>29.558638081146441</v>
      </c>
      <c r="GJ408"/>
      <c r="GK408">
        <v>61.143487046888779</v>
      </c>
      <c r="GL408">
        <v>96.771776563113661</v>
      </c>
      <c r="GM408">
        <v>61.717603019316407</v>
      </c>
      <c r="GN408">
        <v>37.311096685400479</v>
      </c>
      <c r="GO408">
        <v>34.142903627253389</v>
      </c>
      <c r="GP408">
        <v>23.904670117616362</v>
      </c>
      <c r="GQ408">
        <v>42.684308658922909</v>
      </c>
      <c r="GR408">
        <v>37.865303492714418</v>
      </c>
      <c r="GS408">
        <v>10.158983863898989</v>
      </c>
      <c r="GT408">
        <v>41.969457243256088</v>
      </c>
      <c r="GU408"/>
      <c r="GV408"/>
      <c r="GW408"/>
      <c r="GX408"/>
      <c r="GY408"/>
      <c r="GZ408"/>
      <c r="HA408"/>
      <c r="HB408"/>
      <c r="HC408"/>
    </row>
    <row r="409" spans="1:211" s="7" customFormat="1">
      <c r="A409" s="188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2.9736486486486484</v>
      </c>
      <c r="E409" s="108">
        <f t="shared" si="381"/>
        <v>0.7103932948739814</v>
      </c>
      <c r="F409" s="19">
        <f t="shared" si="382"/>
        <v>-1.9472713443502115E-3</v>
      </c>
      <c r="G409" s="19">
        <f t="shared" si="383"/>
        <v>-2.2265699603599295E-2</v>
      </c>
      <c r="H409" s="19">
        <f t="shared" si="384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43.83090277777778</v>
      </c>
      <c r="AO409">
        <v>32.875749436388972</v>
      </c>
      <c r="AP409">
        <v>7.1896807614373417</v>
      </c>
      <c r="AQ409">
        <v>226.73800231138819</v>
      </c>
      <c r="AR409">
        <v>31.802236119615984</v>
      </c>
      <c r="AS409">
        <v>304.97835970425473</v>
      </c>
      <c r="AT409">
        <v>26.117846751349855</v>
      </c>
      <c r="AU409">
        <v>16.138756673888452</v>
      </c>
      <c r="AV409"/>
      <c r="AW409"/>
      <c r="FY409" s="211">
        <v>404</v>
      </c>
      <c r="FZ409">
        <v>49.081125768787906</v>
      </c>
      <c r="GA409">
        <v>69.983523957522536</v>
      </c>
      <c r="GB409">
        <v>28.090820804456254</v>
      </c>
      <c r="GC409">
        <v>15.725887343593467</v>
      </c>
      <c r="GD409">
        <v>9.2922466164313597</v>
      </c>
      <c r="GE409">
        <v>11.701444222724447</v>
      </c>
      <c r="GF409">
        <v>21.557110675130911</v>
      </c>
      <c r="GG409">
        <v>15.326553999527025</v>
      </c>
      <c r="GH409">
        <v>11.623987574928517</v>
      </c>
      <c r="GI409">
        <v>26.035475564451708</v>
      </c>
      <c r="GJ409"/>
      <c r="GK409">
        <v>52.550573796007711</v>
      </c>
      <c r="GL409">
        <v>64.184882168914612</v>
      </c>
      <c r="GM409">
        <v>49.764812564064627</v>
      </c>
      <c r="GN409">
        <v>51.917080143839613</v>
      </c>
      <c r="GO409">
        <v>40.413765978424138</v>
      </c>
      <c r="GP409">
        <v>25.106916728728667</v>
      </c>
      <c r="GQ409">
        <v>29.044274380121472</v>
      </c>
      <c r="GR409">
        <v>23.053078768078482</v>
      </c>
      <c r="GS409">
        <v>14.392365352356371</v>
      </c>
      <c r="GT409">
        <v>37.233158414194868</v>
      </c>
      <c r="GU409"/>
      <c r="GV409"/>
      <c r="GW409"/>
      <c r="GX409"/>
      <c r="GY409"/>
      <c r="GZ409"/>
      <c r="HA409"/>
      <c r="HB409"/>
      <c r="HC409"/>
    </row>
    <row r="410" spans="1:211" s="7" customFormat="1">
      <c r="A410" s="188">
        <v>0.21</v>
      </c>
      <c r="B410" s="71">
        <f t="shared" si="379"/>
        <v>39799</v>
      </c>
      <c r="C410" s="61">
        <f t="shared" si="385"/>
        <v>153</v>
      </c>
      <c r="D410" s="61">
        <f t="shared" si="380"/>
        <v>3</v>
      </c>
      <c r="E410" s="108">
        <f t="shared" si="381"/>
        <v>0.75020188533407928</v>
      </c>
      <c r="F410" s="19">
        <f t="shared" si="382"/>
        <v>2.2718165684086533E-3</v>
      </c>
      <c r="G410" s="19">
        <f t="shared" si="383"/>
        <v>-2.2445635629431474E-2</v>
      </c>
      <c r="H410" s="19">
        <f t="shared" si="384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54.757745726495727</v>
      </c>
      <c r="AO410">
        <v>42.829346090005728</v>
      </c>
      <c r="AP410">
        <v>23.378438192090044</v>
      </c>
      <c r="AQ410">
        <v>282.99360303779014</v>
      </c>
      <c r="AR410">
        <v>41.066945136516814</v>
      </c>
      <c r="AS410">
        <v>417.21870568995553</v>
      </c>
      <c r="AT410">
        <v>32.749582902677254</v>
      </c>
      <c r="AU410">
        <v>13.829809879261498</v>
      </c>
      <c r="AV410"/>
      <c r="AW410"/>
      <c r="FY410" s="211">
        <v>405</v>
      </c>
      <c r="FZ410">
        <v>59.134868591414957</v>
      </c>
      <c r="GA410">
        <v>79.749854777502875</v>
      </c>
      <c r="GB410">
        <v>25.353920704664482</v>
      </c>
      <c r="GC410">
        <v>13.248192687139076</v>
      </c>
      <c r="GD410">
        <v>8.2563964246047092</v>
      </c>
      <c r="GE410">
        <v>16.254081140983157</v>
      </c>
      <c r="GF410">
        <v>26.750854013493065</v>
      </c>
      <c r="GG410">
        <v>13.484533642110831</v>
      </c>
      <c r="GH410">
        <v>11.916569765401425</v>
      </c>
      <c r="GI410">
        <v>27.153409708619954</v>
      </c>
      <c r="GJ410"/>
      <c r="GK410">
        <v>64.762046162448996</v>
      </c>
      <c r="GL410">
        <v>75.152318096942963</v>
      </c>
      <c r="GM410">
        <v>44.916206629021936</v>
      </c>
      <c r="GN410">
        <v>43.741326462730164</v>
      </c>
      <c r="GO410">
        <v>35.914427786522886</v>
      </c>
      <c r="GP410">
        <v>34.875170444016156</v>
      </c>
      <c r="GQ410">
        <v>36.041896132527413</v>
      </c>
      <c r="GR410">
        <v>20.282446805196933</v>
      </c>
      <c r="GS410">
        <v>14.03396027687943</v>
      </c>
      <c r="GT410">
        <v>39.13370739748013</v>
      </c>
      <c r="GU410"/>
      <c r="GV410"/>
      <c r="GW410"/>
      <c r="GX410"/>
      <c r="GY410"/>
      <c r="GZ410"/>
      <c r="HA410"/>
      <c r="HB410"/>
      <c r="HC410"/>
    </row>
    <row r="411" spans="1:211" s="7" customFormat="1">
      <c r="A411" s="188">
        <v>1.28</v>
      </c>
      <c r="B411" s="71">
        <f>+C10</f>
        <v>39847</v>
      </c>
      <c r="C411" s="61">
        <f t="shared" si="385"/>
        <v>201</v>
      </c>
      <c r="D411" s="61">
        <f t="shared" si="380"/>
        <v>3</v>
      </c>
      <c r="E411" s="108">
        <f t="shared" si="381"/>
        <v>0.75020188533407928</v>
      </c>
      <c r="F411" s="19">
        <f t="shared" si="382"/>
        <v>0</v>
      </c>
      <c r="G411" s="19">
        <f t="shared" si="383"/>
        <v>-1.6025635629431476E-2</v>
      </c>
      <c r="H411" s="19">
        <f t="shared" si="384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60.945192307692295</v>
      </c>
      <c r="AO411">
        <v>45.435025156137741</v>
      </c>
      <c r="AP411">
        <v>21.987424260937498</v>
      </c>
      <c r="AQ411">
        <v>317.52333513187187</v>
      </c>
      <c r="AR411">
        <v>42.75725394726755</v>
      </c>
      <c r="AS411">
        <v>395.99033759083119</v>
      </c>
      <c r="AT411">
        <v>34.970067193169356</v>
      </c>
      <c r="AU411">
        <v>37.093315984811724</v>
      </c>
      <c r="AV411"/>
      <c r="AW411"/>
      <c r="FY411" s="211">
        <v>406</v>
      </c>
      <c r="FZ411">
        <v>50.054632877435708</v>
      </c>
      <c r="GA411">
        <v>68.215030766992669</v>
      </c>
      <c r="GB411">
        <v>23.268663485775505</v>
      </c>
      <c r="GC411">
        <v>9.7289775283006232</v>
      </c>
      <c r="GD411">
        <v>5.7236403293768454</v>
      </c>
      <c r="GE411">
        <v>10.562117650360214</v>
      </c>
      <c r="GF411">
        <v>29.264239114629412</v>
      </c>
      <c r="GG411">
        <v>18.939747777535704</v>
      </c>
      <c r="GH411">
        <v>13.019319227028442</v>
      </c>
      <c r="GI411">
        <v>24.451496216309035</v>
      </c>
      <c r="GJ411"/>
      <c r="GK411">
        <v>53.563322163825688</v>
      </c>
      <c r="GL411">
        <v>62.621961574468614</v>
      </c>
      <c r="GM411">
        <v>41.222030678513207</v>
      </c>
      <c r="GN411">
        <v>32.098714308327544</v>
      </c>
      <c r="GO411">
        <v>24.870206559014807</v>
      </c>
      <c r="GP411">
        <v>22.662348619466979</v>
      </c>
      <c r="GQ411">
        <v>39.428224087160423</v>
      </c>
      <c r="GR411">
        <v>28.487779926038428</v>
      </c>
      <c r="GS411">
        <v>15.95528594680237</v>
      </c>
      <c r="GT411">
        <v>35.0078138870633</v>
      </c>
      <c r="GU411"/>
      <c r="GV411"/>
      <c r="GW411"/>
      <c r="GX411"/>
      <c r="GY411"/>
      <c r="GZ411"/>
      <c r="HA411"/>
      <c r="HB411"/>
      <c r="HC411"/>
    </row>
    <row r="412" spans="1:211" s="7" customFormat="1">
      <c r="A412" s="188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3</v>
      </c>
      <c r="E412" s="108">
        <f t="shared" si="381"/>
        <v>0.75020188533407928</v>
      </c>
      <c r="F412" s="19">
        <f t="shared" si="382"/>
        <v>0</v>
      </c>
      <c r="G412" s="19">
        <f t="shared" si="383"/>
        <v>2.943643705685256E-4</v>
      </c>
      <c r="H412" s="19">
        <f t="shared" si="384"/>
        <v>2.943643705685256E-4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56.442414529914529</v>
      </c>
      <c r="AO412">
        <v>41.475709170535197</v>
      </c>
      <c r="AP412">
        <v>18.625003545227887</v>
      </c>
      <c r="AQ412">
        <v>297.28414148937151</v>
      </c>
      <c r="AR412">
        <v>39.717513699535594</v>
      </c>
      <c r="AS412">
        <v>403.25249224684364</v>
      </c>
      <c r="AT412">
        <v>31.93163233690419</v>
      </c>
      <c r="AU412">
        <v>33.590378235490846</v>
      </c>
      <c r="AV412"/>
      <c r="AW412"/>
      <c r="FY412" s="211">
        <v>407</v>
      </c>
      <c r="FZ412">
        <v>58.713515266986263</v>
      </c>
      <c r="GA412">
        <v>79.66143011797638</v>
      </c>
      <c r="GB412">
        <v>20.732268887799986</v>
      </c>
      <c r="GC412">
        <v>7.9754924314423743</v>
      </c>
      <c r="GD412">
        <v>6.4128527119491645</v>
      </c>
      <c r="GE412">
        <v>12.990190673431528</v>
      </c>
      <c r="GF412">
        <v>21.794388289573853</v>
      </c>
      <c r="GG412">
        <v>11.902285386381541</v>
      </c>
      <c r="GH412">
        <v>6.2789924344496564</v>
      </c>
      <c r="GI412">
        <v>22.913189842258049</v>
      </c>
      <c r="GJ412"/>
      <c r="GK412">
        <v>64.325058399718515</v>
      </c>
      <c r="GL412">
        <v>75.074172067220658</v>
      </c>
      <c r="GM412">
        <v>36.728633969480974</v>
      </c>
      <c r="GN412">
        <v>26.311070242024073</v>
      </c>
      <c r="GO412">
        <v>27.873990836470075</v>
      </c>
      <c r="GP412">
        <v>27.872083934286973</v>
      </c>
      <c r="GQ412">
        <v>29.363962683530882</v>
      </c>
      <c r="GR412">
        <v>17.902544990926895</v>
      </c>
      <c r="GS412">
        <v>7.0331426750069932</v>
      </c>
      <c r="GT412">
        <v>33.064957712841483</v>
      </c>
      <c r="GU412"/>
      <c r="GV412"/>
      <c r="GW412"/>
      <c r="GX412"/>
      <c r="GY412"/>
      <c r="GZ412"/>
      <c r="HA412"/>
      <c r="HB412"/>
      <c r="HC412"/>
    </row>
    <row r="413" spans="1:211" s="7" customFormat="1">
      <c r="A413" s="189">
        <v>7.33</v>
      </c>
      <c r="B413" s="71">
        <f t="shared" si="379"/>
        <v>39949</v>
      </c>
      <c r="C413" s="61">
        <f t="shared" si="385"/>
        <v>303</v>
      </c>
      <c r="D413" s="61">
        <f t="shared" si="380"/>
        <v>3</v>
      </c>
      <c r="E413" s="108">
        <f t="shared" si="381"/>
        <v>0.75020188533407928</v>
      </c>
      <c r="F413" s="19">
        <f t="shared" si="382"/>
        <v>0</v>
      </c>
      <c r="G413" s="19">
        <f t="shared" si="383"/>
        <v>2.0274364370568523E-2</v>
      </c>
      <c r="H413" s="19">
        <f t="shared" si="384"/>
        <v>2.0274364370568523E-2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54.414743589743594</v>
      </c>
      <c r="AO413">
        <v>43.760413403661381</v>
      </c>
      <c r="AP413">
        <v>51.186641352753824</v>
      </c>
      <c r="AQ413">
        <v>301.14178502692124</v>
      </c>
      <c r="AR413">
        <v>41.794477851692911</v>
      </c>
      <c r="AS413">
        <v>398.05330652323681</v>
      </c>
      <c r="AT413">
        <v>32.291916314581535</v>
      </c>
      <c r="AU413">
        <v>14.715328554881241</v>
      </c>
      <c r="AV413"/>
      <c r="AW413"/>
      <c r="FY413" s="211">
        <v>408</v>
      </c>
      <c r="FZ413">
        <v>38.225622386009277</v>
      </c>
      <c r="GA413">
        <v>65.257398730552325</v>
      </c>
      <c r="GB413">
        <v>29.885345045711674</v>
      </c>
      <c r="GC413">
        <v>14.280513750990282</v>
      </c>
      <c r="GD413">
        <v>8.0997391154268445</v>
      </c>
      <c r="GE413">
        <v>9.7122920922852565</v>
      </c>
      <c r="GF413">
        <v>23.850794281412679</v>
      </c>
      <c r="GG413">
        <v>18.160431472475008</v>
      </c>
      <c r="GH413">
        <v>9.0696557386495034</v>
      </c>
      <c r="GI413">
        <v>24.197938581967005</v>
      </c>
      <c r="GJ413"/>
      <c r="GK413">
        <v>39.530671859540007</v>
      </c>
      <c r="GL413">
        <v>57.671769935057341</v>
      </c>
      <c r="GM413">
        <v>52.943935136858201</v>
      </c>
      <c r="GN413">
        <v>47.158600046425995</v>
      </c>
      <c r="GO413">
        <v>35.24133051377526</v>
      </c>
      <c r="GP413">
        <v>20.838941259279981</v>
      </c>
      <c r="GQ413">
        <v>32.134594646412424</v>
      </c>
      <c r="GR413">
        <v>27.315589480203926</v>
      </c>
      <c r="GS413">
        <v>10.158983863898989</v>
      </c>
      <c r="GT413">
        <v>34.001903204096976</v>
      </c>
      <c r="GU413"/>
      <c r="GV413"/>
      <c r="GW413"/>
      <c r="GX413"/>
      <c r="GY413"/>
      <c r="GZ413"/>
      <c r="HA413"/>
      <c r="HB413"/>
      <c r="HC413"/>
    </row>
    <row r="414" spans="1:211" s="7" customFormat="1">
      <c r="A414" s="188">
        <v>10.51</v>
      </c>
      <c r="B414" s="71">
        <f t="shared" si="379"/>
        <v>39987</v>
      </c>
      <c r="C414" s="61">
        <f t="shared" si="385"/>
        <v>341</v>
      </c>
      <c r="D414" s="61">
        <f t="shared" si="380"/>
        <v>3.0624999999999996</v>
      </c>
      <c r="E414" s="108">
        <f t="shared" si="381"/>
        <v>0.85215594631909986</v>
      </c>
      <c r="F414" s="19">
        <f t="shared" si="382"/>
        <v>3.3533472345501415E-3</v>
      </c>
      <c r="G414" s="19">
        <f t="shared" si="383"/>
        <v>3.7952252840782512E-2</v>
      </c>
      <c r="H414" s="19">
        <f t="shared" si="384"/>
        <v>3.7952252840782512E-2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53.563141025641031</v>
      </c>
      <c r="AO414">
        <v>39.709498294280252</v>
      </c>
      <c r="AP414">
        <v>3.3309787483302671</v>
      </c>
      <c r="AQ414">
        <v>280.48236188320288</v>
      </c>
      <c r="AR414">
        <v>37.591422653135069</v>
      </c>
      <c r="AS414">
        <v>374.81061554719514</v>
      </c>
      <c r="AT414">
        <v>30.958337224720612</v>
      </c>
      <c r="AU414">
        <v>17.660448068019654</v>
      </c>
      <c r="AV414"/>
      <c r="AW414"/>
      <c r="FY414" s="211">
        <v>409</v>
      </c>
      <c r="FZ414">
        <v>58.001609077919269</v>
      </c>
      <c r="GA414">
        <v>94.782046897006822</v>
      </c>
      <c r="GB414">
        <v>31.639768186603835</v>
      </c>
      <c r="GC414">
        <v>11.223020778614249</v>
      </c>
      <c r="GD414">
        <v>7.8345790625070597</v>
      </c>
      <c r="GE414">
        <v>10.351995946440582</v>
      </c>
      <c r="GF414">
        <v>17.057624060509212</v>
      </c>
      <c r="GG414">
        <v>15.798866911685019</v>
      </c>
      <c r="GH414">
        <v>12.209151955874333</v>
      </c>
      <c r="GI414">
        <v>26.478680452991611</v>
      </c>
      <c r="GJ414"/>
      <c r="GK414">
        <v>63.589855716614515</v>
      </c>
      <c r="GL414">
        <v>88.43714314973397</v>
      </c>
      <c r="GM414">
        <v>56.052015864449672</v>
      </c>
      <c r="GN414">
        <v>37.060183909526231</v>
      </c>
      <c r="GO414">
        <v>34.087355925684882</v>
      </c>
      <c r="GP414">
        <v>22.211506140299861</v>
      </c>
      <c r="GQ414">
        <v>22.982036922876386</v>
      </c>
      <c r="GR414">
        <v>23.763497220099385</v>
      </c>
      <c r="GS414">
        <v>13.675555201402489</v>
      </c>
      <c r="GT414">
        <v>38.077363926205592</v>
      </c>
      <c r="GU414"/>
      <c r="GV414"/>
      <c r="GW414"/>
      <c r="GX414"/>
      <c r="GY414"/>
      <c r="GZ414"/>
      <c r="HA414"/>
      <c r="HB414"/>
      <c r="HC414"/>
    </row>
    <row r="415" spans="1:211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47.371047008547009</v>
      </c>
      <c r="AO415">
        <v>36.460694056955923</v>
      </c>
      <c r="AP415">
        <v>25.425719531223173</v>
      </c>
      <c r="AQ415">
        <v>249.62579009872152</v>
      </c>
      <c r="AR415">
        <v>34.155166073517954</v>
      </c>
      <c r="AS415">
        <v>322.14138356167092</v>
      </c>
      <c r="AT415">
        <v>27.096776137359573</v>
      </c>
      <c r="AU415">
        <v>16.631058719819826</v>
      </c>
      <c r="AV415"/>
      <c r="AW415"/>
      <c r="FY415" s="211">
        <v>410</v>
      </c>
      <c r="FZ415">
        <v>44.379684173575441</v>
      </c>
      <c r="GA415">
        <v>72.370989764737857</v>
      </c>
      <c r="GB415">
        <v>33.183660550588947</v>
      </c>
      <c r="GC415">
        <v>16.217655246459802</v>
      </c>
      <c r="GD415">
        <v>10.112773460005466</v>
      </c>
      <c r="GE415">
        <v>11.594048685165525</v>
      </c>
      <c r="GF415">
        <v>26.583880877403587</v>
      </c>
      <c r="GG415">
        <v>24.418577558568472</v>
      </c>
      <c r="GH415">
        <v>20.581141868473875</v>
      </c>
      <c r="GI415">
        <v>29.487843030211245</v>
      </c>
      <c r="GJ415"/>
      <c r="GK415">
        <v>47.699219916081262</v>
      </c>
      <c r="GL415">
        <v>66.294824971416716</v>
      </c>
      <c r="GM415">
        <v>58.787126904730179</v>
      </c>
      <c r="GN415">
        <v>53.552832175608863</v>
      </c>
      <c r="GO415">
        <v>43.997703995927644</v>
      </c>
      <c r="GP415">
        <v>24.87648612826548</v>
      </c>
      <c r="GQ415">
        <v>35.816930289387464</v>
      </c>
      <c r="GR415">
        <v>36.72863396948096</v>
      </c>
      <c r="GS415">
        <v>23.053078768078475</v>
      </c>
      <c r="GT415">
        <v>41.870811974841004</v>
      </c>
      <c r="GU415"/>
      <c r="GV415"/>
      <c r="GW415"/>
      <c r="GX415"/>
      <c r="GY415"/>
      <c r="GZ415"/>
      <c r="HA415"/>
      <c r="HB415"/>
      <c r="HC415"/>
    </row>
    <row r="416" spans="1:211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51.883119658119654</v>
      </c>
      <c r="AO416">
        <v>38.550519153471988</v>
      </c>
      <c r="AP416">
        <v>14.863632132787172</v>
      </c>
      <c r="AQ416">
        <v>265.39871604922922</v>
      </c>
      <c r="AR416">
        <v>37.250349395030291</v>
      </c>
      <c r="AS416">
        <v>359.27880659992422</v>
      </c>
      <c r="AT416">
        <v>30.160377302587317</v>
      </c>
      <c r="AU416">
        <v>48.222521987035464</v>
      </c>
      <c r="AV416"/>
      <c r="AW416"/>
      <c r="FY416" s="211">
        <v>411</v>
      </c>
      <c r="FZ416">
        <v>31.859068301757713</v>
      </c>
      <c r="GA416">
        <v>60.128768478015679</v>
      </c>
      <c r="GB416">
        <v>28.441705432634688</v>
      </c>
      <c r="GC416">
        <v>11.549083076978485</v>
      </c>
      <c r="GD416">
        <v>6.7944682173803619</v>
      </c>
      <c r="GE416">
        <v>11.654750510742307</v>
      </c>
      <c r="GF416">
        <v>35.301636193233136</v>
      </c>
      <c r="GG416">
        <v>22.789098011623388</v>
      </c>
      <c r="GH416">
        <v>8.3719899125995436</v>
      </c>
      <c r="GI416">
        <v>24.170995702109813</v>
      </c>
      <c r="GJ416"/>
      <c r="GK416">
        <v>32.948886145779198</v>
      </c>
      <c r="GL416">
        <v>53.139300211163942</v>
      </c>
      <c r="GM416">
        <v>50.386428709582923</v>
      </c>
      <c r="GN416">
        <v>38.121755677769507</v>
      </c>
      <c r="GO416">
        <v>29.543452869617038</v>
      </c>
      <c r="GP416">
        <v>25.006729511135976</v>
      </c>
      <c r="GQ416">
        <v>47.562515362799822</v>
      </c>
      <c r="GR416">
        <v>34.277690310008836</v>
      </c>
      <c r="GS416">
        <v>9.3775235666759915</v>
      </c>
      <c r="GT416">
        <v>33.963761330890996</v>
      </c>
      <c r="GU416"/>
      <c r="GV416"/>
      <c r="GW416"/>
      <c r="GX416"/>
      <c r="GY416"/>
      <c r="GZ416"/>
      <c r="HA416"/>
      <c r="HB416"/>
      <c r="HC416"/>
    </row>
    <row r="417" spans="1:211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46.320352564102564</v>
      </c>
      <c r="AO417">
        <v>34.894953258663293</v>
      </c>
      <c r="AP417">
        <v>15.238385485172959</v>
      </c>
      <c r="AQ417">
        <v>238.59779035096983</v>
      </c>
      <c r="AR417">
        <v>32.746914250008849</v>
      </c>
      <c r="AS417">
        <v>309.632629634794</v>
      </c>
      <c r="AT417">
        <v>26.718158929764858</v>
      </c>
      <c r="AU417">
        <v>9.8909031659025288</v>
      </c>
      <c r="AV417"/>
      <c r="AW417"/>
      <c r="FY417" s="211">
        <v>412</v>
      </c>
      <c r="FZ417">
        <v>36.673519481804725</v>
      </c>
      <c r="GA417">
        <v>54.951331838018611</v>
      </c>
      <c r="GB417">
        <v>27.348950447736147</v>
      </c>
      <c r="GC417">
        <v>16.19298685704225</v>
      </c>
      <c r="GD417">
        <v>10.30729102754378</v>
      </c>
      <c r="GE417">
        <v>12.794077083106536</v>
      </c>
      <c r="GF417">
        <v>35.134663057143655</v>
      </c>
      <c r="GG417">
        <v>24.371346267352674</v>
      </c>
      <c r="GH417">
        <v>5.2324936953747141</v>
      </c>
      <c r="GI417">
        <v>26.196415264761185</v>
      </c>
      <c r="GJ417"/>
      <c r="GK417">
        <v>39.728324884406668</v>
      </c>
      <c r="GL417">
        <v>50.900057116123619</v>
      </c>
      <c r="GM417">
        <v>48.450538427825961</v>
      </c>
      <c r="GN417">
        <v>53.47903662264298</v>
      </c>
      <c r="GO417">
        <v>44.852917187912183</v>
      </c>
      <c r="GP417">
        <v>27.451297620397664</v>
      </c>
      <c r="GQ417">
        <v>47.337549519659866</v>
      </c>
      <c r="GR417">
        <v>36.657592124278871</v>
      </c>
      <c r="GS417">
        <v>5.8609522291724945</v>
      </c>
      <c r="GT417">
        <v>37.246056449795432</v>
      </c>
      <c r="GU417"/>
      <c r="GV417"/>
      <c r="GW417"/>
      <c r="GX417"/>
      <c r="GY417"/>
      <c r="GZ417"/>
      <c r="HA417"/>
      <c r="HB417"/>
      <c r="HC417"/>
    </row>
    <row r="418" spans="1:211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50.138167735042728</v>
      </c>
      <c r="AO418">
        <v>36.99654018125127</v>
      </c>
      <c r="AP418">
        <v>9.8562716224709206</v>
      </c>
      <c r="AQ418">
        <v>239.09830888698716</v>
      </c>
      <c r="AR418">
        <v>35.216431569149279</v>
      </c>
      <c r="AS418">
        <v>343.58950807560007</v>
      </c>
      <c r="AT418">
        <v>28.708238554378131</v>
      </c>
      <c r="AU418">
        <v>22.124993336294231</v>
      </c>
      <c r="AV418"/>
      <c r="AW418"/>
      <c r="FY418" s="211">
        <v>413</v>
      </c>
      <c r="FZ418">
        <v>36.98437315511871</v>
      </c>
      <c r="GA418">
        <v>60.433660728661224</v>
      </c>
      <c r="GB418">
        <v>29.885345045711674</v>
      </c>
      <c r="GC418">
        <v>16.596537816081817</v>
      </c>
      <c r="GD418">
        <v>8.6906087966285988</v>
      </c>
      <c r="GE418">
        <v>9.5301866155549071</v>
      </c>
      <c r="GF418">
        <v>22.400764415372485</v>
      </c>
      <c r="GG418">
        <v>14.523622048858426</v>
      </c>
      <c r="GH418">
        <v>6.33524315700173</v>
      </c>
      <c r="GI418">
        <v>23.63314137797806</v>
      </c>
      <c r="GJ418"/>
      <c r="GK418">
        <v>40.044059021867795</v>
      </c>
      <c r="GL418">
        <v>55.745110958906224</v>
      </c>
      <c r="GM418">
        <v>52.943935136858201</v>
      </c>
      <c r="GN418">
        <v>54.796541192191235</v>
      </c>
      <c r="GO418">
        <v>37.799779727590995</v>
      </c>
      <c r="GP418">
        <v>20.448211110668481</v>
      </c>
      <c r="GQ418">
        <v>30.180943903354933</v>
      </c>
      <c r="GR418">
        <v>21.845367399642935</v>
      </c>
      <c r="GS418">
        <v>7.7822778990954351</v>
      </c>
      <c r="GT418">
        <v>33.750199137753476</v>
      </c>
      <c r="GU418"/>
      <c r="GV418"/>
      <c r="GW418"/>
      <c r="GX418"/>
      <c r="GY418"/>
      <c r="GZ418"/>
      <c r="HA418"/>
      <c r="HB418"/>
      <c r="HC418"/>
    </row>
    <row r="419" spans="1:211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58.098691239316238</v>
      </c>
      <c r="AO419">
        <v>44.766959031838155</v>
      </c>
      <c r="AP419">
        <v>33.424440364010572</v>
      </c>
      <c r="AQ419">
        <v>324.84630267759479</v>
      </c>
      <c r="AR419">
        <v>41.96945724325613</v>
      </c>
      <c r="AS419">
        <v>398.1086576188373</v>
      </c>
      <c r="AT419">
        <v>33.771863965679664</v>
      </c>
      <c r="AU419">
        <v>32.173564463321817</v>
      </c>
      <c r="AV419"/>
      <c r="AW419"/>
      <c r="FY419" s="211">
        <v>414</v>
      </c>
      <c r="FZ419">
        <v>31.963570881048252</v>
      </c>
      <c r="GA419">
        <v>66.141645325817251</v>
      </c>
      <c r="GB419">
        <v>32.511967119504511</v>
      </c>
      <c r="GC419">
        <v>10.523806064911374</v>
      </c>
      <c r="GD419">
        <v>6.058424092582511</v>
      </c>
      <c r="GE419">
        <v>11.883549699454797</v>
      </c>
      <c r="GF419">
        <v>30.52093166519758</v>
      </c>
      <c r="GG419">
        <v>21.27769669271779</v>
      </c>
      <c r="GH419">
        <v>10.5212381133015</v>
      </c>
      <c r="GI419">
        <v>24.203193604325485</v>
      </c>
      <c r="GJ419"/>
      <c r="GK419">
        <v>33.047701411161043</v>
      </c>
      <c r="GL419">
        <v>58.453230232280347</v>
      </c>
      <c r="GM419">
        <v>57.597175997595151</v>
      </c>
      <c r="GN419">
        <v>34.73542772313651</v>
      </c>
      <c r="GO419">
        <v>26.340194285312506</v>
      </c>
      <c r="GP419">
        <v>25.49764687734017</v>
      </c>
      <c r="GQ419">
        <v>41.121388064476918</v>
      </c>
      <c r="GR419">
        <v>32.004351263541921</v>
      </c>
      <c r="GS419">
        <v>12.471039682433428</v>
      </c>
      <c r="GT419">
        <v>34.115499888195806</v>
      </c>
      <c r="GU419"/>
      <c r="GV419"/>
      <c r="GW419"/>
      <c r="GX419"/>
      <c r="GY419"/>
      <c r="GZ419"/>
      <c r="HA419"/>
      <c r="HB419"/>
      <c r="HC419"/>
    </row>
    <row r="420" spans="1:211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50.298183760683763</v>
      </c>
      <c r="AO420">
        <v>38.76609082947305</v>
      </c>
      <c r="AP420">
        <v>40.81064801334292</v>
      </c>
      <c r="AQ420">
        <v>258.41817652755412</v>
      </c>
      <c r="AR420">
        <v>37.233158414194911</v>
      </c>
      <c r="AS420">
        <v>354.11696162881128</v>
      </c>
      <c r="AT420">
        <v>28.944660519958727</v>
      </c>
      <c r="AU420">
        <v>37.953060213878068</v>
      </c>
      <c r="AV420"/>
      <c r="AW420"/>
      <c r="FY420" s="211">
        <v>415</v>
      </c>
      <c r="FZ420">
        <v>52.254252406575851</v>
      </c>
      <c r="GA420">
        <v>83.42407220554955</v>
      </c>
      <c r="GB420">
        <v>31.399161584424341</v>
      </c>
      <c r="GC420">
        <v>15.027899343329624</v>
      </c>
      <c r="GD420">
        <v>8.5823903518019833</v>
      </c>
      <c r="GE420">
        <v>11.701444222724447</v>
      </c>
      <c r="GF420">
        <v>28.174519700150711</v>
      </c>
      <c r="GG420">
        <v>18.396587928554005</v>
      </c>
      <c r="GH420">
        <v>17.902980009378176</v>
      </c>
      <c r="GI420">
        <v>29.169038754366323</v>
      </c>
      <c r="GJ420"/>
      <c r="GK420">
        <v>55.832707044344303</v>
      </c>
      <c r="GL420">
        <v>76.063078686704188</v>
      </c>
      <c r="GM420">
        <v>55.625764793237131</v>
      </c>
      <c r="GN420">
        <v>49.630936674196398</v>
      </c>
      <c r="GO420">
        <v>37.346162211557917</v>
      </c>
      <c r="GP420">
        <v>25.106916728728667</v>
      </c>
      <c r="GQ420">
        <v>37.96002595298387</v>
      </c>
      <c r="GR420">
        <v>27.670798706214377</v>
      </c>
      <c r="GS420">
        <v>21.425508027363364</v>
      </c>
      <c r="GT420">
        <v>41.63803360589732</v>
      </c>
      <c r="GU420"/>
      <c r="GV420"/>
      <c r="GW420"/>
      <c r="GX420"/>
      <c r="GY420"/>
      <c r="GZ420"/>
      <c r="HA420"/>
      <c r="HB420"/>
      <c r="HC420"/>
    </row>
    <row r="421" spans="1:211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50.392227564102562</v>
      </c>
      <c r="AO421">
        <v>40.885350619376695</v>
      </c>
      <c r="AP421">
        <v>36.798331680259615</v>
      </c>
      <c r="AQ421">
        <v>281.30268145593448</v>
      </c>
      <c r="AR421">
        <v>39.133707397480151</v>
      </c>
      <c r="AS421">
        <v>363.31007870605686</v>
      </c>
      <c r="AT421">
        <v>30.462449053079528</v>
      </c>
      <c r="AU421">
        <v>23.563562340144177</v>
      </c>
      <c r="AV421"/>
      <c r="AW421"/>
      <c r="FY421" s="211">
        <v>416</v>
      </c>
      <c r="FZ421">
        <v>38.707878136465062</v>
      </c>
      <c r="GA421">
        <v>70.386028983088949</v>
      </c>
      <c r="GB421">
        <v>29.765041744621914</v>
      </c>
      <c r="GC421">
        <v>10.158975110913314</v>
      </c>
      <c r="GD421">
        <v>8.1566835168711815</v>
      </c>
      <c r="GE421">
        <v>14.190219071372544</v>
      </c>
      <c r="GF421">
        <v>31.267916747703133</v>
      </c>
      <c r="GG421">
        <v>20.214992640362297</v>
      </c>
      <c r="GH421">
        <v>9.8798230098036122</v>
      </c>
      <c r="GI421">
        <v>25.864435994022614</v>
      </c>
      <c r="GJ421"/>
      <c r="GK421">
        <v>40.020217273533355</v>
      </c>
      <c r="GL421">
        <v>62.204239658950733</v>
      </c>
      <c r="GM421">
        <v>52.730809601251913</v>
      </c>
      <c r="GN421">
        <v>33.530448733362583</v>
      </c>
      <c r="GO421">
        <v>35.471803772442797</v>
      </c>
      <c r="GP421">
        <v>30.446895426419164</v>
      </c>
      <c r="GQ421">
        <v>42.127814204839872</v>
      </c>
      <c r="GR421">
        <v>30.405909746494881</v>
      </c>
      <c r="GS421">
        <v>12.438714609298874</v>
      </c>
      <c r="GT421">
        <v>36.557871892273369</v>
      </c>
      <c r="GU421"/>
      <c r="GV421"/>
      <c r="GW421"/>
      <c r="GX421"/>
      <c r="GY421"/>
      <c r="GZ421"/>
      <c r="HA421"/>
      <c r="HB421"/>
      <c r="HC421"/>
    </row>
    <row r="422" spans="1:211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1.1646714346682511E-5</v>
      </c>
      <c r="H422" s="216">
        <f t="shared" ref="H422:AK422" si="386">H372</f>
        <v>8.4444000000000012E-4</v>
      </c>
      <c r="I422" s="216">
        <f t="shared" si="386"/>
        <v>6.1225757958347789E-2</v>
      </c>
      <c r="J422" s="216">
        <f t="shared" si="386"/>
        <v>0.75020188533407928</v>
      </c>
      <c r="K422" s="216">
        <f t="shared" si="386"/>
        <v>4.4391471715861259</v>
      </c>
      <c r="L422" s="216">
        <f t="shared" si="386"/>
        <v>17.628015506744671</v>
      </c>
      <c r="M422" s="216">
        <f t="shared" si="386"/>
        <v>54.39306410326423</v>
      </c>
      <c r="N422" s="216">
        <f t="shared" si="386"/>
        <v>141.0180433149788</v>
      </c>
      <c r="O422" s="216">
        <f t="shared" si="386"/>
        <v>321.85845088936549</v>
      </c>
      <c r="P422" s="216">
        <f t="shared" si="386"/>
        <v>666.48058921747793</v>
      </c>
      <c r="Q422" s="216">
        <f t="shared" si="386"/>
        <v>1278.1116606294734</v>
      </c>
      <c r="R422" s="216">
        <f t="shared" si="386"/>
        <v>2303.4330366622853</v>
      </c>
      <c r="S422" s="216">
        <f t="shared" si="386"/>
        <v>3943.7456508447622</v>
      </c>
      <c r="T422" s="216">
        <f t="shared" si="386"/>
        <v>6467.5339082490427</v>
      </c>
      <c r="U422" s="216">
        <f t="shared" si="386"/>
        <v>10224.452403678983</v>
      </c>
      <c r="V422" s="216">
        <f t="shared" si="386"/>
        <v>15660.757979084645</v>
      </c>
      <c r="W422" s="216">
        <f t="shared" si="386"/>
        <v>23336.208150965249</v>
      </c>
      <c r="X422" s="216">
        <f t="shared" si="386"/>
        <v>33942.445644359832</v>
      </c>
      <c r="Y422" s="216">
        <f t="shared" si="386"/>
        <v>48322.887640763322</v>
      </c>
      <c r="Z422" s="216">
        <f t="shared" si="386"/>
        <v>67494.137352448117</v>
      </c>
      <c r="AA422" s="216">
        <f t="shared" si="386"/>
        <v>92668.934651889795</v>
      </c>
      <c r="AB422" s="216">
        <f t="shared" si="386"/>
        <v>125280.6616941641</v>
      </c>
      <c r="AC422" s="216">
        <f t="shared" si="386"/>
        <v>167009.41875793086</v>
      </c>
      <c r="AD422" s="216">
        <f t="shared" si="386"/>
        <v>219809.68488549121</v>
      </c>
      <c r="AE422" s="216">
        <f t="shared" si="386"/>
        <v>285939.57731503504</v>
      </c>
      <c r="AF422" s="216">
        <f t="shared" si="386"/>
        <v>367991.7231609475</v>
      </c>
      <c r="AG422" s="216">
        <f t="shared" si="386"/>
        <v>468925.75630460773</v>
      </c>
      <c r="AH422" s="216">
        <f t="shared" si="386"/>
        <v>592102.4520031251</v>
      </c>
      <c r="AI422" s="216">
        <f t="shared" si="386"/>
        <v>741319.51130251598</v>
      </c>
      <c r="AJ422" s="216">
        <f t="shared" si="386"/>
        <v>920849.00695114571</v>
      </c>
      <c r="AK422" s="216">
        <f t="shared" si="386"/>
        <v>1135476.5021454457</v>
      </c>
      <c r="AL422" s="4"/>
      <c r="AM422" s="43">
        <v>406</v>
      </c>
      <c r="AN422">
        <v>46.09559294871795</v>
      </c>
      <c r="AO422">
        <v>35.591768775068132</v>
      </c>
      <c r="AP422">
        <v>33.320117352850403</v>
      </c>
      <c r="AQ422">
        <v>253.22786497374415</v>
      </c>
      <c r="AR422">
        <v>35.007813887063286</v>
      </c>
      <c r="AS422">
        <v>331.98908917826174</v>
      </c>
      <c r="AT422">
        <v>27.060214961557815</v>
      </c>
      <c r="AU422">
        <v>33.839224309800898</v>
      </c>
      <c r="AV422"/>
      <c r="AW422"/>
      <c r="FY422" s="211">
        <v>417</v>
      </c>
      <c r="FZ422">
        <v>45.166652394683226</v>
      </c>
      <c r="GA422">
        <v>59.677457064988822</v>
      </c>
      <c r="GB422">
        <v>20.291156783804237</v>
      </c>
      <c r="GC422">
        <v>11.038299872039248</v>
      </c>
      <c r="GD422">
        <v>7.563112921342543</v>
      </c>
      <c r="GE422">
        <v>8.9091602461924371</v>
      </c>
      <c r="GF422">
        <v>20.564059918388228</v>
      </c>
      <c r="GG422">
        <v>18.679975675848805</v>
      </c>
      <c r="GH422">
        <v>9.4184886516744868</v>
      </c>
      <c r="GI422">
        <v>21.785293131866915</v>
      </c>
      <c r="GJ422"/>
      <c r="GK422">
        <v>50.308180682395459</v>
      </c>
      <c r="GL422">
        <v>57.413169349980883</v>
      </c>
      <c r="GM422">
        <v>35.947173672257968</v>
      </c>
      <c r="GN422">
        <v>36.430879347222103</v>
      </c>
      <c r="GO422">
        <v>32.884251844440804</v>
      </c>
      <c r="GP422">
        <v>19.115721116685677</v>
      </c>
      <c r="GQ422">
        <v>27.706319628815425</v>
      </c>
      <c r="GR422">
        <v>28.097049777426928</v>
      </c>
      <c r="GS422">
        <v>10.54971401251049</v>
      </c>
      <c r="GT422">
        <v>31.479127968084033</v>
      </c>
      <c r="GU422"/>
      <c r="GV422"/>
      <c r="GW422"/>
      <c r="GX422"/>
      <c r="GY422"/>
      <c r="GZ422"/>
      <c r="HA422"/>
      <c r="HB422"/>
      <c r="HC422"/>
    </row>
    <row r="423" spans="1:211" s="7" customFormat="1">
      <c r="A423" s="4"/>
      <c r="B423" s="48" t="s">
        <v>38</v>
      </c>
      <c r="C423" s="107">
        <f t="shared" ref="C423:C432" si="387">SUM(G423:AK423)</f>
        <v>58.042699297462896</v>
      </c>
      <c r="D423" s="190">
        <f>$A$405</f>
        <v>13.69</v>
      </c>
      <c r="E423" s="8"/>
      <c r="F423" s="124"/>
      <c r="G423" s="107">
        <f>(($A$453+$A$455*(G$422)+($A$457*$D423))*($E21*G37))</f>
        <v>0</v>
      </c>
      <c r="H423" s="217">
        <f t="shared" ref="H423:AK431" si="388">(($A$453+$A$455*(H$422)+($A$457*$D423))*($E21*H37))</f>
        <v>0</v>
      </c>
      <c r="I423" s="217">
        <f t="shared" si="388"/>
        <v>0.22365336678705641</v>
      </c>
      <c r="J423" s="217">
        <f t="shared" si="388"/>
        <v>50.618924936140928</v>
      </c>
      <c r="K423" s="217">
        <f t="shared" si="388"/>
        <v>7.2001209945349114</v>
      </c>
      <c r="L423" s="217">
        <f t="shared" si="388"/>
        <v>0</v>
      </c>
      <c r="M423" s="217">
        <f t="shared" si="388"/>
        <v>0</v>
      </c>
      <c r="N423" s="217">
        <f t="shared" si="388"/>
        <v>0</v>
      </c>
      <c r="O423" s="217">
        <f t="shared" si="388"/>
        <v>0</v>
      </c>
      <c r="P423" s="217">
        <f t="shared" si="388"/>
        <v>0</v>
      </c>
      <c r="Q423" s="217">
        <f t="shared" si="388"/>
        <v>0</v>
      </c>
      <c r="R423" s="217">
        <f t="shared" si="388"/>
        <v>0</v>
      </c>
      <c r="S423" s="217">
        <f t="shared" si="388"/>
        <v>0</v>
      </c>
      <c r="T423" s="217">
        <f t="shared" si="388"/>
        <v>0</v>
      </c>
      <c r="U423" s="217">
        <f t="shared" si="388"/>
        <v>0</v>
      </c>
      <c r="V423" s="217">
        <f t="shared" si="388"/>
        <v>0</v>
      </c>
      <c r="W423" s="217">
        <f t="shared" si="388"/>
        <v>0</v>
      </c>
      <c r="X423" s="217">
        <f t="shared" si="388"/>
        <v>0</v>
      </c>
      <c r="Y423" s="217">
        <f t="shared" si="388"/>
        <v>0</v>
      </c>
      <c r="Z423" s="217">
        <f t="shared" si="388"/>
        <v>0</v>
      </c>
      <c r="AA423" s="217">
        <f t="shared" si="388"/>
        <v>0</v>
      </c>
      <c r="AB423" s="217">
        <f t="shared" si="388"/>
        <v>0</v>
      </c>
      <c r="AC423" s="217">
        <f t="shared" si="388"/>
        <v>0</v>
      </c>
      <c r="AD423" s="217">
        <f t="shared" si="388"/>
        <v>0</v>
      </c>
      <c r="AE423" s="217">
        <f t="shared" si="388"/>
        <v>0</v>
      </c>
      <c r="AF423" s="217">
        <f t="shared" si="388"/>
        <v>0</v>
      </c>
      <c r="AG423" s="217">
        <f t="shared" si="388"/>
        <v>0</v>
      </c>
      <c r="AH423" s="217">
        <f t="shared" si="388"/>
        <v>0</v>
      </c>
      <c r="AI423" s="217">
        <f t="shared" si="388"/>
        <v>0</v>
      </c>
      <c r="AJ423" s="217">
        <f t="shared" si="388"/>
        <v>0</v>
      </c>
      <c r="AK423" s="217">
        <f t="shared" si="388"/>
        <v>0</v>
      </c>
      <c r="AL423" s="4"/>
      <c r="AM423" s="43">
        <v>407</v>
      </c>
      <c r="AN423">
        <v>42.739636752136747</v>
      </c>
      <c r="AO423">
        <v>34.554961751150756</v>
      </c>
      <c r="AP423">
        <v>37.205122291068065</v>
      </c>
      <c r="AQ423">
        <v>249.37460604224881</v>
      </c>
      <c r="AR423">
        <v>33.064957712841469</v>
      </c>
      <c r="AS423">
        <v>295.17813984945622</v>
      </c>
      <c r="AT423">
        <v>25.333516297971403</v>
      </c>
      <c r="AU423">
        <v>38.580669336485897</v>
      </c>
      <c r="AV423"/>
      <c r="AW423"/>
      <c r="FY423" s="211">
        <v>418</v>
      </c>
      <c r="FZ423">
        <v>51.774995192032151</v>
      </c>
      <c r="GA423">
        <v>74.139482955267738</v>
      </c>
      <c r="GB423">
        <v>23.679699764498817</v>
      </c>
      <c r="GC423">
        <v>12.231626451653788</v>
      </c>
      <c r="GD423">
        <v>8.621782715182567</v>
      </c>
      <c r="GE423">
        <v>10.622819475937</v>
      </c>
      <c r="GF423">
        <v>28.200883879533261</v>
      </c>
      <c r="GG423">
        <v>23.096101404526088</v>
      </c>
      <c r="GH423">
        <v>9.7673215646994684</v>
      </c>
      <c r="GI423">
        <v>25.844001216374377</v>
      </c>
      <c r="GJ423"/>
      <c r="GK423">
        <v>55.354380810294714</v>
      </c>
      <c r="GL423">
        <v>67.8577455658627</v>
      </c>
      <c r="GM423">
        <v>41.950209591834643</v>
      </c>
      <c r="GN423">
        <v>40.399129304922319</v>
      </c>
      <c r="GO423">
        <v>37.521934574237648</v>
      </c>
      <c r="GP423">
        <v>22.792592002337479</v>
      </c>
      <c r="GQ423">
        <v>37.995546875584914</v>
      </c>
      <c r="GR423">
        <v>34.739462303822428</v>
      </c>
      <c r="GS423">
        <v>10.940444161121992</v>
      </c>
      <c r="GT423">
        <v>36.752503202614783</v>
      </c>
      <c r="GU423"/>
      <c r="GV423"/>
      <c r="GW423"/>
      <c r="GX423"/>
      <c r="GY423"/>
      <c r="GZ423"/>
      <c r="HA423"/>
      <c r="HB423"/>
      <c r="HC423"/>
    </row>
    <row r="424" spans="1:211" s="7" customFormat="1">
      <c r="A424" s="4"/>
      <c r="B424" s="48" t="s">
        <v>39</v>
      </c>
      <c r="C424" s="107">
        <f t="shared" si="387"/>
        <v>74.581606252900201</v>
      </c>
      <c r="D424" s="190">
        <f>$A$406</f>
        <v>9.4499999999999993</v>
      </c>
      <c r="E424" s="8"/>
      <c r="F424" s="124"/>
      <c r="G424" s="217">
        <f t="shared" ref="G424:V432" si="389">(($A$453+$A$455*(G$422)+($A$457*$D424))*($E22*G38))</f>
        <v>0</v>
      </c>
      <c r="H424" s="217">
        <f t="shared" si="389"/>
        <v>0</v>
      </c>
      <c r="I424" s="217">
        <f t="shared" si="389"/>
        <v>0</v>
      </c>
      <c r="J424" s="217">
        <f t="shared" si="389"/>
        <v>66.760617942502719</v>
      </c>
      <c r="K424" s="217">
        <f t="shared" si="389"/>
        <v>7.8209883103974889</v>
      </c>
      <c r="L424" s="217">
        <f t="shared" si="389"/>
        <v>0</v>
      </c>
      <c r="M424" s="217">
        <f t="shared" si="389"/>
        <v>0</v>
      </c>
      <c r="N424" s="217">
        <f t="shared" si="389"/>
        <v>0</v>
      </c>
      <c r="O424" s="217">
        <f t="shared" si="389"/>
        <v>0</v>
      </c>
      <c r="P424" s="217">
        <f t="shared" si="389"/>
        <v>0</v>
      </c>
      <c r="Q424" s="217">
        <f t="shared" si="389"/>
        <v>0</v>
      </c>
      <c r="R424" s="217">
        <f t="shared" si="389"/>
        <v>0</v>
      </c>
      <c r="S424" s="217">
        <f t="shared" si="389"/>
        <v>0</v>
      </c>
      <c r="T424" s="217">
        <f t="shared" si="389"/>
        <v>0</v>
      </c>
      <c r="U424" s="217">
        <f t="shared" si="389"/>
        <v>0</v>
      </c>
      <c r="V424" s="217">
        <f t="shared" si="389"/>
        <v>0</v>
      </c>
      <c r="W424" s="217">
        <f t="shared" si="388"/>
        <v>0</v>
      </c>
      <c r="X424" s="217">
        <f t="shared" si="388"/>
        <v>0</v>
      </c>
      <c r="Y424" s="217">
        <f t="shared" si="388"/>
        <v>0</v>
      </c>
      <c r="Z424" s="217">
        <f t="shared" si="388"/>
        <v>0</v>
      </c>
      <c r="AA424" s="217">
        <f t="shared" si="388"/>
        <v>0</v>
      </c>
      <c r="AB424" s="217">
        <f t="shared" si="388"/>
        <v>0</v>
      </c>
      <c r="AC424" s="217">
        <f t="shared" si="388"/>
        <v>0</v>
      </c>
      <c r="AD424" s="217">
        <f t="shared" si="388"/>
        <v>0</v>
      </c>
      <c r="AE424" s="217">
        <f t="shared" si="388"/>
        <v>0</v>
      </c>
      <c r="AF424" s="217">
        <f t="shared" si="388"/>
        <v>0</v>
      </c>
      <c r="AG424" s="217">
        <f t="shared" si="388"/>
        <v>0</v>
      </c>
      <c r="AH424" s="217">
        <f t="shared" si="388"/>
        <v>0</v>
      </c>
      <c r="AI424" s="217">
        <f t="shared" si="388"/>
        <v>0</v>
      </c>
      <c r="AJ424" s="217">
        <f t="shared" si="388"/>
        <v>0</v>
      </c>
      <c r="AK424" s="217">
        <f t="shared" si="388"/>
        <v>0</v>
      </c>
      <c r="AL424" s="4"/>
      <c r="AM424" s="43">
        <v>408</v>
      </c>
      <c r="AN424">
        <v>48.198958333333337</v>
      </c>
      <c r="AO424">
        <v>35.699631994554906</v>
      </c>
      <c r="AP424">
        <v>7.3381244025497487</v>
      </c>
      <c r="AQ424">
        <v>240.73973119547986</v>
      </c>
      <c r="AR424">
        <v>34.001903204097005</v>
      </c>
      <c r="AS424">
        <v>338.07618075818874</v>
      </c>
      <c r="AT424">
        <v>27.794773120518304</v>
      </c>
      <c r="AU424">
        <v>32.644929603891015</v>
      </c>
      <c r="AV424"/>
      <c r="AW424"/>
      <c r="FY424" s="211">
        <v>419</v>
      </c>
      <c r="FZ424">
        <v>47.541161139069473</v>
      </c>
      <c r="GA424">
        <v>71.575167828999412</v>
      </c>
      <c r="GB424">
        <v>29.544485692624047</v>
      </c>
      <c r="GC424">
        <v>13.927753393990802</v>
      </c>
      <c r="GD424">
        <v>8.5024447004875725</v>
      </c>
      <c r="GE424">
        <v>12.490567955222623</v>
      </c>
      <c r="GF424">
        <v>30.617600322933583</v>
      </c>
      <c r="GG424">
        <v>23.875417709586777</v>
      </c>
      <c r="GH424">
        <v>14.763483792153346</v>
      </c>
      <c r="GI424">
        <v>27.925782228725009</v>
      </c>
      <c r="GJ424"/>
      <c r="GK424">
        <v>50.966983965902159</v>
      </c>
      <c r="GL424">
        <v>65.591510703916001</v>
      </c>
      <c r="GM424">
        <v>52.340079452640424</v>
      </c>
      <c r="GN424">
        <v>45.997328450686894</v>
      </c>
      <c r="GO424">
        <v>36.998239328645106</v>
      </c>
      <c r="GP424">
        <v>26.800080706045165</v>
      </c>
      <c r="GQ424">
        <v>41.251631447347407</v>
      </c>
      <c r="GR424">
        <v>35.911652749656916</v>
      </c>
      <c r="GS424">
        <v>17.908936689859871</v>
      </c>
      <c r="GT424">
        <v>39.893174176878986</v>
      </c>
      <c r="GU424"/>
      <c r="GV424"/>
      <c r="GW424"/>
      <c r="GX424"/>
      <c r="GY424"/>
      <c r="GZ424"/>
      <c r="HA424"/>
      <c r="HB424"/>
      <c r="HC424"/>
    </row>
    <row r="425" spans="1:211" s="7" customFormat="1">
      <c r="A425" s="4"/>
      <c r="B425" s="48" t="s">
        <v>40</v>
      </c>
      <c r="C425" s="107">
        <f t="shared" si="387"/>
        <v>27.790062551731886</v>
      </c>
      <c r="D425" s="190">
        <f>A$407</f>
        <v>4.03</v>
      </c>
      <c r="E425" s="8"/>
      <c r="F425" s="124"/>
      <c r="G425" s="217">
        <f t="shared" si="389"/>
        <v>0</v>
      </c>
      <c r="H425" s="217">
        <f t="shared" si="388"/>
        <v>0</v>
      </c>
      <c r="I425" s="217">
        <f t="shared" si="388"/>
        <v>0</v>
      </c>
      <c r="J425" s="217">
        <f t="shared" si="388"/>
        <v>27.790062551731886</v>
      </c>
      <c r="K425" s="217">
        <f t="shared" si="388"/>
        <v>0</v>
      </c>
      <c r="L425" s="217">
        <f t="shared" si="388"/>
        <v>0</v>
      </c>
      <c r="M425" s="217">
        <f t="shared" si="388"/>
        <v>0</v>
      </c>
      <c r="N425" s="217">
        <f t="shared" si="388"/>
        <v>0</v>
      </c>
      <c r="O425" s="217">
        <f t="shared" si="388"/>
        <v>0</v>
      </c>
      <c r="P425" s="217">
        <f t="shared" si="388"/>
        <v>0</v>
      </c>
      <c r="Q425" s="217">
        <f t="shared" si="388"/>
        <v>0</v>
      </c>
      <c r="R425" s="217">
        <f t="shared" si="388"/>
        <v>0</v>
      </c>
      <c r="S425" s="217">
        <f t="shared" si="388"/>
        <v>0</v>
      </c>
      <c r="T425" s="217">
        <f t="shared" si="388"/>
        <v>0</v>
      </c>
      <c r="U425" s="217">
        <f t="shared" si="388"/>
        <v>0</v>
      </c>
      <c r="V425" s="217">
        <f t="shared" si="388"/>
        <v>0</v>
      </c>
      <c r="W425" s="217">
        <f t="shared" si="388"/>
        <v>0</v>
      </c>
      <c r="X425" s="217">
        <f t="shared" si="388"/>
        <v>0</v>
      </c>
      <c r="Y425" s="217">
        <f t="shared" si="388"/>
        <v>0</v>
      </c>
      <c r="Z425" s="217">
        <f t="shared" si="388"/>
        <v>0</v>
      </c>
      <c r="AA425" s="217">
        <f t="shared" si="388"/>
        <v>0</v>
      </c>
      <c r="AB425" s="217">
        <f t="shared" si="388"/>
        <v>0</v>
      </c>
      <c r="AC425" s="217">
        <f t="shared" si="388"/>
        <v>0</v>
      </c>
      <c r="AD425" s="217">
        <f t="shared" si="388"/>
        <v>0</v>
      </c>
      <c r="AE425" s="217">
        <f t="shared" si="388"/>
        <v>0</v>
      </c>
      <c r="AF425" s="217">
        <f t="shared" si="388"/>
        <v>0</v>
      </c>
      <c r="AG425" s="217">
        <f t="shared" si="388"/>
        <v>0</v>
      </c>
      <c r="AH425" s="217">
        <f t="shared" si="388"/>
        <v>0</v>
      </c>
      <c r="AI425" s="217">
        <f t="shared" si="388"/>
        <v>0</v>
      </c>
      <c r="AJ425" s="217">
        <f t="shared" si="388"/>
        <v>0</v>
      </c>
      <c r="AK425" s="217">
        <f t="shared" si="388"/>
        <v>0</v>
      </c>
      <c r="AL425" s="4"/>
      <c r="AM425" s="43">
        <v>409</v>
      </c>
      <c r="AN425">
        <v>49.300480769230766</v>
      </c>
      <c r="AO425">
        <v>39.993651397689305</v>
      </c>
      <c r="AP425">
        <v>32.489447082804219</v>
      </c>
      <c r="AQ425">
        <v>285.37734333015203</v>
      </c>
      <c r="AR425">
        <v>38.077363926205607</v>
      </c>
      <c r="AS425">
        <v>353.21162083363794</v>
      </c>
      <c r="AT425">
        <v>29.885817071076204</v>
      </c>
      <c r="AU425">
        <v>27.322468822509222</v>
      </c>
      <c r="AV425"/>
      <c r="AW425"/>
      <c r="FY425" s="211">
        <v>420</v>
      </c>
      <c r="FZ425">
        <v>50.185433337226108</v>
      </c>
      <c r="GA425">
        <v>77.764893995853981</v>
      </c>
      <c r="GB425">
        <v>38.70758712562656</v>
      </c>
      <c r="GC425">
        <v>18.708160596925907</v>
      </c>
      <c r="GD425">
        <v>9.2988962511899622</v>
      </c>
      <c r="GE425">
        <v>11.094425966956619</v>
      </c>
      <c r="GF425">
        <v>28.367857015622736</v>
      </c>
      <c r="GG425">
        <v>22.293169453857484</v>
      </c>
      <c r="GH425">
        <v>10.5212381133015</v>
      </c>
      <c r="GI425">
        <v>29.988224783300364</v>
      </c>
      <c r="GJ425"/>
      <c r="GK425">
        <v>53.702095006182674</v>
      </c>
      <c r="GL425">
        <v>71.061732784477002</v>
      </c>
      <c r="GM425">
        <v>68.573141081318184</v>
      </c>
      <c r="GN425">
        <v>61.763217315534334</v>
      </c>
      <c r="GO425">
        <v>40.438368050929796</v>
      </c>
      <c r="GP425">
        <v>23.804482900023672</v>
      </c>
      <c r="GQ425">
        <v>38.220512718724869</v>
      </c>
      <c r="GR425">
        <v>33.531750935386867</v>
      </c>
      <c r="GS425">
        <v>12.471039682433428</v>
      </c>
      <c r="GT425">
        <v>42.681031307917785</v>
      </c>
      <c r="GU425"/>
      <c r="GV425"/>
      <c r="GW425"/>
      <c r="GX425"/>
      <c r="GY425"/>
      <c r="GZ425"/>
      <c r="HA425"/>
      <c r="HB425"/>
      <c r="HC425"/>
    </row>
    <row r="426" spans="1:211" s="7" customFormat="1">
      <c r="A426" s="128" t="s">
        <v>92</v>
      </c>
      <c r="B426" s="48" t="s">
        <v>41</v>
      </c>
      <c r="C426" s="107">
        <f t="shared" si="387"/>
        <v>15.15205436331898</v>
      </c>
      <c r="D426" s="190">
        <f>A$408</f>
        <v>0.78</v>
      </c>
      <c r="E426" s="8"/>
      <c r="F426" s="124"/>
      <c r="G426" s="217">
        <f t="shared" si="389"/>
        <v>0</v>
      </c>
      <c r="H426" s="217">
        <f t="shared" si="388"/>
        <v>0</v>
      </c>
      <c r="I426" s="217">
        <f t="shared" si="388"/>
        <v>2.163502547652172E-2</v>
      </c>
      <c r="J426" s="217">
        <f t="shared" si="388"/>
        <v>15.130419337842458</v>
      </c>
      <c r="K426" s="217">
        <f t="shared" si="388"/>
        <v>0</v>
      </c>
      <c r="L426" s="217">
        <f t="shared" si="388"/>
        <v>0</v>
      </c>
      <c r="M426" s="217">
        <f t="shared" si="388"/>
        <v>0</v>
      </c>
      <c r="N426" s="217">
        <f t="shared" si="388"/>
        <v>0</v>
      </c>
      <c r="O426" s="217">
        <f t="shared" si="388"/>
        <v>0</v>
      </c>
      <c r="P426" s="217">
        <f t="shared" si="388"/>
        <v>0</v>
      </c>
      <c r="Q426" s="217">
        <f t="shared" si="388"/>
        <v>0</v>
      </c>
      <c r="R426" s="217">
        <f t="shared" si="388"/>
        <v>0</v>
      </c>
      <c r="S426" s="217">
        <f t="shared" si="388"/>
        <v>0</v>
      </c>
      <c r="T426" s="217">
        <f t="shared" si="388"/>
        <v>0</v>
      </c>
      <c r="U426" s="217">
        <f t="shared" si="388"/>
        <v>0</v>
      </c>
      <c r="V426" s="217">
        <f t="shared" si="388"/>
        <v>0</v>
      </c>
      <c r="W426" s="217">
        <f t="shared" si="388"/>
        <v>0</v>
      </c>
      <c r="X426" s="217">
        <f t="shared" si="388"/>
        <v>0</v>
      </c>
      <c r="Y426" s="217">
        <f t="shared" si="388"/>
        <v>0</v>
      </c>
      <c r="Z426" s="217">
        <f t="shared" si="388"/>
        <v>0</v>
      </c>
      <c r="AA426" s="217">
        <f t="shared" si="388"/>
        <v>0</v>
      </c>
      <c r="AB426" s="217">
        <f t="shared" si="388"/>
        <v>0</v>
      </c>
      <c r="AC426" s="217">
        <f t="shared" si="388"/>
        <v>0</v>
      </c>
      <c r="AD426" s="217">
        <f t="shared" si="388"/>
        <v>0</v>
      </c>
      <c r="AE426" s="217">
        <f t="shared" si="388"/>
        <v>0</v>
      </c>
      <c r="AF426" s="217">
        <f t="shared" si="388"/>
        <v>0</v>
      </c>
      <c r="AG426" s="217">
        <f t="shared" si="388"/>
        <v>0</v>
      </c>
      <c r="AH426" s="217">
        <f t="shared" si="388"/>
        <v>0</v>
      </c>
      <c r="AI426" s="217">
        <f t="shared" si="388"/>
        <v>0</v>
      </c>
      <c r="AJ426" s="217">
        <f t="shared" si="388"/>
        <v>0</v>
      </c>
      <c r="AK426" s="217">
        <f t="shared" si="388"/>
        <v>0</v>
      </c>
      <c r="AL426" s="4"/>
      <c r="AM426" s="43">
        <v>410</v>
      </c>
      <c r="AN426">
        <v>56.023771367521377</v>
      </c>
      <c r="AO426">
        <v>43.267764909381796</v>
      </c>
      <c r="AP426">
        <v>19.922221307891014</v>
      </c>
      <c r="AQ426">
        <v>288.93025521519019</v>
      </c>
      <c r="AR426">
        <v>41.870811974841011</v>
      </c>
      <c r="AS426">
        <v>406.81437545623834</v>
      </c>
      <c r="AT426">
        <v>33.657556500496689</v>
      </c>
      <c r="AU426">
        <v>22.289348573983993</v>
      </c>
      <c r="AV426"/>
      <c r="AW426"/>
      <c r="FY426" s="211">
        <v>421</v>
      </c>
      <c r="FZ426">
        <v>32.646525125057757</v>
      </c>
      <c r="GA426">
        <v>51.728425822998794</v>
      </c>
      <c r="GB426">
        <v>27.649708700460522</v>
      </c>
      <c r="GC426">
        <v>14.271677256877402</v>
      </c>
      <c r="GD426">
        <v>7.4770309651940767</v>
      </c>
      <c r="GE426">
        <v>11.897557813049438</v>
      </c>
      <c r="GF426">
        <v>33.420991397277966</v>
      </c>
      <c r="GG426">
        <v>26.473138726455769</v>
      </c>
      <c r="GH426">
        <v>18.656896557980211</v>
      </c>
      <c r="GI426">
        <v>25.850657258570312</v>
      </c>
      <c r="GJ426"/>
      <c r="GK426">
        <v>33.762234858605503</v>
      </c>
      <c r="GL426">
        <v>45.715427387545461</v>
      </c>
      <c r="GM426">
        <v>48.983352266841649</v>
      </c>
      <c r="GN426">
        <v>47.121734263596323</v>
      </c>
      <c r="GO426">
        <v>32.522635074566658</v>
      </c>
      <c r="GP426">
        <v>25.527703042617976</v>
      </c>
      <c r="GQ426">
        <v>45.028689550591913</v>
      </c>
      <c r="GR426">
        <v>39.818954235771919</v>
      </c>
      <c r="GS426">
        <v>22.956103548674808</v>
      </c>
      <c r="GT426">
        <v>36.650603059856095</v>
      </c>
      <c r="GU426"/>
      <c r="GV426"/>
      <c r="GW426"/>
      <c r="GX426"/>
      <c r="GY426"/>
      <c r="GZ426"/>
      <c r="HA426"/>
      <c r="HB426"/>
      <c r="HC426"/>
    </row>
    <row r="427" spans="1:211" s="7" customFormat="1">
      <c r="A427" s="128" t="s">
        <v>93</v>
      </c>
      <c r="B427" s="48" t="s">
        <v>42</v>
      </c>
      <c r="C427" s="107">
        <f t="shared" si="387"/>
        <v>10.325451161837179</v>
      </c>
      <c r="D427" s="190">
        <f>A$409</f>
        <v>0.14000000000000001</v>
      </c>
      <c r="E427" s="8"/>
      <c r="F427" s="124"/>
      <c r="G427" s="217">
        <f t="shared" si="389"/>
        <v>0</v>
      </c>
      <c r="H427" s="217">
        <f t="shared" si="388"/>
        <v>0</v>
      </c>
      <c r="I427" s="217">
        <f t="shared" si="388"/>
        <v>1.6647778472786551E-2</v>
      </c>
      <c r="J427" s="217">
        <f t="shared" si="388"/>
        <v>10.308803383364392</v>
      </c>
      <c r="K427" s="217">
        <f t="shared" si="388"/>
        <v>0</v>
      </c>
      <c r="L427" s="217">
        <f t="shared" si="388"/>
        <v>0</v>
      </c>
      <c r="M427" s="217">
        <f t="shared" si="388"/>
        <v>0</v>
      </c>
      <c r="N427" s="217">
        <f t="shared" si="388"/>
        <v>0</v>
      </c>
      <c r="O427" s="217">
        <f t="shared" si="388"/>
        <v>0</v>
      </c>
      <c r="P427" s="217">
        <f t="shared" si="388"/>
        <v>0</v>
      </c>
      <c r="Q427" s="217">
        <f t="shared" si="388"/>
        <v>0</v>
      </c>
      <c r="R427" s="217">
        <f t="shared" si="388"/>
        <v>0</v>
      </c>
      <c r="S427" s="217">
        <f t="shared" si="388"/>
        <v>0</v>
      </c>
      <c r="T427" s="217">
        <f t="shared" si="388"/>
        <v>0</v>
      </c>
      <c r="U427" s="217">
        <f t="shared" si="388"/>
        <v>0</v>
      </c>
      <c r="V427" s="217">
        <f t="shared" si="388"/>
        <v>0</v>
      </c>
      <c r="W427" s="217">
        <f t="shared" si="388"/>
        <v>0</v>
      </c>
      <c r="X427" s="217">
        <f t="shared" si="388"/>
        <v>0</v>
      </c>
      <c r="Y427" s="217">
        <f t="shared" si="388"/>
        <v>0</v>
      </c>
      <c r="Z427" s="217">
        <f t="shared" si="388"/>
        <v>0</v>
      </c>
      <c r="AA427" s="217">
        <f t="shared" si="388"/>
        <v>0</v>
      </c>
      <c r="AB427" s="217">
        <f t="shared" si="388"/>
        <v>0</v>
      </c>
      <c r="AC427" s="217">
        <f t="shared" si="388"/>
        <v>0</v>
      </c>
      <c r="AD427" s="217">
        <f t="shared" si="388"/>
        <v>0</v>
      </c>
      <c r="AE427" s="217">
        <f t="shared" si="388"/>
        <v>0</v>
      </c>
      <c r="AF427" s="217">
        <f t="shared" si="388"/>
        <v>0</v>
      </c>
      <c r="AG427" s="217">
        <f t="shared" si="388"/>
        <v>0</v>
      </c>
      <c r="AH427" s="217">
        <f t="shared" si="388"/>
        <v>0</v>
      </c>
      <c r="AI427" s="217">
        <f t="shared" si="388"/>
        <v>0</v>
      </c>
      <c r="AJ427" s="217">
        <f t="shared" si="388"/>
        <v>0</v>
      </c>
      <c r="AK427" s="217">
        <f t="shared" si="388"/>
        <v>0</v>
      </c>
      <c r="AL427" s="4"/>
      <c r="AM427" s="43">
        <v>411</v>
      </c>
      <c r="AN427">
        <v>48.092013888888879</v>
      </c>
      <c r="AO427">
        <v>35.432804369542424</v>
      </c>
      <c r="AP427">
        <v>6.1899093452590357</v>
      </c>
      <c r="AQ427">
        <v>241.06156383707514</v>
      </c>
      <c r="AR427">
        <v>33.963761330890982</v>
      </c>
      <c r="AS427">
        <v>331.58198882950387</v>
      </c>
      <c r="AT427">
        <v>27.672362845541183</v>
      </c>
      <c r="AU427">
        <v>23.144777144557665</v>
      </c>
      <c r="AV427"/>
      <c r="AW427"/>
      <c r="FY427" s="211">
        <v>422</v>
      </c>
      <c r="FZ427">
        <v>34.157537809718676</v>
      </c>
      <c r="GA427">
        <v>53.054795715896198</v>
      </c>
      <c r="GB427">
        <v>20.050550181624736</v>
      </c>
      <c r="GC427">
        <v>13.726523353863531</v>
      </c>
      <c r="GD427">
        <v>9.1617297842694203</v>
      </c>
      <c r="GE427">
        <v>12.429866129645839</v>
      </c>
      <c r="GF427">
        <v>40.38113475427091</v>
      </c>
      <c r="GG427">
        <v>31.149036556819944</v>
      </c>
      <c r="GH427">
        <v>10.870071026326483</v>
      </c>
      <c r="GI427">
        <v>25.254974724313673</v>
      </c>
      <c r="GJ427"/>
      <c r="GK427">
        <v>35.325155453051501</v>
      </c>
      <c r="GL427">
        <v>46.887617833379956</v>
      </c>
      <c r="GM427">
        <v>35.52092260104542</v>
      </c>
      <c r="GN427">
        <v>45.336537546467639</v>
      </c>
      <c r="GO427">
        <v>39.871780223229884</v>
      </c>
      <c r="GP427">
        <v>26.669837323174661</v>
      </c>
      <c r="GQ427">
        <v>54.406213117267903</v>
      </c>
      <c r="GR427">
        <v>46.852096910778911</v>
      </c>
      <c r="GS427">
        <v>12.861769831044931</v>
      </c>
      <c r="GT427">
        <v>35.597168245127925</v>
      </c>
      <c r="GU427"/>
      <c r="GV427"/>
      <c r="GW427"/>
      <c r="GX427"/>
      <c r="GY427"/>
      <c r="GZ427"/>
      <c r="HA427"/>
      <c r="HB427"/>
      <c r="HC427"/>
    </row>
    <row r="428" spans="1:211" s="7" customFormat="1">
      <c r="A428" s="138" t="s">
        <v>95</v>
      </c>
      <c r="B428" s="48" t="s">
        <v>118</v>
      </c>
      <c r="C428" s="107">
        <f t="shared" si="387"/>
        <v>10.973022315803053</v>
      </c>
      <c r="D428" s="190">
        <f>A$410</f>
        <v>0.21</v>
      </c>
      <c r="E428" s="8"/>
      <c r="F428" s="124"/>
      <c r="G428" s="217">
        <f t="shared" si="389"/>
        <v>0</v>
      </c>
      <c r="H428" s="217">
        <f t="shared" si="388"/>
        <v>0</v>
      </c>
      <c r="I428" s="217">
        <f t="shared" si="388"/>
        <v>0</v>
      </c>
      <c r="J428" s="217">
        <f t="shared" si="388"/>
        <v>10.973022315803053</v>
      </c>
      <c r="K428" s="217">
        <f t="shared" si="388"/>
        <v>0</v>
      </c>
      <c r="L428" s="217">
        <f t="shared" si="388"/>
        <v>0</v>
      </c>
      <c r="M428" s="217">
        <f t="shared" si="388"/>
        <v>0</v>
      </c>
      <c r="N428" s="217">
        <f t="shared" si="388"/>
        <v>0</v>
      </c>
      <c r="O428" s="217">
        <f t="shared" si="388"/>
        <v>0</v>
      </c>
      <c r="P428" s="217">
        <f t="shared" si="388"/>
        <v>0</v>
      </c>
      <c r="Q428" s="217">
        <f t="shared" si="388"/>
        <v>0</v>
      </c>
      <c r="R428" s="217">
        <f t="shared" si="388"/>
        <v>0</v>
      </c>
      <c r="S428" s="217">
        <f t="shared" si="388"/>
        <v>0</v>
      </c>
      <c r="T428" s="217">
        <f t="shared" si="388"/>
        <v>0</v>
      </c>
      <c r="U428" s="217">
        <f t="shared" si="388"/>
        <v>0</v>
      </c>
      <c r="V428" s="217">
        <f t="shared" si="388"/>
        <v>0</v>
      </c>
      <c r="W428" s="217">
        <f t="shared" si="388"/>
        <v>0</v>
      </c>
      <c r="X428" s="217">
        <f t="shared" si="388"/>
        <v>0</v>
      </c>
      <c r="Y428" s="217">
        <f t="shared" si="388"/>
        <v>0</v>
      </c>
      <c r="Z428" s="217">
        <f t="shared" si="388"/>
        <v>0</v>
      </c>
      <c r="AA428" s="217">
        <f t="shared" si="388"/>
        <v>0</v>
      </c>
      <c r="AB428" s="217">
        <f t="shared" si="388"/>
        <v>0</v>
      </c>
      <c r="AC428" s="217">
        <f t="shared" si="388"/>
        <v>0</v>
      </c>
      <c r="AD428" s="217">
        <f t="shared" si="388"/>
        <v>0</v>
      </c>
      <c r="AE428" s="217">
        <f t="shared" si="388"/>
        <v>0</v>
      </c>
      <c r="AF428" s="217">
        <f t="shared" si="388"/>
        <v>0</v>
      </c>
      <c r="AG428" s="217">
        <f t="shared" si="388"/>
        <v>0</v>
      </c>
      <c r="AH428" s="217">
        <f t="shared" si="388"/>
        <v>0</v>
      </c>
      <c r="AI428" s="217">
        <f t="shared" si="388"/>
        <v>0</v>
      </c>
      <c r="AJ428" s="217">
        <f t="shared" si="388"/>
        <v>0</v>
      </c>
      <c r="AK428" s="217">
        <f t="shared" si="388"/>
        <v>0</v>
      </c>
      <c r="AL428" s="4"/>
      <c r="AM428" s="43">
        <v>412</v>
      </c>
      <c r="AN428">
        <v>50.386324786324778</v>
      </c>
      <c r="AO428">
        <v>39.196432218221574</v>
      </c>
      <c r="AP428">
        <v>20.158251342528185</v>
      </c>
      <c r="AQ428">
        <v>249.2030750198843</v>
      </c>
      <c r="AR428">
        <v>37.246056449795454</v>
      </c>
      <c r="AS428">
        <v>351.81349078012192</v>
      </c>
      <c r="AT428">
        <v>29.957132138864392</v>
      </c>
      <c r="AU428">
        <v>30.704549140916512</v>
      </c>
      <c r="AV428"/>
      <c r="AW428"/>
      <c r="FY428" s="211">
        <v>423</v>
      </c>
      <c r="FZ428">
        <v>45.361842418605036</v>
      </c>
      <c r="GA428">
        <v>77.941743314906944</v>
      </c>
      <c r="GB428">
        <v>24.040609667768059</v>
      </c>
      <c r="GC428">
        <v>9.7929660940685448</v>
      </c>
      <c r="GD428">
        <v>7.4260333359735942</v>
      </c>
      <c r="GE428">
        <v>7.6344219090799985</v>
      </c>
      <c r="GF428">
        <v>20.0104121513547</v>
      </c>
      <c r="GG428">
        <v>18.184047118082908</v>
      </c>
      <c r="GH428">
        <v>12.32165340097848</v>
      </c>
      <c r="GI428">
        <v>23.124727965348306</v>
      </c>
      <c r="GJ428"/>
      <c r="GK428">
        <v>48.715118302471154</v>
      </c>
      <c r="GL428">
        <v>71.218024843921597</v>
      </c>
      <c r="GM428">
        <v>42.589586198653457</v>
      </c>
      <c r="GN428">
        <v>32.317738668598487</v>
      </c>
      <c r="GO428">
        <v>32.287682503320681</v>
      </c>
      <c r="GP428">
        <v>16.38061007640518</v>
      </c>
      <c r="GQ428">
        <v>26.960380254193474</v>
      </c>
      <c r="GR428">
        <v>27.351110402804977</v>
      </c>
      <c r="GS428">
        <v>15.173825649579371</v>
      </c>
      <c r="GT428">
        <v>33.145318581643629</v>
      </c>
      <c r="GU428"/>
      <c r="GV428"/>
      <c r="GW428"/>
      <c r="GX428"/>
      <c r="GY428"/>
      <c r="GZ428"/>
      <c r="HA428"/>
      <c r="HB428"/>
      <c r="HC428"/>
    </row>
    <row r="429" spans="1:211" s="7" customFormat="1">
      <c r="A429" s="138" t="s">
        <v>94</v>
      </c>
      <c r="B429" s="48" t="s">
        <v>119</v>
      </c>
      <c r="C429" s="107">
        <f t="shared" si="387"/>
        <v>12.566925505681695</v>
      </c>
      <c r="D429" s="190">
        <f>A$411</f>
        <v>1.28</v>
      </c>
      <c r="E429" s="8"/>
      <c r="F429" s="124"/>
      <c r="G429" s="217">
        <f t="shared" si="389"/>
        <v>0</v>
      </c>
      <c r="H429" s="217">
        <f t="shared" si="388"/>
        <v>0</v>
      </c>
      <c r="I429" s="217">
        <f t="shared" si="388"/>
        <v>0</v>
      </c>
      <c r="J429" s="217">
        <f t="shared" si="388"/>
        <v>12.566925505681695</v>
      </c>
      <c r="K429" s="217">
        <f t="shared" si="388"/>
        <v>0</v>
      </c>
      <c r="L429" s="217">
        <f t="shared" si="388"/>
        <v>0</v>
      </c>
      <c r="M429" s="217">
        <f t="shared" si="388"/>
        <v>0</v>
      </c>
      <c r="N429" s="217">
        <f t="shared" si="388"/>
        <v>0</v>
      </c>
      <c r="O429" s="217">
        <f t="shared" si="388"/>
        <v>0</v>
      </c>
      <c r="P429" s="217">
        <f t="shared" si="388"/>
        <v>0</v>
      </c>
      <c r="Q429" s="217">
        <f t="shared" si="388"/>
        <v>0</v>
      </c>
      <c r="R429" s="217">
        <f t="shared" si="388"/>
        <v>0</v>
      </c>
      <c r="S429" s="217">
        <f t="shared" si="388"/>
        <v>0</v>
      </c>
      <c r="T429" s="217">
        <f t="shared" si="388"/>
        <v>0</v>
      </c>
      <c r="U429" s="217">
        <f t="shared" si="388"/>
        <v>0</v>
      </c>
      <c r="V429" s="217">
        <f t="shared" si="388"/>
        <v>0</v>
      </c>
      <c r="W429" s="217">
        <f t="shared" si="388"/>
        <v>0</v>
      </c>
      <c r="X429" s="217">
        <f t="shared" si="388"/>
        <v>0</v>
      </c>
      <c r="Y429" s="217">
        <f t="shared" si="388"/>
        <v>0</v>
      </c>
      <c r="Z429" s="217">
        <f t="shared" si="388"/>
        <v>0</v>
      </c>
      <c r="AA429" s="217">
        <f t="shared" si="388"/>
        <v>0</v>
      </c>
      <c r="AB429" s="217">
        <f t="shared" si="388"/>
        <v>0</v>
      </c>
      <c r="AC429" s="217">
        <f t="shared" si="388"/>
        <v>0</v>
      </c>
      <c r="AD429" s="217">
        <f t="shared" si="388"/>
        <v>0</v>
      </c>
      <c r="AE429" s="217">
        <f t="shared" si="388"/>
        <v>0</v>
      </c>
      <c r="AF429" s="217">
        <f t="shared" si="388"/>
        <v>0</v>
      </c>
      <c r="AG429" s="217">
        <f t="shared" si="388"/>
        <v>0</v>
      </c>
      <c r="AH429" s="217">
        <f t="shared" si="388"/>
        <v>0</v>
      </c>
      <c r="AI429" s="217">
        <f t="shared" si="388"/>
        <v>0</v>
      </c>
      <c r="AJ429" s="217">
        <f t="shared" si="388"/>
        <v>0</v>
      </c>
      <c r="AK429" s="217">
        <f t="shared" si="388"/>
        <v>0</v>
      </c>
      <c r="AL429" s="4"/>
      <c r="AM429" s="43">
        <v>413</v>
      </c>
      <c r="AN429">
        <v>45.9045138888889</v>
      </c>
      <c r="AO429">
        <v>35.533642548792976</v>
      </c>
      <c r="AP429">
        <v>29.587929472934555</v>
      </c>
      <c r="AQ429">
        <v>229.01348315696762</v>
      </c>
      <c r="AR429">
        <v>33.750199137753462</v>
      </c>
      <c r="AS429">
        <v>301.13093891764936</v>
      </c>
      <c r="AT429">
        <v>26.458971706471505</v>
      </c>
      <c r="AU429">
        <v>22.960394455052505</v>
      </c>
      <c r="AV429"/>
      <c r="AW429"/>
      <c r="FY429" s="211">
        <v>424</v>
      </c>
      <c r="FZ429">
        <v>47.785115314532227</v>
      </c>
      <c r="GA429">
        <v>67.065510193148228</v>
      </c>
      <c r="GB429">
        <v>22.707248080690018</v>
      </c>
      <c r="GC429">
        <v>12.909834727535431</v>
      </c>
      <c r="GD429">
        <v>8.4485171259309588</v>
      </c>
      <c r="GE429">
        <v>12.611971606376191</v>
      </c>
      <c r="GF429">
        <v>28.517254032123855</v>
      </c>
      <c r="GG429">
        <v>18.443819219769807</v>
      </c>
      <c r="GH429">
        <v>8.7770735481765954</v>
      </c>
      <c r="GI429">
        <v>24.826129063588347</v>
      </c>
      <c r="GJ429"/>
      <c r="GK429">
        <v>51.207722092212919</v>
      </c>
      <c r="GL429">
        <v>61.606063188078707</v>
      </c>
      <c r="GM429">
        <v>40.227444845683941</v>
      </c>
      <c r="GN429">
        <v>42.623783590128035</v>
      </c>
      <c r="GO429">
        <v>36.750535656978258</v>
      </c>
      <c r="GP429">
        <v>27.060567471786168</v>
      </c>
      <c r="GQ429">
        <v>38.421797946797469</v>
      </c>
      <c r="GR429">
        <v>27.741840551416473</v>
      </c>
      <c r="GS429">
        <v>10.51738893937593</v>
      </c>
      <c r="GT429">
        <v>35.424977896209704</v>
      </c>
      <c r="GU429"/>
      <c r="GV429"/>
      <c r="GW429"/>
      <c r="GX429"/>
      <c r="GY429"/>
      <c r="GZ429"/>
      <c r="HA429"/>
      <c r="HB429"/>
      <c r="HC429"/>
    </row>
    <row r="430" spans="1:211" s="7" customFormat="1">
      <c r="A430" s="128" t="s">
        <v>18</v>
      </c>
      <c r="B430" s="48" t="s">
        <v>120</v>
      </c>
      <c r="C430" s="107">
        <f t="shared" si="387"/>
        <v>12.469060880971139</v>
      </c>
      <c r="D430" s="190">
        <f>A$412</f>
        <v>4</v>
      </c>
      <c r="E430" s="8"/>
      <c r="F430" s="124"/>
      <c r="G430" s="217">
        <f t="shared" si="389"/>
        <v>0</v>
      </c>
      <c r="H430" s="217">
        <f t="shared" si="388"/>
        <v>0</v>
      </c>
      <c r="I430" s="217">
        <f t="shared" si="388"/>
        <v>0</v>
      </c>
      <c r="J430" s="217">
        <f t="shared" si="388"/>
        <v>12.469060880971139</v>
      </c>
      <c r="K430" s="217">
        <f t="shared" si="388"/>
        <v>0</v>
      </c>
      <c r="L430" s="217">
        <f t="shared" si="388"/>
        <v>0</v>
      </c>
      <c r="M430" s="217">
        <f t="shared" si="388"/>
        <v>0</v>
      </c>
      <c r="N430" s="217">
        <f t="shared" si="388"/>
        <v>0</v>
      </c>
      <c r="O430" s="217">
        <f t="shared" si="388"/>
        <v>0</v>
      </c>
      <c r="P430" s="217">
        <f t="shared" si="388"/>
        <v>0</v>
      </c>
      <c r="Q430" s="217">
        <f t="shared" si="388"/>
        <v>0</v>
      </c>
      <c r="R430" s="217">
        <f t="shared" si="388"/>
        <v>0</v>
      </c>
      <c r="S430" s="217">
        <f t="shared" si="388"/>
        <v>0</v>
      </c>
      <c r="T430" s="217">
        <f t="shared" si="388"/>
        <v>0</v>
      </c>
      <c r="U430" s="217">
        <f t="shared" si="388"/>
        <v>0</v>
      </c>
      <c r="V430" s="217">
        <f t="shared" si="388"/>
        <v>0</v>
      </c>
      <c r="W430" s="217">
        <f t="shared" si="388"/>
        <v>0</v>
      </c>
      <c r="X430" s="217">
        <f t="shared" si="388"/>
        <v>0</v>
      </c>
      <c r="Y430" s="217">
        <f t="shared" si="388"/>
        <v>0</v>
      </c>
      <c r="Z430" s="217">
        <f t="shared" si="388"/>
        <v>0</v>
      </c>
      <c r="AA430" s="217">
        <f t="shared" si="388"/>
        <v>0</v>
      </c>
      <c r="AB430" s="217">
        <f t="shared" si="388"/>
        <v>0</v>
      </c>
      <c r="AC430" s="217">
        <f t="shared" si="388"/>
        <v>0</v>
      </c>
      <c r="AD430" s="217">
        <f t="shared" si="388"/>
        <v>0</v>
      </c>
      <c r="AE430" s="217">
        <f t="shared" si="388"/>
        <v>0</v>
      </c>
      <c r="AF430" s="217">
        <f t="shared" si="388"/>
        <v>0</v>
      </c>
      <c r="AG430" s="217">
        <f t="shared" si="388"/>
        <v>0</v>
      </c>
      <c r="AH430" s="217">
        <f t="shared" si="388"/>
        <v>0</v>
      </c>
      <c r="AI430" s="217">
        <f t="shared" si="388"/>
        <v>0</v>
      </c>
      <c r="AJ430" s="217">
        <f t="shared" si="388"/>
        <v>0</v>
      </c>
      <c r="AK430" s="217">
        <f t="shared" si="388"/>
        <v>0</v>
      </c>
      <c r="AL430" s="4"/>
      <c r="AM430" s="43">
        <v>414</v>
      </c>
      <c r="AN430">
        <v>48.384588675213685</v>
      </c>
      <c r="AO430">
        <v>35.538365542547389</v>
      </c>
      <c r="AP430">
        <v>17.198708988245343</v>
      </c>
      <c r="AQ430">
        <v>245.60602325886109</v>
      </c>
      <c r="AR430">
        <v>34.115499888195842</v>
      </c>
      <c r="AS430">
        <v>324.84403581052862</v>
      </c>
      <c r="AT430">
        <v>27.308967958765951</v>
      </c>
      <c r="AU430">
        <v>33.794840663954972</v>
      </c>
      <c r="AV430"/>
      <c r="AW430"/>
      <c r="FY430" s="211">
        <v>425</v>
      </c>
      <c r="FZ430">
        <v>47.740882428238706</v>
      </c>
      <c r="GA430">
        <v>79.258925092409967</v>
      </c>
      <c r="GB430">
        <v>30.216179123708482</v>
      </c>
      <c r="GC430">
        <v>16.785320106617334</v>
      </c>
      <c r="GD430">
        <v>10.929485847851998</v>
      </c>
      <c r="GE430">
        <v>12.233752539320852</v>
      </c>
      <c r="GF430">
        <v>17.760668844043856</v>
      </c>
      <c r="GG430">
        <v>10.627040523554944</v>
      </c>
      <c r="GH430">
        <v>9.4747393742265569</v>
      </c>
      <c r="GI430">
        <v>26.192399014915623</v>
      </c>
      <c r="GJ430"/>
      <c r="GK430">
        <v>54.783196106329058</v>
      </c>
      <c r="GL430">
        <v>77.05481457718453</v>
      </c>
      <c r="GM430">
        <v>53.530030359775452</v>
      </c>
      <c r="GN430">
        <v>55.4354197443621</v>
      </c>
      <c r="GO430">
        <v>47.56070444157649</v>
      </c>
      <c r="GP430">
        <v>26.24905100928536</v>
      </c>
      <c r="GQ430">
        <v>23.929261525570933</v>
      </c>
      <c r="GR430">
        <v>15.984415170470438</v>
      </c>
      <c r="GS430">
        <v>11.298849236598929</v>
      </c>
      <c r="GT430">
        <v>38.22040833397017</v>
      </c>
      <c r="GU430"/>
      <c r="GV430"/>
      <c r="GW430"/>
      <c r="GX430"/>
      <c r="GY430"/>
      <c r="GZ430"/>
      <c r="HA430"/>
      <c r="HB430"/>
      <c r="HC430"/>
    </row>
    <row r="431" spans="1:211" s="7" customFormat="1">
      <c r="A431" s="128" t="s">
        <v>17</v>
      </c>
      <c r="B431" s="48" t="s">
        <v>121</v>
      </c>
      <c r="C431" s="107">
        <f t="shared" si="387"/>
        <v>15.056065982626254</v>
      </c>
      <c r="D431" s="190">
        <f>A$413</f>
        <v>7.33</v>
      </c>
      <c r="E431" s="8"/>
      <c r="F431" s="124"/>
      <c r="G431" s="217">
        <f t="shared" si="389"/>
        <v>0</v>
      </c>
      <c r="H431" s="217">
        <f t="shared" si="388"/>
        <v>0</v>
      </c>
      <c r="I431" s="217">
        <f t="shared" si="388"/>
        <v>0</v>
      </c>
      <c r="J431" s="217">
        <f t="shared" si="388"/>
        <v>13.604483607974258</v>
      </c>
      <c r="K431" s="217">
        <f t="shared" si="388"/>
        <v>1.4515823746519965</v>
      </c>
      <c r="L431" s="217">
        <f t="shared" si="388"/>
        <v>0</v>
      </c>
      <c r="M431" s="217">
        <f t="shared" si="388"/>
        <v>0</v>
      </c>
      <c r="N431" s="217">
        <f t="shared" si="388"/>
        <v>0</v>
      </c>
      <c r="O431" s="217">
        <f t="shared" si="388"/>
        <v>0</v>
      </c>
      <c r="P431" s="217">
        <f t="shared" si="388"/>
        <v>0</v>
      </c>
      <c r="Q431" s="217">
        <f t="shared" si="388"/>
        <v>0</v>
      </c>
      <c r="R431" s="217">
        <f t="shared" si="388"/>
        <v>0</v>
      </c>
      <c r="S431" s="217">
        <f t="shared" si="388"/>
        <v>0</v>
      </c>
      <c r="T431" s="217">
        <f t="shared" si="388"/>
        <v>0</v>
      </c>
      <c r="U431" s="217">
        <f t="shared" si="388"/>
        <v>0</v>
      </c>
      <c r="V431" s="217">
        <f t="shared" si="388"/>
        <v>0</v>
      </c>
      <c r="W431" s="217">
        <f t="shared" si="388"/>
        <v>0</v>
      </c>
      <c r="X431" s="217">
        <f t="shared" si="388"/>
        <v>0</v>
      </c>
      <c r="Y431" s="217">
        <f t="shared" si="388"/>
        <v>0</v>
      </c>
      <c r="Z431" s="217">
        <f t="shared" si="388"/>
        <v>0</v>
      </c>
      <c r="AA431" s="217">
        <f t="shared" si="388"/>
        <v>0</v>
      </c>
      <c r="AB431" s="217">
        <f t="shared" si="388"/>
        <v>0</v>
      </c>
      <c r="AC431" s="217">
        <f t="shared" si="388"/>
        <v>0</v>
      </c>
      <c r="AD431" s="217">
        <f t="shared" si="388"/>
        <v>0</v>
      </c>
      <c r="AE431" s="217">
        <f t="shared" si="388"/>
        <v>0</v>
      </c>
      <c r="AF431" s="217">
        <f t="shared" si="388"/>
        <v>0</v>
      </c>
      <c r="AG431" s="217">
        <f t="shared" si="388"/>
        <v>0</v>
      </c>
      <c r="AH431" s="217">
        <f t="shared" si="388"/>
        <v>0</v>
      </c>
      <c r="AI431" s="217">
        <f t="shared" si="388"/>
        <v>0</v>
      </c>
      <c r="AJ431" s="217">
        <f t="shared" si="388"/>
        <v>0</v>
      </c>
      <c r="AK431" s="217">
        <f t="shared" si="388"/>
        <v>0</v>
      </c>
      <c r="AL431" s="4"/>
      <c r="AM431" s="43">
        <v>415</v>
      </c>
      <c r="AN431">
        <v>55.189102564102562</v>
      </c>
      <c r="AO431">
        <v>42.82999324312275</v>
      </c>
      <c r="AP431">
        <v>36.071768245508196</v>
      </c>
      <c r="AQ431">
        <v>296.03234650685505</v>
      </c>
      <c r="AR431">
        <v>41.638033605897334</v>
      </c>
      <c r="AS431">
        <v>381.18332150084882</v>
      </c>
      <c r="AT431">
        <v>32.892999560332889</v>
      </c>
      <c r="AU431">
        <v>32.560039235758822</v>
      </c>
      <c r="AV431"/>
      <c r="AW431"/>
      <c r="FY431" s="211">
        <v>426</v>
      </c>
      <c r="FZ431">
        <v>42.69475947805288</v>
      </c>
      <c r="GA431">
        <v>67.910138516347146</v>
      </c>
      <c r="GB431">
        <v>25.243642678665541</v>
      </c>
      <c r="GC431">
        <v>12.312888573283281</v>
      </c>
      <c r="GD431">
        <v>8.4960714798907642</v>
      </c>
      <c r="GE431">
        <v>11.411943208435174</v>
      </c>
      <c r="GF431">
        <v>30.063952555900055</v>
      </c>
      <c r="GG431">
        <v>18.443819219769807</v>
      </c>
      <c r="GH431">
        <v>7.7868255316537258</v>
      </c>
      <c r="GI431">
        <v>24.957955087434733</v>
      </c>
      <c r="GJ431"/>
      <c r="GK431">
        <v>44.155656811671385</v>
      </c>
      <c r="GL431">
        <v>60.016150826726346</v>
      </c>
      <c r="GM431">
        <v>44.720841554716181</v>
      </c>
      <c r="GN431">
        <v>40.656004892767754</v>
      </c>
      <c r="GO431">
        <v>36.961828942259032</v>
      </c>
      <c r="GP431">
        <v>24.485755979653973</v>
      </c>
      <c r="GQ431">
        <v>40.505692072725459</v>
      </c>
      <c r="GR431">
        <v>27.741840551416477</v>
      </c>
      <c r="GS431">
        <v>10.094333717629876</v>
      </c>
      <c r="GT431">
        <v>35.287670619800394</v>
      </c>
      <c r="GU431"/>
      <c r="GV431"/>
      <c r="GW431"/>
      <c r="GX431"/>
      <c r="GY431"/>
      <c r="GZ431"/>
      <c r="HA431"/>
      <c r="HB431"/>
      <c r="HC431"/>
    </row>
    <row r="432" spans="1:211" s="7" customFormat="1">
      <c r="A432" s="4"/>
      <c r="B432" s="48" t="s">
        <v>122</v>
      </c>
      <c r="C432" s="107">
        <f t="shared" si="387"/>
        <v>26.723195643192767</v>
      </c>
      <c r="D432" s="190">
        <f>A$414</f>
        <v>10.51</v>
      </c>
      <c r="E432" s="8"/>
      <c r="F432" s="124"/>
      <c r="G432" s="217">
        <f t="shared" si="389"/>
        <v>0</v>
      </c>
      <c r="H432" s="217">
        <f t="shared" ref="H432:AK432" si="390">(($A$453+$A$455*(H$422)+($A$457*$D432))*($E30*H46))</f>
        <v>0</v>
      </c>
      <c r="I432" s="217">
        <f t="shared" si="390"/>
        <v>4.2639728578330476E-2</v>
      </c>
      <c r="J432" s="217">
        <f t="shared" si="390"/>
        <v>25.422148036676596</v>
      </c>
      <c r="K432" s="217">
        <f t="shared" si="390"/>
        <v>1.2584078779378427</v>
      </c>
      <c r="L432" s="217">
        <f t="shared" si="390"/>
        <v>0</v>
      </c>
      <c r="M432" s="217">
        <f t="shared" si="390"/>
        <v>0</v>
      </c>
      <c r="N432" s="217">
        <f t="shared" si="390"/>
        <v>0</v>
      </c>
      <c r="O432" s="217">
        <f t="shared" si="390"/>
        <v>0</v>
      </c>
      <c r="P432" s="217">
        <f t="shared" si="390"/>
        <v>0</v>
      </c>
      <c r="Q432" s="217">
        <f t="shared" si="390"/>
        <v>0</v>
      </c>
      <c r="R432" s="217">
        <f t="shared" si="390"/>
        <v>0</v>
      </c>
      <c r="S432" s="217">
        <f t="shared" si="390"/>
        <v>0</v>
      </c>
      <c r="T432" s="217">
        <f t="shared" si="390"/>
        <v>0</v>
      </c>
      <c r="U432" s="217">
        <f t="shared" si="390"/>
        <v>0</v>
      </c>
      <c r="V432" s="217">
        <f t="shared" si="390"/>
        <v>0</v>
      </c>
      <c r="W432" s="217">
        <f t="shared" si="390"/>
        <v>0</v>
      </c>
      <c r="X432" s="217">
        <f t="shared" si="390"/>
        <v>0</v>
      </c>
      <c r="Y432" s="217">
        <f t="shared" si="390"/>
        <v>0</v>
      </c>
      <c r="Z432" s="217">
        <f t="shared" si="390"/>
        <v>0</v>
      </c>
      <c r="AA432" s="217">
        <f t="shared" si="390"/>
        <v>0</v>
      </c>
      <c r="AB432" s="217">
        <f t="shared" si="390"/>
        <v>0</v>
      </c>
      <c r="AC432" s="217">
        <f t="shared" si="390"/>
        <v>0</v>
      </c>
      <c r="AD432" s="217">
        <f t="shared" si="390"/>
        <v>0</v>
      </c>
      <c r="AE432" s="217">
        <f t="shared" si="390"/>
        <v>0</v>
      </c>
      <c r="AF432" s="217">
        <f t="shared" si="390"/>
        <v>0</v>
      </c>
      <c r="AG432" s="217">
        <f t="shared" si="390"/>
        <v>0</v>
      </c>
      <c r="AH432" s="217">
        <f t="shared" si="390"/>
        <v>0</v>
      </c>
      <c r="AI432" s="217">
        <f t="shared" si="390"/>
        <v>0</v>
      </c>
      <c r="AJ432" s="217">
        <f t="shared" si="390"/>
        <v>0</v>
      </c>
      <c r="AK432" s="217">
        <f t="shared" si="390"/>
        <v>0</v>
      </c>
      <c r="AL432" s="4"/>
      <c r="AM432" s="43">
        <v>416</v>
      </c>
      <c r="AN432">
        <v>50.988862179487185</v>
      </c>
      <c r="AO432">
        <v>37.593472491886757</v>
      </c>
      <c r="AP432">
        <v>21.441270142316057</v>
      </c>
      <c r="AQ432">
        <v>258.59199495522466</v>
      </c>
      <c r="AR432">
        <v>36.557871892273383</v>
      </c>
      <c r="AS432">
        <v>349.97778209473</v>
      </c>
      <c r="AT432">
        <v>29.037948678012985</v>
      </c>
      <c r="AU432">
        <v>41.934380642814681</v>
      </c>
      <c r="AV432"/>
      <c r="AW432"/>
      <c r="FY432" s="211">
        <v>427</v>
      </c>
      <c r="FZ432">
        <v>35.34304861285964</v>
      </c>
      <c r="GA432">
        <v>58.713973925591795</v>
      </c>
      <c r="GB432">
        <v>25.464198730663419</v>
      </c>
      <c r="GC432">
        <v>13.48293977344486</v>
      </c>
      <c r="GD432">
        <v>9.1975841060842232</v>
      </c>
      <c r="GE432">
        <v>10.548109536765573</v>
      </c>
      <c r="GF432">
        <v>32.137934667327251</v>
      </c>
      <c r="GG432">
        <v>23.592029962291981</v>
      </c>
      <c r="GH432">
        <v>9.0696557386495051</v>
      </c>
      <c r="GI432">
        <v>24.927597353606572</v>
      </c>
      <c r="GJ432"/>
      <c r="GK432">
        <v>36.546753531576918</v>
      </c>
      <c r="GL432">
        <v>51.888963735607156</v>
      </c>
      <c r="GM432">
        <v>45.111571703327691</v>
      </c>
      <c r="GN432">
        <v>44.520499113184052</v>
      </c>
      <c r="GO432">
        <v>40.014806700174518</v>
      </c>
      <c r="GP432">
        <v>22.632292454189169</v>
      </c>
      <c r="GQ432">
        <v>43.300004650674374</v>
      </c>
      <c r="GR432">
        <v>35.485401678444376</v>
      </c>
      <c r="GS432">
        <v>10.158983863898991</v>
      </c>
      <c r="GT432">
        <v>35.026424089930494</v>
      </c>
      <c r="GU432"/>
      <c r="GV432"/>
      <c r="GW432"/>
      <c r="GX432"/>
      <c r="GY432"/>
      <c r="GZ432"/>
      <c r="HA432"/>
      <c r="HB432"/>
      <c r="HC432"/>
    </row>
    <row r="433" spans="1:211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40.782158119658121</v>
      </c>
      <c r="AO433">
        <v>32.993158739981979</v>
      </c>
      <c r="AP433">
        <v>42.920586161082717</v>
      </c>
      <c r="AQ433">
        <v>223.09365666082897</v>
      </c>
      <c r="AR433">
        <v>31.479127968084011</v>
      </c>
      <c r="AS433">
        <v>291.17244707157971</v>
      </c>
      <c r="AT433">
        <v>23.967663492898733</v>
      </c>
      <c r="AU433">
        <v>28.058376882038338</v>
      </c>
      <c r="AV433"/>
      <c r="AW433"/>
      <c r="FY433" s="211">
        <v>428</v>
      </c>
      <c r="FZ433">
        <v>45.963248956557315</v>
      </c>
      <c r="GA433">
        <v>93.858182029675817</v>
      </c>
      <c r="GB433">
        <v>40.131176188521913</v>
      </c>
      <c r="GC433">
        <v>18.138551206087239</v>
      </c>
      <c r="GD433">
        <v>11.249106554452464</v>
      </c>
      <c r="GE433">
        <v>9.6375821531138293</v>
      </c>
      <c r="GF433">
        <v>38.834436230494696</v>
      </c>
      <c r="GG433">
        <v>31.928352861880629</v>
      </c>
      <c r="GH433">
        <v>11.218903939351463</v>
      </c>
      <c r="GI433">
        <v>33.054855255351804</v>
      </c>
      <c r="GJ433"/>
      <c r="GK433">
        <v>49.329067360305785</v>
      </c>
      <c r="GL433">
        <v>85.284310193935582</v>
      </c>
      <c r="GM433">
        <v>71.095126585992404</v>
      </c>
      <c r="GN433">
        <v>59.908768345324724</v>
      </c>
      <c r="GO433">
        <v>48.956028480225449</v>
      </c>
      <c r="GP433">
        <v>20.678641711131672</v>
      </c>
      <c r="GQ433">
        <v>52.322318991339898</v>
      </c>
      <c r="GR433">
        <v>48.024287356613399</v>
      </c>
      <c r="GS433">
        <v>13.252499979656431</v>
      </c>
      <c r="GT433">
        <v>46.991008279503987</v>
      </c>
      <c r="GU433"/>
      <c r="GV433"/>
      <c r="GW433"/>
      <c r="GX433"/>
      <c r="GY433"/>
      <c r="GZ433"/>
      <c r="HA433"/>
      <c r="HB433"/>
      <c r="HC433"/>
    </row>
    <row r="434" spans="1:211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49.239583333333336</v>
      </c>
      <c r="AO434">
        <v>38.63039483926336</v>
      </c>
      <c r="AP434">
        <v>11.522152803897823</v>
      </c>
      <c r="AQ434">
        <v>267.97871461970527</v>
      </c>
      <c r="AR434">
        <v>36.75250320261479</v>
      </c>
      <c r="AS434">
        <v>314.0087033969707</v>
      </c>
      <c r="AT434">
        <v>29.905088226728751</v>
      </c>
      <c r="AU434">
        <v>24.13503480252761</v>
      </c>
      <c r="AV434"/>
      <c r="AW434"/>
      <c r="FY434" s="211">
        <v>429</v>
      </c>
      <c r="FZ434">
        <v>52.524993064730701</v>
      </c>
      <c r="GA434">
        <v>74.807261959413637</v>
      </c>
      <c r="GB434">
        <v>29.22367688971806</v>
      </c>
      <c r="GC434">
        <v>16.95710664717469</v>
      </c>
      <c r="GD434">
        <v>8.7844618136898642</v>
      </c>
      <c r="GE434">
        <v>9.7122920922852565</v>
      </c>
      <c r="GF434">
        <v>24.167164434003265</v>
      </c>
      <c r="GG434">
        <v>18.184047118082908</v>
      </c>
      <c r="GH434">
        <v>9.7673215646994667</v>
      </c>
      <c r="GI434">
        <v>26.731818074624925</v>
      </c>
      <c r="GJ434"/>
      <c r="GK434">
        <v>54.317790694142317</v>
      </c>
      <c r="GL434">
        <v>66.111541145065743</v>
      </c>
      <c r="GM434">
        <v>51.771744691023706</v>
      </c>
      <c r="GN434">
        <v>55.995123302652537</v>
      </c>
      <c r="GO434">
        <v>38.216901540829298</v>
      </c>
      <c r="GP434">
        <v>20.838941259279981</v>
      </c>
      <c r="GQ434">
        <v>32.560845717624971</v>
      </c>
      <c r="GR434">
        <v>27.351110402804977</v>
      </c>
      <c r="GS434">
        <v>10.94044416112199</v>
      </c>
      <c r="GT434">
        <v>37.56154536094845</v>
      </c>
      <c r="GU434"/>
      <c r="GV434"/>
      <c r="GW434"/>
      <c r="GX434"/>
      <c r="GY434"/>
      <c r="GZ434"/>
      <c r="HA434"/>
      <c r="HB434"/>
      <c r="HC434"/>
    </row>
    <row r="435" spans="1:211" s="7" customFormat="1">
      <c r="A435" s="4"/>
      <c r="B435" s="52" t="s">
        <v>53</v>
      </c>
      <c r="C435" s="53">
        <f>SUM(C423:C434)</f>
        <v>263.68014395552603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52.778392094017093</v>
      </c>
      <c r="AO435">
        <v>41.365961767157891</v>
      </c>
      <c r="AP435">
        <v>27.859861667453476</v>
      </c>
      <c r="AQ435">
        <v>280.76386476379258</v>
      </c>
      <c r="AR435">
        <v>39.893174176879008</v>
      </c>
      <c r="AS435">
        <v>384.23966482331036</v>
      </c>
      <c r="AT435">
        <v>31.715421147880875</v>
      </c>
      <c r="AU435">
        <v>26.176893078097486</v>
      </c>
      <c r="AV435"/>
      <c r="AW435"/>
      <c r="FY435" s="211">
        <v>430</v>
      </c>
      <c r="FZ435">
        <v>37.255113813273567</v>
      </c>
      <c r="GA435">
        <v>79.22849493573834</v>
      </c>
      <c r="GB435">
        <v>28.431680157543884</v>
      </c>
      <c r="GC435">
        <v>12.246154566580685</v>
      </c>
      <c r="GD435">
        <v>8.1352696399273032</v>
      </c>
      <c r="GE435">
        <v>9.7122920922852565</v>
      </c>
      <c r="GF435">
        <v>35.688310824177186</v>
      </c>
      <c r="GG435">
        <v>28.504084248735158</v>
      </c>
      <c r="GH435">
        <v>13.604483607974258</v>
      </c>
      <c r="GI435">
        <v>26.702879478044593</v>
      </c>
      <c r="GJ435"/>
      <c r="GK435">
        <v>38.529142671665795</v>
      </c>
      <c r="GL435">
        <v>70.018842631180746</v>
      </c>
      <c r="GM435">
        <v>50.368668248282418</v>
      </c>
      <c r="GN435">
        <v>40.435593014063826</v>
      </c>
      <c r="GO435">
        <v>35.39162200471538</v>
      </c>
      <c r="GP435">
        <v>20.838941259279981</v>
      </c>
      <c r="GQ435">
        <v>48.083488894281821</v>
      </c>
      <c r="GR435">
        <v>42.873753579461827</v>
      </c>
      <c r="GS435">
        <v>15.238475795848485</v>
      </c>
      <c r="GT435">
        <v>37.522279522958769</v>
      </c>
      <c r="GU435"/>
      <c r="GV435"/>
      <c r="GW435"/>
      <c r="GX435"/>
      <c r="GY435"/>
      <c r="GZ435"/>
      <c r="HA435"/>
      <c r="HB435"/>
      <c r="HC435"/>
    </row>
    <row r="436" spans="1:211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58.060977564102551</v>
      </c>
      <c r="AO436">
        <v>44.624737178292868</v>
      </c>
      <c r="AP436">
        <v>28.151742356424485</v>
      </c>
      <c r="AQ436">
        <v>296.92988663986125</v>
      </c>
      <c r="AR436">
        <v>42.681031307917806</v>
      </c>
      <c r="AS436">
        <v>393.21261212006368</v>
      </c>
      <c r="AT436">
        <v>33.810007394812708</v>
      </c>
      <c r="AU436">
        <v>33.039081019371004</v>
      </c>
      <c r="AV436"/>
      <c r="AW436"/>
      <c r="FY436" s="211">
        <v>431</v>
      </c>
      <c r="FZ436">
        <v>62.775458640614886</v>
      </c>
      <c r="GA436">
        <v>99.950295421609468</v>
      </c>
      <c r="GB436">
        <v>29.003120837720182</v>
      </c>
      <c r="GC436">
        <v>11.52261008258407</v>
      </c>
      <c r="GD436">
        <v>8.5970124445296072</v>
      </c>
      <c r="GE436">
        <v>13.872701829893986</v>
      </c>
      <c r="GF436">
        <v>15.440621058379538</v>
      </c>
      <c r="GG436">
        <v>9.5879521168073527</v>
      </c>
      <c r="GH436">
        <v>8.7208228256245253</v>
      </c>
      <c r="GI436">
        <v>26.067679319452232</v>
      </c>
      <c r="GJ436"/>
      <c r="GK436">
        <v>70.33425602106675</v>
      </c>
      <c r="GL436">
        <v>95.340985532202708</v>
      </c>
      <c r="GM436">
        <v>51.381014542412196</v>
      </c>
      <c r="GN436">
        <v>38.034319560597702</v>
      </c>
      <c r="GO436">
        <v>37.388112007124839</v>
      </c>
      <c r="GP436">
        <v>29.765622346788856</v>
      </c>
      <c r="GQ436">
        <v>20.803420336678933</v>
      </c>
      <c r="GR436">
        <v>14.421494576024443</v>
      </c>
      <c r="GS436">
        <v>9.7682537152874929</v>
      </c>
      <c r="GT436">
        <v>37.935011324514043</v>
      </c>
      <c r="GU436"/>
      <c r="GV436"/>
      <c r="GW436"/>
      <c r="GX436"/>
      <c r="GY436"/>
      <c r="GZ436"/>
      <c r="HA436"/>
      <c r="HB436"/>
      <c r="HC436"/>
    </row>
    <row r="437" spans="1:211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50.184027777777779</v>
      </c>
      <c r="AO437">
        <v>37.808743728866837</v>
      </c>
      <c r="AP437">
        <v>19.675946806712638</v>
      </c>
      <c r="AQ437">
        <v>250.07260962392226</v>
      </c>
      <c r="AR437">
        <v>36.65060305985611</v>
      </c>
      <c r="AS437">
        <v>367.52551758697808</v>
      </c>
      <c r="AT437">
        <v>29.480807644364447</v>
      </c>
      <c r="AU437">
        <v>22.528612274079002</v>
      </c>
      <c r="AV437"/>
      <c r="AW437"/>
      <c r="FY437" s="211">
        <v>432</v>
      </c>
      <c r="FZ437">
        <v>34.578891134147369</v>
      </c>
      <c r="GA437">
        <v>65.080549411499334</v>
      </c>
      <c r="GB437">
        <v>26.466726239744652</v>
      </c>
      <c r="GC437">
        <v>10.533218405036973</v>
      </c>
      <c r="GD437">
        <v>9.8586382106489587</v>
      </c>
      <c r="GE437">
        <v>11.430620693228033</v>
      </c>
      <c r="GF437">
        <v>21.987725605045881</v>
      </c>
      <c r="GG437">
        <v>16.318411115058819</v>
      </c>
      <c r="GH437">
        <v>10.116154477724448</v>
      </c>
      <c r="GI437">
        <v>23.698897842963905</v>
      </c>
      <c r="GJ437"/>
      <c r="GK437">
        <v>35.76214321578199</v>
      </c>
      <c r="GL437">
        <v>57.515477875612739</v>
      </c>
      <c r="GM437">
        <v>46.887617833379956</v>
      </c>
      <c r="GN437">
        <v>34.789555912618773</v>
      </c>
      <c r="GO437">
        <v>42.904720537626837</v>
      </c>
      <c r="GP437">
        <v>24.525830866691056</v>
      </c>
      <c r="GQ437">
        <v>29.624449449271882</v>
      </c>
      <c r="GR437">
        <v>24.544957517322388</v>
      </c>
      <c r="GS437">
        <v>11.331174309733489</v>
      </c>
      <c r="GT437">
        <v>33.302021069158826</v>
      </c>
      <c r="GU437"/>
      <c r="GV437"/>
      <c r="GW437"/>
      <c r="GX437"/>
      <c r="GY437"/>
      <c r="GZ437"/>
      <c r="HA437"/>
      <c r="HB437"/>
      <c r="HC437"/>
    </row>
    <row r="438" spans="1:211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50.543269230769226</v>
      </c>
      <c r="AO438">
        <v>37.932909908456871</v>
      </c>
      <c r="AP438">
        <v>14.994346705195294</v>
      </c>
      <c r="AQ438">
        <v>250.23622003674939</v>
      </c>
      <c r="AR438">
        <v>35.597168245127961</v>
      </c>
      <c r="AS438">
        <v>339.94542457290459</v>
      </c>
      <c r="AT438">
        <v>29.263860616760635</v>
      </c>
      <c r="AU438">
        <v>19.908379189493704</v>
      </c>
      <c r="AV438"/>
      <c r="AW438"/>
      <c r="FY438" s="211">
        <v>433</v>
      </c>
      <c r="FZ438">
        <v>48.825521921031267</v>
      </c>
      <c r="GA438">
        <v>73.078387040949821</v>
      </c>
      <c r="GB438">
        <v>30.075825272437111</v>
      </c>
      <c r="GC438">
        <v>15.859781160184145</v>
      </c>
      <c r="GD438">
        <v>9.0345061931570001</v>
      </c>
      <c r="GE438">
        <v>10.06249493215131</v>
      </c>
      <c r="GF438">
        <v>35.767403362324835</v>
      </c>
      <c r="GG438">
        <v>31.951968507488537</v>
      </c>
      <c r="GH438">
        <v>12.557984868899313</v>
      </c>
      <c r="GI438">
        <v>29.172468861356098</v>
      </c>
      <c r="GJ438"/>
      <c r="GK438">
        <v>52.295466471181257</v>
      </c>
      <c r="GL438">
        <v>66.919993209195098</v>
      </c>
      <c r="GM438">
        <v>53.281383901568134</v>
      </c>
      <c r="GN438">
        <v>52.366990501017355</v>
      </c>
      <c r="GO438">
        <v>39.300755741155882</v>
      </c>
      <c r="GP438">
        <v>21.590345391225171</v>
      </c>
      <c r="GQ438">
        <v>48.190051662084954</v>
      </c>
      <c r="GR438">
        <v>48.059808279214451</v>
      </c>
      <c r="GS438">
        <v>14.066285350013986</v>
      </c>
      <c r="GT438">
        <v>41.426788625200842</v>
      </c>
      <c r="GU438"/>
      <c r="GV438"/>
      <c r="GW438"/>
      <c r="GX438"/>
      <c r="GY438"/>
      <c r="GZ438"/>
      <c r="HA438"/>
      <c r="HB438"/>
      <c r="HC438"/>
    </row>
    <row r="439" spans="1:211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44.294711538461542</v>
      </c>
      <c r="AO439">
        <v>34.613939548159202</v>
      </c>
      <c r="AP439">
        <v>31.07613138212205</v>
      </c>
      <c r="AQ439">
        <v>245.83845737616656</v>
      </c>
      <c r="AR439">
        <v>33.145318581643608</v>
      </c>
      <c r="AS439">
        <v>329.09263953096183</v>
      </c>
      <c r="AT439">
        <v>25.869333385815732</v>
      </c>
      <c r="AU439">
        <v>18.659341618935137</v>
      </c>
      <c r="AV439"/>
      <c r="AW439"/>
      <c r="FY439" s="211">
        <v>434</v>
      </c>
      <c r="FZ439">
        <v>56.025642915566181</v>
      </c>
      <c r="GA439">
        <v>86.204854922936931</v>
      </c>
      <c r="GB439">
        <v>35.609777122565539</v>
      </c>
      <c r="GC439">
        <v>14.933313540441238</v>
      </c>
      <c r="GD439">
        <v>7.9637533222590653</v>
      </c>
      <c r="GE439">
        <v>6.7238945254282543</v>
      </c>
      <c r="GF439">
        <v>25.494161462924897</v>
      </c>
      <c r="GG439">
        <v>23.875417709586781</v>
      </c>
      <c r="GH439">
        <v>12.614235591451392</v>
      </c>
      <c r="GI439">
        <v>28.971850591938775</v>
      </c>
      <c r="GJ439"/>
      <c r="GK439">
        <v>61.543689745319028</v>
      </c>
      <c r="GL439">
        <v>80.856978266670865</v>
      </c>
      <c r="GM439">
        <v>63.085158539456671</v>
      </c>
      <c r="GN439">
        <v>49.318534713884638</v>
      </c>
      <c r="GO439">
        <v>34.653858436976122</v>
      </c>
      <c r="GP439">
        <v>14.42695933334768</v>
      </c>
      <c r="GQ439">
        <v>34.348732155210925</v>
      </c>
      <c r="GR439">
        <v>35.911652749656923</v>
      </c>
      <c r="GS439">
        <v>14.815420574102433</v>
      </c>
      <c r="GT439">
        <v>41.689371890213032</v>
      </c>
      <c r="GU439"/>
      <c r="GV439"/>
      <c r="GW439"/>
      <c r="GX439"/>
      <c r="GY439"/>
      <c r="GZ439"/>
      <c r="HA439"/>
      <c r="HB439"/>
      <c r="HC439"/>
    </row>
    <row r="440" spans="1:211" s="7" customFormat="1">
      <c r="A440" s="1">
        <v>4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48.366586538461533</v>
      </c>
      <c r="AO440">
        <v>37.158212217866762</v>
      </c>
      <c r="AP440">
        <v>38.371856145430726</v>
      </c>
      <c r="AQ440">
        <v>252.09247291187165</v>
      </c>
      <c r="AR440">
        <v>35.424977896209725</v>
      </c>
      <c r="AS440">
        <v>329.02826742962498</v>
      </c>
      <c r="AT440">
        <v>27.66985573881249</v>
      </c>
      <c r="AU440">
        <v>42.691213191985455</v>
      </c>
      <c r="AV440"/>
      <c r="AW440"/>
      <c r="FY440" s="211">
        <v>435</v>
      </c>
      <c r="FZ440">
        <v>48.543620192774775</v>
      </c>
      <c r="GA440">
        <v>89.436949053351128</v>
      </c>
      <c r="GB440">
        <v>33.965632007672305</v>
      </c>
      <c r="GC440">
        <v>13.39892004823262</v>
      </c>
      <c r="GD440">
        <v>9.0845047964814167</v>
      </c>
      <c r="GE440">
        <v>9.4554766763834799</v>
      </c>
      <c r="GF440">
        <v>23.147749497878031</v>
      </c>
      <c r="GG440">
        <v>17.877043725180208</v>
      </c>
      <c r="GH440">
        <v>11.567736852376445</v>
      </c>
      <c r="GI440">
        <v>27.587017640162575</v>
      </c>
      <c r="GJ440"/>
      <c r="GK440">
        <v>52.00040156937969</v>
      </c>
      <c r="GL440">
        <v>81.377008707820579</v>
      </c>
      <c r="GM440">
        <v>60.172442886170941</v>
      </c>
      <c r="GN440">
        <v>44.254515596466561</v>
      </c>
      <c r="GO440">
        <v>39.53569764785076</v>
      </c>
      <c r="GP440">
        <v>20.287911562520168</v>
      </c>
      <c r="GQ440">
        <v>31.187370043717877</v>
      </c>
      <c r="GR440">
        <v>26.889338408991385</v>
      </c>
      <c r="GS440">
        <v>13.64323012826793</v>
      </c>
      <c r="GT440">
        <v>39.307828455077434</v>
      </c>
      <c r="GU440"/>
      <c r="GV440"/>
      <c r="GW440"/>
      <c r="GX440"/>
      <c r="GY440"/>
      <c r="GZ440"/>
      <c r="HA440"/>
      <c r="HB440"/>
      <c r="HC440"/>
    </row>
    <row r="441" spans="1:211" s="7" customFormat="1">
      <c r="A441" s="21" t="s">
        <v>97</v>
      </c>
      <c r="B441" s="48" t="s">
        <v>38</v>
      </c>
      <c r="C441" s="107">
        <f t="shared" ref="C441:C450" si="391">SUM(G441:AK441)</f>
        <v>58.042699297462896</v>
      </c>
      <c r="D441" s="190">
        <f>$A$405</f>
        <v>13.69</v>
      </c>
      <c r="E441" s="8"/>
      <c r="F441" s="124"/>
      <c r="G441" s="107" t="str">
        <f>IF(G423&lt;=0, "0.000", G423)</f>
        <v>0.000</v>
      </c>
      <c r="H441" s="107" t="str">
        <f t="shared" ref="H441:AK441" si="392">IF(H423&lt;=0, "0.000", H423)</f>
        <v>0.000</v>
      </c>
      <c r="I441" s="107">
        <f t="shared" si="392"/>
        <v>0.22365336678705641</v>
      </c>
      <c r="J441" s="107">
        <f t="shared" si="392"/>
        <v>50.618924936140928</v>
      </c>
      <c r="K441" s="107">
        <f t="shared" si="392"/>
        <v>7.2001209945349114</v>
      </c>
      <c r="L441" s="107" t="str">
        <f t="shared" si="392"/>
        <v>0.000</v>
      </c>
      <c r="M441" s="107" t="str">
        <f t="shared" si="392"/>
        <v>0.000</v>
      </c>
      <c r="N441" s="107" t="str">
        <f t="shared" si="392"/>
        <v>0.000</v>
      </c>
      <c r="O441" s="107" t="str">
        <f t="shared" si="392"/>
        <v>0.000</v>
      </c>
      <c r="P441" s="107" t="str">
        <f t="shared" si="392"/>
        <v>0.000</v>
      </c>
      <c r="Q441" s="107" t="str">
        <f t="shared" si="392"/>
        <v>0.000</v>
      </c>
      <c r="R441" s="107" t="str">
        <f t="shared" si="392"/>
        <v>0.000</v>
      </c>
      <c r="S441" s="107" t="str">
        <f t="shared" si="392"/>
        <v>0.000</v>
      </c>
      <c r="T441" s="107" t="str">
        <f t="shared" si="392"/>
        <v>0.000</v>
      </c>
      <c r="U441" s="107" t="str">
        <f t="shared" si="392"/>
        <v>0.000</v>
      </c>
      <c r="V441" s="107" t="str">
        <f t="shared" si="392"/>
        <v>0.000</v>
      </c>
      <c r="W441" s="107" t="str">
        <f t="shared" si="392"/>
        <v>0.000</v>
      </c>
      <c r="X441" s="107" t="str">
        <f t="shared" si="392"/>
        <v>0.000</v>
      </c>
      <c r="Y441" s="107" t="str">
        <f t="shared" si="392"/>
        <v>0.000</v>
      </c>
      <c r="Z441" s="107" t="str">
        <f t="shared" si="392"/>
        <v>0.000</v>
      </c>
      <c r="AA441" s="107" t="str">
        <f t="shared" si="392"/>
        <v>0.000</v>
      </c>
      <c r="AB441" s="107" t="str">
        <f t="shared" si="392"/>
        <v>0.000</v>
      </c>
      <c r="AC441" s="107" t="str">
        <f t="shared" si="392"/>
        <v>0.000</v>
      </c>
      <c r="AD441" s="107" t="str">
        <f t="shared" si="392"/>
        <v>0.000</v>
      </c>
      <c r="AE441" s="107" t="str">
        <f t="shared" si="392"/>
        <v>0.000</v>
      </c>
      <c r="AF441" s="107" t="str">
        <f t="shared" si="392"/>
        <v>0.000</v>
      </c>
      <c r="AG441" s="107" t="str">
        <f t="shared" si="392"/>
        <v>0.000</v>
      </c>
      <c r="AH441" s="107" t="str">
        <f t="shared" si="392"/>
        <v>0.000</v>
      </c>
      <c r="AI441" s="107" t="str">
        <f t="shared" si="392"/>
        <v>0.000</v>
      </c>
      <c r="AJ441" s="107" t="str">
        <f t="shared" si="392"/>
        <v>0.000</v>
      </c>
      <c r="AK441" s="107" t="str">
        <f t="shared" si="392"/>
        <v>0.000</v>
      </c>
      <c r="AL441" s="4"/>
      <c r="AM441" s="43">
        <v>425</v>
      </c>
      <c r="AN441">
        <v>46.894978632478626</v>
      </c>
      <c r="AO441">
        <v>40.404615050512348</v>
      </c>
      <c r="AP441">
        <v>40.979473192846676</v>
      </c>
      <c r="AQ441">
        <v>261.2193928948883</v>
      </c>
      <c r="AR441">
        <v>38.220408333970191</v>
      </c>
      <c r="AS441">
        <v>366.33381294634773</v>
      </c>
      <c r="AT441">
        <v>29.66998935323306</v>
      </c>
      <c r="AU441">
        <v>-0.48073171045535545</v>
      </c>
      <c r="AV441"/>
      <c r="AW441"/>
      <c r="FY441" s="211">
        <v>436</v>
      </c>
      <c r="FZ441">
        <v>42.577630022083966</v>
      </c>
      <c r="GA441">
        <v>62.507046169836613</v>
      </c>
      <c r="GB441">
        <v>26.577004265743593</v>
      </c>
      <c r="GC441">
        <v>17.57854477719588</v>
      </c>
      <c r="GD441">
        <v>11.486594025336183</v>
      </c>
      <c r="GE441">
        <v>13.69059635316364</v>
      </c>
      <c r="GF441">
        <v>19.817074835882682</v>
      </c>
      <c r="GG441">
        <v>14.027693491092531</v>
      </c>
      <c r="GH441">
        <v>11.916569765401425</v>
      </c>
      <c r="GI441">
        <v>25.696859245196073</v>
      </c>
      <c r="GJ441"/>
      <c r="GK441">
        <v>47.633696454749639</v>
      </c>
      <c r="GL441">
        <v>59.913842301094476</v>
      </c>
      <c r="GM441">
        <v>47.082982907685711</v>
      </c>
      <c r="GN441">
        <v>58.055315484410997</v>
      </c>
      <c r="GO441">
        <v>49.985235107319632</v>
      </c>
      <c r="GP441">
        <v>29.37489219817736</v>
      </c>
      <c r="GQ441">
        <v>26.699893488452481</v>
      </c>
      <c r="GR441">
        <v>21.099428025020984</v>
      </c>
      <c r="GS441">
        <v>14.03396027687943</v>
      </c>
      <c r="GT441">
        <v>37.087153647017374</v>
      </c>
      <c r="GU441"/>
      <c r="GV441"/>
      <c r="GW441"/>
      <c r="GX441"/>
      <c r="GY441"/>
      <c r="GZ441"/>
      <c r="HA441"/>
      <c r="HB441"/>
      <c r="HC441"/>
    </row>
    <row r="442" spans="1:211" s="7" customFormat="1">
      <c r="A442" s="1">
        <v>385</v>
      </c>
      <c r="B442" s="48" t="s">
        <v>39</v>
      </c>
      <c r="C442" s="107">
        <f t="shared" si="391"/>
        <v>74.581606252900201</v>
      </c>
      <c r="D442" s="190">
        <f>$A$406</f>
        <v>9.4499999999999993</v>
      </c>
      <c r="E442" s="8"/>
      <c r="F442" s="124"/>
      <c r="G442" s="173" t="str">
        <f t="shared" ref="G442:G450" si="393">IF(G424&lt;=0, "0.000", G424)</f>
        <v>0.000</v>
      </c>
      <c r="H442" s="173" t="str">
        <f t="shared" ref="H442:V442" si="394">IF(H424&lt;=0, "0.000", H424)</f>
        <v>0.000</v>
      </c>
      <c r="I442" s="173" t="str">
        <f t="shared" si="394"/>
        <v>0.000</v>
      </c>
      <c r="J442" s="173">
        <f t="shared" si="394"/>
        <v>66.760617942502719</v>
      </c>
      <c r="K442" s="173">
        <f t="shared" si="394"/>
        <v>7.8209883103974889</v>
      </c>
      <c r="L442" s="173" t="str">
        <f t="shared" si="394"/>
        <v>0.000</v>
      </c>
      <c r="M442" s="173" t="str">
        <f t="shared" si="394"/>
        <v>0.000</v>
      </c>
      <c r="N442" s="173" t="str">
        <f t="shared" si="394"/>
        <v>0.000</v>
      </c>
      <c r="O442" s="173" t="str">
        <f t="shared" si="394"/>
        <v>0.000</v>
      </c>
      <c r="P442" s="173" t="str">
        <f t="shared" si="394"/>
        <v>0.000</v>
      </c>
      <c r="Q442" s="173" t="str">
        <f t="shared" si="394"/>
        <v>0.000</v>
      </c>
      <c r="R442" s="173" t="str">
        <f t="shared" si="394"/>
        <v>0.000</v>
      </c>
      <c r="S442" s="173" t="str">
        <f t="shared" si="394"/>
        <v>0.000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48.591720085470087</v>
      </c>
      <c r="AO442">
        <v>36.46257759693669</v>
      </c>
      <c r="AP442">
        <v>12.484468961183758</v>
      </c>
      <c r="AQ442">
        <v>249.32199632943309</v>
      </c>
      <c r="AR442">
        <v>35.287670619800402</v>
      </c>
      <c r="AS442">
        <v>334.47301830752809</v>
      </c>
      <c r="AT442">
        <v>28.559366500260197</v>
      </c>
      <c r="AU442">
        <v>31.901720162589655</v>
      </c>
      <c r="AV442"/>
      <c r="AW442"/>
      <c r="FY442" s="211">
        <v>437</v>
      </c>
      <c r="FZ442">
        <v>61.529189542284669</v>
      </c>
      <c r="GA442">
        <v>77.539238289340517</v>
      </c>
      <c r="GB442">
        <v>25.805058083751039</v>
      </c>
      <c r="GC442">
        <v>13.881050546732526</v>
      </c>
      <c r="GD442">
        <v>6.8543228149613062</v>
      </c>
      <c r="GE442">
        <v>8.9231683597870788</v>
      </c>
      <c r="GF442">
        <v>24.334137570092743</v>
      </c>
      <c r="GG442">
        <v>15.562710455606021</v>
      </c>
      <c r="GH442">
        <v>6.6278253474746389</v>
      </c>
      <c r="GI442">
        <v>25.423704486901546</v>
      </c>
      <c r="GJ442"/>
      <c r="GK442">
        <v>67.233980716531235</v>
      </c>
      <c r="GL442">
        <v>73.198667353885469</v>
      </c>
      <c r="GM442">
        <v>45.715427387545454</v>
      </c>
      <c r="GN442">
        <v>45.82387572842952</v>
      </c>
      <c r="GO442">
        <v>29.803939635358031</v>
      </c>
      <c r="GP442">
        <v>19.145777281963483</v>
      </c>
      <c r="GQ442">
        <v>32.785811560764927</v>
      </c>
      <c r="GR442">
        <v>23.408287994088933</v>
      </c>
      <c r="GS442">
        <v>7.4238728236184937</v>
      </c>
      <c r="GT442">
        <v>36.592606424763623</v>
      </c>
      <c r="GU442"/>
      <c r="GV442"/>
      <c r="GW442"/>
      <c r="GX442"/>
      <c r="GY442"/>
      <c r="GZ442"/>
      <c r="HA442"/>
      <c r="HB442"/>
      <c r="HC442"/>
    </row>
    <row r="443" spans="1:211" s="7" customFormat="1">
      <c r="A443" s="103" t="s">
        <v>98</v>
      </c>
      <c r="B443" s="48" t="s">
        <v>40</v>
      </c>
      <c r="C443" s="107">
        <f t="shared" si="391"/>
        <v>27.790062551731886</v>
      </c>
      <c r="D443" s="190">
        <f>A$407</f>
        <v>4.03</v>
      </c>
      <c r="E443" s="8"/>
      <c r="F443" s="124"/>
      <c r="G443" s="173" t="str">
        <f t="shared" si="393"/>
        <v>0.000</v>
      </c>
      <c r="H443" s="173" t="str">
        <f t="shared" ref="H443:V443" si="396">IF(H425&lt;=0, "0.000", H425)</f>
        <v>0.000</v>
      </c>
      <c r="I443" s="173" t="str">
        <f t="shared" si="396"/>
        <v>0.000</v>
      </c>
      <c r="J443" s="173">
        <f t="shared" si="396"/>
        <v>27.790062551731886</v>
      </c>
      <c r="K443" s="173" t="str">
        <f t="shared" si="396"/>
        <v>0.000</v>
      </c>
      <c r="L443" s="173" t="str">
        <f t="shared" si="396"/>
        <v>0.000</v>
      </c>
      <c r="M443" s="173" t="str">
        <f t="shared" si="396"/>
        <v>0.000</v>
      </c>
      <c r="N443" s="173" t="str">
        <f t="shared" si="396"/>
        <v>0.000</v>
      </c>
      <c r="O443" s="173" t="str">
        <f t="shared" si="396"/>
        <v>0.000</v>
      </c>
      <c r="P443" s="173" t="str">
        <f t="shared" si="396"/>
        <v>0.000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49.443963675213681</v>
      </c>
      <c r="AO443">
        <v>36.468570152100781</v>
      </c>
      <c r="AP443">
        <v>8.6731346858176508</v>
      </c>
      <c r="AQ443">
        <v>242.47707240728482</v>
      </c>
      <c r="AR443">
        <v>35.026424089930501</v>
      </c>
      <c r="AS443">
        <v>337.5800294622062</v>
      </c>
      <c r="AT443">
        <v>28.495989510007991</v>
      </c>
      <c r="AU443">
        <v>31.04703556122805</v>
      </c>
      <c r="AV443"/>
      <c r="AW443"/>
      <c r="FY443" s="211">
        <v>438</v>
      </c>
      <c r="FZ443">
        <v>44.269673124652961</v>
      </c>
      <c r="GA443">
        <v>65.699522028184774</v>
      </c>
      <c r="GB443">
        <v>24.040609667768059</v>
      </c>
      <c r="GC443">
        <v>13.478038945761437</v>
      </c>
      <c r="GD443">
        <v>10.664392927284288</v>
      </c>
      <c r="GE443">
        <v>14.722527387968947</v>
      </c>
      <c r="GF443">
        <v>26.627821176374503</v>
      </c>
      <c r="GG443">
        <v>17.877043725180208</v>
      </c>
      <c r="GH443">
        <v>7.6743240865495794</v>
      </c>
      <c r="GI443">
        <v>25.51177706406185</v>
      </c>
      <c r="GJ443"/>
      <c r="GK443">
        <v>45.782354237323993</v>
      </c>
      <c r="GL443">
        <v>58.06250008366883</v>
      </c>
      <c r="GM443">
        <v>42.589586198653457</v>
      </c>
      <c r="GN443">
        <v>44.50047233421661</v>
      </c>
      <c r="GO443">
        <v>46.394010746718493</v>
      </c>
      <c r="GP443">
        <v>31.589029706975854</v>
      </c>
      <c r="GQ443">
        <v>35.876131827055872</v>
      </c>
      <c r="GR443">
        <v>26.889338408991385</v>
      </c>
      <c r="GS443">
        <v>8.5960632694529906</v>
      </c>
      <c r="GT443">
        <v>35.847629255840957</v>
      </c>
      <c r="GU443"/>
      <c r="GV443"/>
      <c r="GW443"/>
      <c r="GX443"/>
      <c r="GY443"/>
      <c r="GZ443"/>
      <c r="HA443"/>
      <c r="HB443"/>
      <c r="HC443"/>
    </row>
    <row r="444" spans="1:211" s="7" customFormat="1">
      <c r="A444" s="1">
        <v>345</v>
      </c>
      <c r="B444" s="48" t="s">
        <v>41</v>
      </c>
      <c r="C444" s="107">
        <f t="shared" si="391"/>
        <v>15.15205436331898</v>
      </c>
      <c r="D444" s="190">
        <f>A$408</f>
        <v>0.78</v>
      </c>
      <c r="E444" s="8"/>
      <c r="F444" s="124"/>
      <c r="G444" s="173" t="str">
        <f t="shared" si="393"/>
        <v>0.000</v>
      </c>
      <c r="H444" s="173" t="str">
        <f t="shared" ref="H444:V444" si="398">IF(H426&lt;=0, "0.000", H426)</f>
        <v>0.000</v>
      </c>
      <c r="I444" s="173">
        <f t="shared" si="398"/>
        <v>2.163502547652172E-2</v>
      </c>
      <c r="J444" s="173">
        <f t="shared" si="398"/>
        <v>15.130419337842458</v>
      </c>
      <c r="K444" s="173" t="str">
        <f t="shared" si="398"/>
        <v>0.000</v>
      </c>
      <c r="L444" s="173" t="str">
        <f t="shared" si="398"/>
        <v>0.000</v>
      </c>
      <c r="M444" s="173" t="str">
        <f t="shared" si="398"/>
        <v>0.000</v>
      </c>
      <c r="N444" s="173" t="str">
        <f t="shared" si="398"/>
        <v>0.000</v>
      </c>
      <c r="O444" s="173" t="str">
        <f t="shared" si="398"/>
        <v>0.000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64.222195512820491</v>
      </c>
      <c r="AO444">
        <v>49.584205728402928</v>
      </c>
      <c r="AP444">
        <v>29.555809886537141</v>
      </c>
      <c r="AQ444">
        <v>334.01439537548714</v>
      </c>
      <c r="AR444">
        <v>46.991008279504037</v>
      </c>
      <c r="AS444">
        <v>436.79724725728011</v>
      </c>
      <c r="AT444">
        <v>37.688388009210989</v>
      </c>
      <c r="AU444">
        <v>32.728000722119525</v>
      </c>
      <c r="AV444"/>
      <c r="AW444"/>
      <c r="FY444" s="211">
        <v>439</v>
      </c>
      <c r="FZ444">
        <v>41.032645524925876</v>
      </c>
      <c r="GA444">
        <v>58.890823244644778</v>
      </c>
      <c r="GB444">
        <v>26.566978990652775</v>
      </c>
      <c r="GC444">
        <v>11.454020774787157</v>
      </c>
      <c r="GD444">
        <v>6.0419382127668975</v>
      </c>
      <c r="GE444">
        <v>9.5161785019602654</v>
      </c>
      <c r="GF444">
        <v>24.694448021654242</v>
      </c>
      <c r="GG444">
        <v>19.435676335301597</v>
      </c>
      <c r="GH444">
        <v>13.604483607974258</v>
      </c>
      <c r="GI444">
        <v>23.383296565491364</v>
      </c>
      <c r="GJ444"/>
      <c r="GK444">
        <v>42.436444157780791</v>
      </c>
      <c r="GL444">
        <v>52.045255795051752</v>
      </c>
      <c r="GM444">
        <v>47.065222446385178</v>
      </c>
      <c r="GN444">
        <v>37.811620035124676</v>
      </c>
      <c r="GO444">
        <v>26.272784947108157</v>
      </c>
      <c r="GP444">
        <v>20.418154945390672</v>
      </c>
      <c r="GQ444">
        <v>33.271264169645875</v>
      </c>
      <c r="GR444">
        <v>29.233719300660375</v>
      </c>
      <c r="GS444">
        <v>15.238475795848485</v>
      </c>
      <c r="GT444">
        <v>32.85683830335369</v>
      </c>
      <c r="GU444"/>
      <c r="GV444"/>
      <c r="GW444"/>
      <c r="GX444"/>
      <c r="GY444"/>
      <c r="GZ444"/>
      <c r="HA444"/>
      <c r="HB444"/>
      <c r="HC444"/>
    </row>
    <row r="445" spans="1:211" s="7" customFormat="1">
      <c r="A445" s="4"/>
      <c r="B445" s="48" t="s">
        <v>42</v>
      </c>
      <c r="C445" s="107">
        <f t="shared" si="391"/>
        <v>10.325451161837179</v>
      </c>
      <c r="D445" s="190">
        <f>A$409</f>
        <v>0.14000000000000001</v>
      </c>
      <c r="E445" s="8"/>
      <c r="F445" s="124"/>
      <c r="G445" s="173" t="str">
        <f t="shared" si="393"/>
        <v>0.000</v>
      </c>
      <c r="H445" s="173" t="str">
        <f t="shared" ref="H445:V445" si="400">IF(H427&lt;=0, "0.000", H427)</f>
        <v>0.000</v>
      </c>
      <c r="I445" s="173">
        <f t="shared" si="400"/>
        <v>1.6647778472786551E-2</v>
      </c>
      <c r="J445" s="173">
        <f t="shared" si="400"/>
        <v>10.308803383364392</v>
      </c>
      <c r="K445" s="173" t="str">
        <f t="shared" si="400"/>
        <v>0.000</v>
      </c>
      <c r="L445" s="173" t="str">
        <f t="shared" si="400"/>
        <v>0.000</v>
      </c>
      <c r="M445" s="173" t="str">
        <f t="shared" si="400"/>
        <v>0.000</v>
      </c>
      <c r="N445" s="173" t="str">
        <f t="shared" si="400"/>
        <v>0.000</v>
      </c>
      <c r="O445" s="173" t="str">
        <f t="shared" si="400"/>
        <v>0.000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53.630956196581188</v>
      </c>
      <c r="AO445">
        <v>39.566598827549399</v>
      </c>
      <c r="AP445">
        <v>14.432725725589297</v>
      </c>
      <c r="AQ445">
        <v>270.86014365842277</v>
      </c>
      <c r="AR445">
        <v>37.561545360948486</v>
      </c>
      <c r="AS445">
        <v>368.04651986710098</v>
      </c>
      <c r="AT445">
        <v>30.590001788876027</v>
      </c>
      <c r="AU445">
        <v>37.477566859450206</v>
      </c>
      <c r="AV445"/>
      <c r="AW445"/>
      <c r="FY445" s="211">
        <v>440</v>
      </c>
      <c r="FZ445">
        <v>43.713888071491738</v>
      </c>
      <c r="GA445">
        <v>68.077799720005729</v>
      </c>
      <c r="GB445">
        <v>23.579447013590695</v>
      </c>
      <c r="GC445">
        <v>11.059369168626009</v>
      </c>
      <c r="GD445">
        <v>8.8365058519589645</v>
      </c>
      <c r="GE445">
        <v>13.569192702010071</v>
      </c>
      <c r="GF445">
        <v>24.817480858772804</v>
      </c>
      <c r="GG445">
        <v>18.679975675848805</v>
      </c>
      <c r="GH445">
        <v>10.116154477724448</v>
      </c>
      <c r="GI445">
        <v>24.118649314625014</v>
      </c>
      <c r="GJ445"/>
      <c r="GK445">
        <v>48.817106080527893</v>
      </c>
      <c r="GL445">
        <v>64.837042173599386</v>
      </c>
      <c r="GM445">
        <v>41.77260497882942</v>
      </c>
      <c r="GN445">
        <v>36.527348741408375</v>
      </c>
      <c r="GO445">
        <v>38.456408076511302</v>
      </c>
      <c r="GP445">
        <v>29.114405432436353</v>
      </c>
      <c r="GQ445">
        <v>33.437028475117422</v>
      </c>
      <c r="GR445">
        <v>28.097049777426928</v>
      </c>
      <c r="GS445">
        <v>11.331174309733489</v>
      </c>
      <c r="GT445">
        <v>34.76286438414391</v>
      </c>
      <c r="GU445"/>
      <c r="GV445"/>
      <c r="GW445"/>
      <c r="GX445"/>
      <c r="GY445"/>
      <c r="GZ445"/>
      <c r="HA445"/>
      <c r="HB445"/>
      <c r="HC445"/>
    </row>
    <row r="446" spans="1:211" s="7" customFormat="1">
      <c r="A446" s="4"/>
      <c r="B446" s="48" t="s">
        <v>118</v>
      </c>
      <c r="C446" s="107">
        <f t="shared" si="391"/>
        <v>10.973022315803053</v>
      </c>
      <c r="D446" s="190">
        <f>A$410</f>
        <v>0.21</v>
      </c>
      <c r="E446" s="8"/>
      <c r="F446" s="124"/>
      <c r="G446" s="173" t="str">
        <f t="shared" si="393"/>
        <v>0.000</v>
      </c>
      <c r="H446" s="173" t="str">
        <f t="shared" ref="H446:V446" si="402">IF(H428&lt;=0, "0.000", H428)</f>
        <v>0.000</v>
      </c>
      <c r="I446" s="173" t="str">
        <f t="shared" si="402"/>
        <v>0.000</v>
      </c>
      <c r="J446" s="173">
        <f t="shared" si="402"/>
        <v>10.973022315803053</v>
      </c>
      <c r="K446" s="173" t="str">
        <f t="shared" si="402"/>
        <v>0.000</v>
      </c>
      <c r="L446" s="173" t="str">
        <f t="shared" si="402"/>
        <v>0.000</v>
      </c>
      <c r="M446" s="173" t="str">
        <f t="shared" si="402"/>
        <v>0.000</v>
      </c>
      <c r="N446" s="173" t="str">
        <f t="shared" si="402"/>
        <v>0.000</v>
      </c>
      <c r="O446" s="173" t="str">
        <f t="shared" si="402"/>
        <v>0.000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53.828472222222231</v>
      </c>
      <c r="AO446">
        <v>39.930080762173908</v>
      </c>
      <c r="AP446">
        <v>10.338659473778204</v>
      </c>
      <c r="AQ446">
        <v>279.50876336428024</v>
      </c>
      <c r="AR446">
        <v>37.52227952295879</v>
      </c>
      <c r="AS446">
        <v>370.4489550947365</v>
      </c>
      <c r="AT446">
        <v>30.805926976404873</v>
      </c>
      <c r="AU446">
        <v>19.065838124280525</v>
      </c>
      <c r="AV446"/>
      <c r="AW446"/>
      <c r="FY446" s="211">
        <v>441</v>
      </c>
      <c r="FZ446">
        <v>39.576882665822296</v>
      </c>
      <c r="GA446">
        <v>67.025891921082177</v>
      </c>
      <c r="GB446">
        <v>25.474224005754227</v>
      </c>
      <c r="GC446">
        <v>11.974179831907753</v>
      </c>
      <c r="GD446">
        <v>8.8566166548919529</v>
      </c>
      <c r="GE446">
        <v>12.065655176185144</v>
      </c>
      <c r="GF446">
        <v>20.37072260291621</v>
      </c>
      <c r="GG446">
        <v>15.82248255729292</v>
      </c>
      <c r="GH446">
        <v>11.511486129824371</v>
      </c>
      <c r="GI446">
        <v>23.474411126529002</v>
      </c>
      <c r="GJ446"/>
      <c r="GK446">
        <v>40.934150375969466</v>
      </c>
      <c r="GL446">
        <v>59.234690529503325</v>
      </c>
      <c r="GM446">
        <v>45.129332164628202</v>
      </c>
      <c r="GN446">
        <v>39.533463323837083</v>
      </c>
      <c r="GO446">
        <v>38.52658178703053</v>
      </c>
      <c r="GP446">
        <v>25.888377025951669</v>
      </c>
      <c r="GQ446">
        <v>27.445832863074433</v>
      </c>
      <c r="GR446">
        <v>23.799018142700433</v>
      </c>
      <c r="GS446">
        <v>12.894094904179488</v>
      </c>
      <c r="GT446">
        <v>32.985998418976422</v>
      </c>
      <c r="GU446"/>
      <c r="GV446"/>
      <c r="GW446"/>
      <c r="GX446"/>
      <c r="GY446"/>
      <c r="GZ446"/>
      <c r="HA446"/>
      <c r="HB446"/>
      <c r="HC446"/>
    </row>
    <row r="447" spans="1:211" s="7" customFormat="1">
      <c r="A447" s="4"/>
      <c r="B447" s="48" t="s">
        <v>119</v>
      </c>
      <c r="C447" s="107">
        <f t="shared" si="391"/>
        <v>12.566925505681695</v>
      </c>
      <c r="D447" s="190">
        <f>A$411</f>
        <v>1.28</v>
      </c>
      <c r="E447" s="8"/>
      <c r="F447" s="124"/>
      <c r="G447" s="173" t="str">
        <f t="shared" si="393"/>
        <v>0.000</v>
      </c>
      <c r="H447" s="173" t="str">
        <f t="shared" ref="H447:V447" si="404">IF(H429&lt;=0, "0.000", H429)</f>
        <v>0.000</v>
      </c>
      <c r="I447" s="173" t="str">
        <f t="shared" si="404"/>
        <v>0.000</v>
      </c>
      <c r="J447" s="173">
        <f t="shared" si="404"/>
        <v>12.566925505681695</v>
      </c>
      <c r="K447" s="173" t="str">
        <f t="shared" si="404"/>
        <v>0.000</v>
      </c>
      <c r="L447" s="173" t="str">
        <f t="shared" si="404"/>
        <v>0.000</v>
      </c>
      <c r="M447" s="173" t="str">
        <f t="shared" si="404"/>
        <v>0.000</v>
      </c>
      <c r="N447" s="173" t="str">
        <f t="shared" si="404"/>
        <v>0.000</v>
      </c>
      <c r="O447" s="173" t="str">
        <f t="shared" si="404"/>
        <v>0.000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47.878605769230759</v>
      </c>
      <c r="AO447">
        <v>40.517248996269799</v>
      </c>
      <c r="AP447">
        <v>37.06526214924331</v>
      </c>
      <c r="AQ447">
        <v>285.53827457721587</v>
      </c>
      <c r="AR447">
        <v>37.935011324514051</v>
      </c>
      <c r="AS447">
        <v>348.51403103442959</v>
      </c>
      <c r="AT447">
        <v>29.182784198065566</v>
      </c>
      <c r="AU447">
        <v>8.8026631124473305</v>
      </c>
      <c r="AV447"/>
      <c r="AW447"/>
      <c r="FY447" s="211">
        <v>442</v>
      </c>
      <c r="FZ447">
        <v>47.314509236370348</v>
      </c>
      <c r="GA447">
        <v>55.835578433283551</v>
      </c>
      <c r="GB447">
        <v>20.070600731806362</v>
      </c>
      <c r="GC447">
        <v>11.486033301643239</v>
      </c>
      <c r="GD447">
        <v>7.9920063665717471</v>
      </c>
      <c r="GE447">
        <v>11.762146048301231</v>
      </c>
      <c r="GF447">
        <v>23.657456965940646</v>
      </c>
      <c r="GG447">
        <v>22.316785099465385</v>
      </c>
      <c r="GH447">
        <v>15.404898895651234</v>
      </c>
      <c r="GI447">
        <v>23.934918115743468</v>
      </c>
      <c r="GJ447"/>
      <c r="GK447">
        <v>50.732545876735259</v>
      </c>
      <c r="GL447">
        <v>51.681517413346626</v>
      </c>
      <c r="GM447">
        <v>35.556443523646465</v>
      </c>
      <c r="GN447">
        <v>37.932712830918774</v>
      </c>
      <c r="GO447">
        <v>34.776815476748965</v>
      </c>
      <c r="GP447">
        <v>25.23716011159917</v>
      </c>
      <c r="GQ447">
        <v>31.874107880671417</v>
      </c>
      <c r="GR447">
        <v>33.567271857987919</v>
      </c>
      <c r="GS447">
        <v>17.941261762994426</v>
      </c>
      <c r="GT447">
        <v>34.176234904159308</v>
      </c>
      <c r="GU447"/>
      <c r="GV447"/>
      <c r="GW447"/>
      <c r="GX447"/>
      <c r="GY447"/>
      <c r="GZ447"/>
      <c r="HA447"/>
      <c r="HB447"/>
      <c r="HC447"/>
    </row>
    <row r="448" spans="1:211" s="7" customFormat="1">
      <c r="A448" s="4"/>
      <c r="B448" s="48" t="s">
        <v>120</v>
      </c>
      <c r="C448" s="107">
        <f t="shared" si="391"/>
        <v>12.469060880971139</v>
      </c>
      <c r="D448" s="190">
        <f>A$412</f>
        <v>4</v>
      </c>
      <c r="E448" s="8"/>
      <c r="F448" s="124"/>
      <c r="G448" s="173" t="str">
        <f t="shared" si="393"/>
        <v>0.000</v>
      </c>
      <c r="H448" s="173" t="str">
        <f t="shared" ref="H448:V448" si="406">IF(H430&lt;=0, "0.000", H430)</f>
        <v>0.000</v>
      </c>
      <c r="I448" s="173" t="str">
        <f t="shared" si="406"/>
        <v>0.000</v>
      </c>
      <c r="J448" s="173">
        <f t="shared" si="406"/>
        <v>12.469060880971139</v>
      </c>
      <c r="K448" s="173" t="str">
        <f t="shared" si="406"/>
        <v>0.000</v>
      </c>
      <c r="L448" s="173" t="str">
        <f t="shared" si="406"/>
        <v>0.000</v>
      </c>
      <c r="M448" s="173" t="str">
        <f t="shared" si="406"/>
        <v>0.000</v>
      </c>
      <c r="N448" s="173" t="str">
        <f t="shared" si="406"/>
        <v>0.000</v>
      </c>
      <c r="O448" s="173" t="str">
        <f t="shared" si="406"/>
        <v>0.000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45.709081196581195</v>
      </c>
      <c r="AO448">
        <v>34.118794858719795</v>
      </c>
      <c r="AP448">
        <v>2.6201026607921505</v>
      </c>
      <c r="AQ448">
        <v>230.06983313509835</v>
      </c>
      <c r="AR448">
        <v>33.302021069158826</v>
      </c>
      <c r="AS448">
        <v>333.64100653291132</v>
      </c>
      <c r="AT448">
        <v>27.488697751456883</v>
      </c>
      <c r="AU448">
        <v>33.874312409197458</v>
      </c>
      <c r="AV448"/>
      <c r="AW448"/>
      <c r="FY448" s="211">
        <v>443</v>
      </c>
      <c r="FZ448">
        <v>42.694270875860639</v>
      </c>
      <c r="GA448">
        <v>56.985099007127957</v>
      </c>
      <c r="GB448">
        <v>20.732268887799979</v>
      </c>
      <c r="GC448">
        <v>14.531995035089169</v>
      </c>
      <c r="GD448">
        <v>10.483573443683111</v>
      </c>
      <c r="GE448">
        <v>10.244600408881661</v>
      </c>
      <c r="GF448">
        <v>21.53074649574836</v>
      </c>
      <c r="GG448">
        <v>18.939747777535704</v>
      </c>
      <c r="GH448">
        <v>9.1259064612015752</v>
      </c>
      <c r="GI448">
        <v>23.554873292713669</v>
      </c>
      <c r="GJ448"/>
      <c r="GK448">
        <v>45.951268865159278</v>
      </c>
      <c r="GL448">
        <v>52.697415799736518</v>
      </c>
      <c r="GM448">
        <v>36.72863396948096</v>
      </c>
      <c r="GN448">
        <v>47.981522749119065</v>
      </c>
      <c r="GO448">
        <v>45.607085692172262</v>
      </c>
      <c r="GP448">
        <v>21.981075539836674</v>
      </c>
      <c r="GQ448">
        <v>29.008753457520424</v>
      </c>
      <c r="GR448">
        <v>28.487779926038424</v>
      </c>
      <c r="GS448">
        <v>10.90811908798743</v>
      </c>
      <c r="GT448">
        <v>33.640772214464072</v>
      </c>
      <c r="GU448"/>
      <c r="GV448"/>
      <c r="GW448"/>
      <c r="GX448"/>
      <c r="GY448"/>
      <c r="GZ448"/>
      <c r="HA448"/>
      <c r="HB448"/>
      <c r="HC448"/>
    </row>
    <row r="449" spans="1:211" s="7" customFormat="1">
      <c r="A449" s="4"/>
      <c r="B449" s="48" t="s">
        <v>121</v>
      </c>
      <c r="C449" s="107">
        <f t="shared" si="391"/>
        <v>15.056065982626254</v>
      </c>
      <c r="D449" s="190">
        <f>A$413</f>
        <v>7.33</v>
      </c>
      <c r="E449" s="8"/>
      <c r="F449" s="124"/>
      <c r="G449" s="173" t="str">
        <f t="shared" si="393"/>
        <v>0.000</v>
      </c>
      <c r="H449" s="173" t="str">
        <f t="shared" ref="H449:V449" si="408">IF(H431&lt;=0, "0.000", H431)</f>
        <v>0.000</v>
      </c>
      <c r="I449" s="173" t="str">
        <f t="shared" si="408"/>
        <v>0.000</v>
      </c>
      <c r="J449" s="173">
        <f t="shared" si="408"/>
        <v>13.604483607974258</v>
      </c>
      <c r="K449" s="173">
        <f t="shared" si="408"/>
        <v>1.4515823746519965</v>
      </c>
      <c r="L449" s="173" t="str">
        <f t="shared" si="408"/>
        <v>0.000</v>
      </c>
      <c r="M449" s="173" t="str">
        <f t="shared" si="408"/>
        <v>0.000</v>
      </c>
      <c r="N449" s="173" t="str">
        <f t="shared" si="408"/>
        <v>0.000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56.886324786324778</v>
      </c>
      <c r="AO449">
        <v>43.749786913185709</v>
      </c>
      <c r="AP449">
        <v>22.486554820995305</v>
      </c>
      <c r="AQ449">
        <v>296.38634211997947</v>
      </c>
      <c r="AR449">
        <v>41.426788625200849</v>
      </c>
      <c r="AS449">
        <v>408.55089884984966</v>
      </c>
      <c r="AT449">
        <v>33.136654161273249</v>
      </c>
      <c r="AU449">
        <v>29.222697647766921</v>
      </c>
      <c r="AV449"/>
      <c r="AW449"/>
      <c r="FY449" s="211">
        <v>444</v>
      </c>
      <c r="FZ449">
        <v>36.418059764885889</v>
      </c>
      <c r="GA449">
        <v>47.66089148478008</v>
      </c>
      <c r="GB449">
        <v>22.055605199787212</v>
      </c>
      <c r="GC449">
        <v>14.561438534659084</v>
      </c>
      <c r="GD449">
        <v>9.96020702071697</v>
      </c>
      <c r="GE449">
        <v>11.080417853361977</v>
      </c>
      <c r="GF449">
        <v>10.150209062281371</v>
      </c>
      <c r="GG449">
        <v>7.0138467455462647</v>
      </c>
      <c r="GH449">
        <v>14.358400156576293</v>
      </c>
      <c r="GI449">
        <v>21.346298043999898</v>
      </c>
      <c r="GJ449"/>
      <c r="GK449">
        <v>37.647097984832982</v>
      </c>
      <c r="GL449">
        <v>42.120710020319656</v>
      </c>
      <c r="GM449">
        <v>39.073014861149964</v>
      </c>
      <c r="GN449">
        <v>48.082610095047876</v>
      </c>
      <c r="GO449">
        <v>43.333735981154256</v>
      </c>
      <c r="GP449">
        <v>23.774426734745862</v>
      </c>
      <c r="GQ449">
        <v>13.675555201402489</v>
      </c>
      <c r="GR449">
        <v>10.54971401251049</v>
      </c>
      <c r="GS449">
        <v>16.769071317159927</v>
      </c>
      <c r="GT449">
        <v>30.099695069139923</v>
      </c>
      <c r="GU449"/>
      <c r="GV449"/>
      <c r="GW449"/>
      <c r="GX449"/>
      <c r="GY449"/>
      <c r="GZ449"/>
      <c r="HA449"/>
      <c r="HB449"/>
      <c r="HC449"/>
    </row>
    <row r="450" spans="1:211" s="7" customFormat="1">
      <c r="A450" s="13" t="s">
        <v>12</v>
      </c>
      <c r="B450" s="48" t="s">
        <v>122</v>
      </c>
      <c r="C450" s="107">
        <f t="shared" si="391"/>
        <v>26.723195643192767</v>
      </c>
      <c r="D450" s="190">
        <f>A$414</f>
        <v>10.51</v>
      </c>
      <c r="E450" s="8"/>
      <c r="F450" s="124"/>
      <c r="G450" s="173" t="str">
        <f t="shared" si="393"/>
        <v>0.000</v>
      </c>
      <c r="H450" s="173" t="str">
        <f t="shared" ref="H450:V450" si="410">IF(H432&lt;=0, "0.000", H432)</f>
        <v>0.000</v>
      </c>
      <c r="I450" s="173">
        <f t="shared" si="410"/>
        <v>4.2639728578330476E-2</v>
      </c>
      <c r="J450" s="173">
        <f t="shared" si="410"/>
        <v>25.422148036676596</v>
      </c>
      <c r="K450" s="173">
        <f t="shared" si="410"/>
        <v>1.2584078779378427</v>
      </c>
      <c r="L450" s="173" t="str">
        <f t="shared" si="410"/>
        <v>0.000</v>
      </c>
      <c r="M450" s="173" t="str">
        <f t="shared" si="410"/>
        <v>0.000</v>
      </c>
      <c r="N450" s="173" t="str">
        <f t="shared" si="410"/>
        <v>0.000</v>
      </c>
      <c r="O450" s="173" t="str">
        <f t="shared" si="410"/>
        <v>0.000</v>
      </c>
      <c r="P450" s="173" t="str">
        <f t="shared" si="410"/>
        <v>0.000</v>
      </c>
      <c r="Q450" s="173" t="str">
        <f t="shared" si="410"/>
        <v>0.000</v>
      </c>
      <c r="R450" s="173" t="str">
        <f t="shared" si="410"/>
        <v>0.000</v>
      </c>
      <c r="S450" s="173" t="str">
        <f t="shared" si="410"/>
        <v>0.000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53.09679487179487</v>
      </c>
      <c r="AO450">
        <v>43.065035640483835</v>
      </c>
      <c r="AP450">
        <v>40.049602609717851</v>
      </c>
      <c r="AQ450">
        <v>298.41690170509906</v>
      </c>
      <c r="AR450">
        <v>41.689371890213053</v>
      </c>
      <c r="AS450">
        <v>376.67810435613967</v>
      </c>
      <c r="AT450">
        <v>32.690896644501628</v>
      </c>
      <c r="AU450">
        <v>35.145017846923679</v>
      </c>
      <c r="AV450"/>
      <c r="AW450"/>
      <c r="FY450" s="211">
        <v>445</v>
      </c>
      <c r="FZ450">
        <v>53.448270215260806</v>
      </c>
      <c r="GA450">
        <v>62.153347531730638</v>
      </c>
      <c r="GB450">
        <v>19.95029743071661</v>
      </c>
      <c r="GC450">
        <v>14.422881117273882</v>
      </c>
      <c r="GD450">
        <v>8.4672853564540098</v>
      </c>
      <c r="GE450">
        <v>10.109188644133452</v>
      </c>
      <c r="GF450">
        <v>21.864692767927323</v>
      </c>
      <c r="GG450">
        <v>13.69707445258193</v>
      </c>
      <c r="GH450">
        <v>10.228655922828594</v>
      </c>
      <c r="GI450">
        <v>23.899871484249179</v>
      </c>
      <c r="GJ450"/>
      <c r="GK450">
        <v>58.883574716188889</v>
      </c>
      <c r="GL450">
        <v>59.601258182205278</v>
      </c>
      <c r="GM450">
        <v>35.343317988040191</v>
      </c>
      <c r="GN450">
        <v>47.632657079665783</v>
      </c>
      <c r="GO450">
        <v>36.84522612359445</v>
      </c>
      <c r="GP450">
        <v>21.690532608817865</v>
      </c>
      <c r="GQ450">
        <v>29.458685143800341</v>
      </c>
      <c r="GR450">
        <v>20.602135108606344</v>
      </c>
      <c r="GS450">
        <v>12.829444757910373</v>
      </c>
      <c r="GT450">
        <v>34.672049745906847</v>
      </c>
      <c r="GU450"/>
      <c r="GV450"/>
      <c r="GW450"/>
      <c r="GX450"/>
      <c r="GY450"/>
      <c r="GZ450"/>
      <c r="HA450"/>
      <c r="HB450"/>
      <c r="HC450"/>
    </row>
    <row r="451" spans="1:211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52.485683760683756</v>
      </c>
      <c r="AO451">
        <v>40.865574500626323</v>
      </c>
      <c r="AP451">
        <v>26.764761489899392</v>
      </c>
      <c r="AQ451">
        <v>284.06465049049297</v>
      </c>
      <c r="AR451">
        <v>39.307828455077463</v>
      </c>
      <c r="AS451">
        <v>377.95447272344376</v>
      </c>
      <c r="AT451">
        <v>31.331143131435677</v>
      </c>
      <c r="AU451">
        <v>33.15010823541823</v>
      </c>
      <c r="AV451"/>
      <c r="AW451"/>
      <c r="FY451" s="211">
        <v>446</v>
      </c>
      <c r="FZ451">
        <v>43.688078793184133</v>
      </c>
      <c r="GA451">
        <v>72.370989764737857</v>
      </c>
      <c r="GB451">
        <v>29.424182391534309</v>
      </c>
      <c r="GC451">
        <v>13.174051684232424</v>
      </c>
      <c r="GD451">
        <v>9.3270545291975484</v>
      </c>
      <c r="GE451">
        <v>12.976182559836888</v>
      </c>
      <c r="GF451">
        <v>26.170842067076986</v>
      </c>
      <c r="GG451">
        <v>18.939747777535704</v>
      </c>
      <c r="GH451">
        <v>10.870071026326483</v>
      </c>
      <c r="GI451">
        <v>26.342009934918284</v>
      </c>
      <c r="GJ451"/>
      <c r="GK451">
        <v>46.981536450064866</v>
      </c>
      <c r="GL451">
        <v>66.294824971416716</v>
      </c>
      <c r="GM451">
        <v>52.126953917034164</v>
      </c>
      <c r="GN451">
        <v>43.477249848195768</v>
      </c>
      <c r="GO451">
        <v>40.552238490932758</v>
      </c>
      <c r="GP451">
        <v>27.842027769009171</v>
      </c>
      <c r="GQ451">
        <v>35.26043583530442</v>
      </c>
      <c r="GR451">
        <v>28.487779926038424</v>
      </c>
      <c r="GS451">
        <v>12.861769831044931</v>
      </c>
      <c r="GT451">
        <v>37.556586904876234</v>
      </c>
      <c r="GU451"/>
      <c r="GV451"/>
      <c r="GW451"/>
      <c r="GX451"/>
      <c r="GY451"/>
      <c r="GZ451"/>
      <c r="HA451"/>
      <c r="HB451"/>
      <c r="HC451"/>
    </row>
    <row r="452" spans="1:211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47.80702457264956</v>
      </c>
      <c r="AO452">
        <v>39.096639989080806</v>
      </c>
      <c r="AP452">
        <v>41.865501373335519</v>
      </c>
      <c r="AQ452">
        <v>245.87561295093258</v>
      </c>
      <c r="AR452">
        <v>37.087153647017388</v>
      </c>
      <c r="AS452">
        <v>339.58901705041802</v>
      </c>
      <c r="AT452">
        <v>28.944953112249138</v>
      </c>
      <c r="AU452">
        <v>24.289347351875541</v>
      </c>
      <c r="AV452"/>
      <c r="AW452"/>
      <c r="FY452" s="211">
        <v>447</v>
      </c>
      <c r="FZ452">
        <v>61.24114661136619</v>
      </c>
      <c r="GA452">
        <v>105.96317226941103</v>
      </c>
      <c r="GB452">
        <v>38.697561850535735</v>
      </c>
      <c r="GC452">
        <v>12.307223323290557</v>
      </c>
      <c r="GD452">
        <v>8.9340035413371321</v>
      </c>
      <c r="GE452">
        <v>11.944251525031579</v>
      </c>
      <c r="GF452">
        <v>23.103809198907122</v>
      </c>
      <c r="GG452">
        <v>17.924275016396006</v>
      </c>
      <c r="GH452">
        <v>10.17240520027652</v>
      </c>
      <c r="GI452">
        <v>30.216512059384883</v>
      </c>
      <c r="GJ452"/>
      <c r="GK452">
        <v>68.742597029589376</v>
      </c>
      <c r="GL452">
        <v>100.6549155533191</v>
      </c>
      <c r="GM452">
        <v>68.555380620017644</v>
      </c>
      <c r="GN452">
        <v>40.629613228140947</v>
      </c>
      <c r="GO452">
        <v>38.859031855411921</v>
      </c>
      <c r="GP452">
        <v>25.62789026021067</v>
      </c>
      <c r="GQ452">
        <v>31.128168506049469</v>
      </c>
      <c r="GR452">
        <v>26.960380254193474</v>
      </c>
      <c r="GS452">
        <v>12.080309533821929</v>
      </c>
      <c r="GT452">
        <v>43.873097508978063</v>
      </c>
      <c r="GU452"/>
      <c r="GV452"/>
      <c r="GW452"/>
      <c r="GX452"/>
      <c r="GY452"/>
      <c r="GZ452"/>
      <c r="HA452"/>
      <c r="HB452"/>
      <c r="HC452"/>
    </row>
    <row r="453" spans="1:211" s="7" customFormat="1">
      <c r="A453" s="214">
        <v>1.0721E-2</v>
      </c>
      <c r="B453" s="52" t="s">
        <v>53</v>
      </c>
      <c r="C453" s="53">
        <f>SUM(C441:C452)</f>
        <v>263.68014395552603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47.444444444444436</v>
      </c>
      <c r="AO453">
        <v>38.113224690694913</v>
      </c>
      <c r="AP453">
        <v>38.897633946943628</v>
      </c>
      <c r="AQ453">
        <v>266.48040549693206</v>
      </c>
      <c r="AR453">
        <v>36.592606424763638</v>
      </c>
      <c r="AS453">
        <v>347.43724163081811</v>
      </c>
      <c r="AT453">
        <v>28.205172663977521</v>
      </c>
      <c r="AU453">
        <v>37.411764202263413</v>
      </c>
      <c r="AV453"/>
      <c r="AW453"/>
      <c r="FY453" s="211">
        <v>448</v>
      </c>
      <c r="FZ453">
        <v>61.214848730866336</v>
      </c>
      <c r="GA453">
        <v>101.09981599545389</v>
      </c>
      <c r="GB453">
        <v>32.63227042059426</v>
      </c>
      <c r="GC453">
        <v>11.443428326289723</v>
      </c>
      <c r="GD453">
        <v>8.2330990113733193</v>
      </c>
      <c r="GE453">
        <v>12.854778908683322</v>
      </c>
      <c r="GF453">
        <v>21.073767386450843</v>
      </c>
      <c r="GG453">
        <v>15.32655399952702</v>
      </c>
      <c r="GH453">
        <v>12.963068504476368</v>
      </c>
      <c r="GI453">
        <v>28.306904589320592</v>
      </c>
      <c r="GJ453"/>
      <c r="GK453">
        <v>68.702639452614221</v>
      </c>
      <c r="GL453">
        <v>96.356883918592601</v>
      </c>
      <c r="GM453">
        <v>57.810301533201425</v>
      </c>
      <c r="GN453">
        <v>37.791995329845399</v>
      </c>
      <c r="GO453">
        <v>35.826048882810618</v>
      </c>
      <c r="GP453">
        <v>27.581541003268168</v>
      </c>
      <c r="GQ453">
        <v>28.393057465768972</v>
      </c>
      <c r="GR453">
        <v>23.053078768078475</v>
      </c>
      <c r="GS453">
        <v>15.206150722713929</v>
      </c>
      <c r="GT453">
        <v>41.187639611421829</v>
      </c>
      <c r="GU453"/>
      <c r="GV453"/>
      <c r="GW453"/>
      <c r="GX453"/>
      <c r="GY453"/>
      <c r="GZ453"/>
      <c r="HA453"/>
      <c r="HB453"/>
      <c r="HC453"/>
    </row>
    <row r="454" spans="1:211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50.959508547008546</v>
      </c>
      <c r="AO454">
        <v>37.612711606889846</v>
      </c>
      <c r="AP454">
        <v>9.4823271775744011</v>
      </c>
      <c r="AQ454">
        <v>250.56573013378659</v>
      </c>
      <c r="AR454">
        <v>35.847629255840943</v>
      </c>
      <c r="AS454">
        <v>377.88423309201988</v>
      </c>
      <c r="AT454">
        <v>29.198410013030514</v>
      </c>
      <c r="AU454">
        <v>35.037010674025943</v>
      </c>
      <c r="AV454"/>
      <c r="AW454"/>
      <c r="FY454" s="211">
        <v>449</v>
      </c>
      <c r="FZ454">
        <v>50.537377230083727</v>
      </c>
      <c r="GA454">
        <v>77.63685106426145</v>
      </c>
      <c r="GB454">
        <v>28.331427406635758</v>
      </c>
      <c r="GC454">
        <v>11.884782779709147</v>
      </c>
      <c r="GD454">
        <v>6.5548681791998824</v>
      </c>
      <c r="GE454">
        <v>8.1947464528656848</v>
      </c>
      <c r="GF454">
        <v>21.117707685421767</v>
      </c>
      <c r="GG454">
        <v>17.097727420119515</v>
      </c>
      <c r="GH454">
        <v>11.860319042849351</v>
      </c>
      <c r="GI454">
        <v>24.583161005208279</v>
      </c>
      <c r="GJ454"/>
      <c r="GK454">
        <v>52.257255524331136</v>
      </c>
      <c r="GL454">
        <v>68.612214096179343</v>
      </c>
      <c r="GM454">
        <v>50.191063635277182</v>
      </c>
      <c r="GN454">
        <v>39.249719345819074</v>
      </c>
      <c r="GO454">
        <v>28.522400720303349</v>
      </c>
      <c r="GP454">
        <v>17.582856687517484</v>
      </c>
      <c r="GQ454">
        <v>28.452259003437391</v>
      </c>
      <c r="GR454">
        <v>25.717147963156886</v>
      </c>
      <c r="GS454">
        <v>13.284825052790985</v>
      </c>
      <c r="GT454">
        <v>34.541560787228008</v>
      </c>
      <c r="GU454"/>
      <c r="GV454"/>
      <c r="GW454"/>
      <c r="GX454"/>
      <c r="GY454"/>
      <c r="GZ454"/>
      <c r="HA454"/>
      <c r="HB454"/>
      <c r="HC454"/>
    </row>
    <row r="455" spans="1:211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0"/>
      <c r="P455" s="220"/>
      <c r="Q455" s="220"/>
      <c r="R455" s="220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45.687713675213672</v>
      </c>
      <c r="AO455">
        <v>33.66497798963497</v>
      </c>
      <c r="AP455">
        <v>7.169458392111312</v>
      </c>
      <c r="AQ455">
        <v>234.62048978015923</v>
      </c>
      <c r="AR455">
        <v>32.85683830335369</v>
      </c>
      <c r="AS455">
        <v>319.29755349077578</v>
      </c>
      <c r="AT455">
        <v>26.755871074978483</v>
      </c>
      <c r="AU455">
        <v>26.728677543344162</v>
      </c>
      <c r="AV455"/>
      <c r="AW455"/>
      <c r="FY455" s="211">
        <v>450</v>
      </c>
      <c r="FZ455">
        <v>43.017262823660779</v>
      </c>
      <c r="GA455">
        <v>54.91171356595256</v>
      </c>
      <c r="GB455">
        <v>27.018116369739332</v>
      </c>
      <c r="GC455">
        <v>13.874294417954786</v>
      </c>
      <c r="GD455">
        <v>8.4134722974020235</v>
      </c>
      <c r="GE455">
        <v>11.883549699454797</v>
      </c>
      <c r="GF455">
        <v>16.600644951211695</v>
      </c>
      <c r="GG455">
        <v>13.484533642110831</v>
      </c>
      <c r="GH455">
        <v>13.311901417501348</v>
      </c>
      <c r="GI455">
        <v>23.679400667152436</v>
      </c>
      <c r="GJ455"/>
      <c r="GK455">
        <v>44.485760147648215</v>
      </c>
      <c r="GL455">
        <v>48.528684457548252</v>
      </c>
      <c r="GM455">
        <v>47.864443204908703</v>
      </c>
      <c r="GN455">
        <v>45.801561302692967</v>
      </c>
      <c r="GO455">
        <v>36.58934664504492</v>
      </c>
      <c r="GP455">
        <v>25.49764687734017</v>
      </c>
      <c r="GQ455">
        <v>22.366340931124935</v>
      </c>
      <c r="GR455">
        <v>20.282446805196933</v>
      </c>
      <c r="GS455">
        <v>15.596880871325425</v>
      </c>
      <c r="GT455">
        <v>33.380554360010436</v>
      </c>
      <c r="GU455"/>
      <c r="GV455"/>
      <c r="GW455"/>
      <c r="GX455"/>
      <c r="GY455"/>
      <c r="GZ455"/>
      <c r="HA455"/>
      <c r="HB455"/>
      <c r="HC455"/>
    </row>
    <row r="456" spans="1:211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44.433066239316233</v>
      </c>
      <c r="AO456">
        <v>36.715303242973448</v>
      </c>
      <c r="AP456">
        <v>25.411778180495617</v>
      </c>
      <c r="AQ456">
        <v>246.56846285465426</v>
      </c>
      <c r="AR456">
        <v>34.762864384143889</v>
      </c>
      <c r="AS456">
        <v>291.04924777692747</v>
      </c>
      <c r="AT456">
        <v>27.617789595815463</v>
      </c>
      <c r="AU456">
        <v>12.412997979951024</v>
      </c>
      <c r="AV456"/>
      <c r="AW456"/>
      <c r="FY456" s="211">
        <v>451</v>
      </c>
      <c r="FZ456">
        <v>36.894174312679702</v>
      </c>
      <c r="GA456">
        <v>80.771332419754771</v>
      </c>
      <c r="GB456">
        <v>36.712557382554898</v>
      </c>
      <c r="GC456">
        <v>12.318103694794347</v>
      </c>
      <c r="GD456">
        <v>8.8458011331383997</v>
      </c>
      <c r="GE456">
        <v>14.115509132201121</v>
      </c>
      <c r="GF456">
        <v>35.521337688087712</v>
      </c>
      <c r="GG456">
        <v>24.631118369039577</v>
      </c>
      <c r="GH456">
        <v>10.870071026326482</v>
      </c>
      <c r="GI456">
        <v>28.675668373169486</v>
      </c>
      <c r="GJ456"/>
      <c r="GK456">
        <v>39.940324613686052</v>
      </c>
      <c r="GL456">
        <v>73.718697795035197</v>
      </c>
      <c r="GM456">
        <v>65.038809282514165</v>
      </c>
      <c r="GN456">
        <v>40.657869136746505</v>
      </c>
      <c r="GO456">
        <v>38.46650145012817</v>
      </c>
      <c r="GP456">
        <v>30.286595878270859</v>
      </c>
      <c r="GQ456">
        <v>47.858523051141866</v>
      </c>
      <c r="GR456">
        <v>37.048322272890374</v>
      </c>
      <c r="GS456">
        <v>12.861769831044928</v>
      </c>
      <c r="GT456">
        <v>40.833185645703033</v>
      </c>
      <c r="GU456"/>
      <c r="GV456"/>
      <c r="GW456"/>
      <c r="GX456"/>
      <c r="GY456"/>
      <c r="GZ456"/>
      <c r="HA456"/>
      <c r="HB456"/>
      <c r="HC456"/>
    </row>
    <row r="457" spans="1:211" s="7" customFormat="1">
      <c r="A457" s="214">
        <v>1.936E-3</v>
      </c>
      <c r="B457" s="4"/>
      <c r="C457" s="100">
        <v>0.5</v>
      </c>
      <c r="D457" s="101">
        <f>SUM($E$228:$E$347)/$A$438</f>
        <v>0</v>
      </c>
      <c r="E457" s="97">
        <f>+G36</f>
        <v>1.1646714346682511E-5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46.70616987179487</v>
      </c>
      <c r="AO457">
        <v>34.637153953585106</v>
      </c>
      <c r="AP457">
        <v>4.7291017551859937</v>
      </c>
      <c r="AQ457">
        <v>236.15255267220601</v>
      </c>
      <c r="AR457">
        <v>32.985998418976429</v>
      </c>
      <c r="AS457">
        <v>307.54205740245635</v>
      </c>
      <c r="AT457">
        <v>27.08433562939236</v>
      </c>
      <c r="AU457">
        <v>21.216189323810823</v>
      </c>
      <c r="AV457"/>
      <c r="AW457"/>
      <c r="FY457" s="211">
        <v>452</v>
      </c>
      <c r="FZ457">
        <v>44.077481636643249</v>
      </c>
      <c r="GA457">
        <v>68.480304745572141</v>
      </c>
      <c r="GB457">
        <v>25.905310834659165</v>
      </c>
      <c r="GC457">
        <v>14.109041504260572</v>
      </c>
      <c r="GD457">
        <v>8.6025011547349681</v>
      </c>
      <c r="GE457">
        <v>9.1052738365174264</v>
      </c>
      <c r="GF457">
        <v>19.694041998764114</v>
      </c>
      <c r="GG457">
        <v>12.705217337050135</v>
      </c>
      <c r="GH457">
        <v>8.4844913577036873</v>
      </c>
      <c r="GI457">
        <v>23.462961615543751</v>
      </c>
      <c r="GJ457"/>
      <c r="GK457">
        <v>47.386635797192056</v>
      </c>
      <c r="GL457">
        <v>62.856399663635514</v>
      </c>
      <c r="GM457">
        <v>45.89303200055069</v>
      </c>
      <c r="GN457">
        <v>46.580733953146868</v>
      </c>
      <c r="GO457">
        <v>37.416335922077138</v>
      </c>
      <c r="GP457">
        <v>19.536507430574979</v>
      </c>
      <c r="GQ457">
        <v>26.534129182980926</v>
      </c>
      <c r="GR457">
        <v>19.110256359362435</v>
      </c>
      <c r="GS457">
        <v>10.875794014852875</v>
      </c>
      <c r="GT457">
        <v>33.621185383530737</v>
      </c>
      <c r="GU457"/>
      <c r="GV457"/>
      <c r="GW457"/>
      <c r="GX457"/>
      <c r="GY457"/>
      <c r="GZ457"/>
      <c r="HA457"/>
      <c r="HB457"/>
      <c r="HC457"/>
    </row>
    <row r="458" spans="1:211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9.917132379328502E-5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45.063408119658121</v>
      </c>
      <c r="AO458">
        <v>35.347607163880831</v>
      </c>
      <c r="AP458">
        <v>27.88655794813371</v>
      </c>
      <c r="AQ458">
        <v>239.77493319477722</v>
      </c>
      <c r="AR458">
        <v>34.176234904159287</v>
      </c>
      <c r="AS458">
        <v>311.54109177947095</v>
      </c>
      <c r="AT458">
        <v>27.106030954293818</v>
      </c>
      <c r="AU458">
        <v>39.074517053440808</v>
      </c>
      <c r="AV458"/>
      <c r="AW458"/>
      <c r="FY458" s="211">
        <v>453</v>
      </c>
      <c r="FZ458">
        <v>50.868387581235595</v>
      </c>
      <c r="GA458">
        <v>83.247222886496587</v>
      </c>
      <c r="GB458">
        <v>25.574476756662349</v>
      </c>
      <c r="GC458">
        <v>13.211792319846753</v>
      </c>
      <c r="GD458">
        <v>9.1196838897145014</v>
      </c>
      <c r="GE458">
        <v>11.019716027785192</v>
      </c>
      <c r="GF458">
        <v>23.947462939148693</v>
      </c>
      <c r="GG458">
        <v>18.160431472475011</v>
      </c>
      <c r="GH458">
        <v>10.5212381133015</v>
      </c>
      <c r="GI458">
        <v>25.819850988065305</v>
      </c>
      <c r="GJ458"/>
      <c r="GK458">
        <v>54.416628453627112</v>
      </c>
      <c r="GL458">
        <v>75.906786627259592</v>
      </c>
      <c r="GM458">
        <v>45.306936777633432</v>
      </c>
      <c r="GN458">
        <v>43.621101801618934</v>
      </c>
      <c r="GO458">
        <v>39.671448446248846</v>
      </c>
      <c r="GP458">
        <v>23.644183351875359</v>
      </c>
      <c r="GQ458">
        <v>32.264838029282927</v>
      </c>
      <c r="GR458">
        <v>27.315589480203929</v>
      </c>
      <c r="GS458">
        <v>12.471039682433428</v>
      </c>
      <c r="GT458">
        <v>36.826178277845145</v>
      </c>
      <c r="GU458"/>
      <c r="GV458"/>
      <c r="GW458"/>
      <c r="GX458"/>
      <c r="GY458"/>
      <c r="GZ458"/>
      <c r="HA458"/>
      <c r="HB458"/>
      <c r="HC458"/>
    </row>
    <row r="459" spans="1:211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8.4444000000000012E-4</v>
      </c>
      <c r="F459" s="102">
        <f>+D459-D461</f>
        <v>-0.93750000000000011</v>
      </c>
      <c r="G459" s="101">
        <f>+D459*E459</f>
        <v>0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45.429433760683764</v>
      </c>
      <c r="AO459">
        <v>35.299242730151505</v>
      </c>
      <c r="AP459">
        <v>30.498631220471005</v>
      </c>
      <c r="AQ459">
        <v>228.8230816856418</v>
      </c>
      <c r="AR459">
        <v>33.640772214464064</v>
      </c>
      <c r="AS459">
        <v>323.95749951364189</v>
      </c>
      <c r="AT459">
        <v>26.41730017773418</v>
      </c>
      <c r="AU459">
        <v>33.828203791258233</v>
      </c>
      <c r="AV459"/>
      <c r="AW459"/>
      <c r="FY459" s="211">
        <v>454</v>
      </c>
      <c r="FZ459">
        <v>41.939253135722424</v>
      </c>
      <c r="GA459">
        <v>61.278289051860114</v>
      </c>
      <c r="GB459">
        <v>24.140862418676186</v>
      </c>
      <c r="GC459">
        <v>15.080230952636382</v>
      </c>
      <c r="GD459">
        <v>9.1594276843624591</v>
      </c>
      <c r="GE459">
        <v>10.380012173629865</v>
      </c>
      <c r="GF459">
        <v>24.044131596884704</v>
      </c>
      <c r="GG459">
        <v>16.34202676066672</v>
      </c>
      <c r="GH459">
        <v>9.4747393742265587</v>
      </c>
      <c r="GI459">
        <v>24.075299117041666</v>
      </c>
      <c r="GJ459"/>
      <c r="GK459">
        <v>43.374196514448386</v>
      </c>
      <c r="GL459">
        <v>54.155198597553849</v>
      </c>
      <c r="GM459">
        <v>42.767190811658686</v>
      </c>
      <c r="GN459">
        <v>49.80761982976334</v>
      </c>
      <c r="GO459">
        <v>39.861761501470617</v>
      </c>
      <c r="GP459">
        <v>22.271618470855479</v>
      </c>
      <c r="GQ459">
        <v>32.395081412153424</v>
      </c>
      <c r="GR459">
        <v>24.580478439923432</v>
      </c>
      <c r="GS459">
        <v>11.298849236598933</v>
      </c>
      <c r="GT459">
        <v>33.939415895266009</v>
      </c>
      <c r="GU459"/>
      <c r="GV459"/>
      <c r="GW459"/>
      <c r="GX459"/>
      <c r="GY459"/>
      <c r="GZ459"/>
      <c r="HA459"/>
      <c r="HB459"/>
      <c r="HC459"/>
    </row>
    <row r="460" spans="1:211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7.1903740549673226E-3</v>
      </c>
      <c r="I460" s="101">
        <f>+H460*F459</f>
        <v>-6.7409756765318659E-3</v>
      </c>
      <c r="J460" s="101">
        <f>+I460*$A$440</f>
        <v>-2.6963902706127463E-2</v>
      </c>
      <c r="K460" s="61">
        <f>IF(AND(J460&lt;0, J458&lt;0), 0, J460)</f>
        <v>-2.6963902706127463E-2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41.771420940170948</v>
      </c>
      <c r="AO460">
        <v>30.51256312774634</v>
      </c>
      <c r="AP460">
        <v>18.563725677878747</v>
      </c>
      <c r="AQ460">
        <v>194.60537386659504</v>
      </c>
      <c r="AR460">
        <v>30.099695069139912</v>
      </c>
      <c r="AS460">
        <v>289.39604023775058</v>
      </c>
      <c r="AT460">
        <v>23.900504887582841</v>
      </c>
      <c r="AU460">
        <v>36.994589989571928</v>
      </c>
      <c r="AV460"/>
      <c r="AW460"/>
      <c r="FY460" s="211">
        <v>455</v>
      </c>
      <c r="FZ460">
        <v>62.243605665071485</v>
      </c>
      <c r="GA460">
        <v>112.77187105295104</v>
      </c>
      <c r="GB460">
        <v>38.597309099627616</v>
      </c>
      <c r="GC460">
        <v>15.892683826880583</v>
      </c>
      <c r="GD460">
        <v>9.1884704727614892</v>
      </c>
      <c r="GE460">
        <v>5.0989533484497596</v>
      </c>
      <c r="GF460">
        <v>19.114030052348038</v>
      </c>
      <c r="GG460">
        <v>18.939747777535704</v>
      </c>
      <c r="GH460">
        <v>13.66073433052633</v>
      </c>
      <c r="GI460">
        <v>30.289238890244047</v>
      </c>
      <c r="GJ460"/>
      <c r="GK460">
        <v>69.776014633066879</v>
      </c>
      <c r="GL460">
        <v>106.67215984193619</v>
      </c>
      <c r="GM460">
        <v>68.377776007012429</v>
      </c>
      <c r="GN460">
        <v>52.487183168475333</v>
      </c>
      <c r="GO460">
        <v>39.983818412907347</v>
      </c>
      <c r="GP460">
        <v>10.94044416112199</v>
      </c>
      <c r="GQ460">
        <v>25.752668885757931</v>
      </c>
      <c r="GR460">
        <v>28.487779926038424</v>
      </c>
      <c r="GS460">
        <v>15.987611019936928</v>
      </c>
      <c r="GT460">
        <v>43.975577791736306</v>
      </c>
      <c r="GU460"/>
      <c r="GV460"/>
      <c r="GW460"/>
      <c r="GX460"/>
      <c r="GY460"/>
      <c r="GZ460"/>
      <c r="HA460"/>
      <c r="HB460"/>
      <c r="HC460"/>
    </row>
    <row r="461" spans="1:211" s="7" customFormat="1">
      <c r="A461" s="4"/>
      <c r="B461" s="4"/>
      <c r="C461" s="63">
        <v>2</v>
      </c>
      <c r="D461" s="101">
        <f>SUM($G$228:$G$347)/$A$438</f>
        <v>0.93750000000000011</v>
      </c>
      <c r="E461" s="97">
        <f>+I36</f>
        <v>6.1225757958347789E-2</v>
      </c>
      <c r="F461" s="102">
        <f>+D461-D463</f>
        <v>-46.682692307692335</v>
      </c>
      <c r="G461" s="101">
        <f>+D461*E461</f>
        <v>5.7399148085951056E-2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42.759561965811962</v>
      </c>
      <c r="AO461">
        <v>35.755888145473634</v>
      </c>
      <c r="AP461">
        <v>32.880524052707671</v>
      </c>
      <c r="AQ461">
        <v>238.2415649231564</v>
      </c>
      <c r="AR461">
        <v>34.67204974590684</v>
      </c>
      <c r="AS461">
        <v>319.50767768346759</v>
      </c>
      <c r="AT461">
        <v>26.948340277315307</v>
      </c>
      <c r="AU461">
        <v>21.220875985762845</v>
      </c>
      <c r="AV461"/>
      <c r="AW461"/>
      <c r="FY461" s="211">
        <v>456</v>
      </c>
      <c r="FZ461">
        <v>49.517127301422569</v>
      </c>
      <c r="GA461">
        <v>75.289003529112136</v>
      </c>
      <c r="GB461">
        <v>24.361418470674057</v>
      </c>
      <c r="GC461">
        <v>12.608416493292578</v>
      </c>
      <c r="GD461">
        <v>8.0922247194763166</v>
      </c>
      <c r="GE461">
        <v>9.8336957434388204</v>
      </c>
      <c r="GF461">
        <v>18.797659899757445</v>
      </c>
      <c r="GG461">
        <v>14.240234301563627</v>
      </c>
      <c r="GH461">
        <v>9.4184886516744868</v>
      </c>
      <c r="GI461">
        <v>23.494455255073454</v>
      </c>
      <c r="GJ461"/>
      <c r="GK461">
        <v>53.013149937197653</v>
      </c>
      <c r="GL461">
        <v>68.873643952252593</v>
      </c>
      <c r="GM461">
        <v>43.157920960270189</v>
      </c>
      <c r="GN461">
        <v>41.620566553972473</v>
      </c>
      <c r="GO461">
        <v>35.191279563183251</v>
      </c>
      <c r="GP461">
        <v>21.09942802502098</v>
      </c>
      <c r="GQ461">
        <v>25.326417814545383</v>
      </c>
      <c r="GR461">
        <v>21.419116328430388</v>
      </c>
      <c r="GS461">
        <v>10.54971401251049</v>
      </c>
      <c r="GT461">
        <v>33.44769645754139</v>
      </c>
      <c r="GU461"/>
      <c r="GV461"/>
      <c r="GW461"/>
      <c r="GX461"/>
      <c r="GY461"/>
      <c r="GZ461"/>
      <c r="HA461"/>
      <c r="HB461"/>
      <c r="HC461"/>
    </row>
    <row r="462" spans="1:211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0.21431677267857621</v>
      </c>
      <c r="I462" s="101">
        <f>+H462*F461</f>
        <v>-10.004883955331616</v>
      </c>
      <c r="J462" s="101">
        <f>+I462*$A$440</f>
        <v>-40.019535821326464</v>
      </c>
      <c r="K462" s="61">
        <f>IF(AND(J462&lt;0, J460&lt;0), 0, J462)</f>
        <v>0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50.965945512820518</v>
      </c>
      <c r="AO462">
        <v>39.144140394391734</v>
      </c>
      <c r="AP462">
        <v>29.005662126952082</v>
      </c>
      <c r="AQ462">
        <v>263.28321052858064</v>
      </c>
      <c r="AR462">
        <v>37.556586904876255</v>
      </c>
      <c r="AS462">
        <v>351.9782972913768</v>
      </c>
      <c r="AT462">
        <v>29.460854602644986</v>
      </c>
      <c r="AU462">
        <v>28.422974884194318</v>
      </c>
      <c r="AV462"/>
      <c r="AW462"/>
      <c r="FY462" s="211">
        <v>457</v>
      </c>
      <c r="FZ462">
        <v>50.788861206705974</v>
      </c>
      <c r="GA462">
        <v>97.739678933447152</v>
      </c>
      <c r="GB462">
        <v>31.419212134605964</v>
      </c>
      <c r="GC462">
        <v>8.1632852354277734</v>
      </c>
      <c r="GD462">
        <v>6.5076573717539477</v>
      </c>
      <c r="GE462">
        <v>9.6375821531138293</v>
      </c>
      <c r="GF462">
        <v>22.040453963810979</v>
      </c>
      <c r="GG462">
        <v>17.144958711335313</v>
      </c>
      <c r="GH462">
        <v>12.670486314003458</v>
      </c>
      <c r="GI462">
        <v>25.553586000769716</v>
      </c>
      <c r="GJ462"/>
      <c r="GK462">
        <v>57.918487350936857</v>
      </c>
      <c r="GL462">
        <v>93.387334789145228</v>
      </c>
      <c r="GM462">
        <v>55.661285715838176</v>
      </c>
      <c r="GN462">
        <v>26.931320198211566</v>
      </c>
      <c r="GO462">
        <v>28.286580014374525</v>
      </c>
      <c r="GP462">
        <v>20.678641711131672</v>
      </c>
      <c r="GQ462">
        <v>29.695491294473975</v>
      </c>
      <c r="GR462">
        <v>25.788189808358975</v>
      </c>
      <c r="GS462">
        <v>15.564555798190868</v>
      </c>
      <c r="GT462">
        <v>37.425280034762878</v>
      </c>
      <c r="GU462"/>
      <c r="GV462"/>
      <c r="GW462"/>
      <c r="GX462"/>
      <c r="GY462"/>
      <c r="GZ462"/>
      <c r="HA462"/>
      <c r="HB462"/>
      <c r="HC462"/>
    </row>
    <row r="463" spans="1:211" s="7" customFormat="1">
      <c r="A463" s="4"/>
      <c r="B463" s="4"/>
      <c r="C463" s="63">
        <v>3</v>
      </c>
      <c r="D463" s="101">
        <f>SUM($H$228:$H$347)/$A$438</f>
        <v>47.620192307692335</v>
      </c>
      <c r="E463" s="97">
        <f>+J36</f>
        <v>0.75020188533407928</v>
      </c>
      <c r="F463" s="102">
        <f>+D463-D465</f>
        <v>47.099358974358999</v>
      </c>
      <c r="G463" s="101">
        <f>+D463*E463</f>
        <v>35.724758049202208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54.618963675213671</v>
      </c>
      <c r="AO463">
        <v>45.71113843497325</v>
      </c>
      <c r="AP463">
        <v>60.047567705706797</v>
      </c>
      <c r="AQ463">
        <v>320.50436059593676</v>
      </c>
      <c r="AR463">
        <v>43.873097508978105</v>
      </c>
      <c r="AS463">
        <v>402.20832302043448</v>
      </c>
      <c r="AT463">
        <v>33.856598863772497</v>
      </c>
      <c r="AU463">
        <v>31.860029947829929</v>
      </c>
      <c r="AV463"/>
      <c r="AW463"/>
      <c r="FY463" s="211">
        <v>458</v>
      </c>
      <c r="FZ463">
        <v>40.962747491162553</v>
      </c>
      <c r="GA463">
        <v>64.107878156707912</v>
      </c>
      <c r="GB463">
        <v>27.118369120647454</v>
      </c>
      <c r="GC463">
        <v>11.981223883691849</v>
      </c>
      <c r="GD463">
        <v>7.3844138897916274</v>
      </c>
      <c r="GE463">
        <v>10.91232049022627</v>
      </c>
      <c r="GF463">
        <v>43.685445236883709</v>
      </c>
      <c r="GG463">
        <v>36.273631653734206</v>
      </c>
      <c r="GH463">
        <v>16.451397634726177</v>
      </c>
      <c r="GI463">
        <v>28.460913001985045</v>
      </c>
      <c r="GJ463"/>
      <c r="GK463">
        <v>42.350228966686672</v>
      </c>
      <c r="GL463">
        <v>56.655871548667456</v>
      </c>
      <c r="GM463">
        <v>48.042047817913925</v>
      </c>
      <c r="GN463">
        <v>39.564408952899925</v>
      </c>
      <c r="GO463">
        <v>32.128240425304149</v>
      </c>
      <c r="GP463">
        <v>23.413752751412172</v>
      </c>
      <c r="GQ463">
        <v>58.858168749932247</v>
      </c>
      <c r="GR463">
        <v>54.560137115205748</v>
      </c>
      <c r="GS463">
        <v>19.113452208828924</v>
      </c>
      <c r="GT463">
        <v>40.098427633733188</v>
      </c>
      <c r="GU463"/>
      <c r="GV463"/>
      <c r="GW463"/>
      <c r="GX463"/>
      <c r="GY463"/>
      <c r="GZ463"/>
      <c r="HA463"/>
      <c r="HB463"/>
      <c r="HC463"/>
    </row>
    <row r="464" spans="1:211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1.8248990595096917</v>
      </c>
      <c r="I464" s="101">
        <f>+H464*F463</f>
        <v>85.951575895817101</v>
      </c>
      <c r="J464" s="101">
        <f>+I464*$A$440</f>
        <v>343.8063035832684</v>
      </c>
      <c r="K464" s="61">
        <f>IF(AND(J464&lt;0, J462&lt;0), 0, J464)</f>
        <v>343.8063035832684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51.470058760683763</v>
      </c>
      <c r="AO464">
        <v>43.190933668831562</v>
      </c>
      <c r="AP464">
        <v>65.214763953176472</v>
      </c>
      <c r="AQ464">
        <v>305.14853587303571</v>
      </c>
      <c r="AR464">
        <v>41.187639611421865</v>
      </c>
      <c r="AS464">
        <v>364.12507328577732</v>
      </c>
      <c r="AT464">
        <v>31.416413577033001</v>
      </c>
      <c r="AU464">
        <v>31.064740691016762</v>
      </c>
      <c r="AV464"/>
      <c r="AW464"/>
      <c r="FY464" s="211">
        <v>459</v>
      </c>
      <c r="FZ464">
        <v>49.978593641010406</v>
      </c>
      <c r="GA464">
        <v>70.907388824853513</v>
      </c>
      <c r="GB464">
        <v>26.677257016651716</v>
      </c>
      <c r="GC464">
        <v>12.469019632184478</v>
      </c>
      <c r="GD464">
        <v>8.4733268949829679</v>
      </c>
      <c r="GE464">
        <v>10.973022315803053</v>
      </c>
      <c r="GF464">
        <v>23.877158460795226</v>
      </c>
      <c r="GG464">
        <v>21.820856541699492</v>
      </c>
      <c r="GH464">
        <v>15.056065982626254</v>
      </c>
      <c r="GI464">
        <v>26.222440322022017</v>
      </c>
      <c r="GJ464"/>
      <c r="GK464">
        <v>55.28078818759127</v>
      </c>
      <c r="GL464">
        <v>67.337715124712986</v>
      </c>
      <c r="GM464">
        <v>47.260587520690933</v>
      </c>
      <c r="GN464">
        <v>41.160160749489698</v>
      </c>
      <c r="GO464">
        <v>36.849833410785919</v>
      </c>
      <c r="GP464">
        <v>23.543996134282672</v>
      </c>
      <c r="GQ464">
        <v>32.170115569013468</v>
      </c>
      <c r="GR464">
        <v>32.821332483365971</v>
      </c>
      <c r="GS464">
        <v>17.550531614382926</v>
      </c>
      <c r="GT464">
        <v>37.822371260492901</v>
      </c>
      <c r="GU464"/>
      <c r="GV464"/>
      <c r="GW464"/>
      <c r="GX464"/>
      <c r="GY464"/>
      <c r="GZ464"/>
      <c r="HA464"/>
      <c r="HB464"/>
      <c r="HC464"/>
    </row>
    <row r="465" spans="1:211" s="7" customFormat="1">
      <c r="A465" s="4"/>
      <c r="B465" s="4"/>
      <c r="C465" s="63">
        <v>4</v>
      </c>
      <c r="D465" s="101">
        <f>SUM($I$228:$I$347)/$A$438</f>
        <v>0.52083333333333326</v>
      </c>
      <c r="E465" s="97">
        <f>+K36</f>
        <v>4.4391471715861259</v>
      </c>
      <c r="F465" s="102">
        <f>+D465-D467</f>
        <v>0.52083333333333326</v>
      </c>
      <c r="G465" s="101">
        <f>+D465*E465</f>
        <v>2.3120558185344402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48.684134615384615</v>
      </c>
      <c r="AO465">
        <v>35.841130281604094</v>
      </c>
      <c r="AP465">
        <v>14.683223053964557</v>
      </c>
      <c r="AQ465">
        <v>257.79896826635456</v>
      </c>
      <c r="AR465">
        <v>34.541560787228015</v>
      </c>
      <c r="AS465">
        <v>339.80162883450942</v>
      </c>
      <c r="AT465">
        <v>28.044635310923315</v>
      </c>
      <c r="AU465">
        <v>42.794286611710973</v>
      </c>
      <c r="AV465"/>
      <c r="AW465"/>
      <c r="FY465" s="211">
        <v>460</v>
      </c>
      <c r="FZ465">
        <v>41.133516835274278</v>
      </c>
      <c r="GA465">
        <v>73.825402589227821</v>
      </c>
      <c r="GB465">
        <v>32.301436342597455</v>
      </c>
      <c r="GC465">
        <v>13.249796553171274</v>
      </c>
      <c r="GD465">
        <v>7.7565643306327141</v>
      </c>
      <c r="GE465">
        <v>10.230592295287016</v>
      </c>
      <c r="GF465">
        <v>28.490889852741297</v>
      </c>
      <c r="GG465">
        <v>21.797240896091584</v>
      </c>
      <c r="GH465">
        <v>8.7208228256245235</v>
      </c>
      <c r="GI465">
        <v>25.75059672652327</v>
      </c>
      <c r="GJ465"/>
      <c r="GK465">
        <v>46.145771871454009</v>
      </c>
      <c r="GL465">
        <v>69.916534105548877</v>
      </c>
      <c r="GM465">
        <v>57.224206310284174</v>
      </c>
      <c r="GN465">
        <v>43.758144137490213</v>
      </c>
      <c r="GO465">
        <v>33.752173478641886</v>
      </c>
      <c r="GP465">
        <v>21.951019374558864</v>
      </c>
      <c r="GQ465">
        <v>38.38627702419641</v>
      </c>
      <c r="GR465">
        <v>32.78581156076492</v>
      </c>
      <c r="GS465">
        <v>9.7682537152874911</v>
      </c>
      <c r="GT465">
        <v>37.055336479972794</v>
      </c>
      <c r="GU465"/>
      <c r="GV465"/>
      <c r="GW465"/>
      <c r="GX465"/>
      <c r="GY465"/>
      <c r="GZ465"/>
      <c r="HA465"/>
      <c r="HB465"/>
      <c r="HC465"/>
    </row>
    <row r="466" spans="1:211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8.8460926502858861</v>
      </c>
      <c r="I466" s="101">
        <f>+H466*F465</f>
        <v>4.6073399220238986</v>
      </c>
      <c r="J466" s="101">
        <f>+I466*$A$440</f>
        <v>18.429359688095595</v>
      </c>
      <c r="K466" s="61">
        <f>IF(AND(J466&lt;0, J464&lt;0), 0, J466)</f>
        <v>18.429359688095595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46.156864316239322</v>
      </c>
      <c r="AO466">
        <v>34.039366560284087</v>
      </c>
      <c r="AP466">
        <v>14.47964170346069</v>
      </c>
      <c r="AQ466">
        <v>226.19488985214059</v>
      </c>
      <c r="AR466">
        <v>33.380554360010436</v>
      </c>
      <c r="AS466">
        <v>301.83406167273648</v>
      </c>
      <c r="AT466">
        <v>26.784457824209738</v>
      </c>
      <c r="AU466">
        <v>40.504688441817429</v>
      </c>
      <c r="AV466"/>
      <c r="AW466"/>
      <c r="FY466" s="211">
        <v>461</v>
      </c>
      <c r="FZ466">
        <v>43.008123085086716</v>
      </c>
      <c r="GA466">
        <v>70.690921233734485</v>
      </c>
      <c r="GB466">
        <v>23.589472288681502</v>
      </c>
      <c r="GC466">
        <v>12.296756592324181</v>
      </c>
      <c r="GD466">
        <v>7.9900280639791337</v>
      </c>
      <c r="GE466">
        <v>10.562117650360214</v>
      </c>
      <c r="GF466">
        <v>30.925182415729996</v>
      </c>
      <c r="GG466">
        <v>22.765482366015483</v>
      </c>
      <c r="GH466">
        <v>13.604483607974258</v>
      </c>
      <c r="GI466">
        <v>25.272452784166298</v>
      </c>
      <c r="GJ466"/>
      <c r="GK466">
        <v>46.278222182564164</v>
      </c>
      <c r="GL466">
        <v>64.810050406693009</v>
      </c>
      <c r="GM466">
        <v>41.790365440129932</v>
      </c>
      <c r="GN466">
        <v>40.602723508866184</v>
      </c>
      <c r="GO466">
        <v>34.759531740994213</v>
      </c>
      <c r="GP466">
        <v>22.662348619466979</v>
      </c>
      <c r="GQ466">
        <v>41.66604221102628</v>
      </c>
      <c r="GR466">
        <v>34.242169387407785</v>
      </c>
      <c r="GS466">
        <v>15.238475795848485</v>
      </c>
      <c r="GT466">
        <v>35.946527474112614</v>
      </c>
      <c r="GU466"/>
      <c r="GV466"/>
      <c r="GW466"/>
      <c r="GX466"/>
      <c r="GY466"/>
      <c r="GZ466"/>
      <c r="HA466"/>
      <c r="HB466"/>
      <c r="HC466"/>
    </row>
    <row r="467" spans="1:211" s="7" customFormat="1">
      <c r="A467" s="4"/>
      <c r="B467" s="4"/>
      <c r="C467" s="63">
        <v>5</v>
      </c>
      <c r="D467" s="101">
        <f>SUM($J$228:$J$347)/$A$438</f>
        <v>0</v>
      </c>
      <c r="E467" s="97">
        <f>L36</f>
        <v>17.628015506744671</v>
      </c>
      <c r="F467" s="102">
        <f>+D467-D469</f>
        <v>0</v>
      </c>
      <c r="G467" s="101">
        <f>+D467*E467</f>
        <v>0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56.145566239316238</v>
      </c>
      <c r="AO467">
        <v>42.67105989571612</v>
      </c>
      <c r="AP467">
        <v>37.35853691266994</v>
      </c>
      <c r="AQ467">
        <v>289.35567353174645</v>
      </c>
      <c r="AR467">
        <v>40.833185645703054</v>
      </c>
      <c r="AS467">
        <v>396.67808818350142</v>
      </c>
      <c r="AT467">
        <v>31.996966688873929</v>
      </c>
      <c r="AU467">
        <v>26.377335555409299</v>
      </c>
      <c r="AV467"/>
      <c r="AW467"/>
      <c r="FY467" s="211">
        <v>462</v>
      </c>
      <c r="FZ467">
        <v>54.761582942280086</v>
      </c>
      <c r="GA467">
        <v>103.18238955202368</v>
      </c>
      <c r="GB467">
        <v>38.587283824536804</v>
      </c>
      <c r="GC467">
        <v>13.283364295467242</v>
      </c>
      <c r="GD467">
        <v>8.3726425953064023</v>
      </c>
      <c r="GE467">
        <v>11.640742397147665</v>
      </c>
      <c r="GF467">
        <v>30.714268980669605</v>
      </c>
      <c r="GG467">
        <v>23.096101404526088</v>
      </c>
      <c r="GH467">
        <v>11.511486129824371</v>
      </c>
      <c r="GI467">
        <v>30.594342218425048</v>
      </c>
      <c r="GJ467"/>
      <c r="GK467">
        <v>60.232726457127541</v>
      </c>
      <c r="GL467">
        <v>95.861015973352437</v>
      </c>
      <c r="GM467">
        <v>68.360015545711903</v>
      </c>
      <c r="GN467">
        <v>43.865172966288043</v>
      </c>
      <c r="GO467">
        <v>36.429004438692267</v>
      </c>
      <c r="GP467">
        <v>24.97667334585817</v>
      </c>
      <c r="GQ467">
        <v>41.381874830217917</v>
      </c>
      <c r="GR467">
        <v>34.739462303822428</v>
      </c>
      <c r="GS467">
        <v>12.894094904179488</v>
      </c>
      <c r="GT467">
        <v>43.859543235185825</v>
      </c>
      <c r="GU467"/>
      <c r="GV467"/>
      <c r="GW467"/>
      <c r="GX467"/>
      <c r="GY467"/>
      <c r="GZ467"/>
      <c r="HA467"/>
      <c r="HB467"/>
      <c r="HC467"/>
    </row>
    <row r="468" spans="1:211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30.965170393067414</v>
      </c>
      <c r="I468" s="101">
        <f>+H468*F467</f>
        <v>0</v>
      </c>
      <c r="J468" s="101">
        <f>+I468*$A$440</f>
        <v>0</v>
      </c>
      <c r="K468" s="61">
        <f>IF(AND(J468&lt;0, J466&lt;0), 0, J468)</f>
        <v>0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44.573664529914538</v>
      </c>
      <c r="AO468">
        <v>34.981100970790422</v>
      </c>
      <c r="AP468">
        <v>26.453197545465834</v>
      </c>
      <c r="AQ468">
        <v>234.6266260214492</v>
      </c>
      <c r="AR468">
        <v>33.621185383530715</v>
      </c>
      <c r="AS468">
        <v>304.28291927060087</v>
      </c>
      <c r="AT468">
        <v>26.34205524241435</v>
      </c>
      <c r="AU468">
        <v>19.995449478152832</v>
      </c>
      <c r="AV468"/>
      <c r="AW468"/>
      <c r="FY468" s="211">
        <v>463</v>
      </c>
      <c r="FZ468">
        <v>34.857305724299536</v>
      </c>
      <c r="GA468">
        <v>65.827564959777334</v>
      </c>
      <c r="GB468">
        <v>27.880290027549201</v>
      </c>
      <c r="GC468">
        <v>8.7384706466723436</v>
      </c>
      <c r="GD468">
        <v>6.1329757999966574</v>
      </c>
      <c r="GE468">
        <v>10.534101423170929</v>
      </c>
      <c r="GF468">
        <v>18.24401213272392</v>
      </c>
      <c r="GG468">
        <v>14.523622048858424</v>
      </c>
      <c r="GH468">
        <v>12.209151955874331</v>
      </c>
      <c r="GI468">
        <v>21.349427366938912</v>
      </c>
      <c r="GJ468"/>
      <c r="GK468">
        <v>37.841600991127713</v>
      </c>
      <c r="GL468">
        <v>60.512018771966524</v>
      </c>
      <c r="GM468">
        <v>49.391842876753664</v>
      </c>
      <c r="GN468">
        <v>28.842587078360708</v>
      </c>
      <c r="GO468">
        <v>26.668979853042892</v>
      </c>
      <c r="GP468">
        <v>22.602236288911364</v>
      </c>
      <c r="GQ468">
        <v>24.580478439923432</v>
      </c>
      <c r="GR468">
        <v>21.845367399642932</v>
      </c>
      <c r="GS468">
        <v>13.675555201402485</v>
      </c>
      <c r="GT468">
        <v>30.431691472450034</v>
      </c>
      <c r="GU468"/>
      <c r="GV468"/>
      <c r="GW468"/>
      <c r="GX468"/>
      <c r="GY468"/>
      <c r="GZ468"/>
      <c r="HA468"/>
      <c r="HB468"/>
      <c r="HC468"/>
    </row>
    <row r="469" spans="1:211" s="7" customFormat="1">
      <c r="A469" s="4"/>
      <c r="B469" s="4"/>
      <c r="C469" s="63">
        <v>6</v>
      </c>
      <c r="D469" s="101">
        <f>SUM($K$228:$K$347)/$A$438</f>
        <v>0</v>
      </c>
      <c r="E469" s="97">
        <f>M36</f>
        <v>54.39306410326423</v>
      </c>
      <c r="F469" s="102">
        <f>+D469-D471</f>
        <v>0</v>
      </c>
      <c r="G469" s="101">
        <f>+D469*E469</f>
        <v>0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50.038434829059824</v>
      </c>
      <c r="AO469">
        <v>39.144473092802869</v>
      </c>
      <c r="AP469">
        <v>19.55099803677005</v>
      </c>
      <c r="AQ469">
        <v>271.49026297473148</v>
      </c>
      <c r="AR469">
        <v>36.826178277845173</v>
      </c>
      <c r="AS469">
        <v>356.77105788711128</v>
      </c>
      <c r="AT469">
        <v>29.524480003382521</v>
      </c>
      <c r="AU469">
        <v>17.348014456931981</v>
      </c>
      <c r="AV469"/>
      <c r="AW469"/>
      <c r="FY469" s="211">
        <v>464</v>
      </c>
      <c r="FZ469">
        <v>56.603117375900638</v>
      </c>
      <c r="GA469">
        <v>96.54135197214228</v>
      </c>
      <c r="GB469">
        <v>36.371698029467275</v>
      </c>
      <c r="GC469">
        <v>13.723064186737011</v>
      </c>
      <c r="GD469">
        <v>7.639946979464125</v>
      </c>
      <c r="GE469">
        <v>9.590888441131689</v>
      </c>
      <c r="GF469">
        <v>22.787439046316535</v>
      </c>
      <c r="GG469">
        <v>15.562710455606021</v>
      </c>
      <c r="GH469">
        <v>8.3719899125995436</v>
      </c>
      <c r="GI469">
        <v>27.725738414551031</v>
      </c>
      <c r="GJ469"/>
      <c r="GK469">
        <v>65.750632034357409</v>
      </c>
      <c r="GL469">
        <v>94.664663031608384</v>
      </c>
      <c r="GM469">
        <v>64.434953598296389</v>
      </c>
      <c r="GN469">
        <v>45.317432224938472</v>
      </c>
      <c r="GO469">
        <v>33.240318540583033</v>
      </c>
      <c r="GP469">
        <v>20.578454493538981</v>
      </c>
      <c r="GQ469">
        <v>30.701917434836929</v>
      </c>
      <c r="GR469">
        <v>23.408287994088933</v>
      </c>
      <c r="GS469">
        <v>9.3775235666759915</v>
      </c>
      <c r="GT469">
        <v>40.701069034949946</v>
      </c>
      <c r="GU469"/>
      <c r="GV469"/>
      <c r="GW469"/>
      <c r="GX469"/>
      <c r="GY469"/>
      <c r="GZ469"/>
      <c r="HA469"/>
      <c r="HB469"/>
      <c r="HC469"/>
    </row>
    <row r="470" spans="1:211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87.580839626875772</v>
      </c>
      <c r="I470" s="101">
        <f>+H470*F469</f>
        <v>0</v>
      </c>
      <c r="J470" s="101">
        <f>+I470*$A$440</f>
        <v>0</v>
      </c>
      <c r="K470" s="61">
        <f>IF(AND(J470&lt;0, J468&lt;0), 0, J470)</f>
        <v>0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47.227136752136751</v>
      </c>
      <c r="AO470">
        <v>35.445141070969214</v>
      </c>
      <c r="AP470">
        <v>9.6943910739596948</v>
      </c>
      <c r="AQ470">
        <v>235.9142722657071</v>
      </c>
      <c r="AR470">
        <v>33.939415895266009</v>
      </c>
      <c r="AS470">
        <v>333.42348451463124</v>
      </c>
      <c r="AT470">
        <v>27.813174801471707</v>
      </c>
      <c r="AU470">
        <v>26.676996637360844</v>
      </c>
      <c r="AV470"/>
      <c r="AW470"/>
      <c r="FY470" s="211">
        <v>465</v>
      </c>
      <c r="FZ470">
        <v>37.019322172000379</v>
      </c>
      <c r="GA470">
        <v>84.131469481761513</v>
      </c>
      <c r="GB470">
        <v>36.481976055466212</v>
      </c>
      <c r="GC470">
        <v>11.72682279053492</v>
      </c>
      <c r="GD470">
        <v>8.1314551841997282</v>
      </c>
      <c r="GE470">
        <v>12.476559841627983</v>
      </c>
      <c r="GF470">
        <v>31.803988395148295</v>
      </c>
      <c r="GG470">
        <v>20.262223931578095</v>
      </c>
      <c r="GH470">
        <v>7.3254911735246013</v>
      </c>
      <c r="GI470">
        <v>26.896085117616767</v>
      </c>
      <c r="GJ470"/>
      <c r="GK470">
        <v>40.087166617414852</v>
      </c>
      <c r="GL470">
        <v>76.688246924482584</v>
      </c>
      <c r="GM470">
        <v>64.630318672602144</v>
      </c>
      <c r="GN470">
        <v>38.716482104013046</v>
      </c>
      <c r="GO470">
        <v>35.370684432860727</v>
      </c>
      <c r="GP470">
        <v>26.770024540767363</v>
      </c>
      <c r="GQ470">
        <v>42.850072964394457</v>
      </c>
      <c r="GR470">
        <v>30.47695159169697</v>
      </c>
      <c r="GS470">
        <v>8.2053331208414928</v>
      </c>
      <c r="GT470">
        <v>38.228715161622731</v>
      </c>
      <c r="GU470"/>
      <c r="GV470"/>
      <c r="GW470"/>
      <c r="GX470"/>
      <c r="GY470"/>
      <c r="GZ470"/>
      <c r="HA470"/>
      <c r="HB470"/>
      <c r="HC470"/>
    </row>
    <row r="471" spans="1:211" s="7" customFormat="1">
      <c r="A471" s="4"/>
      <c r="B471" s="4"/>
      <c r="C471" s="63">
        <v>7</v>
      </c>
      <c r="D471" s="101">
        <f>SUM($L$228:$L$347)/$A$438</f>
        <v>0</v>
      </c>
      <c r="E471" s="97">
        <f>+N36</f>
        <v>141.0180433149788</v>
      </c>
      <c r="F471" s="102">
        <f>+D471-D473</f>
        <v>0</v>
      </c>
      <c r="G471" s="101">
        <f>+D471*E471</f>
        <v>0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55.080662393162392</v>
      </c>
      <c r="AO471">
        <v>46.244103384798976</v>
      </c>
      <c r="AP471">
        <v>53.180126979785044</v>
      </c>
      <c r="AQ471">
        <v>325.7966445163961</v>
      </c>
      <c r="AR471">
        <v>43.975577791736328</v>
      </c>
      <c r="AS471">
        <v>394.9538565073168</v>
      </c>
      <c r="AT471">
        <v>33.979353970814422</v>
      </c>
      <c r="AU471">
        <v>19.423631568812144</v>
      </c>
      <c r="AV471"/>
      <c r="AW471"/>
      <c r="FY471" s="211">
        <v>466</v>
      </c>
      <c r="FZ471">
        <v>43.492888769262322</v>
      </c>
      <c r="GA471">
        <v>75.328621801178201</v>
      </c>
      <c r="GB471">
        <v>32.742548446593197</v>
      </c>
      <c r="GC471">
        <v>13.423012591637459</v>
      </c>
      <c r="GD471">
        <v>7.0736501515516261</v>
      </c>
      <c r="GE471">
        <v>13.312377286108299</v>
      </c>
      <c r="GF471">
        <v>26.170842067076986</v>
      </c>
      <c r="GG471">
        <v>17.121343065727412</v>
      </c>
      <c r="GH471">
        <v>16.102564721701199</v>
      </c>
      <c r="GI471">
        <v>26.536576473657824</v>
      </c>
      <c r="GJ471"/>
      <c r="GK471">
        <v>48.574598829989164</v>
      </c>
      <c r="GL471">
        <v>71.245016610827975</v>
      </c>
      <c r="GM471">
        <v>58.005666607507166</v>
      </c>
      <c r="GN471">
        <v>44.311048742779874</v>
      </c>
      <c r="GO471">
        <v>30.758450581150235</v>
      </c>
      <c r="GP471">
        <v>28.563375735676548</v>
      </c>
      <c r="GQ471">
        <v>35.26043583530442</v>
      </c>
      <c r="GR471">
        <v>25.752668885757931</v>
      </c>
      <c r="GS471">
        <v>18.722722060217425</v>
      </c>
      <c r="GT471">
        <v>38.264374782833684</v>
      </c>
      <c r="GU471"/>
      <c r="GV471"/>
      <c r="GW471"/>
      <c r="GX471"/>
      <c r="GY471"/>
      <c r="GZ471"/>
      <c r="HA471"/>
      <c r="HB471"/>
      <c r="HC471"/>
    </row>
    <row r="472" spans="1:211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213.04424181096402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45.811805555555551</v>
      </c>
      <c r="AO472">
        <v>35.369893360492476</v>
      </c>
      <c r="AP472">
        <v>22.490992170182398</v>
      </c>
      <c r="AQ472">
        <v>245.65272436548548</v>
      </c>
      <c r="AR472">
        <v>33.447696457541383</v>
      </c>
      <c r="AS472">
        <v>307.06334093207005</v>
      </c>
      <c r="AT472">
        <v>26.483933530656742</v>
      </c>
      <c r="AU472">
        <v>23.04823239790176</v>
      </c>
      <c r="AV472"/>
      <c r="AW472"/>
      <c r="FY472" s="211">
        <v>467</v>
      </c>
      <c r="FZ472">
        <v>52.730366954369643</v>
      </c>
      <c r="GA472">
        <v>79.838279437029385</v>
      </c>
      <c r="GB472">
        <v>28.551983458633629</v>
      </c>
      <c r="GC472">
        <v>12.195903322609075</v>
      </c>
      <c r="GD472">
        <v>8.7593953796755848</v>
      </c>
      <c r="GE472">
        <v>15.161448280601068</v>
      </c>
      <c r="GF472">
        <v>25.88083609386895</v>
      </c>
      <c r="GG472">
        <v>15.302938353919126</v>
      </c>
      <c r="GH472">
        <v>10.870071026326483</v>
      </c>
      <c r="GI472">
        <v>26.996003991462224</v>
      </c>
      <c r="GJ472"/>
      <c r="GK472">
        <v>58.125933673197373</v>
      </c>
      <c r="GL472">
        <v>75.230464126665268</v>
      </c>
      <c r="GM472">
        <v>50.581793783888678</v>
      </c>
      <c r="GN472">
        <v>40.273461215590025</v>
      </c>
      <c r="GO472">
        <v>38.112149694249489</v>
      </c>
      <c r="GP472">
        <v>32.530789552347159</v>
      </c>
      <c r="GQ472">
        <v>34.869705686692924</v>
      </c>
      <c r="GR472">
        <v>23.017557845477437</v>
      </c>
      <c r="GS472">
        <v>12.861769831044931</v>
      </c>
      <c r="GT472">
        <v>38.910270533814682</v>
      </c>
      <c r="GU472"/>
      <c r="GV472"/>
      <c r="GW472"/>
      <c r="GX472"/>
      <c r="GY472"/>
      <c r="GZ472"/>
      <c r="HA472"/>
      <c r="HB472"/>
      <c r="HC472"/>
    </row>
    <row r="473" spans="1:211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321.85845088936549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46.491185897435898</v>
      </c>
      <c r="AO473">
        <v>39.133716671542473</v>
      </c>
      <c r="AP473">
        <v>74.732518429666555</v>
      </c>
      <c r="AQ473">
        <v>281.66576202497413</v>
      </c>
      <c r="AR473">
        <v>37.425280034762864</v>
      </c>
      <c r="AS473">
        <v>337.48767662172554</v>
      </c>
      <c r="AT473">
        <v>27.865567204599873</v>
      </c>
      <c r="AU473">
        <v>19.37440715668923</v>
      </c>
      <c r="AV473"/>
      <c r="AW473"/>
      <c r="FY473" s="211">
        <v>468</v>
      </c>
      <c r="FZ473">
        <v>44.852800185457156</v>
      </c>
      <c r="GA473">
        <v>87.531224815834321</v>
      </c>
      <c r="GB473">
        <v>36.381723304558079</v>
      </c>
      <c r="GC473">
        <v>16.719251175514273</v>
      </c>
      <c r="GD473">
        <v>9.9929694985384767</v>
      </c>
      <c r="GE473">
        <v>7.1488073044657323</v>
      </c>
      <c r="GF473">
        <v>14.88697329134601</v>
      </c>
      <c r="GG473">
        <v>12.728832982658034</v>
      </c>
      <c r="GH473">
        <v>11.275154661903535</v>
      </c>
      <c r="GI473">
        <v>26.549921043129991</v>
      </c>
      <c r="GJ473"/>
      <c r="GK473">
        <v>49.981227364990566</v>
      </c>
      <c r="GL473">
        <v>82.029168712505353</v>
      </c>
      <c r="GM473">
        <v>64.4527140595969</v>
      </c>
      <c r="GN473">
        <v>55.201844026998039</v>
      </c>
      <c r="GO473">
        <v>43.467643864675765</v>
      </c>
      <c r="GP473">
        <v>15.338663013441176</v>
      </c>
      <c r="GQ473">
        <v>20.057480962056982</v>
      </c>
      <c r="GR473">
        <v>19.145777281963479</v>
      </c>
      <c r="GS473">
        <v>14.00163520374487</v>
      </c>
      <c r="GT473">
        <v>38.392140291013014</v>
      </c>
      <c r="GU473"/>
      <c r="GV473"/>
      <c r="GW473"/>
      <c r="GX473"/>
      <c r="GY473"/>
      <c r="GZ473"/>
      <c r="HA473"/>
      <c r="HB473"/>
      <c r="HC473"/>
    </row>
    <row r="474" spans="1:211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463.15484451030954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56.168669871794876</v>
      </c>
      <c r="AO474">
        <v>41.478473617058441</v>
      </c>
      <c r="AP474">
        <v>18.356706558000042</v>
      </c>
      <c r="AQ474">
        <v>287.3383405595568</v>
      </c>
      <c r="AR474">
        <v>40.09842763373323</v>
      </c>
      <c r="AS474">
        <v>396.93724511095508</v>
      </c>
      <c r="AT474">
        <v>32.307343655494954</v>
      </c>
      <c r="AU474">
        <v>43.213537200320694</v>
      </c>
      <c r="AV474"/>
      <c r="AW474"/>
      <c r="FY474" s="211">
        <v>469</v>
      </c>
      <c r="FZ474">
        <v>33.163729892395182</v>
      </c>
      <c r="GA474">
        <v>51.374727184892812</v>
      </c>
      <c r="GB474">
        <v>23.689725039589625</v>
      </c>
      <c r="GC474">
        <v>13.886239297422307</v>
      </c>
      <c r="GD474">
        <v>9.0519239665166111</v>
      </c>
      <c r="GE474">
        <v>10.776908725478064</v>
      </c>
      <c r="GF474">
        <v>29.624549566190904</v>
      </c>
      <c r="GG474">
        <v>21.513853148796787</v>
      </c>
      <c r="GH474">
        <v>12.67048631400346</v>
      </c>
      <c r="GI474">
        <v>24.201716038609518</v>
      </c>
      <c r="GJ474"/>
      <c r="GK474">
        <v>34.294887868145906</v>
      </c>
      <c r="GL474">
        <v>45.402843268656255</v>
      </c>
      <c r="GM474">
        <v>41.967970053135161</v>
      </c>
      <c r="GN474">
        <v>45.852533710723257</v>
      </c>
      <c r="GO474">
        <v>39.380894850678949</v>
      </c>
      <c r="GP474">
        <v>23.123209820393363</v>
      </c>
      <c r="GQ474">
        <v>39.913676696041364</v>
      </c>
      <c r="GR474">
        <v>32.359560489552372</v>
      </c>
      <c r="GS474">
        <v>15.56455579819087</v>
      </c>
      <c r="GT474">
        <v>34.224397053238448</v>
      </c>
      <c r="GU474"/>
      <c r="GV474"/>
      <c r="GW474"/>
      <c r="GX474"/>
      <c r="GY474"/>
      <c r="GZ474"/>
      <c r="HA474"/>
      <c r="HB474"/>
      <c r="HC474"/>
    </row>
    <row r="475" spans="1:211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666.48058921747793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48.845753205128204</v>
      </c>
      <c r="AO475">
        <v>39.179743205480875</v>
      </c>
      <c r="AP475">
        <v>50.946460218854831</v>
      </c>
      <c r="AQ475">
        <v>266.45512963262911</v>
      </c>
      <c r="AR475">
        <v>37.822371260492915</v>
      </c>
      <c r="AS475">
        <v>353.20363944939214</v>
      </c>
      <c r="AT475">
        <v>28.927095841016726</v>
      </c>
      <c r="AU475">
        <v>36.416014480235724</v>
      </c>
      <c r="AV475"/>
      <c r="AW475"/>
      <c r="FY475" s="211">
        <v>470</v>
      </c>
      <c r="FZ475">
        <v>50.414595173645068</v>
      </c>
      <c r="GA475">
        <v>66.928279146161302</v>
      </c>
      <c r="GB475">
        <v>23.810028340679381</v>
      </c>
      <c r="GC475">
        <v>12.457887825618576</v>
      </c>
      <c r="GD475">
        <v>9.0857604873397584</v>
      </c>
      <c r="GE475">
        <v>17.08989858546348</v>
      </c>
      <c r="GF475">
        <v>34.457982452991565</v>
      </c>
      <c r="GG475">
        <v>21.773625250483686</v>
      </c>
      <c r="GH475">
        <v>9.4184886516744868</v>
      </c>
      <c r="GI475">
        <v>27.055108695807284</v>
      </c>
      <c r="GJ475"/>
      <c r="GK475">
        <v>55.743364328781219</v>
      </c>
      <c r="GL475">
        <v>63.821143787209479</v>
      </c>
      <c r="GM475">
        <v>42.181095588741442</v>
      </c>
      <c r="GN475">
        <v>41.14643486887509</v>
      </c>
      <c r="GO475">
        <v>39.541162405173999</v>
      </c>
      <c r="GP475">
        <v>36.668521638925348</v>
      </c>
      <c r="GQ475">
        <v>46.425845839566364</v>
      </c>
      <c r="GR475">
        <v>32.750290638163875</v>
      </c>
      <c r="GS475">
        <v>10.54971401251049</v>
      </c>
      <c r="GT475">
        <v>38.888236434954713</v>
      </c>
      <c r="GU475"/>
      <c r="GV475"/>
      <c r="GW475"/>
      <c r="GX475"/>
      <c r="GY475"/>
      <c r="GZ475"/>
      <c r="HA475"/>
      <c r="HB475"/>
      <c r="HC475"/>
    </row>
    <row r="476" spans="1:211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922.94995133108955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47.797649572649576</v>
      </c>
      <c r="AO476">
        <v>39.074352805819956</v>
      </c>
      <c r="AP476">
        <v>30.318956199959175</v>
      </c>
      <c r="AQ476">
        <v>263.25685924717123</v>
      </c>
      <c r="AR476">
        <v>37.055336479972816</v>
      </c>
      <c r="AS476">
        <v>357.60391714146516</v>
      </c>
      <c r="AT476">
        <v>29.345517872966795</v>
      </c>
      <c r="AU476">
        <v>10.499603175450194</v>
      </c>
      <c r="AV476"/>
      <c r="AW476"/>
      <c r="FY476" s="211">
        <v>471</v>
      </c>
      <c r="FZ476">
        <v>42.424018819898031</v>
      </c>
      <c r="GA476">
        <v>63.705373131141478</v>
      </c>
      <c r="GB476">
        <v>26.797560317741461</v>
      </c>
      <c r="GC476">
        <v>15.662774709492693</v>
      </c>
      <c r="GD476">
        <v>9.1416387305359539</v>
      </c>
      <c r="GE476">
        <v>13.704604466758282</v>
      </c>
      <c r="GF476">
        <v>27.014495807318561</v>
      </c>
      <c r="GG476">
        <v>17.617271623493309</v>
      </c>
      <c r="GH476">
        <v>9.4184886516744868</v>
      </c>
      <c r="GI476">
        <v>25.292778162187556</v>
      </c>
      <c r="GJ476"/>
      <c r="GK476">
        <v>45.670573161873392</v>
      </c>
      <c r="GL476">
        <v>58.636514058631306</v>
      </c>
      <c r="GM476">
        <v>47.473713056297207</v>
      </c>
      <c r="GN476">
        <v>51.731669803986627</v>
      </c>
      <c r="GO476">
        <v>39.784344106058079</v>
      </c>
      <c r="GP476">
        <v>29.404948363455166</v>
      </c>
      <c r="GQ476">
        <v>36.397105358537878</v>
      </c>
      <c r="GR476">
        <v>26.498608260379882</v>
      </c>
      <c r="GS476">
        <v>10.54971401251049</v>
      </c>
      <c r="GT476">
        <v>35.975089939055401</v>
      </c>
      <c r="GU476"/>
      <c r="GV476"/>
      <c r="GW476"/>
      <c r="GX476"/>
      <c r="GY476"/>
      <c r="GZ476"/>
      <c r="HA476"/>
      <c r="HB476"/>
      <c r="HC476"/>
    </row>
    <row r="477" spans="1:211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1278.1116606294734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48.849706196581195</v>
      </c>
      <c r="AO477">
        <v>37.799645676710966</v>
      </c>
      <c r="AP477">
        <v>23.626199236991635</v>
      </c>
      <c r="AQ477">
        <v>260.70502008805227</v>
      </c>
      <c r="AR477">
        <v>35.946527474112592</v>
      </c>
      <c r="AS477">
        <v>334.87047686458322</v>
      </c>
      <c r="AT477">
        <v>28.682403858594085</v>
      </c>
      <c r="AU477">
        <v>19.214730940695691</v>
      </c>
      <c r="AV477"/>
      <c r="AW477"/>
      <c r="FY477" s="211">
        <v>472</v>
      </c>
      <c r="FZ477">
        <v>27.326030247774945</v>
      </c>
      <c r="GA477">
        <v>57.03390539458843</v>
      </c>
      <c r="GB477">
        <v>26.236144912655973</v>
      </c>
      <c r="GC477">
        <v>9.2655115501017384</v>
      </c>
      <c r="GD477">
        <v>6.408133996630621</v>
      </c>
      <c r="GE477">
        <v>11.108434080551262</v>
      </c>
      <c r="GF477">
        <v>26.390543561931562</v>
      </c>
      <c r="GG477">
        <v>20.0024518298912</v>
      </c>
      <c r="GH477">
        <v>14.065817966103383</v>
      </c>
      <c r="GI477">
        <v>21.947802722550776</v>
      </c>
      <c r="GJ477"/>
      <c r="GK477">
        <v>28.260124362441204</v>
      </c>
      <c r="GL477">
        <v>50.404189170883463</v>
      </c>
      <c r="GM477">
        <v>46.479127223467941</v>
      </c>
      <c r="GN477">
        <v>30.579479778814196</v>
      </c>
      <c r="GO477">
        <v>27.862129199834218</v>
      </c>
      <c r="GP477">
        <v>23.834539065301477</v>
      </c>
      <c r="GQ477">
        <v>35.556443523646465</v>
      </c>
      <c r="GR477">
        <v>30.086221443085471</v>
      </c>
      <c r="GS477">
        <v>17.127476392636868</v>
      </c>
      <c r="GT477">
        <v>31.057060140405341</v>
      </c>
      <c r="GU477"/>
      <c r="GV477"/>
      <c r="GW477"/>
      <c r="GX477"/>
      <c r="GY477"/>
      <c r="GZ477"/>
      <c r="HA477"/>
      <c r="HB477"/>
      <c r="HC477"/>
    </row>
    <row r="478" spans="1:211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1715.8218507867371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57.940304487179482</v>
      </c>
      <c r="AO478">
        <v>46.259958400043601</v>
      </c>
      <c r="AP478">
        <v>39.37351340349116</v>
      </c>
      <c r="AQ478">
        <v>325.74420434020698</v>
      </c>
      <c r="AR478">
        <v>43.859543235185846</v>
      </c>
      <c r="AS478">
        <v>400.86981136254525</v>
      </c>
      <c r="AT478">
        <v>34.51385225155429</v>
      </c>
      <c r="AU478">
        <v>25.224739417026836</v>
      </c>
      <c r="AV478"/>
      <c r="AW478"/>
      <c r="FY478" s="211">
        <v>473</v>
      </c>
      <c r="FZ478">
        <v>47.529511466775595</v>
      </c>
      <c r="GA478">
        <v>63.52852381208848</v>
      </c>
      <c r="GB478">
        <v>20.732268887799982</v>
      </c>
      <c r="GC478">
        <v>12.995395460014347</v>
      </c>
      <c r="GD478">
        <v>8.5092562339033524</v>
      </c>
      <c r="GE478">
        <v>9.0912657229227847</v>
      </c>
      <c r="GF478">
        <v>28.104215221797251</v>
      </c>
      <c r="GG478">
        <v>26.213366624768867</v>
      </c>
      <c r="GH478">
        <v>17.497896373801115</v>
      </c>
      <c r="GI478">
        <v>25.639345893590047</v>
      </c>
      <c r="GJ478"/>
      <c r="GK478">
        <v>50.952614767386464</v>
      </c>
      <c r="GL478">
        <v>58.480221999186696</v>
      </c>
      <c r="GM478">
        <v>36.728633969480967</v>
      </c>
      <c r="GN478">
        <v>42.910217288603334</v>
      </c>
      <c r="GO478">
        <v>37.019208894153032</v>
      </c>
      <c r="GP478">
        <v>19.506451265297173</v>
      </c>
      <c r="GQ478">
        <v>37.865303492714418</v>
      </c>
      <c r="GR478">
        <v>39.428224087160416</v>
      </c>
      <c r="GS478">
        <v>20.28564265466342</v>
      </c>
      <c r="GT478">
        <v>36.570280755679661</v>
      </c>
      <c r="GU478"/>
      <c r="GV478"/>
      <c r="GW478"/>
      <c r="GX478"/>
      <c r="GY478"/>
      <c r="GZ478"/>
      <c r="HA478"/>
      <c r="HB478"/>
      <c r="HC478"/>
    </row>
    <row r="479" spans="1:211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2303.4330366622853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41.135496794871798</v>
      </c>
      <c r="AO479">
        <v>31.639235837358171</v>
      </c>
      <c r="AP479">
        <v>27.851733446163269</v>
      </c>
      <c r="AQ479">
        <v>220.29692208586158</v>
      </c>
      <c r="AR479">
        <v>30.431691472450023</v>
      </c>
      <c r="AS479">
        <v>295.2714686537318</v>
      </c>
      <c r="AT479">
        <v>23.793517258611953</v>
      </c>
      <c r="AU479">
        <v>24.77511859798021</v>
      </c>
      <c r="AV479"/>
      <c r="AW479"/>
      <c r="FY479" s="211">
        <v>474</v>
      </c>
      <c r="FZ479">
        <v>41.500108936337874</v>
      </c>
      <c r="GA479">
        <v>59.460989473869788</v>
      </c>
      <c r="GB479">
        <v>29.213651614627249</v>
      </c>
      <c r="GC479">
        <v>15.750918677430981</v>
      </c>
      <c r="GD479">
        <v>7.0653262623152315</v>
      </c>
      <c r="GE479">
        <v>14.568438138427885</v>
      </c>
      <c r="GF479">
        <v>26.680549535139605</v>
      </c>
      <c r="GG479">
        <v>13.508149287718732</v>
      </c>
      <c r="GH479">
        <v>14.065817966103383</v>
      </c>
      <c r="GI479">
        <v>25.194851478803681</v>
      </c>
      <c r="GJ479"/>
      <c r="GK479">
        <v>44.726520768061931</v>
      </c>
      <c r="GL479">
        <v>54.885504631960913</v>
      </c>
      <c r="GM479">
        <v>51.753984229723187</v>
      </c>
      <c r="GN479">
        <v>52.003594803573129</v>
      </c>
      <c r="GO479">
        <v>30.726562165546927</v>
      </c>
      <c r="GP479">
        <v>31.258411888919973</v>
      </c>
      <c r="GQ479">
        <v>35.947173672257968</v>
      </c>
      <c r="GR479">
        <v>20.317967727797981</v>
      </c>
      <c r="GS479">
        <v>17.127476392636868</v>
      </c>
      <c r="GT479">
        <v>36.056343445645375</v>
      </c>
      <c r="GU479"/>
      <c r="GV479"/>
      <c r="GW479"/>
      <c r="GX479"/>
      <c r="GY479"/>
      <c r="GZ479"/>
      <c r="HA479"/>
      <c r="HB479"/>
      <c r="HC479"/>
    </row>
    <row r="480" spans="1:211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3013.9930358826364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48.270138888888887</v>
      </c>
      <c r="AO480">
        <v>42.817525195387447</v>
      </c>
      <c r="AP480">
        <v>58.991242521359382</v>
      </c>
      <c r="AQ480">
        <v>294.91794481391611</v>
      </c>
      <c r="AR480">
        <v>40.701069034949967</v>
      </c>
      <c r="AS480">
        <v>383.75987029447748</v>
      </c>
      <c r="AT480">
        <v>31.409431939639788</v>
      </c>
      <c r="AU480">
        <v>-2.489327194810059</v>
      </c>
      <c r="AV480"/>
      <c r="AW480"/>
      <c r="FY480" s="211">
        <v>475</v>
      </c>
      <c r="FZ480">
        <v>31.059961806163784</v>
      </c>
      <c r="GA480">
        <v>40.586918722660585</v>
      </c>
      <c r="GB480">
        <v>18.737239144728321</v>
      </c>
      <c r="GC480">
        <v>12.275058708082131</v>
      </c>
      <c r="GD480">
        <v>7.7936545941063375</v>
      </c>
      <c r="GE480">
        <v>10.137204871322737</v>
      </c>
      <c r="GF480">
        <v>30.011224197134961</v>
      </c>
      <c r="GG480">
        <v>23.07248575891818</v>
      </c>
      <c r="GH480">
        <v>10.870071026326482</v>
      </c>
      <c r="GI480">
        <v>21.632014979865222</v>
      </c>
      <c r="GJ480"/>
      <c r="GK480">
        <v>32.121168234437206</v>
      </c>
      <c r="GL480">
        <v>35.869027642535663</v>
      </c>
      <c r="GM480">
        <v>33.194302170676949</v>
      </c>
      <c r="GN480">
        <v>40.542579184657313</v>
      </c>
      <c r="GO480">
        <v>33.917927119562343</v>
      </c>
      <c r="GP480">
        <v>21.75064493937348</v>
      </c>
      <c r="GQ480">
        <v>40.43465022752337</v>
      </c>
      <c r="GR480">
        <v>34.70394138122137</v>
      </c>
      <c r="GS480">
        <v>12.861769831044928</v>
      </c>
      <c r="GT480">
        <v>30.505963516648954</v>
      </c>
      <c r="GU480"/>
      <c r="GV480"/>
      <c r="GW480"/>
      <c r="GX480"/>
      <c r="GY480"/>
      <c r="GZ480"/>
      <c r="HA480"/>
      <c r="HB480"/>
      <c r="HC480"/>
    </row>
    <row r="481" spans="1:211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3943.7456508447622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51.985550213675211</v>
      </c>
      <c r="AO481">
        <v>40.20239961306963</v>
      </c>
      <c r="AP481">
        <v>19.502412892101848</v>
      </c>
      <c r="AQ481">
        <v>276.25539414345855</v>
      </c>
      <c r="AR481">
        <v>38.228715161622738</v>
      </c>
      <c r="AS481">
        <v>383.82530036728031</v>
      </c>
      <c r="AT481">
        <v>30.635651011340808</v>
      </c>
      <c r="AU481">
        <v>15.210759821594031</v>
      </c>
      <c r="AV481"/>
      <c r="AW481"/>
      <c r="FY481" s="211">
        <v>476</v>
      </c>
      <c r="FZ481">
        <v>46.018498782114676</v>
      </c>
      <c r="GA481">
        <v>71.486743169472931</v>
      </c>
      <c r="GB481">
        <v>23.589472288681502</v>
      </c>
      <c r="GC481">
        <v>10.691555546804372</v>
      </c>
      <c r="GD481">
        <v>6.8615805459495602</v>
      </c>
      <c r="GE481">
        <v>8.4375537551728144</v>
      </c>
      <c r="GF481">
        <v>15.44062105837954</v>
      </c>
      <c r="GG481">
        <v>10.367268421868047</v>
      </c>
      <c r="GH481">
        <v>11.860319042849353</v>
      </c>
      <c r="GI481">
        <v>21.769474815334533</v>
      </c>
      <c r="GJ481"/>
      <c r="GK481">
        <v>49.38969417294048</v>
      </c>
      <c r="GL481">
        <v>65.51336467419371</v>
      </c>
      <c r="GM481">
        <v>41.790365440129932</v>
      </c>
      <c r="GN481">
        <v>35.300998112438357</v>
      </c>
      <c r="GO481">
        <v>29.848536493177889</v>
      </c>
      <c r="GP481">
        <v>18.10383021899948</v>
      </c>
      <c r="GQ481">
        <v>20.803420336678936</v>
      </c>
      <c r="GR481">
        <v>15.593685021858938</v>
      </c>
      <c r="GS481">
        <v>13.284825052790989</v>
      </c>
      <c r="GT481">
        <v>31.023368299143648</v>
      </c>
      <c r="GU481"/>
      <c r="GV481"/>
      <c r="GW481"/>
      <c r="GX481"/>
      <c r="GY481"/>
      <c r="GZ481"/>
      <c r="HA481"/>
      <c r="HB481"/>
      <c r="HC481"/>
    </row>
    <row r="482" spans="1:211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5050.3770871439083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49.752136752136749</v>
      </c>
      <c r="AO482">
        <v>39.945835867204444</v>
      </c>
      <c r="AP482">
        <v>49.511938712617273</v>
      </c>
      <c r="AQ482">
        <v>271.30442537449449</v>
      </c>
      <c r="AR482">
        <v>38.26437478283367</v>
      </c>
      <c r="AS482">
        <v>347.21059524505239</v>
      </c>
      <c r="AT482">
        <v>29.499511411975075</v>
      </c>
      <c r="AU482">
        <v>14.001587947512991</v>
      </c>
      <c r="AV482"/>
      <c r="AW482"/>
      <c r="FY482" s="211">
        <v>477</v>
      </c>
      <c r="FZ482">
        <v>37.211025057817842</v>
      </c>
      <c r="GA482">
        <v>59.372564814343285</v>
      </c>
      <c r="GB482">
        <v>31.760071487693583</v>
      </c>
      <c r="GC482">
        <v>17.527066819785244</v>
      </c>
      <c r="GD482">
        <v>9.8772564069608535</v>
      </c>
      <c r="GE482">
        <v>14.054807306624333</v>
      </c>
      <c r="GF482">
        <v>21.240740522540325</v>
      </c>
      <c r="GG482">
        <v>13.744305743797728</v>
      </c>
      <c r="GH482">
        <v>9.8235722872515403</v>
      </c>
      <c r="GI482">
        <v>25.206167142430825</v>
      </c>
      <c r="GJ482"/>
      <c r="GK482">
        <v>40.278497111034682</v>
      </c>
      <c r="GL482">
        <v>54.807358602238608</v>
      </c>
      <c r="GM482">
        <v>56.265141400055946</v>
      </c>
      <c r="GN482">
        <v>57.854570969190696</v>
      </c>
      <c r="GO482">
        <v>42.946712991398087</v>
      </c>
      <c r="GP482">
        <v>30.156352495400352</v>
      </c>
      <c r="GQ482">
        <v>28.618023308908928</v>
      </c>
      <c r="GR482">
        <v>20.673176953808433</v>
      </c>
      <c r="GS482">
        <v>11.689579385210433</v>
      </c>
      <c r="GT482">
        <v>35.959590839321613</v>
      </c>
      <c r="GU482"/>
      <c r="GV482"/>
      <c r="GW482"/>
      <c r="GX482"/>
      <c r="GY482"/>
      <c r="GZ482"/>
      <c r="HA482"/>
      <c r="HB482"/>
      <c r="HC482"/>
    </row>
    <row r="483" spans="1:211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6467.5339082490427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50.177297008547001</v>
      </c>
      <c r="AO483">
        <v>40.451389594296799</v>
      </c>
      <c r="AP483">
        <v>47.949436131006287</v>
      </c>
      <c r="AQ483">
        <v>276.28722629849517</v>
      </c>
      <c r="AR483">
        <v>38.910270533814696</v>
      </c>
      <c r="AS483">
        <v>369.42238632681182</v>
      </c>
      <c r="AT483">
        <v>30.05589966808148</v>
      </c>
      <c r="AU483">
        <v>34.097944957238674</v>
      </c>
      <c r="AV483"/>
      <c r="AW483"/>
      <c r="FY483" s="211">
        <v>478</v>
      </c>
      <c r="FZ483">
        <v>26.073619946782724</v>
      </c>
      <c r="GA483">
        <v>46.688220229988644</v>
      </c>
      <c r="GB483">
        <v>23.358890961592817</v>
      </c>
      <c r="GC483">
        <v>14.546334573719474</v>
      </c>
      <c r="GD483">
        <v>10.060614906231743</v>
      </c>
      <c r="GE483">
        <v>11.047732254974477</v>
      </c>
      <c r="GF483">
        <v>26.583880877403587</v>
      </c>
      <c r="GG483">
        <v>20.521996033264994</v>
      </c>
      <c r="GH483">
        <v>12.557984868899313</v>
      </c>
      <c r="GI483">
        <v>23.057293404045758</v>
      </c>
      <c r="GJ483"/>
      <c r="GK483">
        <v>26.9635302727654</v>
      </c>
      <c r="GL483">
        <v>41.261103693374352</v>
      </c>
      <c r="GM483">
        <v>41.38187483021791</v>
      </c>
      <c r="GN483">
        <v>48.028883979253784</v>
      </c>
      <c r="GO483">
        <v>43.766373267128337</v>
      </c>
      <c r="GP483">
        <v>23.704295682430978</v>
      </c>
      <c r="GQ483">
        <v>35.816930289387464</v>
      </c>
      <c r="GR483">
        <v>30.867681740308466</v>
      </c>
      <c r="GS483">
        <v>14.066285350013986</v>
      </c>
      <c r="GT483">
        <v>32.398998801902614</v>
      </c>
      <c r="GU483"/>
      <c r="GV483"/>
      <c r="GW483"/>
      <c r="GX483"/>
      <c r="GY483"/>
      <c r="GZ483"/>
      <c r="HA483"/>
      <c r="HB483"/>
      <c r="HC483"/>
    </row>
    <row r="484" spans="1:211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8131.8505036721035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49.687473290598284</v>
      </c>
      <c r="AO484">
        <v>40.206829478098612</v>
      </c>
      <c r="AP484">
        <v>52.919131635718401</v>
      </c>
      <c r="AQ484">
        <v>268.06765826340563</v>
      </c>
      <c r="AR484">
        <v>38.39214029101305</v>
      </c>
      <c r="AS484">
        <v>372.29275082000697</v>
      </c>
      <c r="AT484">
        <v>29.430573224405105</v>
      </c>
      <c r="AU484">
        <v>24.819815509829084</v>
      </c>
      <c r="AV484"/>
      <c r="AW484"/>
      <c r="FY484" s="211">
        <v>479</v>
      </c>
      <c r="FZ484">
        <v>32.713424622908988</v>
      </c>
      <c r="GA484">
        <v>61.720412349492577</v>
      </c>
      <c r="GB484">
        <v>28.993095562629371</v>
      </c>
      <c r="GC484">
        <v>10.97597803106906</v>
      </c>
      <c r="GD484">
        <v>4.8782365843986604</v>
      </c>
      <c r="GE484">
        <v>6.0094807321015011</v>
      </c>
      <c r="GF484">
        <v>21.170436044186861</v>
      </c>
      <c r="GG484">
        <v>17.404730813022212</v>
      </c>
      <c r="GH484">
        <v>6.2789924344496564</v>
      </c>
      <c r="GI484">
        <v>20.204987134672294</v>
      </c>
      <c r="GJ484"/>
      <c r="GK484">
        <v>33.837230869755864</v>
      </c>
      <c r="GL484">
        <v>54.545928746165352</v>
      </c>
      <c r="GM484">
        <v>51.363254081111677</v>
      </c>
      <c r="GN484">
        <v>36.22504015471349</v>
      </c>
      <c r="GO484">
        <v>21.199689894471277</v>
      </c>
      <c r="GP484">
        <v>12.894094904179488</v>
      </c>
      <c r="GQ484">
        <v>28.523300848639476</v>
      </c>
      <c r="GR484">
        <v>26.178919956970475</v>
      </c>
      <c r="GS484">
        <v>7.0331426750069932</v>
      </c>
      <c r="GT484">
        <v>28.39132367379705</v>
      </c>
      <c r="GU484"/>
      <c r="GV484"/>
      <c r="GW484"/>
      <c r="GX484"/>
      <c r="GY484"/>
      <c r="GZ484"/>
      <c r="HA484"/>
      <c r="HB484"/>
      <c r="HC484"/>
    </row>
    <row r="485" spans="1:211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10224.452403678983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47.034802350427348</v>
      </c>
      <c r="AO485">
        <v>35.20845296087559</v>
      </c>
      <c r="AP485">
        <v>13.83982715998858</v>
      </c>
      <c r="AQ485">
        <v>229.95385917389524</v>
      </c>
      <c r="AR485">
        <v>34.224397053238448</v>
      </c>
      <c r="AS485">
        <v>332.77127589668942</v>
      </c>
      <c r="AT485">
        <v>27.581539522296367</v>
      </c>
      <c r="AU485">
        <v>23.028829972901313</v>
      </c>
      <c r="AV485"/>
      <c r="AW485"/>
      <c r="FY485" s="211">
        <v>480</v>
      </c>
      <c r="FZ485">
        <v>53.300311613544601</v>
      </c>
      <c r="GA485">
        <v>69.983523957522536</v>
      </c>
      <c r="GB485">
        <v>24.481721771763809</v>
      </c>
      <c r="GC485">
        <v>13.374077290691696</v>
      </c>
      <c r="GD485">
        <v>6.552214648025549</v>
      </c>
      <c r="GE485">
        <v>8.3628438160013907</v>
      </c>
      <c r="GF485">
        <v>17.954006159515878</v>
      </c>
      <c r="GG485">
        <v>15.043166252232222</v>
      </c>
      <c r="GH485">
        <v>8.3719899125995436</v>
      </c>
      <c r="GI485">
        <v>22.800500863264151</v>
      </c>
      <c r="GJ485"/>
      <c r="GK485">
        <v>56.91238226194082</v>
      </c>
      <c r="GL485">
        <v>64.184882168914612</v>
      </c>
      <c r="GM485">
        <v>43.371046495876463</v>
      </c>
      <c r="GN485">
        <v>44.15710341573984</v>
      </c>
      <c r="GO485">
        <v>28.497841306002037</v>
      </c>
      <c r="GP485">
        <v>17.943530670851175</v>
      </c>
      <c r="GQ485">
        <v>24.189748291311929</v>
      </c>
      <c r="GR485">
        <v>22.626827696865931</v>
      </c>
      <c r="GS485">
        <v>9.3775235666759915</v>
      </c>
      <c r="GT485">
        <v>32.469708384361454</v>
      </c>
      <c r="GU485"/>
      <c r="GV485"/>
      <c r="GW485"/>
      <c r="GX485"/>
      <c r="GY485"/>
      <c r="GZ485"/>
      <c r="HA485"/>
      <c r="HB485"/>
      <c r="HC485"/>
    </row>
    <row r="486" spans="1:211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12653.958849414945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50.069577991452988</v>
      </c>
      <c r="AO486">
        <v>40.771580954290201</v>
      </c>
      <c r="AP486">
        <v>32.135404898431545</v>
      </c>
      <c r="AQ486">
        <v>272.49165460986461</v>
      </c>
      <c r="AR486">
        <v>38.888236434954706</v>
      </c>
      <c r="AS486">
        <v>374.68081885675343</v>
      </c>
      <c r="AT486">
        <v>30.787412468940701</v>
      </c>
      <c r="AU486">
        <v>30.410658239625153</v>
      </c>
      <c r="AV486"/>
      <c r="AW486"/>
      <c r="FY486" s="211">
        <v>481</v>
      </c>
      <c r="FZ486">
        <v>29.851151658435043</v>
      </c>
      <c r="GA486">
        <v>71.44712489740688</v>
      </c>
      <c r="GB486">
        <v>36.271445278559156</v>
      </c>
      <c r="GC486">
        <v>14.184962786847937</v>
      </c>
      <c r="GD486">
        <v>10.524478162884311</v>
      </c>
      <c r="GE486">
        <v>12.705359030340471</v>
      </c>
      <c r="GF486">
        <v>23.174113677260586</v>
      </c>
      <c r="GG486">
        <v>14.00407784548463</v>
      </c>
      <c r="GH486">
        <v>7.7868255316537258</v>
      </c>
      <c r="GI486">
        <v>25.783343110530023</v>
      </c>
      <c r="GJ486"/>
      <c r="GK486">
        <v>30.870831758880403</v>
      </c>
      <c r="GL486">
        <v>63.141992015618342</v>
      </c>
      <c r="GM486">
        <v>64.257348985291173</v>
      </c>
      <c r="GN486">
        <v>46.843010311009024</v>
      </c>
      <c r="GO486">
        <v>45.793776904947372</v>
      </c>
      <c r="GP486">
        <v>27.260941906971553</v>
      </c>
      <c r="GQ486">
        <v>31.222890966318928</v>
      </c>
      <c r="GR486">
        <v>21.063907102419936</v>
      </c>
      <c r="GS486">
        <v>10.094333717629874</v>
      </c>
      <c r="GT486">
        <v>36.447836466613545</v>
      </c>
      <c r="GU486"/>
      <c r="GV486"/>
      <c r="GW486"/>
      <c r="GX486"/>
      <c r="GY486"/>
      <c r="GZ486"/>
      <c r="HA486"/>
      <c r="HB486"/>
      <c r="HC486"/>
    </row>
    <row r="487" spans="1:211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15660.757979084645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49.256169871794874</v>
      </c>
      <c r="AO487">
        <v>38.212228012078548</v>
      </c>
      <c r="AP487">
        <v>24.703179736178267</v>
      </c>
      <c r="AQ487">
        <v>250.77900442024179</v>
      </c>
      <c r="AR487">
        <v>35.97508993905543</v>
      </c>
      <c r="AS487">
        <v>350.59971776255207</v>
      </c>
      <c r="AT487">
        <v>28.801692794615615</v>
      </c>
      <c r="AU487">
        <v>29.921806546205918</v>
      </c>
      <c r="AV487"/>
      <c r="AW487"/>
      <c r="FY487" s="211">
        <v>482</v>
      </c>
      <c r="FZ487">
        <v>46.56514409670185</v>
      </c>
      <c r="GA487">
        <v>82.677056657271578</v>
      </c>
      <c r="GB487">
        <v>27.900340577730827</v>
      </c>
      <c r="GC487">
        <v>11.902607856287265</v>
      </c>
      <c r="GD487">
        <v>9.3412185599066788</v>
      </c>
      <c r="GE487">
        <v>9.0912657229227865</v>
      </c>
      <c r="GF487">
        <v>14.157564328428821</v>
      </c>
      <c r="GG487">
        <v>11.902285386381539</v>
      </c>
      <c r="GH487">
        <v>10.870071026326483</v>
      </c>
      <c r="GI487">
        <v>24.141264455286422</v>
      </c>
      <c r="GJ487"/>
      <c r="GK487">
        <v>48.147404364652537</v>
      </c>
      <c r="GL487">
        <v>73.066537790350424</v>
      </c>
      <c r="GM487">
        <v>49.427363799354708</v>
      </c>
      <c r="GN487">
        <v>39.289392159167974</v>
      </c>
      <c r="GO487">
        <v>40.626891514030412</v>
      </c>
      <c r="GP487">
        <v>19.506451265297176</v>
      </c>
      <c r="GQ487">
        <v>19.07473543676139</v>
      </c>
      <c r="GR487">
        <v>17.902544990926891</v>
      </c>
      <c r="GS487">
        <v>12.861769831044931</v>
      </c>
      <c r="GT487">
        <v>34.027632989168801</v>
      </c>
      <c r="GU487"/>
      <c r="GV487"/>
      <c r="GW487"/>
      <c r="GX487"/>
      <c r="GY487"/>
      <c r="GZ487"/>
      <c r="HA487"/>
      <c r="HB487"/>
      <c r="HC487"/>
    </row>
    <row r="488" spans="1:211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19117.078961018316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43.067708333333336</v>
      </c>
      <c r="AO488">
        <v>32.124679030051666</v>
      </c>
      <c r="AP488">
        <v>16.616070312038154</v>
      </c>
      <c r="AQ488">
        <v>219.78477626277987</v>
      </c>
      <c r="AR488">
        <v>31.057060140405319</v>
      </c>
      <c r="AS488">
        <v>303.78238216793733</v>
      </c>
      <c r="AT488">
        <v>24.934915704201543</v>
      </c>
      <c r="AU488">
        <v>25.38916666437915</v>
      </c>
      <c r="AV488"/>
      <c r="AW488"/>
      <c r="FY488" s="211">
        <v>483</v>
      </c>
      <c r="FZ488">
        <v>50.434895982320754</v>
      </c>
      <c r="GA488">
        <v>76.124443736916646</v>
      </c>
      <c r="GB488">
        <v>27.890315302640008</v>
      </c>
      <c r="GC488">
        <v>14.483122592908931</v>
      </c>
      <c r="GD488">
        <v>10.32268311515822</v>
      </c>
      <c r="GE488">
        <v>12.261768766510137</v>
      </c>
      <c r="GF488">
        <v>22.058030083399341</v>
      </c>
      <c r="GG488">
        <v>16.554567571137813</v>
      </c>
      <c r="GH488">
        <v>10.228655922828594</v>
      </c>
      <c r="GI488">
        <v>26.643829310264753</v>
      </c>
      <c r="GJ488"/>
      <c r="GK488">
        <v>55.760883545868829</v>
      </c>
      <c r="GL488">
        <v>71.948330878328676</v>
      </c>
      <c r="GM488">
        <v>49.409603338054175</v>
      </c>
      <c r="GN488">
        <v>47.823944915081277</v>
      </c>
      <c r="GO488">
        <v>44.911229261795548</v>
      </c>
      <c r="GP488">
        <v>26.309163339840978</v>
      </c>
      <c r="GQ488">
        <v>29.719171909541334</v>
      </c>
      <c r="GR488">
        <v>24.900166743332836</v>
      </c>
      <c r="GS488">
        <v>12.829444757910373</v>
      </c>
      <c r="GT488">
        <v>38.52606656263405</v>
      </c>
      <c r="GU488"/>
      <c r="GV488"/>
      <c r="GW488"/>
      <c r="GX488"/>
      <c r="GY488"/>
      <c r="GZ488"/>
      <c r="HA488"/>
      <c r="HB488"/>
      <c r="HC488"/>
    </row>
    <row r="489" spans="1:211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23336.208150965249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48.890491452991455</v>
      </c>
      <c r="AO489">
        <v>37.97467991743256</v>
      </c>
      <c r="AP489">
        <v>28.885811405568411</v>
      </c>
      <c r="AQ489">
        <v>259.84104569746182</v>
      </c>
      <c r="AR489">
        <v>36.570280755679661</v>
      </c>
      <c r="AS489">
        <v>345.0501422486501</v>
      </c>
      <c r="AT489">
        <v>28.908531936756422</v>
      </c>
      <c r="AU489">
        <v>28.945118214648602</v>
      </c>
      <c r="AV489"/>
      <c r="AW489"/>
      <c r="FY489" s="211">
        <v>484</v>
      </c>
      <c r="FZ489">
        <v>41.430210902574551</v>
      </c>
      <c r="GA489">
        <v>68.215030766992669</v>
      </c>
      <c r="GB489">
        <v>27.890315302640015</v>
      </c>
      <c r="GC489">
        <v>9.5182459184609396</v>
      </c>
      <c r="GD489">
        <v>6.4514553312434035</v>
      </c>
      <c r="GE489">
        <v>7.4383083187550048</v>
      </c>
      <c r="GF489">
        <v>31.294280927085676</v>
      </c>
      <c r="GG489">
        <v>27.771999234890256</v>
      </c>
      <c r="GH489">
        <v>8.4282406351516155</v>
      </c>
      <c r="GI489">
        <v>24.436375944036406</v>
      </c>
      <c r="GJ489"/>
      <c r="GK489">
        <v>44.640305576967805</v>
      </c>
      <c r="GL489">
        <v>62.621961574468614</v>
      </c>
      <c r="GM489">
        <v>49.40960333805419</v>
      </c>
      <c r="GN489">
        <v>31.414221459938766</v>
      </c>
      <c r="GO489">
        <v>28.050663327485921</v>
      </c>
      <c r="GP489">
        <v>15.959823762515867</v>
      </c>
      <c r="GQ489">
        <v>42.163335127440909</v>
      </c>
      <c r="GR489">
        <v>41.772604978829406</v>
      </c>
      <c r="GS489">
        <v>10.126658790764434</v>
      </c>
      <c r="GT489">
        <v>34.878113232142653</v>
      </c>
      <c r="GU489"/>
      <c r="GV489"/>
      <c r="GW489"/>
      <c r="GX489"/>
      <c r="GY489"/>
      <c r="GZ489"/>
      <c r="HA489"/>
      <c r="HB489"/>
      <c r="HC489"/>
    </row>
    <row r="490" spans="1:211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28144.057573662063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47.618108974358975</v>
      </c>
      <c r="AO490">
        <v>37.480353972612427</v>
      </c>
      <c r="AP490">
        <v>22.457572421366574</v>
      </c>
      <c r="AQ490">
        <v>247.00880137077442</v>
      </c>
      <c r="AR490">
        <v>36.056343445645396</v>
      </c>
      <c r="AS490">
        <v>348.66404949624462</v>
      </c>
      <c r="AT490">
        <v>28.664466567660412</v>
      </c>
      <c r="AU490">
        <v>14.511478395720857</v>
      </c>
      <c r="AV490"/>
      <c r="AW490"/>
      <c r="FY490" s="211">
        <v>485</v>
      </c>
      <c r="FZ490">
        <v>39.733636534758112</v>
      </c>
      <c r="GA490">
        <v>74.276714002254678</v>
      </c>
      <c r="GB490">
        <v>36.712557382554898</v>
      </c>
      <c r="GC490">
        <v>12.916527997547643</v>
      </c>
      <c r="GD490">
        <v>5.8049166886551751</v>
      </c>
      <c r="GE490">
        <v>10.548109536765573</v>
      </c>
      <c r="GF490">
        <v>36.145289933474693</v>
      </c>
      <c r="GG490">
        <v>25.622975484571374</v>
      </c>
      <c r="GH490">
        <v>9.8798230098036122</v>
      </c>
      <c r="GI490">
        <v>27.24696389099504</v>
      </c>
      <c r="GJ490"/>
      <c r="GK490">
        <v>41.08237327404224</v>
      </c>
      <c r="GL490">
        <v>65.642664966731928</v>
      </c>
      <c r="GM490">
        <v>65.038809282514165</v>
      </c>
      <c r="GN490">
        <v>42.649730522862328</v>
      </c>
      <c r="GO490">
        <v>25.249943205673315</v>
      </c>
      <c r="GP490">
        <v>22.632292454189169</v>
      </c>
      <c r="GQ490">
        <v>48.699184886033265</v>
      </c>
      <c r="GR490">
        <v>38.540201022134283</v>
      </c>
      <c r="GS490">
        <v>12.438714609298874</v>
      </c>
      <c r="GT490">
        <v>38.501805051512385</v>
      </c>
      <c r="GU490"/>
      <c r="GV490"/>
      <c r="GW490"/>
      <c r="GX490"/>
      <c r="GY490"/>
      <c r="GZ490"/>
      <c r="HA490"/>
      <c r="HB490"/>
      <c r="HC490"/>
    </row>
    <row r="491" spans="1:211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33942.445644359832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42.088595085470089</v>
      </c>
      <c r="AO491">
        <v>31.590197424768157</v>
      </c>
      <c r="AP491">
        <v>9.4219332651491765</v>
      </c>
      <c r="AQ491">
        <v>206.17583380930876</v>
      </c>
      <c r="AR491">
        <v>30.505963516648933</v>
      </c>
      <c r="AS491">
        <v>293.42129577623518</v>
      </c>
      <c r="AT491">
        <v>24.944146919916349</v>
      </c>
      <c r="AU491">
        <v>30.8184852185273</v>
      </c>
      <c r="AV491"/>
      <c r="AW491"/>
      <c r="FY491" s="211">
        <v>486</v>
      </c>
      <c r="FZ491">
        <v>57.600556562166261</v>
      </c>
      <c r="GA491">
        <v>85.320608327671991</v>
      </c>
      <c r="GB491">
        <v>33.524519903676563</v>
      </c>
      <c r="GC491">
        <v>15.148909490020108</v>
      </c>
      <c r="GD491">
        <v>10.234081892539567</v>
      </c>
      <c r="GE491">
        <v>16.011273838676033</v>
      </c>
      <c r="GF491">
        <v>25.494161462924904</v>
      </c>
      <c r="GG491">
        <v>16.861570964040517</v>
      </c>
      <c r="GH491">
        <v>12.963068504476368</v>
      </c>
      <c r="GI491">
        <v>30.13647572862935</v>
      </c>
      <c r="GJ491"/>
      <c r="GK491">
        <v>63.17038717097163</v>
      </c>
      <c r="GL491">
        <v>80.075517969447873</v>
      </c>
      <c r="GM491">
        <v>59.390982588947949</v>
      </c>
      <c r="GN491">
        <v>49.999893109923626</v>
      </c>
      <c r="GO491">
        <v>44.499614864084826</v>
      </c>
      <c r="GP491">
        <v>34.354196912534164</v>
      </c>
      <c r="GQ491">
        <v>34.348732155210932</v>
      </c>
      <c r="GR491">
        <v>25.361938737146435</v>
      </c>
      <c r="GS491">
        <v>15.206150722713929</v>
      </c>
      <c r="GT491">
        <v>43.323173500385849</v>
      </c>
      <c r="GU491"/>
      <c r="GV491"/>
      <c r="GW491"/>
      <c r="GX491"/>
      <c r="GY491"/>
      <c r="GZ491"/>
      <c r="HA491"/>
      <c r="HB491"/>
      <c r="HC491"/>
    </row>
    <row r="492" spans="1:211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40499.345514774883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41.32064636752137</v>
      </c>
      <c r="AO492">
        <v>32.065208782235246</v>
      </c>
      <c r="AP492">
        <v>23.825096328855427</v>
      </c>
      <c r="AQ492">
        <v>226.52308742662728</v>
      </c>
      <c r="AR492">
        <v>31.023368299143634</v>
      </c>
      <c r="AS492">
        <v>302.71659895113851</v>
      </c>
      <c r="AT492">
        <v>24.457312886708802</v>
      </c>
      <c r="AU492">
        <v>28.585223921987378</v>
      </c>
      <c r="AV492"/>
      <c r="AW492"/>
      <c r="FY492" s="211">
        <v>487</v>
      </c>
      <c r="FZ492">
        <v>42.432669956279838</v>
      </c>
      <c r="GA492">
        <v>82.539825610284652</v>
      </c>
      <c r="GB492">
        <v>29.313904365535365</v>
      </c>
      <c r="GC492">
        <v>11.477799024364355</v>
      </c>
      <c r="GD492">
        <v>9.2514366635352623</v>
      </c>
      <c r="GE492">
        <v>11.033724141379837</v>
      </c>
      <c r="GF492">
        <v>26.821158491846528</v>
      </c>
      <c r="GG492">
        <v>24.111574165665779</v>
      </c>
      <c r="GH492">
        <v>15.461149618203311</v>
      </c>
      <c r="GI492">
        <v>26.960954320322664</v>
      </c>
      <c r="GJ492"/>
      <c r="GK492">
        <v>45.673723180445307</v>
      </c>
      <c r="GL492">
        <v>75.281618389481196</v>
      </c>
      <c r="GM492">
        <v>51.931588842728402</v>
      </c>
      <c r="GN492">
        <v>37.886315716426687</v>
      </c>
      <c r="GO492">
        <v>40.236161365418923</v>
      </c>
      <c r="GP492">
        <v>23.674239517153172</v>
      </c>
      <c r="GQ492">
        <v>36.136618592796871</v>
      </c>
      <c r="GR492">
        <v>36.266861975667375</v>
      </c>
      <c r="GS492">
        <v>18.69039698708287</v>
      </c>
      <c r="GT492">
        <v>38.533697793694479</v>
      </c>
      <c r="GU492"/>
      <c r="GV492"/>
      <c r="GW492"/>
      <c r="GX492"/>
      <c r="GY492"/>
      <c r="GZ492"/>
      <c r="HA492"/>
      <c r="HB492"/>
      <c r="HC492"/>
    </row>
    <row r="493" spans="1:211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48322.887640763322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49.512927350427347</v>
      </c>
      <c r="AO493">
        <v>37.924900405656771</v>
      </c>
      <c r="AP493">
        <v>33.416662803335235</v>
      </c>
      <c r="AQ493">
        <v>239.81757758924556</v>
      </c>
      <c r="AR493">
        <v>35.959590839321635</v>
      </c>
      <c r="AS493">
        <v>350.17052215370325</v>
      </c>
      <c r="AT493">
        <v>28.083031451425992</v>
      </c>
      <c r="AU493">
        <v>22.36721132155995</v>
      </c>
      <c r="AV493"/>
      <c r="AW493"/>
      <c r="FY493" s="211">
        <v>488</v>
      </c>
      <c r="FZ493">
        <v>37.647026590452519</v>
      </c>
      <c r="GA493">
        <v>82.362976291231661</v>
      </c>
      <c r="GB493">
        <v>36.131091427287778</v>
      </c>
      <c r="GC493">
        <v>13.549799497678514</v>
      </c>
      <c r="GD493">
        <v>8.400962771971157</v>
      </c>
      <c r="GE493">
        <v>13.69059635316364</v>
      </c>
      <c r="GF493">
        <v>37.507439201573064</v>
      </c>
      <c r="GG493">
        <v>27.795614880498153</v>
      </c>
      <c r="GH493">
        <v>10.870071026326482</v>
      </c>
      <c r="GI493">
        <v>28.745389630225755</v>
      </c>
      <c r="GJ493"/>
      <c r="GK493">
        <v>40.741073252224638</v>
      </c>
      <c r="GL493">
        <v>75.1253263300366</v>
      </c>
      <c r="GM493">
        <v>64.008702527083855</v>
      </c>
      <c r="GN493">
        <v>44.733645977892508</v>
      </c>
      <c r="GO493">
        <v>36.539242371697483</v>
      </c>
      <c r="GP493">
        <v>29.37489219817736</v>
      </c>
      <c r="GQ493">
        <v>50.534432553753952</v>
      </c>
      <c r="GR493">
        <v>41.808125901430451</v>
      </c>
      <c r="GS493">
        <v>12.861769831044928</v>
      </c>
      <c r="GT493">
        <v>40.937044107160965</v>
      </c>
      <c r="GU493"/>
      <c r="GV493"/>
      <c r="GW493"/>
      <c r="GX493"/>
      <c r="GY493"/>
      <c r="GZ493"/>
      <c r="HA493"/>
      <c r="HB493"/>
      <c r="HC493"/>
    </row>
    <row r="494" spans="1:211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57109.645557406475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45.796581196581187</v>
      </c>
      <c r="AO494">
        <v>33.825595790678321</v>
      </c>
      <c r="AP494">
        <v>5.6652544562515956</v>
      </c>
      <c r="AQ494">
        <v>214.49656805690358</v>
      </c>
      <c r="AR494">
        <v>32.3989988019026</v>
      </c>
      <c r="AS494">
        <v>309.47241610086769</v>
      </c>
      <c r="AT494">
        <v>26.428203854834933</v>
      </c>
      <c r="AU494">
        <v>21.080473269287197</v>
      </c>
      <c r="AV494"/>
      <c r="AW494"/>
      <c r="FY494" s="211">
        <v>489</v>
      </c>
      <c r="FZ494">
        <v>58.38850198765855</v>
      </c>
      <c r="GA494">
        <v>90.498044967669074</v>
      </c>
      <c r="GB494">
        <v>33.624772654584696</v>
      </c>
      <c r="GC494">
        <v>15.012181002907939</v>
      </c>
      <c r="GD494">
        <v>9.6327757548046602</v>
      </c>
      <c r="GE494">
        <v>12.719367143935115</v>
      </c>
      <c r="GF494">
        <v>33.904334685958034</v>
      </c>
      <c r="GG494">
        <v>22.316785099465385</v>
      </c>
      <c r="GH494">
        <v>7.0329089830516915</v>
      </c>
      <c r="GI494">
        <v>30.629077565887247</v>
      </c>
      <c r="GJ494"/>
      <c r="GK494">
        <v>62.188123830310047</v>
      </c>
      <c r="GL494">
        <v>82.314761064488195</v>
      </c>
      <c r="GM494">
        <v>59.568587201953193</v>
      </c>
      <c r="GN494">
        <v>49.579021479625638</v>
      </c>
      <c r="GO494">
        <v>41.917431712446302</v>
      </c>
      <c r="GP494">
        <v>27.290998072249362</v>
      </c>
      <c r="GQ494">
        <v>45.679906464944409</v>
      </c>
      <c r="GR494">
        <v>33.567271857987919</v>
      </c>
      <c r="GS494">
        <v>8.5637381963184342</v>
      </c>
      <c r="GT494">
        <v>43.583557481194489</v>
      </c>
      <c r="GU494"/>
      <c r="GV494"/>
      <c r="GW494"/>
      <c r="GX494"/>
      <c r="GY494"/>
      <c r="GZ494"/>
      <c r="HA494"/>
      <c r="HB494"/>
      <c r="HC494"/>
    </row>
    <row r="495" spans="1:211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67494.137352448117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40.751442307692301</v>
      </c>
      <c r="AO495">
        <v>30.019192580481121</v>
      </c>
      <c r="AP495">
        <v>3.1408539698913067</v>
      </c>
      <c r="AQ495">
        <v>210.34977430893116</v>
      </c>
      <c r="AR495">
        <v>28.391323673797029</v>
      </c>
      <c r="AS495">
        <v>277.18539132444027</v>
      </c>
      <c r="AT495">
        <v>23.252453184852754</v>
      </c>
      <c r="AU495">
        <v>14.283894747067819</v>
      </c>
      <c r="AV495"/>
      <c r="AW495"/>
      <c r="FY495" s="211">
        <v>490</v>
      </c>
      <c r="FZ495">
        <v>35.874901588403056</v>
      </c>
      <c r="GA495">
        <v>67.114316580608701</v>
      </c>
      <c r="GB495">
        <v>28.752488960449874</v>
      </c>
      <c r="GC495">
        <v>10.233844048185027</v>
      </c>
      <c r="GD495">
        <v>6.1186972537829032</v>
      </c>
      <c r="GE495">
        <v>10.683521301513782</v>
      </c>
      <c r="GF495">
        <v>21.917421126692414</v>
      </c>
      <c r="GG495">
        <v>12.964989438737033</v>
      </c>
      <c r="GH495">
        <v>6.9766582604996197</v>
      </c>
      <c r="GI495">
        <v>21.632993923094389</v>
      </c>
      <c r="GJ495"/>
      <c r="GK495">
        <v>37.104994919576782</v>
      </c>
      <c r="GL495">
        <v>59.312836559225644</v>
      </c>
      <c r="GM495">
        <v>50.937003009899129</v>
      </c>
      <c r="GN495">
        <v>33.777729002239099</v>
      </c>
      <c r="GO495">
        <v>26.602502636827921</v>
      </c>
      <c r="GP495">
        <v>22.922835385207978</v>
      </c>
      <c r="GQ495">
        <v>29.529726989002427</v>
      </c>
      <c r="GR495">
        <v>19.500986507973934</v>
      </c>
      <c r="GS495">
        <v>7.8146029722299932</v>
      </c>
      <c r="GT495">
        <v>30.397766105507255</v>
      </c>
      <c r="GU495"/>
      <c r="GV495"/>
      <c r="GW495"/>
      <c r="GX495"/>
      <c r="GY495"/>
      <c r="GZ495"/>
      <c r="HA495"/>
      <c r="HB495"/>
      <c r="HC495"/>
    </row>
    <row r="496" spans="1:211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79086.09108876028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44.961378205128213</v>
      </c>
      <c r="AO496">
        <v>34.373059425854031</v>
      </c>
      <c r="AP496">
        <v>38.127059547267329</v>
      </c>
      <c r="AQ496">
        <v>240.22435628516135</v>
      </c>
      <c r="AR496">
        <v>32.469708384361432</v>
      </c>
      <c r="AS496">
        <v>302.33863550426804</v>
      </c>
      <c r="AT496">
        <v>25.455938101540834</v>
      </c>
      <c r="AU496">
        <v>41.083844043827291</v>
      </c>
      <c r="AV496"/>
      <c r="AW496"/>
      <c r="FY496" s="211">
        <v>491</v>
      </c>
      <c r="FZ496">
        <v>35.116396710160501</v>
      </c>
      <c r="GA496">
        <v>61.543563030439586</v>
      </c>
      <c r="GB496">
        <v>34.847856215663789</v>
      </c>
      <c r="GC496">
        <v>15.528970122488833</v>
      </c>
      <c r="GD496">
        <v>8.8996536905894352</v>
      </c>
      <c r="GE496">
        <v>10.77690872547806</v>
      </c>
      <c r="GF496">
        <v>26.750854013493068</v>
      </c>
      <c r="GG496">
        <v>25.953594523081968</v>
      </c>
      <c r="GH496">
        <v>14.065817966103383</v>
      </c>
      <c r="GI496">
        <v>26.876738510597768</v>
      </c>
      <c r="GJ496"/>
      <c r="GK496">
        <v>36.312315442410018</v>
      </c>
      <c r="GL496">
        <v>54.389636686720749</v>
      </c>
      <c r="GM496">
        <v>61.735363480616932</v>
      </c>
      <c r="GN496">
        <v>51.251333201496166</v>
      </c>
      <c r="GO496">
        <v>38.687856115372561</v>
      </c>
      <c r="GP496">
        <v>23.12320982039336</v>
      </c>
      <c r="GQ496">
        <v>36.04189613252742</v>
      </c>
      <c r="GR496">
        <v>39.03749393854892</v>
      </c>
      <c r="GS496">
        <v>17.127476392636868</v>
      </c>
      <c r="GT496">
        <v>37.980981512712766</v>
      </c>
      <c r="GU496"/>
      <c r="GV496"/>
      <c r="GW496"/>
      <c r="GX496"/>
      <c r="GY496"/>
      <c r="GZ496"/>
      <c r="HA496"/>
      <c r="HB496"/>
      <c r="HC496"/>
    </row>
    <row r="497" spans="1:211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92668.934651889795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50.135523504273507</v>
      </c>
      <c r="AO497">
        <v>37.699687013570006</v>
      </c>
      <c r="AP497">
        <v>10.830222625012667</v>
      </c>
      <c r="AQ497">
        <v>245.73288197940278</v>
      </c>
      <c r="AR497">
        <v>36.447836466613573</v>
      </c>
      <c r="AS497">
        <v>363.88883947225048</v>
      </c>
      <c r="AT497">
        <v>29.593321538884492</v>
      </c>
      <c r="AU497">
        <v>31.151519681352219</v>
      </c>
      <c r="AV497"/>
      <c r="AW497"/>
      <c r="FY497" s="211">
        <v>492</v>
      </c>
      <c r="FZ497">
        <v>55.967394554096742</v>
      </c>
      <c r="GA497">
        <v>83.552115137142124</v>
      </c>
      <c r="GB497">
        <v>32.070855015508776</v>
      </c>
      <c r="GC497">
        <v>13.223098494536037</v>
      </c>
      <c r="GD497">
        <v>6.760031485081071</v>
      </c>
      <c r="GE497">
        <v>10.669513187919138</v>
      </c>
      <c r="GF497">
        <v>25.687498778396918</v>
      </c>
      <c r="GG497">
        <v>17.900659370788109</v>
      </c>
      <c r="GH497">
        <v>6.3352431570017291</v>
      </c>
      <c r="GI497">
        <v>26.360615213360461</v>
      </c>
      <c r="GJ497"/>
      <c r="GK497">
        <v>61.47184375274059</v>
      </c>
      <c r="GL497">
        <v>78.512597375001874</v>
      </c>
      <c r="GM497">
        <v>56.815715700372159</v>
      </c>
      <c r="GN497">
        <v>43.658444309994394</v>
      </c>
      <c r="GO497">
        <v>29.402258642997893</v>
      </c>
      <c r="GP497">
        <v>22.892779219930173</v>
      </c>
      <c r="GQ497">
        <v>34.609218920951918</v>
      </c>
      <c r="GR497">
        <v>26.92485933159243</v>
      </c>
      <c r="GS497">
        <v>7.7822778990954342</v>
      </c>
      <c r="GT497">
        <v>38.016262983231591</v>
      </c>
      <c r="GU497"/>
      <c r="GV497"/>
      <c r="GW497"/>
      <c r="GX497"/>
      <c r="GY497"/>
      <c r="GZ497"/>
      <c r="HA497"/>
      <c r="HB497"/>
      <c r="HC497"/>
    </row>
    <row r="498" spans="1:211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107747.97191447273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48.363114316239312</v>
      </c>
      <c r="AO498">
        <v>35.393072414075519</v>
      </c>
      <c r="AP498">
        <v>24.162261521191539</v>
      </c>
      <c r="AQ498">
        <v>248.54881866724429</v>
      </c>
      <c r="AR498">
        <v>34.027632989168808</v>
      </c>
      <c r="AS498">
        <v>316.25602173347056</v>
      </c>
      <c r="AT498">
        <v>27.167372644923571</v>
      </c>
      <c r="AU498">
        <v>39.253889350355934</v>
      </c>
      <c r="AV498"/>
      <c r="AW498"/>
      <c r="FY498" s="211">
        <v>493</v>
      </c>
      <c r="FZ498">
        <v>40.509443685764261</v>
      </c>
      <c r="GA498">
        <v>78.167399021420394</v>
      </c>
      <c r="GB498">
        <v>32.291411067506637</v>
      </c>
      <c r="GC498">
        <v>12.460408202312422</v>
      </c>
      <c r="GD498">
        <v>7.3484845508712446</v>
      </c>
      <c r="GE498">
        <v>9.2733711996531341</v>
      </c>
      <c r="GF498">
        <v>19.957683792589606</v>
      </c>
      <c r="GG498">
        <v>15.539094809998117</v>
      </c>
      <c r="GH498">
        <v>13.660734330526328</v>
      </c>
      <c r="GI498">
        <v>24.680217431867991</v>
      </c>
      <c r="GJ498"/>
      <c r="GK498">
        <v>41.881352788352856</v>
      </c>
      <c r="GL498">
        <v>69.08109027451313</v>
      </c>
      <c r="GM498">
        <v>57.206445848983648</v>
      </c>
      <c r="GN498">
        <v>41.135558676984047</v>
      </c>
      <c r="GO498">
        <v>31.958864941937044</v>
      </c>
      <c r="GP498">
        <v>19.897181413908672</v>
      </c>
      <c r="GQ498">
        <v>26.889338408991385</v>
      </c>
      <c r="GR498">
        <v>23.372767071487882</v>
      </c>
      <c r="GS498">
        <v>15.987611019936924</v>
      </c>
      <c r="GT498">
        <v>34.784722601640368</v>
      </c>
      <c r="GU498"/>
      <c r="GV498"/>
      <c r="GW498"/>
      <c r="GX498"/>
      <c r="GY498"/>
      <c r="GZ498"/>
      <c r="HA498"/>
      <c r="HB498"/>
      <c r="HC498"/>
    </row>
    <row r="499" spans="1:211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125280.6616941641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49.199305555555569</v>
      </c>
      <c r="AO499">
        <v>40.21380052523881</v>
      </c>
      <c r="AP499">
        <v>45.966329522893744</v>
      </c>
      <c r="AQ499">
        <v>267.0023123840852</v>
      </c>
      <c r="AR499">
        <v>38.526066562634071</v>
      </c>
      <c r="AS499">
        <v>349.84628603067608</v>
      </c>
      <c r="AT499">
        <v>29.811124203327768</v>
      </c>
      <c r="AU499">
        <v>31.865756263264256</v>
      </c>
      <c r="AV499"/>
      <c r="AW499"/>
      <c r="FY499" s="211">
        <v>494</v>
      </c>
      <c r="FZ499">
        <v>61.596577642328157</v>
      </c>
      <c r="GA499">
        <v>92.708661455831418</v>
      </c>
      <c r="GB499">
        <v>28.231174655727632</v>
      </c>
      <c r="GC499">
        <v>13.221494628503832</v>
      </c>
      <c r="GD499">
        <v>8.3221780452099878</v>
      </c>
      <c r="GE499">
        <v>10.244600408881661</v>
      </c>
      <c r="GF499">
        <v>36.347415308740914</v>
      </c>
      <c r="GG499">
        <v>31.432424304114743</v>
      </c>
      <c r="GH499">
        <v>12.614235591451386</v>
      </c>
      <c r="GI499">
        <v>30.285179428831146</v>
      </c>
      <c r="GJ499"/>
      <c r="GK499">
        <v>65.51336467419371</v>
      </c>
      <c r="GL499">
        <v>84.268411807545689</v>
      </c>
      <c r="GM499">
        <v>50.013459022271952</v>
      </c>
      <c r="GN499">
        <v>43.641626635234331</v>
      </c>
      <c r="GO499">
        <v>36.18769764633803</v>
      </c>
      <c r="GP499">
        <v>21.981075539836674</v>
      </c>
      <c r="GQ499">
        <v>48.971511959307961</v>
      </c>
      <c r="GR499">
        <v>47.278347981991459</v>
      </c>
      <c r="GS499">
        <v>14.815420574102429</v>
      </c>
      <c r="GT499">
        <v>43.100290775242811</v>
      </c>
      <c r="GU499"/>
      <c r="GV499"/>
      <c r="GW499"/>
      <c r="GX499"/>
      <c r="GY499"/>
      <c r="GZ499"/>
      <c r="HA499"/>
      <c r="HB499"/>
      <c r="HC499"/>
    </row>
    <row r="500" spans="1:211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144648.02276958825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46.884455128205133</v>
      </c>
      <c r="AO500">
        <v>36.103729116860862</v>
      </c>
      <c r="AP500">
        <v>32.042360668423399</v>
      </c>
      <c r="AQ500">
        <v>252.87446328183049</v>
      </c>
      <c r="AR500">
        <v>34.87811323214266</v>
      </c>
      <c r="AS500">
        <v>316.24338866620781</v>
      </c>
      <c r="AT500">
        <v>27.205966756006433</v>
      </c>
      <c r="AU500">
        <v>35.79534726431163</v>
      </c>
      <c r="AV500"/>
      <c r="AW500"/>
      <c r="FY500" s="211">
        <v>495</v>
      </c>
      <c r="FZ500">
        <v>56.409537289393377</v>
      </c>
      <c r="GA500">
        <v>75.023729550532664</v>
      </c>
      <c r="GB500">
        <v>26.907838343740398</v>
      </c>
      <c r="GC500">
        <v>13.918791182346858</v>
      </c>
      <c r="GD500">
        <v>9.0371597243313353</v>
      </c>
      <c r="GE500">
        <v>13.050892499008311</v>
      </c>
      <c r="GF500">
        <v>30.301230170343004</v>
      </c>
      <c r="GG500">
        <v>19.695448436988503</v>
      </c>
      <c r="GH500">
        <v>11.916569765401425</v>
      </c>
      <c r="GI500">
        <v>28.363205450201761</v>
      </c>
      <c r="GJ500"/>
      <c r="GK500">
        <v>60.130738679070802</v>
      </c>
      <c r="GL500">
        <v>68.639205863085706</v>
      </c>
      <c r="GM500">
        <v>47.669078130602955</v>
      </c>
      <c r="GN500">
        <v>45.967727681852686</v>
      </c>
      <c r="GO500">
        <v>39.32531515545719</v>
      </c>
      <c r="GP500">
        <v>28.002327317157469</v>
      </c>
      <c r="GQ500">
        <v>40.825380376134873</v>
      </c>
      <c r="GR500">
        <v>29.624449449271882</v>
      </c>
      <c r="GS500">
        <v>14.03396027687943</v>
      </c>
      <c r="GT500">
        <v>40.396894523629058</v>
      </c>
      <c r="GU500"/>
      <c r="GV500"/>
      <c r="GW500"/>
      <c r="GX500"/>
      <c r="GY500"/>
      <c r="GZ500"/>
      <c r="HA500"/>
      <c r="HB500"/>
      <c r="HC500"/>
    </row>
    <row r="501" spans="1:211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167009.41875793086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53.887019230769212</v>
      </c>
      <c r="AO501">
        <v>40.047571927499199</v>
      </c>
      <c r="AP501">
        <v>22.078677795926833</v>
      </c>
      <c r="AQ501">
        <v>278.88751446138076</v>
      </c>
      <c r="AR501">
        <v>38.501805051512392</v>
      </c>
      <c r="AS501">
        <v>357.04202946765116</v>
      </c>
      <c r="AT501">
        <v>30.90616406520137</v>
      </c>
      <c r="AU501">
        <v>40.653236042389423</v>
      </c>
      <c r="AV501"/>
      <c r="AW501"/>
      <c r="FY501" s="211">
        <v>496</v>
      </c>
      <c r="FZ501">
        <v>31.176114057748208</v>
      </c>
      <c r="GA501">
        <v>46.688220229988644</v>
      </c>
      <c r="GB501">
        <v>22.045579924696394</v>
      </c>
      <c r="GC501">
        <v>10.793373977773442</v>
      </c>
      <c r="GD501">
        <v>6.0411484686805537</v>
      </c>
      <c r="GE501">
        <v>7.6484300226746385</v>
      </c>
      <c r="GF501">
        <v>17.954006159515885</v>
      </c>
      <c r="GG501">
        <v>13.744305743797735</v>
      </c>
      <c r="GH501">
        <v>15.112316705178326</v>
      </c>
      <c r="GI501">
        <v>19.780861623863917</v>
      </c>
      <c r="GJ501"/>
      <c r="GK501">
        <v>32.234352698334739</v>
      </c>
      <c r="GL501">
        <v>41.261103693374352</v>
      </c>
      <c r="GM501">
        <v>39.055254399849431</v>
      </c>
      <c r="GN501">
        <v>35.633448180819748</v>
      </c>
      <c r="GO501">
        <v>26.273685075444273</v>
      </c>
      <c r="GP501">
        <v>16.410666241682986</v>
      </c>
      <c r="GQ501">
        <v>24.189748291311936</v>
      </c>
      <c r="GR501">
        <v>20.67317695380844</v>
      </c>
      <c r="GS501">
        <v>18.299666838471367</v>
      </c>
      <c r="GT501">
        <v>28.010541460682351</v>
      </c>
      <c r="GU501"/>
      <c r="GV501"/>
      <c r="GW501"/>
      <c r="GX501"/>
      <c r="GY501"/>
      <c r="GZ501"/>
      <c r="HA501"/>
      <c r="HB501"/>
      <c r="HC501"/>
    </row>
    <row r="502" spans="1:211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191599.28943002329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56.59679487179487</v>
      </c>
      <c r="AO502">
        <v>44.973058773136721</v>
      </c>
      <c r="AP502">
        <v>49.199404370341227</v>
      </c>
      <c r="AQ502">
        <v>303.29522667482172</v>
      </c>
      <c r="AR502">
        <v>43.323173500385906</v>
      </c>
      <c r="AS502">
        <v>380.58633688961476</v>
      </c>
      <c r="AT502">
        <v>33.467089015206398</v>
      </c>
      <c r="AU502">
        <v>43.822430940169568</v>
      </c>
      <c r="AV502"/>
      <c r="AW502"/>
      <c r="FY502" s="211">
        <v>497</v>
      </c>
      <c r="FZ502">
        <v>40.116898175555264</v>
      </c>
      <c r="GA502">
        <v>67.861332128886673</v>
      </c>
      <c r="GB502">
        <v>29.995623071710604</v>
      </c>
      <c r="GC502">
        <v>10.373591691065013</v>
      </c>
      <c r="GD502">
        <v>6.9617317665020586</v>
      </c>
      <c r="GE502">
        <v>12.658665318358333</v>
      </c>
      <c r="GF502">
        <v>28.561194331094764</v>
      </c>
      <c r="GG502">
        <v>19.695448436988499</v>
      </c>
      <c r="GH502">
        <v>14.122068688655455</v>
      </c>
      <c r="GI502">
        <v>25.514223471758214</v>
      </c>
      <c r="GJ502"/>
      <c r="GK502">
        <v>43.291153836029153</v>
      </c>
      <c r="GL502">
        <v>62.309377455579408</v>
      </c>
      <c r="GM502">
        <v>53.139300211163942</v>
      </c>
      <c r="GN502">
        <v>34.243133503050423</v>
      </c>
      <c r="GO502">
        <v>30.275719686379816</v>
      </c>
      <c r="GP502">
        <v>27.160754689378862</v>
      </c>
      <c r="GQ502">
        <v>38.480999484465869</v>
      </c>
      <c r="GR502">
        <v>29.624449449271879</v>
      </c>
      <c r="GS502">
        <v>17.87661161672531</v>
      </c>
      <c r="GT502">
        <v>36.612756966952823</v>
      </c>
      <c r="GU502"/>
      <c r="GV502"/>
      <c r="GW502"/>
      <c r="GX502"/>
      <c r="GY502"/>
      <c r="GZ502"/>
      <c r="HA502"/>
      <c r="HB502"/>
      <c r="HC502"/>
    </row>
    <row r="503" spans="1:211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219809.68488549121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52.517628205128212</v>
      </c>
      <c r="AO503">
        <v>40.431122236089536</v>
      </c>
      <c r="AP503">
        <v>44.270236879241097</v>
      </c>
      <c r="AQ503">
        <v>279.40419635741762</v>
      </c>
      <c r="AR503">
        <v>38.533697793694508</v>
      </c>
      <c r="AS503">
        <v>357.42078692376225</v>
      </c>
      <c r="AT503">
        <v>30.077961284036466</v>
      </c>
      <c r="AU503">
        <v>36.423924134659657</v>
      </c>
      <c r="AV503"/>
      <c r="AW503"/>
      <c r="FY503" s="211">
        <v>498</v>
      </c>
      <c r="FZ503">
        <v>37.890980765915266</v>
      </c>
      <c r="GA503">
        <v>62.379003238244067</v>
      </c>
      <c r="GB503">
        <v>24.140862418676186</v>
      </c>
      <c r="GC503">
        <v>8.5505784959771809</v>
      </c>
      <c r="GD503">
        <v>8.3211987685134456</v>
      </c>
      <c r="GE503">
        <v>14.783229213545733</v>
      </c>
      <c r="GF503">
        <v>32.287331683828356</v>
      </c>
      <c r="GG503">
        <v>27.01629857543746</v>
      </c>
      <c r="GH503">
        <v>14.009567243551309</v>
      </c>
      <c r="GI503">
        <v>25.206523526676161</v>
      </c>
      <c r="GJ503"/>
      <c r="GK503">
        <v>40.98181137853539</v>
      </c>
      <c r="GL503">
        <v>57.464323612796804</v>
      </c>
      <c r="GM503">
        <v>42.767190811658686</v>
      </c>
      <c r="GN503">
        <v>28.202808397853719</v>
      </c>
      <c r="GO503">
        <v>36.170424575134376</v>
      </c>
      <c r="GP503">
        <v>31.719273089846357</v>
      </c>
      <c r="GQ503">
        <v>43.501289878746952</v>
      </c>
      <c r="GR503">
        <v>40.635935455595956</v>
      </c>
      <c r="GS503">
        <v>16.378341168548427</v>
      </c>
      <c r="GT503">
        <v>35.95981156252477</v>
      </c>
      <c r="GU503"/>
      <c r="GV503"/>
      <c r="GW503"/>
      <c r="GX503"/>
      <c r="GY503"/>
      <c r="GZ503"/>
      <c r="HA503"/>
      <c r="HB503"/>
      <c r="HC503"/>
    </row>
    <row r="504" spans="1:211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250703.58670331864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56.171314102564097</v>
      </c>
      <c r="AO504">
        <v>43.66642550505027</v>
      </c>
      <c r="AP504">
        <v>19.293756436960045</v>
      </c>
      <c r="AQ504">
        <v>296.70096767040872</v>
      </c>
      <c r="AR504">
        <v>40.937044107161</v>
      </c>
      <c r="AS504">
        <v>406.61031545154691</v>
      </c>
      <c r="AT504">
        <v>32.899149715452914</v>
      </c>
      <c r="AU504">
        <v>8.832791660023414</v>
      </c>
      <c r="AV504"/>
      <c r="AW504"/>
      <c r="FY504" s="211">
        <v>499</v>
      </c>
      <c r="FZ504">
        <v>49.647927761212976</v>
      </c>
      <c r="GA504">
        <v>75.554277507691637</v>
      </c>
      <c r="GB504">
        <v>33.404216602586814</v>
      </c>
      <c r="GC504">
        <v>16.712495046736528</v>
      </c>
      <c r="GD504">
        <v>8.0644376219356317</v>
      </c>
      <c r="GE504">
        <v>10.987030429397695</v>
      </c>
      <c r="GF504">
        <v>25.037182353627376</v>
      </c>
      <c r="GG504">
        <v>16.625414507961512</v>
      </c>
      <c r="GH504">
        <v>15.112316705178324</v>
      </c>
      <c r="GI504">
        <v>27.9214981725789</v>
      </c>
      <c r="GJ504"/>
      <c r="GK504">
        <v>53.151922779554639</v>
      </c>
      <c r="GL504">
        <v>69.108082041419522</v>
      </c>
      <c r="GM504">
        <v>59.177857053341675</v>
      </c>
      <c r="GN504">
        <v>55.179529601261486</v>
      </c>
      <c r="GO504">
        <v>35.074687409069767</v>
      </c>
      <c r="GP504">
        <v>23.574052299560478</v>
      </c>
      <c r="GQ504">
        <v>33.73303616345946</v>
      </c>
      <c r="GR504">
        <v>25.006729511135973</v>
      </c>
      <c r="GS504">
        <v>18.299666838471367</v>
      </c>
      <c r="GT504">
        <v>39.88743404877939</v>
      </c>
      <c r="GU504"/>
      <c r="GV504"/>
      <c r="GW504"/>
      <c r="GX504"/>
      <c r="GY504"/>
      <c r="GZ504"/>
      <c r="HA504"/>
      <c r="HB504"/>
      <c r="HC504"/>
    </row>
    <row r="505" spans="1:211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285939.57731503504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58.439369658119666</v>
      </c>
      <c r="AO505">
        <v>45.425339736151798</v>
      </c>
      <c r="AP505">
        <v>22.338030917693228</v>
      </c>
      <c r="AQ505">
        <v>313.75874984592241</v>
      </c>
      <c r="AR505">
        <v>43.583557481194511</v>
      </c>
      <c r="AS505">
        <v>414.2326700694714</v>
      </c>
      <c r="AT505">
        <v>34.975662393991122</v>
      </c>
      <c r="AU505">
        <v>38.431926262751837</v>
      </c>
      <c r="AV505"/>
      <c r="AW505"/>
      <c r="FY505" s="211">
        <v>500</v>
      </c>
      <c r="FZ505">
        <v>50.446545654614653</v>
      </c>
      <c r="GA505">
        <v>75.328621801178201</v>
      </c>
      <c r="GB505">
        <v>29.333954915716994</v>
      </c>
      <c r="GC505">
        <v>13.743320410422157</v>
      </c>
      <c r="GD505">
        <v>9.1667722969023053</v>
      </c>
      <c r="GE505">
        <v>10.244600408881659</v>
      </c>
      <c r="GF505">
        <v>22.13712262154699</v>
      </c>
      <c r="GG505">
        <v>18.443819219769807</v>
      </c>
      <c r="GH505">
        <v>12.265402678426408</v>
      </c>
      <c r="GI505">
        <v>26.612674285050609</v>
      </c>
      <c r="GJ505"/>
      <c r="GK505">
        <v>55.775252744384524</v>
      </c>
      <c r="GL505">
        <v>71.245016610827975</v>
      </c>
      <c r="GM505">
        <v>51.967109765329454</v>
      </c>
      <c r="GN505">
        <v>45.376655091709061</v>
      </c>
      <c r="GO505">
        <v>39.876376845870254</v>
      </c>
      <c r="GP505">
        <v>21.98107553983667</v>
      </c>
      <c r="GQ505">
        <v>29.825734677344471</v>
      </c>
      <c r="GR505">
        <v>27.741840551416477</v>
      </c>
      <c r="GS505">
        <v>14.42469042549093</v>
      </c>
      <c r="GT505">
        <v>38.373832891683918</v>
      </c>
      <c r="GU505"/>
      <c r="GV505"/>
      <c r="GW505"/>
      <c r="GX505"/>
      <c r="GY505"/>
      <c r="GZ505"/>
      <c r="HA505"/>
      <c r="HB505"/>
      <c r="HC505"/>
    </row>
    <row r="506" spans="1:211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324381.56201620452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43.121581196581197</v>
      </c>
      <c r="AO506">
        <v>31.790098408769012</v>
      </c>
      <c r="AP506">
        <v>5.6924915834649363</v>
      </c>
      <c r="AQ506">
        <v>222.26983248196683</v>
      </c>
      <c r="AR506">
        <v>30.397766105507245</v>
      </c>
      <c r="AS506">
        <v>303.6827997232246</v>
      </c>
      <c r="AT506">
        <v>24.836004840636875</v>
      </c>
      <c r="AU506">
        <v>18.134099354713147</v>
      </c>
      <c r="AV506"/>
      <c r="AW506"/>
      <c r="FY506" s="211">
        <v>501</v>
      </c>
      <c r="FZ506">
        <v>50.135691981300653</v>
      </c>
      <c r="GA506">
        <v>62.330196850783629</v>
      </c>
      <c r="GB506">
        <v>20.812471088526475</v>
      </c>
      <c r="GC506">
        <v>11.707105924918244</v>
      </c>
      <c r="GD506">
        <v>7.6716630482370096</v>
      </c>
      <c r="GE506">
        <v>8.1667302256763961</v>
      </c>
      <c r="GF506">
        <v>24.307773390710196</v>
      </c>
      <c r="GG506">
        <v>21.513853148796791</v>
      </c>
      <c r="GH506">
        <v>6.9766582604996197</v>
      </c>
      <c r="GI506">
        <v>23.044981610326367</v>
      </c>
      <c r="GJ506"/>
      <c r="GK506">
        <v>55.459518606923382</v>
      </c>
      <c r="GL506">
        <v>59.757550241649881</v>
      </c>
      <c r="GM506">
        <v>36.870717659885145</v>
      </c>
      <c r="GN506">
        <v>38.651360412577795</v>
      </c>
      <c r="GO506">
        <v>33.3696724596685</v>
      </c>
      <c r="GP506">
        <v>17.522744356961862</v>
      </c>
      <c r="GQ506">
        <v>32.750290638163882</v>
      </c>
      <c r="GR506">
        <v>32.359560489552379</v>
      </c>
      <c r="GS506">
        <v>7.8146029722299932</v>
      </c>
      <c r="GT506">
        <v>33.25296046737418</v>
      </c>
      <c r="GU506"/>
      <c r="GV506"/>
      <c r="GW506"/>
      <c r="GX506"/>
      <c r="GY506"/>
      <c r="GZ506"/>
      <c r="HA506"/>
      <c r="HB506"/>
      <c r="HC506"/>
    </row>
    <row r="507" spans="1:211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367991.7231609475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53.698397435897434</v>
      </c>
      <c r="AO507">
        <v>39.568756272343585</v>
      </c>
      <c r="AP507">
        <v>24.452472984812285</v>
      </c>
      <c r="AQ507">
        <v>260.36035350809641</v>
      </c>
      <c r="AR507">
        <v>37.980981512712795</v>
      </c>
      <c r="AS507">
        <v>372.98453297752911</v>
      </c>
      <c r="AT507">
        <v>30.2735207669338</v>
      </c>
      <c r="AU507">
        <v>32.331795114911387</v>
      </c>
      <c r="AV507"/>
      <c r="AW507"/>
      <c r="FY507" s="211">
        <v>502</v>
      </c>
      <c r="FZ507">
        <v>51.954071201171246</v>
      </c>
      <c r="GA507">
        <v>84.475980004473101</v>
      </c>
      <c r="GB507">
        <v>33.283913301497059</v>
      </c>
      <c r="GC507">
        <v>10.647547444363322</v>
      </c>
      <c r="GD507">
        <v>6.114464234435883</v>
      </c>
      <c r="GE507">
        <v>9.8336957434388221</v>
      </c>
      <c r="GF507">
        <v>13.630280740777842</v>
      </c>
      <c r="GG507">
        <v>11.170200372536645</v>
      </c>
      <c r="GH507">
        <v>11.860319042849351</v>
      </c>
      <c r="GI507">
        <v>24.169802138367679</v>
      </c>
      <c r="GJ507"/>
      <c r="GK507">
        <v>59.122566212374664</v>
      </c>
      <c r="GL507">
        <v>81.665430330800234</v>
      </c>
      <c r="GM507">
        <v>58.964731517735395</v>
      </c>
      <c r="GN507">
        <v>35.140285826050793</v>
      </c>
      <c r="GO507">
        <v>26.57974347919885</v>
      </c>
      <c r="GP507">
        <v>21.099428025020984</v>
      </c>
      <c r="GQ507">
        <v>18.364316984740483</v>
      </c>
      <c r="GR507">
        <v>16.801396390294485</v>
      </c>
      <c r="GS507">
        <v>13.284825052790985</v>
      </c>
      <c r="GT507">
        <v>35.263236649368068</v>
      </c>
      <c r="GU507"/>
      <c r="GV507"/>
      <c r="GW507"/>
      <c r="GX507"/>
      <c r="GY507"/>
      <c r="GZ507"/>
      <c r="HA507"/>
      <c r="HB507"/>
      <c r="HC507"/>
    </row>
    <row r="508" spans="1:211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415404.37780201971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49.912366452991449</v>
      </c>
      <c r="AO508">
        <v>40.008625813590839</v>
      </c>
      <c r="AP508">
        <v>53.359307253807899</v>
      </c>
      <c r="AQ508">
        <v>278.52702439383108</v>
      </c>
      <c r="AR508">
        <v>38.016262983231613</v>
      </c>
      <c r="AS508">
        <v>366.73035105442165</v>
      </c>
      <c r="AT508">
        <v>29.158766749860845</v>
      </c>
      <c r="AU508">
        <v>40.681216837745744</v>
      </c>
      <c r="AV508"/>
      <c r="AW508"/>
      <c r="FY508" s="211">
        <v>503</v>
      </c>
      <c r="FZ508">
        <v>36.199914867730747</v>
      </c>
      <c r="GA508">
        <v>72.194140445684866</v>
      </c>
      <c r="GB508">
        <v>32.973129773681876</v>
      </c>
      <c r="GC508">
        <v>13.985300124808626</v>
      </c>
      <c r="GD508">
        <v>8.7668347585205346</v>
      </c>
      <c r="GE508">
        <v>13.522498990027932</v>
      </c>
      <c r="GF508">
        <v>32.524609298271301</v>
      </c>
      <c r="GG508">
        <v>26.449523080847868</v>
      </c>
      <c r="GH508">
        <v>14.707233069601275</v>
      </c>
      <c r="GI508">
        <v>27.619463412345485</v>
      </c>
      <c r="GJ508"/>
      <c r="GK508">
        <v>39.241929488985242</v>
      </c>
      <c r="GL508">
        <v>66.138532911972106</v>
      </c>
      <c r="GM508">
        <v>58.414157217419188</v>
      </c>
      <c r="GN508">
        <v>46.175875850232579</v>
      </c>
      <c r="GO508">
        <v>38.135851638419034</v>
      </c>
      <c r="GP508">
        <v>29.014218214843666</v>
      </c>
      <c r="GQ508">
        <v>43.820978182156367</v>
      </c>
      <c r="GR508">
        <v>39.783433313170875</v>
      </c>
      <c r="GS508">
        <v>17.159801465771427</v>
      </c>
      <c r="GT508">
        <v>39.354543598550251</v>
      </c>
      <c r="GU508"/>
      <c r="GV508"/>
      <c r="GW508"/>
      <c r="GX508"/>
      <c r="GY508"/>
      <c r="GZ508"/>
      <c r="HA508"/>
      <c r="HB508"/>
      <c r="HC508"/>
    </row>
    <row r="509" spans="1:211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468925.75630460773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49.474278846153837</v>
      </c>
      <c r="AO509">
        <v>36.219493304673598</v>
      </c>
      <c r="AP509">
        <v>23.334844368955977</v>
      </c>
      <c r="AQ509">
        <v>253.88824809251011</v>
      </c>
      <c r="AR509">
        <v>34.784722601640389</v>
      </c>
      <c r="AS509">
        <v>329.37842504275648</v>
      </c>
      <c r="AT509">
        <v>27.809129904059819</v>
      </c>
      <c r="AU509">
        <v>37.144794138419016</v>
      </c>
      <c r="AV509"/>
      <c r="AW509"/>
      <c r="FY509" s="211">
        <v>504</v>
      </c>
      <c r="FZ509">
        <v>59.913185676140941</v>
      </c>
      <c r="GA509">
        <v>100.83454201687442</v>
      </c>
      <c r="GB509">
        <v>29.995623071710614</v>
      </c>
      <c r="GC509">
        <v>8.9518341425637242</v>
      </c>
      <c r="GD509">
        <v>6.7944682173803628</v>
      </c>
      <c r="GE509">
        <v>9.4694847899781251</v>
      </c>
      <c r="GF509">
        <v>18.24401213272392</v>
      </c>
      <c r="GG509">
        <v>15.043166252232222</v>
      </c>
      <c r="GH509">
        <v>12.614235591451385</v>
      </c>
      <c r="GI509">
        <v>25.958772954924488</v>
      </c>
      <c r="GJ509"/>
      <c r="GK509">
        <v>67.367856910191279</v>
      </c>
      <c r="GL509">
        <v>96.122445829425715</v>
      </c>
      <c r="GM509">
        <v>53.139300211163956</v>
      </c>
      <c r="GN509">
        <v>29.543452869617042</v>
      </c>
      <c r="GO509">
        <v>29.543452869617042</v>
      </c>
      <c r="GP509">
        <v>20.317967727797981</v>
      </c>
      <c r="GQ509">
        <v>24.580478439923432</v>
      </c>
      <c r="GR509">
        <v>22.626827696865931</v>
      </c>
      <c r="GS509">
        <v>14.815420574102426</v>
      </c>
      <c r="GT509">
        <v>37.889301800999633</v>
      </c>
      <c r="GU509"/>
      <c r="GV509"/>
      <c r="GW509"/>
      <c r="GX509"/>
      <c r="GY509"/>
      <c r="GZ509"/>
      <c r="HA509"/>
      <c r="HB509"/>
      <c r="HC509"/>
    </row>
    <row r="510" spans="1:211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526927.02541754115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58.928685897435891</v>
      </c>
      <c r="AO510">
        <v>45.5771206616065</v>
      </c>
      <c r="AP510">
        <v>17.829610776857507</v>
      </c>
      <c r="AQ510">
        <v>325.00394146962094</v>
      </c>
      <c r="AR510">
        <v>43.100290775242833</v>
      </c>
      <c r="AS510">
        <v>397.97963173488529</v>
      </c>
      <c r="AT510">
        <v>34.572584703983253</v>
      </c>
      <c r="AU510">
        <v>13.442678535684058</v>
      </c>
      <c r="AV510"/>
      <c r="AW510"/>
      <c r="FY510" s="211">
        <v>505</v>
      </c>
      <c r="FZ510">
        <v>62.156893960736809</v>
      </c>
      <c r="GA510">
        <v>94.782046897006822</v>
      </c>
      <c r="GB510">
        <v>36.04086395147047</v>
      </c>
      <c r="GC510">
        <v>13.094869927938076</v>
      </c>
      <c r="GD510">
        <v>6.7455910402101429</v>
      </c>
      <c r="GE510">
        <v>10.169890469710236</v>
      </c>
      <c r="GF510">
        <v>27.814209248589215</v>
      </c>
      <c r="GG510">
        <v>22.576557201152287</v>
      </c>
      <c r="GH510">
        <v>10.116154477724448</v>
      </c>
      <c r="GI510">
        <v>29.253664732634974</v>
      </c>
      <c r="GJ510"/>
      <c r="GK510">
        <v>67.887887351341007</v>
      </c>
      <c r="GL510">
        <v>88.43714314973397</v>
      </c>
      <c r="GM510">
        <v>63.848858375379152</v>
      </c>
      <c r="GN510">
        <v>43.234925617443459</v>
      </c>
      <c r="GO510">
        <v>29.339413933780655</v>
      </c>
      <c r="GP510">
        <v>21.820775991688368</v>
      </c>
      <c r="GQ510">
        <v>37.474573344102922</v>
      </c>
      <c r="GR510">
        <v>33.958002006599422</v>
      </c>
      <c r="GS510">
        <v>11.331174309733489</v>
      </c>
      <c r="GT510">
        <v>41.976381462867437</v>
      </c>
      <c r="GU510"/>
      <c r="GV510"/>
      <c r="GW510"/>
      <c r="GX510"/>
      <c r="GY510"/>
      <c r="GZ510"/>
      <c r="HA510"/>
      <c r="HB510"/>
      <c r="HC510"/>
    </row>
    <row r="511" spans="1:211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592102.4520031251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53.672275641025635</v>
      </c>
      <c r="AO511">
        <v>41.461507745314208</v>
      </c>
      <c r="AP511">
        <v>30.717396439417922</v>
      </c>
      <c r="AQ511">
        <v>284.62440241228762</v>
      </c>
      <c r="AR511">
        <v>40.396894523629058</v>
      </c>
      <c r="AS511">
        <v>378.67431144704614</v>
      </c>
      <c r="AT511">
        <v>31.935117365311296</v>
      </c>
      <c r="AU511">
        <v>45.669270229913934</v>
      </c>
      <c r="AV511"/>
      <c r="AW511"/>
      <c r="FY511" s="211">
        <v>506</v>
      </c>
      <c r="FZ511">
        <v>43.665268050788605</v>
      </c>
      <c r="GA511">
        <v>72.066097514092334</v>
      </c>
      <c r="GB511">
        <v>32.63227042059426</v>
      </c>
      <c r="GC511">
        <v>9.4590953216109117</v>
      </c>
      <c r="GD511">
        <v>6.1959222415709068</v>
      </c>
      <c r="GE511">
        <v>9.1052738365174264</v>
      </c>
      <c r="GF511">
        <v>13.630280740777838</v>
      </c>
      <c r="GG511">
        <v>11.689744575910442</v>
      </c>
      <c r="GH511">
        <v>9.4747393742265587</v>
      </c>
      <c r="GI511">
        <v>22.635476117741721</v>
      </c>
      <c r="GJ511"/>
      <c r="GK511">
        <v>45.157185999545604</v>
      </c>
      <c r="GL511">
        <v>63.689014223674434</v>
      </c>
      <c r="GM511">
        <v>57.810301533201425</v>
      </c>
      <c r="GN511">
        <v>31.218856385633011</v>
      </c>
      <c r="GO511">
        <v>26.938585212207041</v>
      </c>
      <c r="GP511">
        <v>19.536507430574979</v>
      </c>
      <c r="GQ511">
        <v>18.36431698474048</v>
      </c>
      <c r="GR511">
        <v>17.582856687517484</v>
      </c>
      <c r="GS511">
        <v>11.298849236598933</v>
      </c>
      <c r="GT511">
        <v>31.913847793258697</v>
      </c>
      <c r="GU511"/>
      <c r="GV511"/>
      <c r="GW511"/>
      <c r="GX511"/>
      <c r="GY511"/>
      <c r="GZ511"/>
      <c r="HA511"/>
      <c r="HB511"/>
      <c r="HC511"/>
    </row>
    <row r="512" spans="1:211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662523.28288142313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38.03309294871795</v>
      </c>
      <c r="AO512">
        <v>28.204164383377964</v>
      </c>
      <c r="AP512">
        <v>16.876254210436343</v>
      </c>
      <c r="AQ512">
        <v>190.98435691391774</v>
      </c>
      <c r="AR512">
        <v>28.010541460682326</v>
      </c>
      <c r="AS512">
        <v>271.3023380483034</v>
      </c>
      <c r="AT512">
        <v>22.183974866229033</v>
      </c>
      <c r="AU512">
        <v>27.825985092888992</v>
      </c>
      <c r="AV512"/>
      <c r="AW512"/>
      <c r="FY512" s="211">
        <v>507</v>
      </c>
      <c r="FZ512">
        <v>41.628399462408446</v>
      </c>
      <c r="GA512">
        <v>60.659316435174659</v>
      </c>
      <c r="GB512">
        <v>26.246170187746785</v>
      </c>
      <c r="GC512">
        <v>14.564070420710776</v>
      </c>
      <c r="GD512">
        <v>8.7188420917417613</v>
      </c>
      <c r="GE512">
        <v>9.3480811388245577</v>
      </c>
      <c r="GF512">
        <v>20.080716629708164</v>
      </c>
      <c r="GG512">
        <v>14.00407784548463</v>
      </c>
      <c r="GH512">
        <v>6.2789924344496564</v>
      </c>
      <c r="GI512">
        <v>22.997147578262968</v>
      </c>
      <c r="GJ512"/>
      <c r="GK512">
        <v>43.058462376987265</v>
      </c>
      <c r="GL512">
        <v>53.608176389497757</v>
      </c>
      <c r="GM512">
        <v>46.496887684768467</v>
      </c>
      <c r="GN512">
        <v>48.09898303791541</v>
      </c>
      <c r="GO512">
        <v>37.939999174016421</v>
      </c>
      <c r="GP512">
        <v>20.057480962056978</v>
      </c>
      <c r="GQ512">
        <v>27.055102714462926</v>
      </c>
      <c r="GR512">
        <v>21.063907102419936</v>
      </c>
      <c r="GS512">
        <v>7.0331426750069932</v>
      </c>
      <c r="GT512">
        <v>32.316718925048413</v>
      </c>
      <c r="GU512"/>
      <c r="GV512"/>
      <c r="GW512"/>
      <c r="GX512"/>
      <c r="GY512"/>
      <c r="GZ512"/>
      <c r="HA512"/>
      <c r="HB512"/>
      <c r="HC512"/>
    </row>
    <row r="513" spans="1:211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741319.51130251598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47.301869658119656</v>
      </c>
      <c r="AO513">
        <v>37.301425689899744</v>
      </c>
      <c r="AP513">
        <v>33.423689295083307</v>
      </c>
      <c r="AQ513">
        <v>255.86077708057485</v>
      </c>
      <c r="AR513">
        <v>36.61275696695283</v>
      </c>
      <c r="AS513">
        <v>351.43174826012387</v>
      </c>
      <c r="AT513">
        <v>28.743756174132773</v>
      </c>
      <c r="AU513">
        <v>30.349097180624717</v>
      </c>
      <c r="AV513"/>
      <c r="AW513"/>
      <c r="FY513" s="211">
        <v>508</v>
      </c>
      <c r="FZ513">
        <v>51.077881342008936</v>
      </c>
      <c r="GA513">
        <v>75.691508554678578</v>
      </c>
      <c r="GB513">
        <v>33.735050680583612</v>
      </c>
      <c r="GC513">
        <v>17.677479887051138</v>
      </c>
      <c r="GD513">
        <v>9.4557707269310551</v>
      </c>
      <c r="GE513">
        <v>11.019716027785192</v>
      </c>
      <c r="GF513">
        <v>30.063952555900055</v>
      </c>
      <c r="GG513">
        <v>20.781768134951896</v>
      </c>
      <c r="GH513">
        <v>6.6278253474746389</v>
      </c>
      <c r="GI513">
        <v>28.703619638664076</v>
      </c>
      <c r="GJ513"/>
      <c r="GK513">
        <v>52.818646930902929</v>
      </c>
      <c r="GL513">
        <v>66.893001442288735</v>
      </c>
      <c r="GM513">
        <v>59.763952276258912</v>
      </c>
      <c r="GN513">
        <v>58.38592263791579</v>
      </c>
      <c r="GO513">
        <v>41.151444229754716</v>
      </c>
      <c r="GP513">
        <v>23.644183351875363</v>
      </c>
      <c r="GQ513">
        <v>40.505692072725459</v>
      </c>
      <c r="GR513">
        <v>31.258411888919973</v>
      </c>
      <c r="GS513">
        <v>7.4238728236184945</v>
      </c>
      <c r="GT513">
        <v>40.332721666652098</v>
      </c>
      <c r="GU513"/>
      <c r="GV513"/>
      <c r="GW513"/>
      <c r="GX513"/>
      <c r="GY513"/>
      <c r="GZ513"/>
      <c r="HA513"/>
      <c r="HB513"/>
      <c r="HC513"/>
    </row>
    <row r="514" spans="1:211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826222.32832115493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48.88931623931623</v>
      </c>
      <c r="AO514">
        <v>37.378120993124142</v>
      </c>
      <c r="AP514">
        <v>35.089344747467656</v>
      </c>
      <c r="AQ514">
        <v>254.58557393036523</v>
      </c>
      <c r="AR514">
        <v>35.959811562524777</v>
      </c>
      <c r="AS514">
        <v>332.66121167270154</v>
      </c>
      <c r="AT514">
        <v>28.040097349975284</v>
      </c>
      <c r="AU514">
        <v>31.669186573340106</v>
      </c>
      <c r="AV514"/>
      <c r="AW514"/>
      <c r="FY514" s="211">
        <v>509</v>
      </c>
      <c r="FZ514">
        <v>42.316517704695414</v>
      </c>
      <c r="GA514">
        <v>72.017291126631903</v>
      </c>
      <c r="GB514">
        <v>34.406744111668047</v>
      </c>
      <c r="GC514">
        <v>14.485202958244074</v>
      </c>
      <c r="GD514">
        <v>7.6713866340752128</v>
      </c>
      <c r="GE514">
        <v>11.35124138285839</v>
      </c>
      <c r="GF514">
        <v>26.170842067076986</v>
      </c>
      <c r="GG514">
        <v>18.679975675848809</v>
      </c>
      <c r="GH514">
        <v>12.614235591451386</v>
      </c>
      <c r="GI514">
        <v>26.652335428682509</v>
      </c>
      <c r="GJ514"/>
      <c r="GK514">
        <v>45.560538716547782</v>
      </c>
      <c r="GL514">
        <v>65.982240852527511</v>
      </c>
      <c r="GM514">
        <v>60.95390318339394</v>
      </c>
      <c r="GN514">
        <v>47.83849627217441</v>
      </c>
      <c r="GO514">
        <v>33.381480773548923</v>
      </c>
      <c r="GP514">
        <v>24.355512596783477</v>
      </c>
      <c r="GQ514">
        <v>35.26043583530442</v>
      </c>
      <c r="GR514">
        <v>28.097049777426932</v>
      </c>
      <c r="GS514">
        <v>14.815420574102429</v>
      </c>
      <c r="GT514">
        <v>37.994355816579507</v>
      </c>
      <c r="GU514"/>
      <c r="GV514"/>
      <c r="GW514"/>
      <c r="GX514"/>
      <c r="GY514"/>
      <c r="GZ514"/>
      <c r="HA514"/>
      <c r="HB514"/>
      <c r="HC514"/>
    </row>
    <row r="515" spans="1:211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920849.00695114571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52.716826923076916</v>
      </c>
      <c r="AO515">
        <v>41.219299774605375</v>
      </c>
      <c r="AP515">
        <v>23.683089573511396</v>
      </c>
      <c r="AQ515">
        <v>279.06679670890742</v>
      </c>
      <c r="AR515">
        <v>39.88743404877939</v>
      </c>
      <c r="AS515">
        <v>399.24653479919687</v>
      </c>
      <c r="AT515">
        <v>31.700068626301057</v>
      </c>
      <c r="AU515">
        <v>20.838480242744982</v>
      </c>
      <c r="AV515"/>
      <c r="AW515"/>
      <c r="FY515" s="211">
        <v>510</v>
      </c>
      <c r="FZ515">
        <v>48.200816038491205</v>
      </c>
      <c r="GA515">
        <v>84.396743460340986</v>
      </c>
      <c r="GB515">
        <v>35.599751847474714</v>
      </c>
      <c r="GC515">
        <v>16.337047318944872</v>
      </c>
      <c r="GD515">
        <v>11.637296677536687</v>
      </c>
      <c r="GE515">
        <v>13.036884385413668</v>
      </c>
      <c r="GF515">
        <v>20.177385287444181</v>
      </c>
      <c r="GG515">
        <v>15.043166252232224</v>
      </c>
      <c r="GH515">
        <v>7.6743240865495794</v>
      </c>
      <c r="GI515">
        <v>28.316910618141044</v>
      </c>
      <c r="GJ515"/>
      <c r="GK515">
        <v>51.65277901631525</v>
      </c>
      <c r="GL515">
        <v>76.922685013649485</v>
      </c>
      <c r="GM515">
        <v>63.067398078156138</v>
      </c>
      <c r="GN515">
        <v>53.939485085330112</v>
      </c>
      <c r="GO515">
        <v>50.623743579455599</v>
      </c>
      <c r="GP515">
        <v>27.972271151879664</v>
      </c>
      <c r="GQ515">
        <v>27.185346097333433</v>
      </c>
      <c r="GR515">
        <v>22.626827696865934</v>
      </c>
      <c r="GS515">
        <v>8.5960632694529906</v>
      </c>
      <c r="GT515">
        <v>40.225066008142676</v>
      </c>
      <c r="GU515"/>
      <c r="GV515"/>
      <c r="GW515"/>
      <c r="GX515"/>
      <c r="GY515"/>
      <c r="GZ515"/>
      <c r="HA515"/>
      <c r="HB515"/>
      <c r="HC515"/>
    </row>
    <row r="516" spans="1:211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1022547.020638657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48.757211538461547</v>
      </c>
      <c r="AO516">
        <v>39.658758514389376</v>
      </c>
      <c r="AP516">
        <v>39.550062163686604</v>
      </c>
      <c r="AQ516">
        <v>267.72283429250973</v>
      </c>
      <c r="AR516">
        <v>38.373832891683918</v>
      </c>
      <c r="AS516">
        <v>350.64913080417256</v>
      </c>
      <c r="AT516">
        <v>29.856265833570344</v>
      </c>
      <c r="AU516">
        <v>27.700545391344679</v>
      </c>
      <c r="AV516"/>
      <c r="AW516"/>
      <c r="FY516" s="211">
        <v>511</v>
      </c>
      <c r="FZ516">
        <v>39.436942467457854</v>
      </c>
      <c r="GA516">
        <v>60.875784026293687</v>
      </c>
      <c r="GB516">
        <v>23.9102810915875</v>
      </c>
      <c r="GC516">
        <v>12.958392875888023</v>
      </c>
      <c r="GD516">
        <v>8.8101363439337952</v>
      </c>
      <c r="GE516">
        <v>9.8336957434388204</v>
      </c>
      <c r="GF516">
        <v>35.354364551998223</v>
      </c>
      <c r="GG516">
        <v>27.771999234890256</v>
      </c>
      <c r="GH516">
        <v>9.7673215646994667</v>
      </c>
      <c r="GI516">
        <v>25.574339616519904</v>
      </c>
      <c r="GJ516"/>
      <c r="GK516">
        <v>42.587839568528466</v>
      </c>
      <c r="GL516">
        <v>56.13584110751772</v>
      </c>
      <c r="GM516">
        <v>42.358700201746665</v>
      </c>
      <c r="GN516">
        <v>42.799523959154513</v>
      </c>
      <c r="GO516">
        <v>38.341648172723318</v>
      </c>
      <c r="GP516">
        <v>21.09942802502098</v>
      </c>
      <c r="GQ516">
        <v>47.633557208001903</v>
      </c>
      <c r="GR516">
        <v>41.772604978829406</v>
      </c>
      <c r="GS516">
        <v>10.94044416112199</v>
      </c>
      <c r="GT516">
        <v>36.372437862424462</v>
      </c>
      <c r="GU516"/>
      <c r="GV516"/>
      <c r="GW516"/>
      <c r="GX516"/>
      <c r="GY516"/>
      <c r="GZ516"/>
      <c r="HA516"/>
      <c r="HB516"/>
      <c r="HC516"/>
    </row>
    <row r="517" spans="1:211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1135476.5021454457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42.275480769230775</v>
      </c>
      <c r="AO517">
        <v>34.780897830498695</v>
      </c>
      <c r="AP517">
        <v>30.139455319421227</v>
      </c>
      <c r="AQ517">
        <v>236.66712552977538</v>
      </c>
      <c r="AR517">
        <v>33.252960467374159</v>
      </c>
      <c r="AS517">
        <v>317.36044180063328</v>
      </c>
      <c r="AT517">
        <v>26.086168237060022</v>
      </c>
      <c r="AU517">
        <v>30.433853567235744</v>
      </c>
      <c r="AV517"/>
      <c r="AW517"/>
      <c r="FY517" s="211">
        <v>512</v>
      </c>
      <c r="FZ517">
        <v>42.999471948704915</v>
      </c>
      <c r="GA517">
        <v>67.772907469360177</v>
      </c>
      <c r="GB517">
        <v>36.702532107464087</v>
      </c>
      <c r="GC517">
        <v>13.911270631259821</v>
      </c>
      <c r="GD517">
        <v>6.1218167317292327</v>
      </c>
      <c r="GE517">
        <v>8.1340446272889011</v>
      </c>
      <c r="GF517">
        <v>27.717540590853204</v>
      </c>
      <c r="GG517">
        <v>25.174278218021271</v>
      </c>
      <c r="GH517">
        <v>16.800230547751156</v>
      </c>
      <c r="GI517">
        <v>27.335180510185808</v>
      </c>
      <c r="GJ517"/>
      <c r="GK517">
        <v>46.275072163992235</v>
      </c>
      <c r="GL517">
        <v>62.231231425857104</v>
      </c>
      <c r="GM517">
        <v>65.021048821213654</v>
      </c>
      <c r="GN517">
        <v>45.939048370456774</v>
      </c>
      <c r="GO517">
        <v>26.633426936788585</v>
      </c>
      <c r="GP517">
        <v>17.452613304646984</v>
      </c>
      <c r="GQ517">
        <v>37.344329961232425</v>
      </c>
      <c r="GR517">
        <v>37.865303492714418</v>
      </c>
      <c r="GS517">
        <v>19.504182357440421</v>
      </c>
      <c r="GT517">
        <v>38.955612048133467</v>
      </c>
      <c r="GU517"/>
      <c r="GV517"/>
      <c r="GW517"/>
      <c r="GX517"/>
      <c r="GY517"/>
      <c r="GZ517"/>
      <c r="HA517"/>
      <c r="HB517"/>
      <c r="HC517"/>
    </row>
    <row r="518" spans="1:211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1135476.5021454457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43.718750000000007</v>
      </c>
      <c r="AO518">
        <v>36.628596046837501</v>
      </c>
      <c r="AP518">
        <v>67.594410642122767</v>
      </c>
      <c r="AQ518">
        <v>257.14027422391092</v>
      </c>
      <c r="AR518">
        <v>35.263236649368054</v>
      </c>
      <c r="AS518">
        <v>323.77408076369522</v>
      </c>
      <c r="AT518">
        <v>26.391332921091049</v>
      </c>
      <c r="AU518">
        <v>24.97411780468984</v>
      </c>
      <c r="AV518"/>
      <c r="AW518"/>
      <c r="FY518" s="211">
        <v>513</v>
      </c>
      <c r="FZ518">
        <v>30.897210865403807</v>
      </c>
      <c r="GA518">
        <v>59.332946542277249</v>
      </c>
      <c r="GB518">
        <v>28.541958183542814</v>
      </c>
      <c r="GC518">
        <v>9.1147578181869076</v>
      </c>
      <c r="GD518">
        <v>6.8672311548120977</v>
      </c>
      <c r="GE518">
        <v>12.537261667204765</v>
      </c>
      <c r="GF518">
        <v>24.597779363918228</v>
      </c>
      <c r="GG518">
        <v>20.994308945422993</v>
      </c>
      <c r="GH518">
        <v>15.056065982626254</v>
      </c>
      <c r="GI518">
        <v>23.134426819464888</v>
      </c>
      <c r="GJ518"/>
      <c r="GK518">
        <v>31.950506976476916</v>
      </c>
      <c r="GL518">
        <v>52.435985943663248</v>
      </c>
      <c r="GM518">
        <v>50.564033322588159</v>
      </c>
      <c r="GN518">
        <v>30.093084383392785</v>
      </c>
      <c r="GO518">
        <v>29.873127901132463</v>
      </c>
      <c r="GP518">
        <v>26.900267923637859</v>
      </c>
      <c r="GQ518">
        <v>33.141020786775371</v>
      </c>
      <c r="GR518">
        <v>31.57810019232938</v>
      </c>
      <c r="GS518">
        <v>17.550531614382926</v>
      </c>
      <c r="GT518">
        <v>32.61584412027117</v>
      </c>
      <c r="GU518"/>
      <c r="GV518"/>
      <c r="GW518"/>
      <c r="GX518"/>
      <c r="GY518"/>
      <c r="GZ518"/>
      <c r="HA518"/>
      <c r="HB518"/>
      <c r="HC518"/>
    </row>
    <row r="519" spans="1:211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53.591586538461534</v>
      </c>
      <c r="AO519">
        <v>41.72393218815207</v>
      </c>
      <c r="AP519">
        <v>23.685433985906769</v>
      </c>
      <c r="AQ519">
        <v>278.94264782152055</v>
      </c>
      <c r="AR519">
        <v>39.354543598550279</v>
      </c>
      <c r="AS519">
        <v>399.09634149906043</v>
      </c>
      <c r="AT519">
        <v>31.509374492304278</v>
      </c>
      <c r="AU519">
        <v>16.260455445688763</v>
      </c>
      <c r="AV519"/>
      <c r="AW519"/>
      <c r="FY519" s="211">
        <v>514</v>
      </c>
      <c r="FZ519">
        <v>48.985274325879168</v>
      </c>
      <c r="GA519">
        <v>76.615373422009554</v>
      </c>
      <c r="GB519">
        <v>29.885345045711674</v>
      </c>
      <c r="GC519">
        <v>13.565805761106551</v>
      </c>
      <c r="GD519">
        <v>8.3585733309023684</v>
      </c>
      <c r="GE519">
        <v>10.426705885612005</v>
      </c>
      <c r="GF519">
        <v>20.107080809090718</v>
      </c>
      <c r="GG519">
        <v>16.885186609648418</v>
      </c>
      <c r="GH519">
        <v>12.557984868899313</v>
      </c>
      <c r="GI519">
        <v>25.726966945680228</v>
      </c>
      <c r="GJ519"/>
      <c r="GK519">
        <v>52.454908549197796</v>
      </c>
      <c r="GL519">
        <v>70.045834398087095</v>
      </c>
      <c r="GM519">
        <v>52.943935136858201</v>
      </c>
      <c r="GN519">
        <v>44.794192375789542</v>
      </c>
      <c r="GO519">
        <v>36.363438015364494</v>
      </c>
      <c r="GP519">
        <v>22.37180568844817</v>
      </c>
      <c r="GQ519">
        <v>27.090623637063977</v>
      </c>
      <c r="GR519">
        <v>25.397459659747479</v>
      </c>
      <c r="GS519">
        <v>14.066285350013986</v>
      </c>
      <c r="GT519">
        <v>36.583838137699686</v>
      </c>
      <c r="GU519"/>
      <c r="GV519"/>
      <c r="GW519"/>
      <c r="GX519"/>
      <c r="GY519"/>
      <c r="GZ519"/>
      <c r="HA519"/>
      <c r="HB519"/>
      <c r="HC519"/>
    </row>
    <row r="520" spans="1:211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38.094213015822596</v>
      </c>
      <c r="H520" s="63" t="s">
        <v>30</v>
      </c>
      <c r="I520" s="101">
        <f>SUM(K458:K518)</f>
        <v>362.20869936865785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46.628472222222214</v>
      </c>
      <c r="AO520">
        <v>39.594650492970445</v>
      </c>
      <c r="AP520">
        <v>52.917060359971288</v>
      </c>
      <c r="AQ520">
        <v>287.81932484598019</v>
      </c>
      <c r="AR520">
        <v>37.889301800999604</v>
      </c>
      <c r="AS520">
        <v>339.12513682332411</v>
      </c>
      <c r="AT520">
        <v>28.716615149196699</v>
      </c>
      <c r="AU520">
        <v>17.624447206452547</v>
      </c>
      <c r="AV520"/>
      <c r="AW520"/>
      <c r="FY520" s="211">
        <v>515</v>
      </c>
      <c r="FZ520">
        <v>34.134238465130906</v>
      </c>
      <c r="GA520">
        <v>38.730000872604222</v>
      </c>
      <c r="GB520">
        <v>22.82755138177976</v>
      </c>
      <c r="GC520">
        <v>15.421397211940221</v>
      </c>
      <c r="GD520">
        <v>7.6189714153392174</v>
      </c>
      <c r="GE520">
        <v>6.6772008134461132</v>
      </c>
      <c r="GF520">
        <v>20.467391260652217</v>
      </c>
      <c r="GG520">
        <v>18.679975675848805</v>
      </c>
      <c r="GH520">
        <v>8.4282406351516155</v>
      </c>
      <c r="GI520">
        <v>20.787247323775553</v>
      </c>
      <c r="GJ520"/>
      <c r="GK520">
        <v>35.296417056020125</v>
      </c>
      <c r="GL520">
        <v>34.227961018367367</v>
      </c>
      <c r="GM520">
        <v>40.440570381290208</v>
      </c>
      <c r="GN520">
        <v>50.922917713800686</v>
      </c>
      <c r="GO520">
        <v>33.144695951977461</v>
      </c>
      <c r="GP520">
        <v>14.326772115754986</v>
      </c>
      <c r="GQ520">
        <v>27.576076245944925</v>
      </c>
      <c r="GR520">
        <v>28.097049777426928</v>
      </c>
      <c r="GS520">
        <v>10.126658790764433</v>
      </c>
      <c r="GT520">
        <v>29.316883685199429</v>
      </c>
      <c r="GU520"/>
      <c r="GV520"/>
      <c r="GW520"/>
      <c r="GX520"/>
      <c r="GY520"/>
      <c r="GZ520"/>
      <c r="HA520"/>
      <c r="HB520"/>
      <c r="HC520"/>
    </row>
    <row r="521" spans="1:211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54.759214743589745</v>
      </c>
      <c r="AO521">
        <v>43.930913554266994</v>
      </c>
      <c r="AP521">
        <v>33.965594189695452</v>
      </c>
      <c r="AQ521">
        <v>312.75074190717339</v>
      </c>
      <c r="AR521">
        <v>41.976381462867458</v>
      </c>
      <c r="AS521">
        <v>388.34809181599633</v>
      </c>
      <c r="AT521">
        <v>32.99895645682674</v>
      </c>
      <c r="AU521">
        <v>35.23403655349513</v>
      </c>
      <c r="AV521"/>
      <c r="AW521"/>
      <c r="FY521" s="211">
        <v>516</v>
      </c>
      <c r="FZ521">
        <v>54.466010210202121</v>
      </c>
      <c r="GA521">
        <v>74.276714002254678</v>
      </c>
      <c r="GB521">
        <v>32.963104498591072</v>
      </c>
      <c r="GC521">
        <v>18.960706388988527</v>
      </c>
      <c r="GD521">
        <v>10.399023592554782</v>
      </c>
      <c r="GE521">
        <v>10.380012173629865</v>
      </c>
      <c r="GF521">
        <v>23.727761444294114</v>
      </c>
      <c r="GG521">
        <v>19.175904233614705</v>
      </c>
      <c r="GH521">
        <v>13.660734330526328</v>
      </c>
      <c r="GI521">
        <v>29.516841106781904</v>
      </c>
      <c r="GJ521"/>
      <c r="GK521">
        <v>56.320849069890727</v>
      </c>
      <c r="GL521">
        <v>65.642664966731942</v>
      </c>
      <c r="GM521">
        <v>58.396396756118676</v>
      </c>
      <c r="GN521">
        <v>62.608856517652129</v>
      </c>
      <c r="GO521">
        <v>45.239125365740911</v>
      </c>
      <c r="GP521">
        <v>22.271618470855479</v>
      </c>
      <c r="GQ521">
        <v>31.96883034094088</v>
      </c>
      <c r="GR521">
        <v>28.842989152048887</v>
      </c>
      <c r="GS521">
        <v>15.987611019936924</v>
      </c>
      <c r="GT521">
        <v>41.582562510525619</v>
      </c>
      <c r="GU521"/>
      <c r="GV521"/>
      <c r="GW521"/>
      <c r="GX521"/>
      <c r="GY521"/>
      <c r="GZ521"/>
      <c r="HA521"/>
      <c r="HB521"/>
      <c r="HC521"/>
    </row>
    <row r="522" spans="1:211" s="7" customFormat="1">
      <c r="A522" s="4"/>
      <c r="B522" s="4"/>
      <c r="C522" s="63"/>
      <c r="D522" s="63"/>
      <c r="E522" s="63" t="s">
        <v>100</v>
      </c>
      <c r="F522" s="101">
        <f>+I520/G520</f>
        <v>9.5082342091753649</v>
      </c>
      <c r="G522" s="63"/>
      <c r="H522" s="63" t="s">
        <v>101</v>
      </c>
      <c r="I522">
        <v>376.45852661132812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43.848958333333343</v>
      </c>
      <c r="AO522">
        <v>32.351032148695211</v>
      </c>
      <c r="AP522">
        <v>14.956062023217738</v>
      </c>
      <c r="AQ522">
        <v>230.55416819383103</v>
      </c>
      <c r="AR522">
        <v>31.913847793258689</v>
      </c>
      <c r="AS522">
        <v>310.94030042877108</v>
      </c>
      <c r="AT522">
        <v>25.633182972737085</v>
      </c>
      <c r="AU522">
        <v>50.18322239789795</v>
      </c>
      <c r="AV522"/>
      <c r="AW522"/>
      <c r="FY522" s="211">
        <v>517</v>
      </c>
      <c r="FZ522">
        <v>40.564693511321622</v>
      </c>
      <c r="GA522">
        <v>86.302467697857821</v>
      </c>
      <c r="GB522">
        <v>34.396718836577236</v>
      </c>
      <c r="GC522">
        <v>9.7611157726877629</v>
      </c>
      <c r="GD522">
        <v>7.4888178788906687</v>
      </c>
      <c r="GE522">
        <v>11.62673428355302</v>
      </c>
      <c r="GF522">
        <v>33.614328712749987</v>
      </c>
      <c r="GG522">
        <v>24.654734014647474</v>
      </c>
      <c r="GH522">
        <v>9.4747393742265587</v>
      </c>
      <c r="GI522">
        <v>27.256543440677127</v>
      </c>
      <c r="GJ522"/>
      <c r="GK522">
        <v>41.941979600987537</v>
      </c>
      <c r="GL522">
        <v>76.270525008964725</v>
      </c>
      <c r="GM522">
        <v>60.936142722093415</v>
      </c>
      <c r="GN522">
        <v>32.212542090126163</v>
      </c>
      <c r="GO522">
        <v>32.560920369482567</v>
      </c>
      <c r="GP522">
        <v>24.946617180580358</v>
      </c>
      <c r="GQ522">
        <v>45.289176316332906</v>
      </c>
      <c r="GR522">
        <v>37.083843195491418</v>
      </c>
      <c r="GS522">
        <v>11.298849236598933</v>
      </c>
      <c r="GT522">
        <v>38.405413649099074</v>
      </c>
      <c r="GU522"/>
      <c r="GV522"/>
      <c r="GW522"/>
      <c r="GX522"/>
      <c r="GY522"/>
      <c r="GZ522"/>
      <c r="HA522"/>
      <c r="HB522"/>
      <c r="HC522"/>
    </row>
    <row r="523" spans="1:211" s="7" customFormat="1">
      <c r="A523" s="4"/>
      <c r="B523" s="4"/>
      <c r="C523" s="63"/>
      <c r="D523" s="63"/>
      <c r="E523" s="63" t="s">
        <v>102</v>
      </c>
      <c r="F523" s="101">
        <f>+I523/G520</f>
        <v>9.2188255571963875</v>
      </c>
      <c r="G523" s="63"/>
      <c r="H523" s="63" t="s">
        <v>103</v>
      </c>
      <c r="I523" s="123">
        <f>+I520*(365/I522)</f>
        <v>351.18390453154865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44.990331196581195</v>
      </c>
      <c r="AO523">
        <v>33.672886104218058</v>
      </c>
      <c r="AP523">
        <v>0.50092589539617083</v>
      </c>
      <c r="AQ523">
        <v>224.52581422451237</v>
      </c>
      <c r="AR523">
        <v>32.316718925048434</v>
      </c>
      <c r="AS523">
        <v>296.65861724317801</v>
      </c>
      <c r="AT523">
        <v>26.857898529452982</v>
      </c>
      <c r="AU523">
        <v>25.492965960073079</v>
      </c>
      <c r="AV523"/>
      <c r="AW523"/>
      <c r="FY523" s="211">
        <v>518</v>
      </c>
      <c r="FZ523">
        <v>24.193505227338381</v>
      </c>
      <c r="GA523">
        <v>67.291165899661678</v>
      </c>
      <c r="GB523">
        <v>34.176162784579368</v>
      </c>
      <c r="GC523">
        <v>10.228655297495246</v>
      </c>
      <c r="GD523">
        <v>6.6836159905789359</v>
      </c>
      <c r="GE523">
        <v>12.004953350608361</v>
      </c>
      <c r="GF523">
        <v>40.258101917152345</v>
      </c>
      <c r="GG523">
        <v>31.904737216272739</v>
      </c>
      <c r="GH523">
        <v>12.557984868899313</v>
      </c>
      <c r="GI523">
        <v>26.036412220607215</v>
      </c>
      <c r="GJ523"/>
      <c r="GK523">
        <v>25.013029548279835</v>
      </c>
      <c r="GL523">
        <v>59.469128618670247</v>
      </c>
      <c r="GM523">
        <v>60.545412573481926</v>
      </c>
      <c r="GN523">
        <v>33.749071019945347</v>
      </c>
      <c r="GO523">
        <v>29.048013532630076</v>
      </c>
      <c r="GP523">
        <v>25.758133643081166</v>
      </c>
      <c r="GQ523">
        <v>54.240448811796355</v>
      </c>
      <c r="GR523">
        <v>47.988766434012362</v>
      </c>
      <c r="GS523">
        <v>14.066285350013986</v>
      </c>
      <c r="GT523">
        <v>36.582637963240437</v>
      </c>
      <c r="GU523"/>
      <c r="GV523"/>
      <c r="GW523"/>
      <c r="GX523"/>
      <c r="GY523"/>
      <c r="GZ523"/>
      <c r="HA523"/>
      <c r="HB523"/>
      <c r="HC523"/>
    </row>
    <row r="524" spans="1:211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56.964022435897434</v>
      </c>
      <c r="AO524">
        <v>42.217784932091249</v>
      </c>
      <c r="AP524">
        <v>11.348557312700965</v>
      </c>
      <c r="AQ524">
        <v>284.83457289602916</v>
      </c>
      <c r="AR524">
        <v>40.332721666652134</v>
      </c>
      <c r="AS524">
        <v>403.70058925239266</v>
      </c>
      <c r="AT524">
        <v>32.984005481712671</v>
      </c>
      <c r="AU524">
        <v>45.583065163829673</v>
      </c>
      <c r="AV524"/>
      <c r="AW524"/>
      <c r="FY524" s="211">
        <v>519</v>
      </c>
      <c r="FZ524">
        <v>39.575905461437799</v>
      </c>
      <c r="GA524">
        <v>82.756293201403679</v>
      </c>
      <c r="GB524">
        <v>34.948108966571915</v>
      </c>
      <c r="GC524">
        <v>11.169310367516117</v>
      </c>
      <c r="GD524">
        <v>7.5314916188747576</v>
      </c>
      <c r="GE524">
        <v>12.976182559836884</v>
      </c>
      <c r="GF524">
        <v>25.590830120660915</v>
      </c>
      <c r="GG524">
        <v>20.758152489343995</v>
      </c>
      <c r="GH524">
        <v>15.404898895651236</v>
      </c>
      <c r="GI524">
        <v>26.578374859132339</v>
      </c>
      <c r="GJ524"/>
      <c r="GK524">
        <v>44.525374482945253</v>
      </c>
      <c r="GL524">
        <v>77.809283107501159</v>
      </c>
      <c r="GM524">
        <v>61.912968093622162</v>
      </c>
      <c r="GN524">
        <v>36.878946789523255</v>
      </c>
      <c r="GO524">
        <v>32.763984525125224</v>
      </c>
      <c r="GP524">
        <v>27.84202776900916</v>
      </c>
      <c r="GQ524">
        <v>34.478975538081428</v>
      </c>
      <c r="GR524">
        <v>31.222890966318928</v>
      </c>
      <c r="GS524">
        <v>17.941261762994426</v>
      </c>
      <c r="GT524">
        <v>38.324512880553691</v>
      </c>
      <c r="GU524"/>
      <c r="GV524"/>
      <c r="GW524"/>
      <c r="GX524"/>
      <c r="GY524"/>
      <c r="GZ524"/>
      <c r="HA524"/>
      <c r="HB524"/>
      <c r="HC524"/>
    </row>
    <row r="525" spans="1:211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50.611858974358981</v>
      </c>
      <c r="AO525">
        <v>39.423943439838936</v>
      </c>
      <c r="AP525">
        <v>26.370415767454542</v>
      </c>
      <c r="AQ525">
        <v>266.36577268123273</v>
      </c>
      <c r="AR525">
        <v>37.994355816579514</v>
      </c>
      <c r="AS525">
        <v>366.8647739324432</v>
      </c>
      <c r="AT525">
        <v>30.21274371347674</v>
      </c>
      <c r="AU525">
        <v>29.262243156130857</v>
      </c>
      <c r="AV525"/>
      <c r="AW525"/>
      <c r="FY525" s="211">
        <v>520</v>
      </c>
      <c r="FZ525">
        <v>39.414131725062312</v>
      </c>
      <c r="GA525">
        <v>79.140070276211816</v>
      </c>
      <c r="GB525">
        <v>42.015927905594644</v>
      </c>
      <c r="GC525">
        <v>14.689504895781742</v>
      </c>
      <c r="GD525">
        <v>6.7946301160375349</v>
      </c>
      <c r="GE525">
        <v>10.137204871322737</v>
      </c>
      <c r="GF525">
        <v>27.401170438262614</v>
      </c>
      <c r="GG525">
        <v>22.293169453857487</v>
      </c>
      <c r="GH525">
        <v>17.205314183328213</v>
      </c>
      <c r="GI525">
        <v>28.639175035531032</v>
      </c>
      <c r="GJ525"/>
      <c r="GK525">
        <v>40.763489118009183</v>
      </c>
      <c r="GL525">
        <v>69.940696601458427</v>
      </c>
      <c r="GM525">
        <v>74.434093310490681</v>
      </c>
      <c r="GN525">
        <v>48.49023257027703</v>
      </c>
      <c r="GO525">
        <v>29.539820362619292</v>
      </c>
      <c r="GP525">
        <v>21.75064493937348</v>
      </c>
      <c r="GQ525">
        <v>36.918078890019878</v>
      </c>
      <c r="GR525">
        <v>33.531750935386874</v>
      </c>
      <c r="GS525">
        <v>20.644047730140365</v>
      </c>
      <c r="GT525">
        <v>40.459905882255875</v>
      </c>
      <c r="GU525"/>
      <c r="GV525"/>
      <c r="GW525"/>
      <c r="GX525"/>
      <c r="GY525"/>
      <c r="GZ525"/>
      <c r="HA525"/>
      <c r="HB525"/>
      <c r="HC525"/>
    </row>
    <row r="526" spans="1:211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54.861725427350414</v>
      </c>
      <c r="AO526">
        <v>42.281166499658127</v>
      </c>
      <c r="AP526">
        <v>19.799954002894506</v>
      </c>
      <c r="AQ526">
        <v>280.42032597256917</v>
      </c>
      <c r="AR526">
        <v>40.225066008142747</v>
      </c>
      <c r="AS526">
        <v>379.46417646870412</v>
      </c>
      <c r="AT526">
        <v>32.204542075607385</v>
      </c>
      <c r="AU526">
        <v>32.058565932239823</v>
      </c>
      <c r="AV526"/>
      <c r="AW526"/>
      <c r="FY526" s="211">
        <v>521</v>
      </c>
      <c r="FZ526">
        <v>32.710426086996911</v>
      </c>
      <c r="GA526">
        <v>48.191439441939039</v>
      </c>
      <c r="GB526">
        <v>24.591999797762739</v>
      </c>
      <c r="GC526">
        <v>13.753472847560889</v>
      </c>
      <c r="GD526">
        <v>9.3088075133525496</v>
      </c>
      <c r="GE526">
        <v>9.6375821531138293</v>
      </c>
      <c r="GF526">
        <v>15.660322553234113</v>
      </c>
      <c r="GG526">
        <v>10.390884067475946</v>
      </c>
      <c r="GH526">
        <v>13.019319227028442</v>
      </c>
      <c r="GI526">
        <v>21.900346769656625</v>
      </c>
      <c r="GJ526"/>
      <c r="GK526">
        <v>33.826011689812113</v>
      </c>
      <c r="GL526">
        <v>42.589586198653457</v>
      </c>
      <c r="GM526">
        <v>43.566411570182204</v>
      </c>
      <c r="GN526">
        <v>45.421707345972514</v>
      </c>
      <c r="GO526">
        <v>40.507524323050959</v>
      </c>
      <c r="GP526">
        <v>20.678641711131672</v>
      </c>
      <c r="GQ526">
        <v>21.099428025020977</v>
      </c>
      <c r="GR526">
        <v>15.629205944459985</v>
      </c>
      <c r="GS526">
        <v>15.95528594680237</v>
      </c>
      <c r="GT526">
        <v>30.990932310973726</v>
      </c>
      <c r="GU526"/>
      <c r="GV526"/>
      <c r="GW526"/>
      <c r="GX526"/>
      <c r="GY526"/>
      <c r="GZ526"/>
      <c r="HA526"/>
      <c r="HB526"/>
      <c r="HC526"/>
    </row>
    <row r="527" spans="1:211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48.634481837606842</v>
      </c>
      <c r="AO527">
        <v>38.004202524506944</v>
      </c>
      <c r="AP527">
        <v>17.660563324156769</v>
      </c>
      <c r="AQ527">
        <v>254.29325751670754</v>
      </c>
      <c r="AR527">
        <v>36.372437862424476</v>
      </c>
      <c r="AS527">
        <v>341.97183312799245</v>
      </c>
      <c r="AT527">
        <v>29.348845287016402</v>
      </c>
      <c r="AU527">
        <v>25.312404991320228</v>
      </c>
      <c r="AV527"/>
      <c r="AW527"/>
      <c r="FY527" s="211">
        <v>522</v>
      </c>
      <c r="FZ527">
        <v>51.280112564897991</v>
      </c>
      <c r="GA527">
        <v>93.495295276175455</v>
      </c>
      <c r="GB527">
        <v>35.288968319659539</v>
      </c>
      <c r="GC527">
        <v>14.636783971233736</v>
      </c>
      <c r="GD527">
        <v>8.5050232145563314</v>
      </c>
      <c r="GE527">
        <v>7.7091318482514222</v>
      </c>
      <c r="GF527">
        <v>20.080716629708167</v>
      </c>
      <c r="GG527">
        <v>15.562710455606021</v>
      </c>
      <c r="GH527">
        <v>9.8235722872515385</v>
      </c>
      <c r="GI527">
        <v>26.99005948190068</v>
      </c>
      <c r="GJ527"/>
      <c r="GK527">
        <v>58.441690304761472</v>
      </c>
      <c r="GL527">
        <v>89.636325362474821</v>
      </c>
      <c r="GM527">
        <v>62.516823777839946</v>
      </c>
      <c r="GN527">
        <v>48.327624046257455</v>
      </c>
      <c r="GO527">
        <v>36.996449736523971</v>
      </c>
      <c r="GP527">
        <v>16.540909624553485</v>
      </c>
      <c r="GQ527">
        <v>27.055102714462929</v>
      </c>
      <c r="GR527">
        <v>23.408287994088933</v>
      </c>
      <c r="GS527">
        <v>11.689579385210429</v>
      </c>
      <c r="GT527">
        <v>39.33992918375975</v>
      </c>
      <c r="GU527"/>
      <c r="GV527"/>
      <c r="GW527"/>
      <c r="GX527"/>
      <c r="GY527"/>
      <c r="GZ527"/>
      <c r="HA527"/>
      <c r="HB527"/>
      <c r="HC527"/>
    </row>
    <row r="528" spans="1:211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50.71284722222223</v>
      </c>
      <c r="AO528">
        <v>39.722186888247606</v>
      </c>
      <c r="AP528">
        <v>23.162749648189344</v>
      </c>
      <c r="AQ528">
        <v>272.6692733826186</v>
      </c>
      <c r="AR528">
        <v>38.955612048133467</v>
      </c>
      <c r="AS528">
        <v>355.12451467148651</v>
      </c>
      <c r="AT528">
        <v>31.300939010881773</v>
      </c>
      <c r="AU528">
        <v>30.390618376395722</v>
      </c>
      <c r="AV528"/>
      <c r="AW528"/>
      <c r="FY528" s="211">
        <v>523</v>
      </c>
      <c r="FZ528">
        <v>42.32767877479705</v>
      </c>
      <c r="GA528">
        <v>78.865608182237935</v>
      </c>
      <c r="GB528">
        <v>31.980627539691454</v>
      </c>
      <c r="GC528">
        <v>11.237674611072199</v>
      </c>
      <c r="GD528">
        <v>8.2600213477220823</v>
      </c>
      <c r="GE528">
        <v>11.958259638626222</v>
      </c>
      <c r="GF528">
        <v>29.167570456893397</v>
      </c>
      <c r="GG528">
        <v>21.27769669271779</v>
      </c>
      <c r="GH528">
        <v>11.9728204879535</v>
      </c>
      <c r="GI528">
        <v>26.843867661306103</v>
      </c>
      <c r="GJ528"/>
      <c r="GK528">
        <v>47.370519968551363</v>
      </c>
      <c r="GL528">
        <v>74.370857799719971</v>
      </c>
      <c r="GM528">
        <v>56.655871548667442</v>
      </c>
      <c r="GN528">
        <v>37.089382604672252</v>
      </c>
      <c r="GO528">
        <v>35.917192158837757</v>
      </c>
      <c r="GP528">
        <v>25.657946425488479</v>
      </c>
      <c r="GQ528">
        <v>39.29798070428992</v>
      </c>
      <c r="GR528">
        <v>32.004351263541921</v>
      </c>
      <c r="GS528">
        <v>14.783095500967873</v>
      </c>
      <c r="GT528">
        <v>38.804931976262871</v>
      </c>
      <c r="GU528"/>
      <c r="GV528"/>
      <c r="GW528"/>
      <c r="GX528"/>
      <c r="GY528"/>
      <c r="GZ528"/>
      <c r="HA528"/>
      <c r="HB528"/>
      <c r="HC528"/>
    </row>
    <row r="529" spans="1:211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45.291746794871798</v>
      </c>
      <c r="AO529">
        <v>33.67025031646503</v>
      </c>
      <c r="AP529">
        <v>12.845990436126321</v>
      </c>
      <c r="AQ529">
        <v>231.07394734286001</v>
      </c>
      <c r="AR529">
        <v>32.615844120271163</v>
      </c>
      <c r="AS529">
        <v>328.10844868366109</v>
      </c>
      <c r="AT529">
        <v>26.399201072730893</v>
      </c>
      <c r="AU529">
        <v>32.838351507914311</v>
      </c>
      <c r="AV529"/>
      <c r="AW529"/>
      <c r="FY529" s="211">
        <v>524</v>
      </c>
      <c r="FZ529">
        <v>37.647026590452519</v>
      </c>
      <c r="GA529">
        <v>55.835578433283551</v>
      </c>
      <c r="GB529">
        <v>21.283659017794662</v>
      </c>
      <c r="GC529">
        <v>9.8285898764034911</v>
      </c>
      <c r="GD529">
        <v>8.2234641633725296</v>
      </c>
      <c r="GE529">
        <v>10.744223127090564</v>
      </c>
      <c r="GF529">
        <v>25.415068924777252</v>
      </c>
      <c r="GG529">
        <v>23.544798671076176</v>
      </c>
      <c r="GH529">
        <v>11.860319042849351</v>
      </c>
      <c r="GI529">
        <v>22.708655228964592</v>
      </c>
      <c r="GJ529"/>
      <c r="GK529">
        <v>40.741073252224638</v>
      </c>
      <c r="GL529">
        <v>51.681517413346626</v>
      </c>
      <c r="GM529">
        <v>37.705459341009714</v>
      </c>
      <c r="GN529">
        <v>32.423878033611281</v>
      </c>
      <c r="GO529">
        <v>35.745084296809033</v>
      </c>
      <c r="GP529">
        <v>23.053078768078478</v>
      </c>
      <c r="GQ529">
        <v>34.242169387407785</v>
      </c>
      <c r="GR529">
        <v>35.41435983324228</v>
      </c>
      <c r="GS529">
        <v>13.284825052790985</v>
      </c>
      <c r="GT529">
        <v>32.343722266048431</v>
      </c>
      <c r="GU529"/>
      <c r="GV529"/>
      <c r="GW529"/>
      <c r="GX529"/>
      <c r="GY529"/>
      <c r="GZ529"/>
      <c r="HA529"/>
      <c r="HB529"/>
      <c r="HC529"/>
    </row>
    <row r="530" spans="1:211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49.685336538461534</v>
      </c>
      <c r="AO530">
        <v>38.211232094827039</v>
      </c>
      <c r="AP530">
        <v>26.287762629617415</v>
      </c>
      <c r="AQ530">
        <v>263.11429700454005</v>
      </c>
      <c r="AR530">
        <v>36.583838137699708</v>
      </c>
      <c r="AS530">
        <v>345.78861021838082</v>
      </c>
      <c r="AT530">
        <v>28.951611445757241</v>
      </c>
      <c r="AU530">
        <v>38.143230888609821</v>
      </c>
      <c r="AV530"/>
      <c r="AW530"/>
      <c r="FY530" s="211">
        <v>525</v>
      </c>
      <c r="FZ530">
        <v>48.630331897109457</v>
      </c>
      <c r="GA530">
        <v>74.709649184492747</v>
      </c>
      <c r="GB530">
        <v>28.421654882453062</v>
      </c>
      <c r="GC530">
        <v>14.65007116454839</v>
      </c>
      <c r="GD530">
        <v>7.9890014041300397</v>
      </c>
      <c r="GE530">
        <v>7.3449208947907225</v>
      </c>
      <c r="GF530">
        <v>17.787033023426403</v>
      </c>
      <c r="GG530">
        <v>15.846098202900819</v>
      </c>
      <c r="GH530">
        <v>14.358400156576293</v>
      </c>
      <c r="GI530">
        <v>24.884290370617379</v>
      </c>
      <c r="GJ530"/>
      <c r="GK530">
        <v>53.888528851105562</v>
      </c>
      <c r="GL530">
        <v>70.697994402771869</v>
      </c>
      <c r="GM530">
        <v>50.350907786981878</v>
      </c>
      <c r="GN530">
        <v>48.359989187406526</v>
      </c>
      <c r="GO530">
        <v>34.737715369905608</v>
      </c>
      <c r="GP530">
        <v>15.759449327330483</v>
      </c>
      <c r="GQ530">
        <v>23.964782448171977</v>
      </c>
      <c r="GR530">
        <v>23.834539065301477</v>
      </c>
      <c r="GS530">
        <v>16.769071317159927</v>
      </c>
      <c r="GT530">
        <v>35.942201154664993</v>
      </c>
      <c r="GU530"/>
      <c r="GV530"/>
      <c r="GW530"/>
      <c r="GX530"/>
      <c r="GY530"/>
      <c r="GZ530"/>
      <c r="HA530"/>
      <c r="HB530"/>
      <c r="HC530"/>
    </row>
    <row r="531" spans="1:211" s="7" customFormat="1">
      <c r="A531" s="4"/>
      <c r="B531" s="4"/>
      <c r="C531" s="116">
        <f>C4</f>
        <v>39646</v>
      </c>
      <c r="D531" s="101">
        <f>D70</f>
        <v>64.583333333333343</v>
      </c>
      <c r="E531" s="108">
        <f>E405</f>
        <v>0.59186122329973467</v>
      </c>
      <c r="F531" s="102"/>
      <c r="G531" s="101">
        <f>D531*E531</f>
        <v>38.2243706714412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40.977537393162393</v>
      </c>
      <c r="AO531">
        <v>30.347600273654656</v>
      </c>
      <c r="AP531">
        <v>14.497743852684048</v>
      </c>
      <c r="AQ531">
        <v>193.7722150556686</v>
      </c>
      <c r="AR531">
        <v>29.316883685199418</v>
      </c>
      <c r="AS531">
        <v>281.54200596646643</v>
      </c>
      <c r="AT531">
        <v>23.575542090005939</v>
      </c>
      <c r="AU531">
        <v>35.172535198187987</v>
      </c>
      <c r="AV531"/>
      <c r="AW531"/>
      <c r="FY531" s="211">
        <v>526</v>
      </c>
      <c r="FZ531">
        <v>38.707878136465055</v>
      </c>
      <c r="GA531">
        <v>54.02746697068762</v>
      </c>
      <c r="GB531">
        <v>17.203372055834024</v>
      </c>
      <c r="GC531">
        <v>9.5836639821376846</v>
      </c>
      <c r="GD531">
        <v>8.689886184894327</v>
      </c>
      <c r="GE531">
        <v>14.708519274374305</v>
      </c>
      <c r="GF531">
        <v>14.790304633609997</v>
      </c>
      <c r="GG531">
        <v>9.6115677624152518</v>
      </c>
      <c r="GH531">
        <v>12.265402678426408</v>
      </c>
      <c r="GI531">
        <v>20.227443019429252</v>
      </c>
      <c r="GJ531"/>
      <c r="GK531">
        <v>40.020217273533348</v>
      </c>
      <c r="GL531">
        <v>47.747224160325246</v>
      </c>
      <c r="GM531">
        <v>30.476951591696967</v>
      </c>
      <c r="GN531">
        <v>31.626446867208909</v>
      </c>
      <c r="GO531">
        <v>37.787960749159481</v>
      </c>
      <c r="GP531">
        <v>31.558973541698048</v>
      </c>
      <c r="GQ531">
        <v>19.927237579186482</v>
      </c>
      <c r="GR531">
        <v>14.457015498625488</v>
      </c>
      <c r="GS531">
        <v>14.42469042549093</v>
      </c>
      <c r="GT531">
        <v>28.527411523813441</v>
      </c>
      <c r="GU531"/>
      <c r="GV531"/>
      <c r="GW531"/>
      <c r="GX531"/>
      <c r="GY531"/>
      <c r="GZ531"/>
      <c r="HA531"/>
      <c r="HB531"/>
      <c r="HC531"/>
    </row>
    <row r="532" spans="1:211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0.2359875451781106</v>
      </c>
      <c r="I532" s="101">
        <f>AVERAGE(D531:D533)</f>
        <v>75.520833333333343</v>
      </c>
      <c r="J532" s="101">
        <f>I532*H532</f>
        <v>17.821976068138564</v>
      </c>
      <c r="K532" s="61">
        <f>J532/(C533-C531)</f>
        <v>0.66007318770883572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58.083333333333329</v>
      </c>
      <c r="AO532">
        <v>42.88615041704422</v>
      </c>
      <c r="AP532">
        <v>18.589696519375629</v>
      </c>
      <c r="AQ532">
        <v>287.52681198143813</v>
      </c>
      <c r="AR532">
        <v>41.582562510525669</v>
      </c>
      <c r="AS532">
        <v>396.93413375353009</v>
      </c>
      <c r="AT532">
        <v>33.475846783689278</v>
      </c>
      <c r="AU532">
        <v>47.01237527682374</v>
      </c>
      <c r="AV532"/>
      <c r="AW532"/>
      <c r="FY532" s="211">
        <v>527</v>
      </c>
      <c r="FZ532">
        <v>63.292174805760084</v>
      </c>
      <c r="GA532">
        <v>82.481831107429784</v>
      </c>
      <c r="GB532">
        <v>26.466726239744656</v>
      </c>
      <c r="GC532">
        <v>12.312825714517752</v>
      </c>
      <c r="GD532">
        <v>10.318544862116303</v>
      </c>
      <c r="GE532">
        <v>15.81516024835104</v>
      </c>
      <c r="GF532">
        <v>30.160621213636073</v>
      </c>
      <c r="GG532">
        <v>19.223135524830504</v>
      </c>
      <c r="GH532">
        <v>7.6743240865495794</v>
      </c>
      <c r="GI532">
        <v>29.174971044500744</v>
      </c>
      <c r="GJ532"/>
      <c r="GK532">
        <v>72.662521084095047</v>
      </c>
      <c r="GL532">
        <v>82.239444305762703</v>
      </c>
      <c r="GM532">
        <v>46.887617833379963</v>
      </c>
      <c r="GN532">
        <v>40.659637399765501</v>
      </c>
      <c r="GO532">
        <v>44.897556703936381</v>
      </c>
      <c r="GP532">
        <v>33.933410598644855</v>
      </c>
      <c r="GQ532">
        <v>40.635935455595963</v>
      </c>
      <c r="GR532">
        <v>28.914030997250975</v>
      </c>
      <c r="GS532">
        <v>8.5960632694529906</v>
      </c>
      <c r="GT532">
        <v>42.735938869292063</v>
      </c>
      <c r="GU532"/>
      <c r="GV532"/>
      <c r="GW532"/>
      <c r="GX532"/>
      <c r="GY532"/>
      <c r="GZ532"/>
      <c r="HA532"/>
      <c r="HB532"/>
      <c r="HC532"/>
    </row>
    <row r="533" spans="1:211" s="7" customFormat="1">
      <c r="A533" s="4"/>
      <c r="B533" s="4"/>
      <c r="C533" s="117">
        <f>C5</f>
        <v>39673</v>
      </c>
      <c r="D533" s="101">
        <f>D71</f>
        <v>86.458333333333343</v>
      </c>
      <c r="E533" s="108">
        <f>E406</f>
        <v>0.82784876847784528</v>
      </c>
      <c r="F533" s="102"/>
      <c r="G533" s="101">
        <f>D533*E533</f>
        <v>71.574424774647042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54.677964743589747</v>
      </c>
      <c r="AO533">
        <v>40.094600936975702</v>
      </c>
      <c r="AP533">
        <v>19.804030253099846</v>
      </c>
      <c r="AQ533">
        <v>285.14089352318928</v>
      </c>
      <c r="AR533">
        <v>38.405413649099103</v>
      </c>
      <c r="AS533">
        <v>382.74355621950565</v>
      </c>
      <c r="AT533">
        <v>30.73699216575363</v>
      </c>
      <c r="AU533">
        <v>41.223007557641559</v>
      </c>
      <c r="AV533"/>
      <c r="AW533"/>
      <c r="FY533" s="211">
        <v>528</v>
      </c>
      <c r="FZ533">
        <v>40.709653577125749</v>
      </c>
      <c r="GA533">
        <v>65.385441662144871</v>
      </c>
      <c r="GB533">
        <v>35.379195795476846</v>
      </c>
      <c r="GC533">
        <v>18.602568705002678</v>
      </c>
      <c r="GD533">
        <v>9.2195586961052012</v>
      </c>
      <c r="GE533">
        <v>10.412697772017365</v>
      </c>
      <c r="GF533">
        <v>18.947056916258557</v>
      </c>
      <c r="GG533">
        <v>15.32655399952702</v>
      </c>
      <c r="GH533">
        <v>11.162653216799388</v>
      </c>
      <c r="GI533">
        <v>25.982084668403285</v>
      </c>
      <c r="GJ533"/>
      <c r="GK533">
        <v>43.901952875291869</v>
      </c>
      <c r="GL533">
        <v>60.121288623355014</v>
      </c>
      <c r="GM533">
        <v>62.676667929544642</v>
      </c>
      <c r="GN533">
        <v>61.42982446061248</v>
      </c>
      <c r="GO533">
        <v>40.110439953331188</v>
      </c>
      <c r="GP533">
        <v>22.341749523170364</v>
      </c>
      <c r="GQ533">
        <v>25.527703042617976</v>
      </c>
      <c r="GR533">
        <v>23.053078768078475</v>
      </c>
      <c r="GS533">
        <v>12.503364755567986</v>
      </c>
      <c r="GT533">
        <v>36.944025711270726</v>
      </c>
      <c r="GU533"/>
      <c r="GV533"/>
      <c r="GW533"/>
      <c r="GX533"/>
      <c r="GY533"/>
      <c r="GZ533"/>
      <c r="HA533"/>
      <c r="HB533"/>
      <c r="HC533"/>
    </row>
    <row r="534" spans="1:211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-7.7646883143765999E-2</v>
      </c>
      <c r="I534" s="101">
        <f>AVERAGE(D533:D535)</f>
        <v>80.729166666666671</v>
      </c>
      <c r="J534" s="101">
        <f>I534*H534</f>
        <v>-6.2683681704602767</v>
      </c>
      <c r="K534" s="61">
        <f>J534/(C535-C533)</f>
        <v>-0.15288702854781164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53.035336538461536</v>
      </c>
      <c r="AO534">
        <v>38.646092749515169</v>
      </c>
      <c r="AP534">
        <v>14.073303836637912</v>
      </c>
      <c r="AQ534">
        <v>265.3352947731936</v>
      </c>
      <c r="AR534">
        <v>36.582637963240437</v>
      </c>
      <c r="AS534">
        <v>350.07964619372927</v>
      </c>
      <c r="AT534">
        <v>29.568864570996073</v>
      </c>
      <c r="AU534">
        <v>17.509138524976418</v>
      </c>
      <c r="AV534"/>
      <c r="AW534"/>
      <c r="FY534" s="211">
        <v>529</v>
      </c>
      <c r="FZ534">
        <v>41.953412741736145</v>
      </c>
      <c r="GA534">
        <v>66.181263597883316</v>
      </c>
      <c r="GB534">
        <v>26.135892161747844</v>
      </c>
      <c r="GC534">
        <v>11.777011175741002</v>
      </c>
      <c r="GD534">
        <v>7.4500336117397348</v>
      </c>
      <c r="GE534">
        <v>10.062494932151312</v>
      </c>
      <c r="GF534">
        <v>30.204561512606983</v>
      </c>
      <c r="GG534">
        <v>24.890890470726468</v>
      </c>
      <c r="GH534">
        <v>11.218903939351462</v>
      </c>
      <c r="GI534">
        <v>24.925897308308951</v>
      </c>
      <c r="GJ534"/>
      <c r="GK534">
        <v>45.195396946395718</v>
      </c>
      <c r="GL534">
        <v>60.824602890855715</v>
      </c>
      <c r="GM534">
        <v>46.301522610462705</v>
      </c>
      <c r="GN534">
        <v>38.882246409484594</v>
      </c>
      <c r="GO534">
        <v>32.405142792117047</v>
      </c>
      <c r="GP534">
        <v>21.590345391225174</v>
      </c>
      <c r="GQ534">
        <v>40.695136993264363</v>
      </c>
      <c r="GR534">
        <v>37.43905242150187</v>
      </c>
      <c r="GS534">
        <v>13.252499979656427</v>
      </c>
      <c r="GT534">
        <v>35.569939864379251</v>
      </c>
      <c r="GU534"/>
      <c r="GV534"/>
      <c r="GW534"/>
      <c r="GX534"/>
      <c r="GY534"/>
      <c r="GZ534"/>
      <c r="HA534"/>
      <c r="HB534"/>
      <c r="HC534"/>
    </row>
    <row r="535" spans="1:211" s="7" customFormat="1">
      <c r="A535" s="4"/>
      <c r="B535" s="4"/>
      <c r="C535" s="117">
        <f>C6</f>
        <v>39714</v>
      </c>
      <c r="D535" s="101">
        <f>D72</f>
        <v>75</v>
      </c>
      <c r="E535" s="108">
        <f>E407</f>
        <v>0.75020188533407928</v>
      </c>
      <c r="F535" s="102"/>
      <c r="G535" s="101">
        <f>D535*E535</f>
        <v>56.265141400055946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49.887072649572644</v>
      </c>
      <c r="AO535">
        <v>40.370022591567469</v>
      </c>
      <c r="AP535">
        <v>48.373437114460785</v>
      </c>
      <c r="AQ535">
        <v>277.28954854042956</v>
      </c>
      <c r="AR535">
        <v>38.324512880553712</v>
      </c>
      <c r="AS535">
        <v>370.88900370983396</v>
      </c>
      <c r="AT535">
        <v>29.769653660494473</v>
      </c>
      <c r="AU535">
        <v>16.309748036859418</v>
      </c>
      <c r="AV535"/>
      <c r="AW535"/>
      <c r="FY535" s="211">
        <v>530</v>
      </c>
      <c r="FZ535">
        <v>39.378694105988423</v>
      </c>
      <c r="GA535">
        <v>73.255236360002812</v>
      </c>
      <c r="GB535">
        <v>35.399246345658469</v>
      </c>
      <c r="GC535">
        <v>12.803604130833962</v>
      </c>
      <c r="GD535">
        <v>7.6074609158044195</v>
      </c>
      <c r="GE535">
        <v>10.44071399920665</v>
      </c>
      <c r="GF535">
        <v>37.771080995398549</v>
      </c>
      <c r="GG535">
        <v>31.149036556819944</v>
      </c>
      <c r="GH535">
        <v>10.17240520027652</v>
      </c>
      <c r="GI535">
        <v>28.26495523329422</v>
      </c>
      <c r="GJ535"/>
      <c r="GK535">
        <v>42.51599357595002</v>
      </c>
      <c r="GL535">
        <v>67.076285268639708</v>
      </c>
      <c r="GM535">
        <v>62.712188852145687</v>
      </c>
      <c r="GN535">
        <v>42.276760835551357</v>
      </c>
      <c r="GO535">
        <v>33.094602343181108</v>
      </c>
      <c r="GP535">
        <v>22.401861853725979</v>
      </c>
      <c r="GQ535">
        <v>50.889641779764403</v>
      </c>
      <c r="GR535">
        <v>46.852096910778911</v>
      </c>
      <c r="GS535">
        <v>12.080309533821929</v>
      </c>
      <c r="GT535">
        <v>40.25854721697263</v>
      </c>
      <c r="GU535"/>
      <c r="GV535"/>
      <c r="GW535"/>
      <c r="GX535"/>
      <c r="GY535"/>
      <c r="GZ535"/>
      <c r="HA535"/>
      <c r="HB535"/>
      <c r="HC535"/>
    </row>
    <row r="536" spans="1:211" s="7" customFormat="1">
      <c r="A536" s="4"/>
      <c r="B536" s="4"/>
      <c r="C536" s="63"/>
      <c r="D536" s="101"/>
      <c r="E536" s="63"/>
      <c r="F536" s="63"/>
      <c r="G536" s="101"/>
      <c r="H536" s="101">
        <f>E537-E535</f>
        <v>-1.3322676295501878E-15</v>
      </c>
      <c r="I536" s="101">
        <f>AVERAGE(D535:D537)</f>
        <v>65.625</v>
      </c>
      <c r="J536" s="101">
        <f>I536*H536</f>
        <v>-8.7430063189231078E-14</v>
      </c>
      <c r="K536" s="61">
        <f>J536/(C537-C535)</f>
        <v>-2.6493958542191235E-15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55.866319444444443</v>
      </c>
      <c r="AO536">
        <v>41.647276034003113</v>
      </c>
      <c r="AP536">
        <v>14.39677800915238</v>
      </c>
      <c r="AQ536">
        <v>287.73029890099014</v>
      </c>
      <c r="AR536">
        <v>40.459905882255889</v>
      </c>
      <c r="AS536">
        <v>396.26708201997036</v>
      </c>
      <c r="AT536">
        <v>32.688797427531959</v>
      </c>
      <c r="AU536">
        <v>21.389739227716557</v>
      </c>
      <c r="AV536"/>
      <c r="AW536"/>
      <c r="FY536" s="211">
        <v>531</v>
      </c>
      <c r="FZ536">
        <v>45.73094445338846</v>
      </c>
      <c r="GA536">
        <v>87.403181884241775</v>
      </c>
      <c r="GB536">
        <v>29.664788993713803</v>
      </c>
      <c r="GC536">
        <v>11.350221325192713</v>
      </c>
      <c r="GD536">
        <v>8.6520811944399387</v>
      </c>
      <c r="GE536">
        <v>10.426705885612007</v>
      </c>
      <c r="GF536">
        <v>26.487212219667573</v>
      </c>
      <c r="GG536">
        <v>26.496754372063666</v>
      </c>
      <c r="GH536">
        <v>16.102564721701199</v>
      </c>
      <c r="GI536">
        <v>27.183252461141517</v>
      </c>
      <c r="GJ536"/>
      <c r="GK536">
        <v>49.102698432510721</v>
      </c>
      <c r="GL536">
        <v>79.579650024207695</v>
      </c>
      <c r="GM536">
        <v>52.553204988246705</v>
      </c>
      <c r="GN536">
        <v>37.484147333969673</v>
      </c>
      <c r="GO536">
        <v>37.649456242997616</v>
      </c>
      <c r="GP536">
        <v>22.371805688448173</v>
      </c>
      <c r="GQ536">
        <v>35.686686906516961</v>
      </c>
      <c r="GR536">
        <v>39.854475158372964</v>
      </c>
      <c r="GS536">
        <v>18.722722060217425</v>
      </c>
      <c r="GT536">
        <v>38.742953726097888</v>
      </c>
      <c r="GU536"/>
      <c r="GV536"/>
      <c r="GW536"/>
      <c r="GX536"/>
      <c r="GY536"/>
      <c r="GZ536"/>
      <c r="HA536"/>
      <c r="HB536"/>
      <c r="HC536"/>
    </row>
    <row r="537" spans="1:211" s="7" customFormat="1">
      <c r="A537" s="4"/>
      <c r="B537" s="4"/>
      <c r="C537" s="117">
        <f>C7</f>
        <v>39747</v>
      </c>
      <c r="D537" s="101">
        <f>D73</f>
        <v>56.249999999999986</v>
      </c>
      <c r="E537" s="108">
        <f>E408</f>
        <v>0.75020188533407794</v>
      </c>
      <c r="F537" s="102"/>
      <c r="G537" s="101">
        <f>D537*E537</f>
        <v>42.198856050041876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41.249866452991448</v>
      </c>
      <c r="AO537">
        <v>31.026473506605999</v>
      </c>
      <c r="AP537">
        <v>10.651924049387702</v>
      </c>
      <c r="AQ537">
        <v>199.16460045812113</v>
      </c>
      <c r="AR537">
        <v>30.990932310973715</v>
      </c>
      <c r="AS537">
        <v>286.39491437870447</v>
      </c>
      <c r="AT537">
        <v>24.983973802400456</v>
      </c>
      <c r="AU537">
        <v>31.055312249271701</v>
      </c>
      <c r="AV537"/>
      <c r="AW537"/>
      <c r="FY537" s="211">
        <v>532</v>
      </c>
      <c r="FZ537">
        <v>37.850867750756137</v>
      </c>
      <c r="GA537">
        <v>61.10143973280713</v>
      </c>
      <c r="GB537">
        <v>27.459228473735077</v>
      </c>
      <c r="GC537">
        <v>14.512215310706962</v>
      </c>
      <c r="GD537">
        <v>8.9870466055022966</v>
      </c>
      <c r="GE537">
        <v>10.912320490226268</v>
      </c>
      <c r="GF537">
        <v>18.270376312106468</v>
      </c>
      <c r="GG537">
        <v>16.105870304587715</v>
      </c>
      <c r="GH537">
        <v>20.513562568209259</v>
      </c>
      <c r="GI537">
        <v>24.935651762620111</v>
      </c>
      <c r="GJ537"/>
      <c r="GK537">
        <v>39.151160890872269</v>
      </c>
      <c r="GL537">
        <v>53.998906538109253</v>
      </c>
      <c r="GM537">
        <v>48.645903502131702</v>
      </c>
      <c r="GN537">
        <v>47.920033564681546</v>
      </c>
      <c r="GO537">
        <v>39.098549055644995</v>
      </c>
      <c r="GP537">
        <v>23.413752751412169</v>
      </c>
      <c r="GQ537">
        <v>24.615999362524477</v>
      </c>
      <c r="GR537">
        <v>24.225269213912973</v>
      </c>
      <c r="GS537">
        <v>26.408024739909191</v>
      </c>
      <c r="GT537">
        <v>35.583927510216526</v>
      </c>
      <c r="GU537"/>
      <c r="GV537"/>
      <c r="GW537"/>
      <c r="GX537"/>
      <c r="GY537"/>
      <c r="GZ537"/>
      <c r="HA537"/>
      <c r="HB537"/>
      <c r="HC537"/>
    </row>
    <row r="538" spans="1:211" s="7" customFormat="1">
      <c r="A538" s="4"/>
      <c r="B538" s="4"/>
      <c r="C538" s="63"/>
      <c r="D538" s="101"/>
      <c r="E538" s="63"/>
      <c r="F538" s="63"/>
      <c r="G538" s="101"/>
      <c r="H538" s="101">
        <f>E539-E537</f>
        <v>-3.9808590460096549E-2</v>
      </c>
      <c r="I538" s="101">
        <f>AVERAGE(D537:D539)</f>
        <v>67.654914529914521</v>
      </c>
      <c r="J538" s="101">
        <f>I538*H538</f>
        <v>-2.6932467851342028</v>
      </c>
      <c r="K538" s="61">
        <f>J538/(C539-C537)</f>
        <v>-9.6187385183364379E-2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48.64599358974359</v>
      </c>
      <c r="AO538">
        <v>41.395272212993319</v>
      </c>
      <c r="AP538">
        <v>46.844850826635358</v>
      </c>
      <c r="AQ538">
        <v>283.37237404924088</v>
      </c>
      <c r="AR538">
        <v>39.33992918375975</v>
      </c>
      <c r="AS538">
        <v>356.76003085558602</v>
      </c>
      <c r="AT538">
        <v>30.248454734684334</v>
      </c>
      <c r="AU538">
        <v>2.6388878960674731</v>
      </c>
      <c r="AV538"/>
      <c r="AW538"/>
      <c r="FY538" s="211">
        <v>533</v>
      </c>
      <c r="FZ538">
        <v>50.682825898080083</v>
      </c>
      <c r="GA538">
        <v>103.01472834836511</v>
      </c>
      <c r="GB538">
        <v>42.547267485407687</v>
      </c>
      <c r="GC538">
        <v>14.081741228791332</v>
      </c>
      <c r="GD538">
        <v>9.2523211739267044</v>
      </c>
      <c r="GE538">
        <v>14.918640978293936</v>
      </c>
      <c r="GF538">
        <v>35.644370525206263</v>
      </c>
      <c r="GG538">
        <v>25.953594523081964</v>
      </c>
      <c r="GH538">
        <v>13.604483607974258</v>
      </c>
      <c r="GI538">
        <v>32.921129534902377</v>
      </c>
      <c r="GJ538"/>
      <c r="GK538">
        <v>52.421616745147553</v>
      </c>
      <c r="GL538">
        <v>91.040124626479411</v>
      </c>
      <c r="GM538">
        <v>75.375397759418377</v>
      </c>
      <c r="GN538">
        <v>46.490565457313451</v>
      </c>
      <c r="GO538">
        <v>40.24434783685269</v>
      </c>
      <c r="GP538">
        <v>32.009816020865159</v>
      </c>
      <c r="GQ538">
        <v>48.024287356613407</v>
      </c>
      <c r="GR538">
        <v>39.037493938548913</v>
      </c>
      <c r="GS538">
        <v>15.238475795848485</v>
      </c>
      <c r="GT538">
        <v>46.260825098776102</v>
      </c>
      <c r="GU538"/>
      <c r="GV538"/>
      <c r="GW538"/>
      <c r="GX538"/>
      <c r="GY538"/>
      <c r="GZ538"/>
      <c r="HA538"/>
      <c r="HB538"/>
      <c r="HC538"/>
    </row>
    <row r="539" spans="1:211" s="7" customFormat="1">
      <c r="A539" s="4"/>
      <c r="B539" s="4"/>
      <c r="C539" s="117">
        <f>C8</f>
        <v>39775</v>
      </c>
      <c r="D539" s="101">
        <f>D74</f>
        <v>79.059829059829042</v>
      </c>
      <c r="E539" s="108">
        <f>E409</f>
        <v>0.7103932948739814</v>
      </c>
      <c r="F539" s="102"/>
      <c r="G539" s="101">
        <f>D539*E539</f>
        <v>56.163572457985694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49.825053418803421</v>
      </c>
      <c r="AO539">
        <v>40.195212995099986</v>
      </c>
      <c r="AP539">
        <v>51.87683695854345</v>
      </c>
      <c r="AQ539">
        <v>273.89182539301777</v>
      </c>
      <c r="AR539">
        <v>38.8049319762629</v>
      </c>
      <c r="AS539">
        <v>358.9936997986884</v>
      </c>
      <c r="AT539">
        <v>29.700423654507791</v>
      </c>
      <c r="AU539">
        <v>20.834577994411031</v>
      </c>
      <c r="AV539"/>
      <c r="AW539"/>
      <c r="FY539" s="211">
        <v>534</v>
      </c>
      <c r="FZ539">
        <v>52.085360263153888</v>
      </c>
      <c r="GA539">
        <v>72.67588201538338</v>
      </c>
      <c r="GB539">
        <v>27.679784525732956</v>
      </c>
      <c r="GC539">
        <v>11.760842706837666</v>
      </c>
      <c r="GD539">
        <v>5.3803707782776131</v>
      </c>
      <c r="GE539">
        <v>12.018961464203002</v>
      </c>
      <c r="GF539">
        <v>33.614328712749987</v>
      </c>
      <c r="GG539">
        <v>22.057012997778482</v>
      </c>
      <c r="GH539">
        <v>11.218903939351462</v>
      </c>
      <c r="GI539">
        <v>26.123205121739602</v>
      </c>
      <c r="GJ539"/>
      <c r="GK539">
        <v>57.465727001243735</v>
      </c>
      <c r="GL539">
        <v>68.90063571915897</v>
      </c>
      <c r="GM539">
        <v>49.036633650743212</v>
      </c>
      <c r="GN539">
        <v>38.805803794265785</v>
      </c>
      <c r="GO539">
        <v>23.371962924111536</v>
      </c>
      <c r="GP539">
        <v>25.788189808358975</v>
      </c>
      <c r="GQ539">
        <v>45.289176316332906</v>
      </c>
      <c r="GR539">
        <v>33.176541709376416</v>
      </c>
      <c r="GS539">
        <v>13.252499979656427</v>
      </c>
      <c r="GT539">
        <v>37.683199974417562</v>
      </c>
      <c r="GU539"/>
      <c r="GV539"/>
      <c r="GW539"/>
      <c r="GX539"/>
      <c r="GY539"/>
      <c r="GZ539"/>
      <c r="HA539"/>
      <c r="HB539"/>
      <c r="HC539"/>
    </row>
    <row r="540" spans="1:211" s="7" customFormat="1">
      <c r="A540" s="4"/>
      <c r="B540" s="4"/>
      <c r="C540" s="63"/>
      <c r="D540" s="101"/>
      <c r="E540" s="63"/>
      <c r="F540" s="63"/>
      <c r="G540" s="101"/>
      <c r="H540" s="101">
        <f>E541-E539</f>
        <v>3.9808590460097881E-2</v>
      </c>
      <c r="I540" s="101">
        <f>AVERAGE(D539:D541)</f>
        <v>60.84401709401709</v>
      </c>
      <c r="J540" s="101">
        <f>I540*H540</f>
        <v>2.4221145584429213</v>
      </c>
      <c r="K540" s="61">
        <f>J540/(C541-C539)</f>
        <v>0.10092143993512172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43.671180555555551</v>
      </c>
      <c r="AO540">
        <v>33.663516764456929</v>
      </c>
      <c r="AP540">
        <v>19.819648584101525</v>
      </c>
      <c r="AQ540">
        <v>227.09138307606466</v>
      </c>
      <c r="AR540">
        <v>32.34372226604841</v>
      </c>
      <c r="AS540">
        <v>301.428973594485</v>
      </c>
      <c r="AT540">
        <v>25.684654193893227</v>
      </c>
      <c r="AU540">
        <v>22.054296160141462</v>
      </c>
      <c r="AV540"/>
      <c r="AW540"/>
      <c r="FY540" s="211">
        <v>535</v>
      </c>
      <c r="FZ540">
        <v>49.217434698210226</v>
      </c>
      <c r="GA540">
        <v>82.844717860930146</v>
      </c>
      <c r="GB540">
        <v>35.288968319659539</v>
      </c>
      <c r="GC540">
        <v>14.202185646592053</v>
      </c>
      <c r="GD540">
        <v>7.8920367938759464</v>
      </c>
      <c r="GE540">
        <v>11.62673428355302</v>
      </c>
      <c r="GF540">
        <v>22.27773157825392</v>
      </c>
      <c r="GG540">
        <v>16.83795531843262</v>
      </c>
      <c r="GH540">
        <v>9.7673215646994667</v>
      </c>
      <c r="GI540">
        <v>26.751990765675345</v>
      </c>
      <c r="GJ540"/>
      <c r="GK540">
        <v>54.507397051740099</v>
      </c>
      <c r="GL540">
        <v>77.88742913722345</v>
      </c>
      <c r="GM540">
        <v>62.516823777839946</v>
      </c>
      <c r="GN540">
        <v>46.892214456020334</v>
      </c>
      <c r="GO540">
        <v>34.328737369896729</v>
      </c>
      <c r="GP540">
        <v>24.946617180580358</v>
      </c>
      <c r="GQ540">
        <v>30.015179597883385</v>
      </c>
      <c r="GR540">
        <v>25.32641781454539</v>
      </c>
      <c r="GS540">
        <v>10.94044416112199</v>
      </c>
      <c r="GT540">
        <v>38.461716391696427</v>
      </c>
      <c r="GU540"/>
      <c r="GV540"/>
      <c r="GW540"/>
      <c r="GX540"/>
      <c r="GY540"/>
      <c r="GZ540"/>
      <c r="HA540"/>
      <c r="HB540"/>
      <c r="HC540"/>
    </row>
    <row r="541" spans="1:211" s="7" customFormat="1">
      <c r="A541" s="4"/>
      <c r="B541" s="4"/>
      <c r="C541" s="117">
        <f>C9</f>
        <v>39799</v>
      </c>
      <c r="D541" s="101">
        <f>D75</f>
        <v>42.628205128205131</v>
      </c>
      <c r="E541" s="108">
        <f>E410</f>
        <v>0.75020188533407928</v>
      </c>
      <c r="F541" s="102"/>
      <c r="G541" s="101">
        <f>D541*E541</f>
        <v>31.979759855587357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46.504513888888887</v>
      </c>
      <c r="AO541">
        <v>37.430517891080036</v>
      </c>
      <c r="AP541">
        <v>48.717746244654883</v>
      </c>
      <c r="AQ541">
        <v>254.62145118104533</v>
      </c>
      <c r="AR541">
        <v>35.942201154664971</v>
      </c>
      <c r="AS541">
        <v>319.27747861853499</v>
      </c>
      <c r="AT541">
        <v>27.434788040575096</v>
      </c>
      <c r="AU541">
        <v>22.533424367097481</v>
      </c>
      <c r="AV541"/>
      <c r="AW541"/>
      <c r="FY541" s="211">
        <v>536</v>
      </c>
      <c r="FZ541">
        <v>40.180799137494425</v>
      </c>
      <c r="GA541">
        <v>66.534962235989269</v>
      </c>
      <c r="GB541">
        <v>29.444232941715928</v>
      </c>
      <c r="GC541">
        <v>15.734660978940825</v>
      </c>
      <c r="GD541">
        <v>12.062652081200117</v>
      </c>
      <c r="GE541">
        <v>16.057967550658169</v>
      </c>
      <c r="GF541">
        <v>44.467582558566008</v>
      </c>
      <c r="GG541">
        <v>31.692196405801639</v>
      </c>
      <c r="GH541">
        <v>8.7770735481765971</v>
      </c>
      <c r="GI541">
        <v>30.70241985800871</v>
      </c>
      <c r="GJ541"/>
      <c r="GK541">
        <v>43.354930667235763</v>
      </c>
      <c r="GL541">
        <v>61.137187009744906</v>
      </c>
      <c r="GM541">
        <v>52.162474839635202</v>
      </c>
      <c r="GN541">
        <v>51.957578433667038</v>
      </c>
      <c r="GO541">
        <v>52.483561326028678</v>
      </c>
      <c r="GP541">
        <v>34.454384130126854</v>
      </c>
      <c r="GQ541">
        <v>59.911956120429942</v>
      </c>
      <c r="GR541">
        <v>47.669078130602955</v>
      </c>
      <c r="GS541">
        <v>10.517388939375934</v>
      </c>
      <c r="GT541">
        <v>43.686062378541102</v>
      </c>
      <c r="GU541"/>
      <c r="GV541"/>
      <c r="GW541"/>
      <c r="GX541"/>
      <c r="GY541"/>
      <c r="GZ541"/>
      <c r="HA541"/>
      <c r="HB541"/>
      <c r="HC541"/>
    </row>
    <row r="542" spans="1:211" s="7" customFormat="1">
      <c r="A542" s="4"/>
      <c r="B542" s="4"/>
      <c r="C542" s="63"/>
      <c r="D542" s="101"/>
      <c r="E542" s="63"/>
      <c r="F542" s="63"/>
      <c r="G542" s="101"/>
      <c r="H542" s="101">
        <f>E543-E541</f>
        <v>0</v>
      </c>
      <c r="I542" s="101">
        <f>AVERAGE(D541:D543)</f>
        <v>31.383547008547012</v>
      </c>
      <c r="J542" s="101">
        <f>I542*H542</f>
        <v>0</v>
      </c>
      <c r="K542" s="61">
        <f>J542/(C543-C541)</f>
        <v>0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40.820192307692295</v>
      </c>
      <c r="AO542">
        <v>29.655412921073832</v>
      </c>
      <c r="AP542">
        <v>25.792110479061542</v>
      </c>
      <c r="AQ542">
        <v>199.81550469827391</v>
      </c>
      <c r="AR542">
        <v>28.527411523813434</v>
      </c>
      <c r="AS542">
        <v>283.4654943270362</v>
      </c>
      <c r="AT542">
        <v>22.552627131239998</v>
      </c>
      <c r="AU542">
        <v>41.356295709252066</v>
      </c>
      <c r="AV542"/>
      <c r="AW542"/>
      <c r="FY542" s="211">
        <v>537</v>
      </c>
      <c r="FZ542">
        <v>29.82785231384727</v>
      </c>
      <c r="GA542">
        <v>42.532261232243449</v>
      </c>
      <c r="GB542">
        <v>19.298654549813804</v>
      </c>
      <c r="GC542">
        <v>14.569447747697138</v>
      </c>
      <c r="GD542">
        <v>10.197418077438895</v>
      </c>
      <c r="GE542">
        <v>10.426705885612005</v>
      </c>
      <c r="GF542">
        <v>29.914555539398947</v>
      </c>
      <c r="GG542">
        <v>24.890890470726468</v>
      </c>
      <c r="GH542">
        <v>12.557984868899313</v>
      </c>
      <c r="GI542">
        <v>23.311029995039508</v>
      </c>
      <c r="GJ542"/>
      <c r="GK542">
        <v>30.842093361849031</v>
      </c>
      <c r="GL542">
        <v>37.588240296426264</v>
      </c>
      <c r="GM542">
        <v>34.188888003506207</v>
      </c>
      <c r="GN542">
        <v>48.116743499215929</v>
      </c>
      <c r="GO542">
        <v>44.374750922128875</v>
      </c>
      <c r="GP542">
        <v>22.37180568844817</v>
      </c>
      <c r="GQ542">
        <v>40.304406844652867</v>
      </c>
      <c r="GR542">
        <v>37.43905242150187</v>
      </c>
      <c r="GS542">
        <v>14.066285350013986</v>
      </c>
      <c r="GT542">
        <v>32.75528489643019</v>
      </c>
      <c r="GU542"/>
      <c r="GV542"/>
      <c r="GW542"/>
      <c r="GX542"/>
      <c r="GY542"/>
      <c r="GZ542"/>
      <c r="HA542"/>
      <c r="HB542"/>
      <c r="HC542"/>
    </row>
    <row r="543" spans="1:211" s="7" customFormat="1">
      <c r="A543" s="4"/>
      <c r="B543" s="4"/>
      <c r="C543" s="117">
        <f>C10</f>
        <v>39847</v>
      </c>
      <c r="D543" s="101">
        <f>D76</f>
        <v>20.138888888888889</v>
      </c>
      <c r="E543" s="108">
        <f>E411</f>
        <v>0.75020188533407928</v>
      </c>
      <c r="F543" s="102"/>
      <c r="G543" s="101">
        <f>D543*E543</f>
        <v>15.108232412977985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50.478952991452992</v>
      </c>
      <c r="AO543">
        <v>44.216215651717647</v>
      </c>
      <c r="AP543">
        <v>77.525783526826402</v>
      </c>
      <c r="AQ543">
        <v>296.92031484743649</v>
      </c>
      <c r="AR543">
        <v>42.735938869292077</v>
      </c>
      <c r="AS543">
        <v>401.95637601583672</v>
      </c>
      <c r="AT543">
        <v>32.818933158919414</v>
      </c>
      <c r="AU543">
        <v>37.453742700037644</v>
      </c>
      <c r="AV543"/>
      <c r="AW543"/>
      <c r="FY543" s="211">
        <v>538</v>
      </c>
      <c r="FZ543">
        <v>49.527799769331963</v>
      </c>
      <c r="GA543">
        <v>73.865020861293857</v>
      </c>
      <c r="GB543">
        <v>28.211124105546006</v>
      </c>
      <c r="GC543">
        <v>12.336415387798359</v>
      </c>
      <c r="GD543">
        <v>8.2724913747539031</v>
      </c>
      <c r="GE543">
        <v>12.219744425726207</v>
      </c>
      <c r="GF543">
        <v>18.077038996634446</v>
      </c>
      <c r="GG543">
        <v>12.728832982658036</v>
      </c>
      <c r="GH543">
        <v>13.829486498182547</v>
      </c>
      <c r="GI543">
        <v>25.120712478362904</v>
      </c>
      <c r="GJ543"/>
      <c r="GK543">
        <v>56.618743242689128</v>
      </c>
      <c r="GL543">
        <v>72.287906764124244</v>
      </c>
      <c r="GM543">
        <v>49.977938099670908</v>
      </c>
      <c r="GN543">
        <v>40.745230602060715</v>
      </c>
      <c r="GO543">
        <v>36.001821245490348</v>
      </c>
      <c r="GP543">
        <v>26.21899484400755</v>
      </c>
      <c r="GQ543">
        <v>24.355512596783484</v>
      </c>
      <c r="GR543">
        <v>19.145777281963483</v>
      </c>
      <c r="GS543">
        <v>18.235016692202251</v>
      </c>
      <c r="GT543">
        <v>37.037806375367225</v>
      </c>
      <c r="GU543"/>
      <c r="GV543"/>
      <c r="GW543"/>
      <c r="GX543"/>
      <c r="GY543"/>
      <c r="GZ543"/>
      <c r="HA543"/>
      <c r="HB543"/>
      <c r="HC543"/>
    </row>
    <row r="544" spans="1:211" s="7" customFormat="1">
      <c r="A544" s="4"/>
      <c r="B544" s="4"/>
      <c r="C544" s="63"/>
      <c r="D544" s="101"/>
      <c r="E544" s="63"/>
      <c r="F544" s="63"/>
      <c r="G544" s="101"/>
      <c r="H544" s="101">
        <f>E545-E543</f>
        <v>0</v>
      </c>
      <c r="I544" s="101">
        <f>AVERAGE(D543:D545)</f>
        <v>22.569444444444443</v>
      </c>
      <c r="J544" s="101">
        <f>I544*H544</f>
        <v>0</v>
      </c>
      <c r="K544" s="61">
        <f>J544/(C545-C543)</f>
        <v>0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50.207077991452998</v>
      </c>
      <c r="AO544">
        <v>38.861009564284075</v>
      </c>
      <c r="AP544">
        <v>20.930982763441847</v>
      </c>
      <c r="AQ544">
        <v>251.12746500886095</v>
      </c>
      <c r="AR544">
        <v>36.944025711270733</v>
      </c>
      <c r="AS544">
        <v>356.48316886194345</v>
      </c>
      <c r="AT544">
        <v>29.525533691289045</v>
      </c>
      <c r="AU544">
        <v>21.57233584811615</v>
      </c>
      <c r="AV544"/>
      <c r="AW544"/>
      <c r="FY544" s="211">
        <v>539</v>
      </c>
      <c r="FZ544">
        <v>35.895202397078734</v>
      </c>
      <c r="GA544">
        <v>72.773494790304269</v>
      </c>
      <c r="GB544">
        <v>30.30640659952579</v>
      </c>
      <c r="GC544">
        <v>11.807833477102291</v>
      </c>
      <c r="GD544">
        <v>8.2895103336935847</v>
      </c>
      <c r="GE544">
        <v>11.701444222724449</v>
      </c>
      <c r="GF544">
        <v>20.660728576124246</v>
      </c>
      <c r="GG544">
        <v>11.406356828615641</v>
      </c>
      <c r="GH544">
        <v>11.275154661903537</v>
      </c>
      <c r="GI544">
        <v>23.858531020551503</v>
      </c>
      <c r="GJ544"/>
      <c r="GK544">
        <v>37.122514136664392</v>
      </c>
      <c r="GL544">
        <v>64.31418246145283</v>
      </c>
      <c r="GM544">
        <v>53.689874511480149</v>
      </c>
      <c r="GN544">
        <v>38.987887719849425</v>
      </c>
      <c r="GO544">
        <v>36.062876362586415</v>
      </c>
      <c r="GP544">
        <v>25.106916728728674</v>
      </c>
      <c r="GQ544">
        <v>27.836563011685929</v>
      </c>
      <c r="GR544">
        <v>17.156605616304937</v>
      </c>
      <c r="GS544">
        <v>14.001635203744872</v>
      </c>
      <c r="GT544">
        <v>33.74269264523236</v>
      </c>
      <c r="GU544"/>
      <c r="GV544"/>
      <c r="GW544"/>
      <c r="GX544"/>
      <c r="GY544"/>
      <c r="GZ544"/>
      <c r="HA544"/>
      <c r="HB544"/>
      <c r="HC544"/>
    </row>
    <row r="545" spans="1:211" s="7" customFormat="1">
      <c r="A545" s="4"/>
      <c r="B545" s="4"/>
      <c r="C545" s="117">
        <f>C11</f>
        <v>39910</v>
      </c>
      <c r="D545" s="101">
        <f>D77</f>
        <v>25</v>
      </c>
      <c r="E545" s="108">
        <f>E412</f>
        <v>0.75020188533407928</v>
      </c>
      <c r="F545" s="102"/>
      <c r="G545" s="101">
        <f>D545*E545</f>
        <v>18.755047133351983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47.46728098290599</v>
      </c>
      <c r="AO545">
        <v>37.215588629934288</v>
      </c>
      <c r="AP545">
        <v>16.830610930560088</v>
      </c>
      <c r="AQ545">
        <v>254.80036145199321</v>
      </c>
      <c r="AR545">
        <v>35.569939864379265</v>
      </c>
      <c r="AS545">
        <v>334.37449722087865</v>
      </c>
      <c r="AT545">
        <v>28.482926694119399</v>
      </c>
      <c r="AU545">
        <v>10.884106210856304</v>
      </c>
      <c r="AV545"/>
      <c r="AW545"/>
      <c r="FY545" s="211">
        <v>540</v>
      </c>
      <c r="FZ545">
        <v>52.204022448458154</v>
      </c>
      <c r="GA545">
        <v>89.339336278430252</v>
      </c>
      <c r="GB545">
        <v>31.409186859515152</v>
      </c>
      <c r="GC545">
        <v>13.11813519026809</v>
      </c>
      <c r="GD545">
        <v>8.6562589458809072</v>
      </c>
      <c r="GE545">
        <v>11.762146048301231</v>
      </c>
      <c r="GF545">
        <v>23.97382711853124</v>
      </c>
      <c r="GG545">
        <v>14.547237694466324</v>
      </c>
      <c r="GH545">
        <v>8.833324270728669</v>
      </c>
      <c r="GI545">
        <v>26.848285446862214</v>
      </c>
      <c r="GJ545"/>
      <c r="GK545">
        <v>59.385742698572926</v>
      </c>
      <c r="GL545">
        <v>85.963461965526733</v>
      </c>
      <c r="GM545">
        <v>55.64352525453765</v>
      </c>
      <c r="GN545">
        <v>43.288726385095153</v>
      </c>
      <c r="GO545">
        <v>37.628603987551649</v>
      </c>
      <c r="GP545">
        <v>25.23716011159917</v>
      </c>
      <c r="GQ545">
        <v>32.300358951883972</v>
      </c>
      <c r="GR545">
        <v>21.880888322243976</v>
      </c>
      <c r="GS545">
        <v>11.266524163464375</v>
      </c>
      <c r="GT545">
        <v>39.244951011202119</v>
      </c>
      <c r="GU545"/>
      <c r="GV545"/>
      <c r="GW545"/>
      <c r="GX545"/>
      <c r="GY545"/>
      <c r="GZ545"/>
      <c r="HA545"/>
      <c r="HB545"/>
      <c r="HC545"/>
    </row>
    <row r="546" spans="1:211" s="7" customFormat="1">
      <c r="A546" s="4"/>
      <c r="B546" s="4"/>
      <c r="C546" s="63"/>
      <c r="D546" s="101"/>
      <c r="E546" s="63"/>
      <c r="F546" s="63"/>
      <c r="G546" s="101"/>
      <c r="H546" s="101">
        <f>E547-E545</f>
        <v>0</v>
      </c>
      <c r="I546" s="101">
        <f>AVERAGE(D545:D547)</f>
        <v>25</v>
      </c>
      <c r="J546" s="101">
        <f>I546*H546</f>
        <v>0</v>
      </c>
      <c r="K546" s="61">
        <f>J546/(C547-C545)</f>
        <v>0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54.564236111111107</v>
      </c>
      <c r="AO546">
        <v>42.015828817053169</v>
      </c>
      <c r="AP546">
        <v>32.030031529351845</v>
      </c>
      <c r="AQ546">
        <v>286.242433843284</v>
      </c>
      <c r="AR546">
        <v>40.258547216972659</v>
      </c>
      <c r="AS546">
        <v>379.44301678120434</v>
      </c>
      <c r="AT546">
        <v>31.796523206449066</v>
      </c>
      <c r="AU546">
        <v>32.917683712325157</v>
      </c>
      <c r="AV546"/>
      <c r="AW546"/>
      <c r="FY546" s="211">
        <v>541</v>
      </c>
      <c r="FZ546">
        <v>38.376723654475363</v>
      </c>
      <c r="GA546">
        <v>51.728425822998787</v>
      </c>
      <c r="GB546">
        <v>20.61196558671023</v>
      </c>
      <c r="GC546">
        <v>14.009854959343196</v>
      </c>
      <c r="GD546">
        <v>9.1553565636726137</v>
      </c>
      <c r="GE546">
        <v>8.5589574063263818</v>
      </c>
      <c r="GF546">
        <v>26.97055550834764</v>
      </c>
      <c r="GG546">
        <v>23.379489151820884</v>
      </c>
      <c r="GH546">
        <v>12.209151955874333</v>
      </c>
      <c r="GI546">
        <v>23.634596360394418</v>
      </c>
      <c r="GJ546"/>
      <c r="GK546">
        <v>39.686963918984596</v>
      </c>
      <c r="GL546">
        <v>45.715427387545454</v>
      </c>
      <c r="GM546">
        <v>36.515508433874693</v>
      </c>
      <c r="GN546">
        <v>46.264656827633019</v>
      </c>
      <c r="GO546">
        <v>39.835369836843803</v>
      </c>
      <c r="GP546">
        <v>18.364316984740483</v>
      </c>
      <c r="GQ546">
        <v>36.337903820869464</v>
      </c>
      <c r="GR546">
        <v>35.165713375034969</v>
      </c>
      <c r="GS546">
        <v>13.675555201402489</v>
      </c>
      <c r="GT546">
        <v>33.210260242395002</v>
      </c>
      <c r="GU546"/>
      <c r="GV546"/>
      <c r="GW546"/>
      <c r="GX546"/>
      <c r="GY546"/>
      <c r="GZ546"/>
      <c r="HA546"/>
      <c r="HB546"/>
      <c r="HC546"/>
    </row>
    <row r="547" spans="1:211" s="7" customFormat="1">
      <c r="A547" s="4"/>
      <c r="B547" s="4"/>
      <c r="C547" s="117">
        <f>C12</f>
        <v>39949</v>
      </c>
      <c r="D547" s="101">
        <f>D78</f>
        <v>24.999999999999996</v>
      </c>
      <c r="E547" s="108">
        <f>E413</f>
        <v>0.75020188533407928</v>
      </c>
      <c r="F547" s="102"/>
      <c r="G547" s="101">
        <f>D547*E547</f>
        <v>18.755047133351979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52.429086538461533</v>
      </c>
      <c r="AO547">
        <v>41.174780056158582</v>
      </c>
      <c r="AP547">
        <v>20.068952706492368</v>
      </c>
      <c r="AQ547">
        <v>289.49770751116267</v>
      </c>
      <c r="AR547">
        <v>38.742953726097902</v>
      </c>
      <c r="AS547">
        <v>367.45427603032186</v>
      </c>
      <c r="AT547">
        <v>31.321349506247714</v>
      </c>
      <c r="AU547">
        <v>16.364214877587418</v>
      </c>
      <c r="AV547"/>
      <c r="AW547"/>
      <c r="FY547" s="211">
        <v>542</v>
      </c>
      <c r="FZ547">
        <v>49.548589180199897</v>
      </c>
      <c r="GA547">
        <v>70.553690186747531</v>
      </c>
      <c r="GB547">
        <v>22.576919504509458</v>
      </c>
      <c r="GC547">
        <v>12.732131501923236</v>
      </c>
      <c r="GD547">
        <v>9.3607567853165463</v>
      </c>
      <c r="GE547">
        <v>9.651590266708471</v>
      </c>
      <c r="GF547">
        <v>21.407713658629799</v>
      </c>
      <c r="GG547">
        <v>22.033397352170585</v>
      </c>
      <c r="GH547">
        <v>19.590893851951002</v>
      </c>
      <c r="GI547">
        <v>25.926738058353713</v>
      </c>
      <c r="GJ547"/>
      <c r="GK547">
        <v>54.840650406288852</v>
      </c>
      <c r="GL547">
        <v>67.025131005823766</v>
      </c>
      <c r="GM547">
        <v>39.996558848777148</v>
      </c>
      <c r="GN547">
        <v>42.052218395201741</v>
      </c>
      <c r="GO547">
        <v>40.737944258963061</v>
      </c>
      <c r="GP547">
        <v>20.708697876409477</v>
      </c>
      <c r="GQ547">
        <v>28.842989152048879</v>
      </c>
      <c r="GR547">
        <v>33.141020786775371</v>
      </c>
      <c r="GS547">
        <v>22.630023546332417</v>
      </c>
      <c r="GT547">
        <v>37.409633242482073</v>
      </c>
      <c r="GU547"/>
      <c r="GV547"/>
      <c r="GW547"/>
      <c r="GX547"/>
      <c r="GY547"/>
      <c r="GZ547"/>
      <c r="HA547"/>
      <c r="HB547"/>
      <c r="HC547"/>
    </row>
    <row r="548" spans="1:211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0.10195406098502058</v>
      </c>
      <c r="I548" s="101">
        <f>AVERAGE(D547:D549)</f>
        <v>20.833333333333332</v>
      </c>
      <c r="J548" s="101">
        <f>I548*H548</f>
        <v>2.1240429371879288</v>
      </c>
      <c r="K548" s="61">
        <f>J548/(C549-C547)</f>
        <v>5.5895866768103389E-2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47.174225427350436</v>
      </c>
      <c r="AO548">
        <v>36.306152712941511</v>
      </c>
      <c r="AP548">
        <v>25.195879920593619</v>
      </c>
      <c r="AQ548">
        <v>240.64857931125744</v>
      </c>
      <c r="AR548">
        <v>35.583927510216554</v>
      </c>
      <c r="AS548">
        <v>347.90039278967288</v>
      </c>
      <c r="AT548">
        <v>28.70998600264036</v>
      </c>
      <c r="AU548">
        <v>24.780170935050819</v>
      </c>
      <c r="AV548"/>
      <c r="AW548"/>
      <c r="FY548" s="211">
        <v>543</v>
      </c>
      <c r="FZ548">
        <v>30.469716338313134</v>
      </c>
      <c r="GA548">
        <v>83.247222886496587</v>
      </c>
      <c r="GB548">
        <v>39.45948275743747</v>
      </c>
      <c r="GC548">
        <v>14.833251063856721</v>
      </c>
      <c r="GD548">
        <v>9.5534303149663948</v>
      </c>
      <c r="GE548">
        <v>8.5449492927317401</v>
      </c>
      <c r="GF548">
        <v>19.720406178146661</v>
      </c>
      <c r="GG548">
        <v>16.885186609648418</v>
      </c>
      <c r="GH548">
        <v>10.521238113301502</v>
      </c>
      <c r="GI548">
        <v>25.775077945665291</v>
      </c>
      <c r="GJ548"/>
      <c r="GK548">
        <v>33.317200428606142</v>
      </c>
      <c r="GL548">
        <v>75.906786627259592</v>
      </c>
      <c r="GM548">
        <v>69.905175678857375</v>
      </c>
      <c r="GN548">
        <v>48.96884356795286</v>
      </c>
      <c r="GO548">
        <v>41.550435501657596</v>
      </c>
      <c r="GP548">
        <v>18.334260819462674</v>
      </c>
      <c r="GQ548">
        <v>26.569650105581971</v>
      </c>
      <c r="GR548">
        <v>25.397459659747479</v>
      </c>
      <c r="GS548">
        <v>12.471039682433432</v>
      </c>
      <c r="GT548">
        <v>36.7627002794273</v>
      </c>
      <c r="GU548"/>
      <c r="GV548"/>
      <c r="GW548"/>
      <c r="GX548"/>
      <c r="GY548"/>
      <c r="GZ548"/>
      <c r="HA548"/>
      <c r="HB548"/>
      <c r="HC548"/>
    </row>
    <row r="549" spans="1:211" s="7" customFormat="1">
      <c r="A549" s="4"/>
      <c r="B549" s="4"/>
      <c r="C549" s="117">
        <f>C13</f>
        <v>39987</v>
      </c>
      <c r="D549" s="101">
        <f>D79</f>
        <v>16.666666666666668</v>
      </c>
      <c r="E549" s="108">
        <f>E414</f>
        <v>0.85215594631909986</v>
      </c>
      <c r="F549" s="102"/>
      <c r="G549" s="101">
        <f>D549*E549</f>
        <v>14.202599105318331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65.442574786324798</v>
      </c>
      <c r="AO549">
        <v>48.614295063586354</v>
      </c>
      <c r="AP549">
        <v>5.6334202756943128</v>
      </c>
      <c r="AQ549">
        <v>342.62110330402976</v>
      </c>
      <c r="AR549">
        <v>46.260825098776124</v>
      </c>
      <c r="AS549">
        <v>469.20701546140941</v>
      </c>
      <c r="AT549">
        <v>38.085691558082786</v>
      </c>
      <c r="AU549">
        <v>21.571172853816257</v>
      </c>
      <c r="AV549"/>
      <c r="AW549"/>
      <c r="FY549" s="211">
        <v>544</v>
      </c>
      <c r="FZ549">
        <v>30.292805791539429</v>
      </c>
      <c r="GA549">
        <v>61.720412349492577</v>
      </c>
      <c r="GB549">
        <v>30.647265952613409</v>
      </c>
      <c r="GC549">
        <v>12.632419807110605</v>
      </c>
      <c r="GD549">
        <v>6.8981574794986349</v>
      </c>
      <c r="GE549">
        <v>8.7410628830567294</v>
      </c>
      <c r="GF549">
        <v>20.590424097770782</v>
      </c>
      <c r="GG549">
        <v>15.846098202900819</v>
      </c>
      <c r="GH549">
        <v>14.358400156576293</v>
      </c>
      <c r="GI549">
        <v>22.715364880205247</v>
      </c>
      <c r="GJ549"/>
      <c r="GK549">
        <v>31.325338738698509</v>
      </c>
      <c r="GL549">
        <v>54.545928746165352</v>
      </c>
      <c r="GM549">
        <v>54.293730195697925</v>
      </c>
      <c r="GN549">
        <v>41.707525945598512</v>
      </c>
      <c r="GO549">
        <v>30.003381948554036</v>
      </c>
      <c r="GP549">
        <v>18.755047133351979</v>
      </c>
      <c r="GQ549">
        <v>27.741840551416477</v>
      </c>
      <c r="GR549">
        <v>23.834539065301477</v>
      </c>
      <c r="GS549">
        <v>16.769071317159927</v>
      </c>
      <c r="GT549">
        <v>32.026672550305371</v>
      </c>
      <c r="GU549"/>
      <c r="GV549"/>
      <c r="GW549"/>
      <c r="GX549"/>
      <c r="GY549"/>
      <c r="GZ549"/>
      <c r="HA549"/>
      <c r="HB549"/>
      <c r="HC549"/>
    </row>
    <row r="550" spans="1:211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-0.85215594631909986</v>
      </c>
      <c r="I550" s="101">
        <f>AVERAGE(D549:D551)</f>
        <v>8.3333333333333339</v>
      </c>
      <c r="J550" s="101">
        <f>I550*H550</f>
        <v>-7.1012995526591656</v>
      </c>
      <c r="K550" s="61">
        <f>J550/(C551-C549)</f>
        <v>1.7759020563330995E-4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49.109375</v>
      </c>
      <c r="AO550">
        <v>39.277037087766544</v>
      </c>
      <c r="AP550">
        <v>45.727669051231082</v>
      </c>
      <c r="AQ550">
        <v>274.61465252520804</v>
      </c>
      <c r="AR550">
        <v>37.683199974417562</v>
      </c>
      <c r="AS550">
        <v>348.87486422842136</v>
      </c>
      <c r="AT550">
        <v>28.845095582502477</v>
      </c>
      <c r="AU550">
        <v>25.578961254651077</v>
      </c>
      <c r="AV550"/>
      <c r="AW550"/>
      <c r="FY550" s="211">
        <v>545</v>
      </c>
      <c r="FZ550">
        <v>45.358843882692952</v>
      </c>
      <c r="GA550">
        <v>71.486743169472931</v>
      </c>
      <c r="GB550">
        <v>28.441705432634688</v>
      </c>
      <c r="GC550">
        <v>13.843220681531379</v>
      </c>
      <c r="GD550">
        <v>7.9067339037091475</v>
      </c>
      <c r="GE550">
        <v>10.622819475937</v>
      </c>
      <c r="GF550">
        <v>22.427128594755036</v>
      </c>
      <c r="GG550">
        <v>14.287465592779428</v>
      </c>
      <c r="GH550">
        <v>12.906817781924296</v>
      </c>
      <c r="GI550">
        <v>25.049748164211763</v>
      </c>
      <c r="GJ550"/>
      <c r="GK550">
        <v>48.703899122527403</v>
      </c>
      <c r="GL550">
        <v>65.51336467419371</v>
      </c>
      <c r="GM550">
        <v>50.386428709582923</v>
      </c>
      <c r="GN550">
        <v>45.710450020319072</v>
      </c>
      <c r="GO550">
        <v>34.397036171886107</v>
      </c>
      <c r="GP550">
        <v>22.792592002337479</v>
      </c>
      <c r="GQ550">
        <v>30.216464825955978</v>
      </c>
      <c r="GR550">
        <v>21.49015817363248</v>
      </c>
      <c r="GS550">
        <v>14.457015498625488</v>
      </c>
      <c r="GT550">
        <v>35.63216886571557</v>
      </c>
      <c r="GU550"/>
      <c r="GV550"/>
      <c r="GW550"/>
      <c r="GX550"/>
      <c r="GY550"/>
      <c r="GZ550"/>
      <c r="HA550"/>
      <c r="HB550"/>
      <c r="HC550"/>
    </row>
    <row r="551" spans="1:211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50.123397435897431</v>
      </c>
      <c r="AO551">
        <v>40.582297693854812</v>
      </c>
      <c r="AP551">
        <v>30.099823665625202</v>
      </c>
      <c r="AQ551">
        <v>276.70707682988234</v>
      </c>
      <c r="AR551">
        <v>38.461716391696449</v>
      </c>
      <c r="AS551">
        <v>367.80400756825998</v>
      </c>
      <c r="AT551">
        <v>30.276601959898922</v>
      </c>
      <c r="AU551">
        <v>14.613437088072963</v>
      </c>
      <c r="AV551"/>
      <c r="AW551"/>
      <c r="FY551" s="211">
        <v>546</v>
      </c>
      <c r="FZ551">
        <v>48.180026627623263</v>
      </c>
      <c r="GA551">
        <v>95.224170194639271</v>
      </c>
      <c r="GB551">
        <v>39.138673954531484</v>
      </c>
      <c r="GC551">
        <v>12.460120279306064</v>
      </c>
      <c r="GD551">
        <v>7.16484963743856</v>
      </c>
      <c r="GE551">
        <v>11.033724141379837</v>
      </c>
      <c r="GF551">
        <v>28.8512003043028</v>
      </c>
      <c r="GG551">
        <v>23.592029962291974</v>
      </c>
      <c r="GH551">
        <v>12.614235591451386</v>
      </c>
      <c r="GI551">
        <v>28.852957150097851</v>
      </c>
      <c r="GJ551"/>
      <c r="GK551">
        <v>53.430871852715519</v>
      </c>
      <c r="GL551">
        <v>88.827873298345452</v>
      </c>
      <c r="GM551">
        <v>69.33684091724065</v>
      </c>
      <c r="GN551">
        <v>41.126927473657751</v>
      </c>
      <c r="GO551">
        <v>31.151012980087234</v>
      </c>
      <c r="GP551">
        <v>23.674239517153172</v>
      </c>
      <c r="GQ551">
        <v>38.871729633077365</v>
      </c>
      <c r="GR551">
        <v>35.485401678444369</v>
      </c>
      <c r="GS551">
        <v>14.815420574102429</v>
      </c>
      <c r="GT551">
        <v>41.521175191444641</v>
      </c>
      <c r="GU551"/>
      <c r="GV551"/>
      <c r="GW551"/>
      <c r="GX551"/>
      <c r="GY551"/>
      <c r="GZ551"/>
      <c r="HA551"/>
      <c r="HB551"/>
      <c r="HC551"/>
    </row>
    <row r="552" spans="1:211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59.060550213675207</v>
      </c>
      <c r="AO552">
        <v>45.73346019753884</v>
      </c>
      <c r="AP552">
        <v>26.071589579269592</v>
      </c>
      <c r="AQ552">
        <v>295.65454729655164</v>
      </c>
      <c r="AR552">
        <v>43.686062378541124</v>
      </c>
      <c r="AS552">
        <v>413.19879907870848</v>
      </c>
      <c r="AT552">
        <v>34.948962553517667</v>
      </c>
      <c r="AU552">
        <v>33.011333519626781</v>
      </c>
      <c r="AV552"/>
      <c r="AW552"/>
      <c r="FY552" s="211">
        <v>547</v>
      </c>
      <c r="FZ552">
        <v>39.509494565778816</v>
      </c>
      <c r="GA552">
        <v>71.309893850419925</v>
      </c>
      <c r="GB552">
        <v>31.539515435695709</v>
      </c>
      <c r="GC552">
        <v>12.379622579985876</v>
      </c>
      <c r="GD552">
        <v>7.855459860326869</v>
      </c>
      <c r="GE552">
        <v>9.6842758650959713</v>
      </c>
      <c r="GF552">
        <v>29.097265978539927</v>
      </c>
      <c r="GG552">
        <v>22.340400745073286</v>
      </c>
      <c r="GH552">
        <v>11.567736852376445</v>
      </c>
      <c r="GI552">
        <v>26.023752022686079</v>
      </c>
      <c r="GJ552"/>
      <c r="GK552">
        <v>42.654766418307005</v>
      </c>
      <c r="GL552">
        <v>65.3570726147491</v>
      </c>
      <c r="GM552">
        <v>55.874411251444442</v>
      </c>
      <c r="GN552">
        <v>40.876416771471682</v>
      </c>
      <c r="GO552">
        <v>34.173891914520567</v>
      </c>
      <c r="GP552">
        <v>20.778828928724366</v>
      </c>
      <c r="GQ552">
        <v>39.203258244020461</v>
      </c>
      <c r="GR552">
        <v>33.602792780588963</v>
      </c>
      <c r="GS552">
        <v>13.64323012826793</v>
      </c>
      <c r="GT552">
        <v>37.109911591312077</v>
      </c>
      <c r="GU552"/>
      <c r="GV552"/>
      <c r="GW552"/>
      <c r="GX552"/>
      <c r="GY552"/>
      <c r="GZ552"/>
      <c r="HA552"/>
      <c r="HB552"/>
      <c r="HC552"/>
    </row>
    <row r="553" spans="1:211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46.215892094017093</v>
      </c>
      <c r="AO553">
        <v>34.204755128417332</v>
      </c>
      <c r="AP553">
        <v>7.8303872546364905</v>
      </c>
      <c r="AQ553">
        <v>217.52680068071683</v>
      </c>
      <c r="AR553">
        <v>32.75528489643019</v>
      </c>
      <c r="AS553">
        <v>315.36130229145004</v>
      </c>
      <c r="AT553">
        <v>26.770281350238605</v>
      </c>
      <c r="AU553">
        <v>25.537784707106347</v>
      </c>
      <c r="AV553"/>
      <c r="AW553"/>
      <c r="FY553" s="211">
        <v>548</v>
      </c>
      <c r="FZ553">
        <v>28.482589105858398</v>
      </c>
      <c r="GA553">
        <v>58.095001308906333</v>
      </c>
      <c r="GB553">
        <v>28.772539510631496</v>
      </c>
      <c r="GC553">
        <v>13.590737748234297</v>
      </c>
      <c r="GD553">
        <v>7.9331231609338424</v>
      </c>
      <c r="GE553">
        <v>10.973022315803053</v>
      </c>
      <c r="GF553">
        <v>29.59818538680836</v>
      </c>
      <c r="GG553">
        <v>22.529325909936485</v>
      </c>
      <c r="GH553">
        <v>14.470901601680438</v>
      </c>
      <c r="GI553">
        <v>24.40150205379441</v>
      </c>
      <c r="GJ553"/>
      <c r="GK553">
        <v>29.461053205307067</v>
      </c>
      <c r="GL553">
        <v>51.34194152755105</v>
      </c>
      <c r="GM553">
        <v>50.972523932500174</v>
      </c>
      <c r="GN553">
        <v>44.86117831120356</v>
      </c>
      <c r="GO553">
        <v>34.494533669021529</v>
      </c>
      <c r="GP553">
        <v>23.543996134282672</v>
      </c>
      <c r="GQ553">
        <v>39.878155773440326</v>
      </c>
      <c r="GR553">
        <v>33.886960161397333</v>
      </c>
      <c r="GS553">
        <v>18.267341765336809</v>
      </c>
      <c r="GT553">
        <v>34.614721669121181</v>
      </c>
      <c r="GU553"/>
      <c r="GV553"/>
      <c r="GW553"/>
      <c r="GX553"/>
      <c r="GY553"/>
      <c r="GZ553"/>
      <c r="HA553"/>
      <c r="HB553"/>
      <c r="HC553"/>
    </row>
    <row r="554" spans="1:211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43.377136752136757</v>
      </c>
      <c r="AO554">
        <v>38.062474774435934</v>
      </c>
      <c r="AP554">
        <v>73.920410246608938</v>
      </c>
      <c r="AQ554">
        <v>254.18866688028828</v>
      </c>
      <c r="AR554">
        <v>37.037806375367204</v>
      </c>
      <c r="AS554">
        <v>326.09859346478731</v>
      </c>
      <c r="AT554">
        <v>27.86457267465363</v>
      </c>
      <c r="AU554">
        <v>27.515967274704153</v>
      </c>
      <c r="AV554"/>
      <c r="AW554"/>
      <c r="FY554" s="211">
        <v>549</v>
      </c>
      <c r="FZ554">
        <v>32.593785233220224</v>
      </c>
      <c r="GA554">
        <v>56.36612639044251</v>
      </c>
      <c r="GB554">
        <v>26.566978990652775</v>
      </c>
      <c r="GC554">
        <v>15.908339308536734</v>
      </c>
      <c r="GD554">
        <v>10.229904141098601</v>
      </c>
      <c r="GE554">
        <v>13.947411769065413</v>
      </c>
      <c r="GF554">
        <v>27.427534617645165</v>
      </c>
      <c r="GG554">
        <v>21.277696692717793</v>
      </c>
      <c r="GH554">
        <v>21.503810584732129</v>
      </c>
      <c r="GI554">
        <v>26.548302825536236</v>
      </c>
      <c r="GJ554"/>
      <c r="GK554">
        <v>35.508439279402467</v>
      </c>
      <c r="GL554">
        <v>52.150393591680412</v>
      </c>
      <c r="GM554">
        <v>47.065222446385178</v>
      </c>
      <c r="GN554">
        <v>52.542730870043819</v>
      </c>
      <c r="GO554">
        <v>44.520467119530799</v>
      </c>
      <c r="GP554">
        <v>29.925921894937165</v>
      </c>
      <c r="GQ554">
        <v>36.953599812620922</v>
      </c>
      <c r="GR554">
        <v>32.004351263541928</v>
      </c>
      <c r="GS554">
        <v>26.831079961655245</v>
      </c>
      <c r="GT554">
        <v>38.175761723918924</v>
      </c>
      <c r="GU554"/>
      <c r="GV554"/>
      <c r="GW554"/>
      <c r="GX554"/>
      <c r="GY554"/>
      <c r="GZ554"/>
      <c r="HA554"/>
      <c r="HB554"/>
      <c r="HC554"/>
    </row>
    <row r="555" spans="1:211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46.37844551282052</v>
      </c>
      <c r="AO555">
        <v>34.802174839772995</v>
      </c>
      <c r="AP555">
        <v>12.620294939439228</v>
      </c>
      <c r="AQ555">
        <v>237.97466290762407</v>
      </c>
      <c r="AR555">
        <v>33.742692645232374</v>
      </c>
      <c r="AS555">
        <v>326.19173245086051</v>
      </c>
      <c r="AT555">
        <v>27.27073576108279</v>
      </c>
      <c r="AU555">
        <v>23.320820329578275</v>
      </c>
      <c r="AV555"/>
      <c r="AW555"/>
      <c r="FY555" s="211">
        <v>550</v>
      </c>
      <c r="FZ555">
        <v>39.425292795163969</v>
      </c>
      <c r="GA555">
        <v>89.967497010510101</v>
      </c>
      <c r="GB555">
        <v>42.096130106321134</v>
      </c>
      <c r="GC555">
        <v>14.721643140168878</v>
      </c>
      <c r="GD555">
        <v>8.0361845776229455</v>
      </c>
      <c r="GE555">
        <v>12.551269780799407</v>
      </c>
      <c r="GF555">
        <v>30.740633160052155</v>
      </c>
      <c r="GG555">
        <v>21.301312338325701</v>
      </c>
      <c r="GH555">
        <v>13.716985053078401</v>
      </c>
      <c r="GI555">
        <v>29.46198777706142</v>
      </c>
      <c r="GJ555"/>
      <c r="GK555">
        <v>42.573470370012771</v>
      </c>
      <c r="GL555">
        <v>81.84588488615438</v>
      </c>
      <c r="GM555">
        <v>74.576177000894859</v>
      </c>
      <c r="GN555">
        <v>48.604060352075642</v>
      </c>
      <c r="GO555">
        <v>34.951730369296918</v>
      </c>
      <c r="GP555">
        <v>26.930324088915668</v>
      </c>
      <c r="GQ555">
        <v>41.417395752818969</v>
      </c>
      <c r="GR555">
        <v>32.039872186142979</v>
      </c>
      <c r="GS555">
        <v>16.736746244025369</v>
      </c>
      <c r="GT555">
        <v>42.051103947409779</v>
      </c>
      <c r="GU555"/>
      <c r="GV555"/>
      <c r="GW555"/>
      <c r="GX555"/>
      <c r="GY555"/>
      <c r="GZ555"/>
      <c r="HA555"/>
      <c r="HB555"/>
      <c r="HC555"/>
    </row>
    <row r="556" spans="1:211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30.268920916229948</v>
      </c>
      <c r="H556" s="63" t="s">
        <v>103</v>
      </c>
      <c r="I556" s="123">
        <f>SUM(J532:J552)+G531</f>
        <v>44.529589726956878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49.262419871794876</v>
      </c>
      <c r="AO556">
        <v>41.18399428516777</v>
      </c>
      <c r="AP556">
        <v>69.359084171499475</v>
      </c>
      <c r="AQ556">
        <v>280.69176030144223</v>
      </c>
      <c r="AR556">
        <v>39.244951011202133</v>
      </c>
      <c r="AS556">
        <v>361.03185419963569</v>
      </c>
      <c r="AT556">
        <v>29.30721120647172</v>
      </c>
      <c r="AU556">
        <v>18.433148420624804</v>
      </c>
      <c r="AV556"/>
      <c r="AW556"/>
      <c r="FY556" s="211">
        <v>551</v>
      </c>
      <c r="FZ556">
        <v>50.426244845938967</v>
      </c>
      <c r="GA556">
        <v>70.111566889115082</v>
      </c>
      <c r="GB556">
        <v>29.554510967714865</v>
      </c>
      <c r="GC556">
        <v>16.736447664437097</v>
      </c>
      <c r="GD556">
        <v>9.1933313375376802</v>
      </c>
      <c r="GE556">
        <v>7.5737200835032112</v>
      </c>
      <c r="GF556">
        <v>14.957277769699473</v>
      </c>
      <c r="GG556">
        <v>14.263849947171526</v>
      </c>
      <c r="GH556">
        <v>15.80998253122829</v>
      </c>
      <c r="GI556">
        <v>25.891894725401315</v>
      </c>
      <c r="GJ556"/>
      <c r="GK556">
        <v>55.757733527296899</v>
      </c>
      <c r="GL556">
        <v>66.634400857212285</v>
      </c>
      <c r="GM556">
        <v>52.35783991394095</v>
      </c>
      <c r="GN556">
        <v>55.277841910324327</v>
      </c>
      <c r="GO556">
        <v>40.009309949198034</v>
      </c>
      <c r="GP556">
        <v>16.250366693534673</v>
      </c>
      <c r="GQ556">
        <v>20.152203422326433</v>
      </c>
      <c r="GR556">
        <v>21.454637251031432</v>
      </c>
      <c r="GS556">
        <v>19.081127135694366</v>
      </c>
      <c r="GT556">
        <v>37.47164278969133</v>
      </c>
      <c r="GU556"/>
      <c r="GV556"/>
      <c r="GW556"/>
      <c r="GX556"/>
      <c r="GY556"/>
      <c r="GZ556"/>
      <c r="HA556"/>
      <c r="HB556"/>
      <c r="HC556"/>
    </row>
    <row r="557" spans="1:211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46.569444444444443</v>
      </c>
      <c r="AO557">
        <v>34.477167602932397</v>
      </c>
      <c r="AP557">
        <v>7.5451299431726229</v>
      </c>
      <c r="AQ557">
        <v>228.63507696996385</v>
      </c>
      <c r="AR557">
        <v>33.210260242395009</v>
      </c>
      <c r="AS557">
        <v>319.89329647220512</v>
      </c>
      <c r="AT557">
        <v>27.137119371320015</v>
      </c>
      <c r="AU557">
        <v>28.636528484123865</v>
      </c>
      <c r="AV557"/>
      <c r="AW557"/>
      <c r="FY557" s="211">
        <v>552</v>
      </c>
      <c r="FZ557">
        <v>37.847869214844046</v>
      </c>
      <c r="GA557">
        <v>71.889248195039357</v>
      </c>
      <c r="GB557">
        <v>35.048361717480041</v>
      </c>
      <c r="GC557">
        <v>13.481623830419013</v>
      </c>
      <c r="GD557">
        <v>6.4693390513750089</v>
      </c>
      <c r="GE557">
        <v>8.1340446272889011</v>
      </c>
      <c r="GF557">
        <v>16.117301662531631</v>
      </c>
      <c r="GG557">
        <v>8.8086358117466546</v>
      </c>
      <c r="GH557">
        <v>6.3352431570017291</v>
      </c>
      <c r="GI557">
        <v>22.534860486744783</v>
      </c>
      <c r="GJ557"/>
      <c r="GK557">
        <v>39.139941710928504</v>
      </c>
      <c r="GL557">
        <v>63.532722164229838</v>
      </c>
      <c r="GM557">
        <v>62.090572706627398</v>
      </c>
      <c r="GN557">
        <v>44.512312641750285</v>
      </c>
      <c r="GO557">
        <v>28.137167322668347</v>
      </c>
      <c r="GP557">
        <v>17.452613304646984</v>
      </c>
      <c r="GQ557">
        <v>21.715124016772435</v>
      </c>
      <c r="GR557">
        <v>13.249304130189941</v>
      </c>
      <c r="GS557">
        <v>7.7822778990954342</v>
      </c>
      <c r="GT557">
        <v>31.773016731218423</v>
      </c>
      <c r="GU557"/>
      <c r="GV557"/>
      <c r="GW557"/>
      <c r="GX557"/>
      <c r="GY557"/>
      <c r="GZ557"/>
      <c r="HA557"/>
      <c r="HB557"/>
      <c r="HC557"/>
    </row>
    <row r="558" spans="1:211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47.396581196581202</v>
      </c>
      <c r="AO558">
        <v>38.73848675191028</v>
      </c>
      <c r="AP558">
        <v>43.398424914267842</v>
      </c>
      <c r="AQ558">
        <v>263.38242034651023</v>
      </c>
      <c r="AR558">
        <v>37.409633242482073</v>
      </c>
      <c r="AS558">
        <v>354.03535888005797</v>
      </c>
      <c r="AT558">
        <v>29.112688051409179</v>
      </c>
      <c r="AU558">
        <v>29.705069361761378</v>
      </c>
      <c r="AV558"/>
      <c r="AW558"/>
      <c r="FY558" s="211">
        <v>553</v>
      </c>
      <c r="FZ558">
        <v>42.714571684536331</v>
      </c>
      <c r="GA558">
        <v>85.192565396079431</v>
      </c>
      <c r="GB558">
        <v>37.153669486550633</v>
      </c>
      <c r="GC558">
        <v>14.112500671387091</v>
      </c>
      <c r="GD558">
        <v>9.5027169846612143</v>
      </c>
      <c r="GE558">
        <v>10.744223127090564</v>
      </c>
      <c r="GF558">
        <v>13.023904614979212</v>
      </c>
      <c r="GG558">
        <v>11.66612893030254</v>
      </c>
      <c r="GH558">
        <v>17.149063460776141</v>
      </c>
      <c r="GI558">
        <v>26.739048393783715</v>
      </c>
      <c r="GJ558"/>
      <c r="GK558">
        <v>45.968788082246903</v>
      </c>
      <c r="GL558">
        <v>77.625999281150186</v>
      </c>
      <c r="GM558">
        <v>65.820269579737158</v>
      </c>
      <c r="GN558">
        <v>46.599839274676022</v>
      </c>
      <c r="GO558">
        <v>41.342742729721301</v>
      </c>
      <c r="GP558">
        <v>23.053078768078478</v>
      </c>
      <c r="GQ558">
        <v>17.547335764916436</v>
      </c>
      <c r="GR558">
        <v>17.547335764916436</v>
      </c>
      <c r="GS558">
        <v>19.894912506051924</v>
      </c>
      <c r="GT558">
        <v>38.114809732534745</v>
      </c>
      <c r="GU558"/>
      <c r="GV558"/>
      <c r="GW558"/>
      <c r="GX558"/>
      <c r="GY558"/>
      <c r="GZ558"/>
      <c r="HA558"/>
      <c r="HB558"/>
      <c r="HC558"/>
    </row>
    <row r="559" spans="1:211" s="7" customFormat="1">
      <c r="A559" s="4"/>
      <c r="B559" s="4"/>
      <c r="C559" s="63"/>
      <c r="D559" s="63"/>
      <c r="E559" s="63" t="s">
        <v>102</v>
      </c>
      <c r="F559" s="101">
        <f>I556/G556</f>
        <v>1.4711323819634572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49.94748931623932</v>
      </c>
      <c r="AO559">
        <v>38.918355235098645</v>
      </c>
      <c r="AP559">
        <v>18.235822237499679</v>
      </c>
      <c r="AQ559">
        <v>259.00996150056392</v>
      </c>
      <c r="AR559">
        <v>36.762700279427321</v>
      </c>
      <c r="AS559">
        <v>353.14780565384109</v>
      </c>
      <c r="AT559">
        <v>29.358903304829855</v>
      </c>
      <c r="AU559">
        <v>0.48186710203892957</v>
      </c>
      <c r="AV559"/>
      <c r="AW559"/>
      <c r="FY559" s="211">
        <v>554</v>
      </c>
      <c r="FZ559">
        <v>46.22233994241828</v>
      </c>
      <c r="GA559">
        <v>71.889248195039357</v>
      </c>
      <c r="GB559">
        <v>30.877847279702106</v>
      </c>
      <c r="GC559">
        <v>12.836344592055097</v>
      </c>
      <c r="GD559">
        <v>7.4908435646358322</v>
      </c>
      <c r="GE559">
        <v>11.944251525031579</v>
      </c>
      <c r="GF559">
        <v>26.267510724813</v>
      </c>
      <c r="GG559">
        <v>20.498380387657097</v>
      </c>
      <c r="GH559">
        <v>19.354562384030167</v>
      </c>
      <c r="GI559">
        <v>27.411303727098158</v>
      </c>
      <c r="GJ559"/>
      <c r="GK559">
        <v>47.799781811588105</v>
      </c>
      <c r="GL559">
        <v>63.532722164229838</v>
      </c>
      <c r="GM559">
        <v>54.702220805609961</v>
      </c>
      <c r="GN559">
        <v>42.381057285687568</v>
      </c>
      <c r="GO559">
        <v>32.582747405122269</v>
      </c>
      <c r="GP559">
        <v>25.62789026021067</v>
      </c>
      <c r="GQ559">
        <v>35.390679218174924</v>
      </c>
      <c r="GR559">
        <v>30.832160817707425</v>
      </c>
      <c r="GS559">
        <v>23.737563845897803</v>
      </c>
      <c r="GT559">
        <v>38.842598617278611</v>
      </c>
      <c r="GU559"/>
      <c r="GV559"/>
      <c r="GW559"/>
      <c r="GX559"/>
      <c r="GY559"/>
      <c r="GZ559"/>
      <c r="HA559"/>
      <c r="HB559"/>
      <c r="HC559"/>
    </row>
    <row r="560" spans="1:211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44.637259615384622</v>
      </c>
      <c r="AO560">
        <v>33.100307619224957</v>
      </c>
      <c r="AP560">
        <v>11.798691815707635</v>
      </c>
      <c r="AQ560">
        <v>224.4424116007645</v>
      </c>
      <c r="AR560">
        <v>32.026672550305356</v>
      </c>
      <c r="AS560">
        <v>304.66852481342266</v>
      </c>
      <c r="AT560">
        <v>25.868746270212657</v>
      </c>
      <c r="AU560">
        <v>20.545655554717744</v>
      </c>
      <c r="AV560"/>
      <c r="AW560"/>
      <c r="FY560" s="211">
        <v>555</v>
      </c>
      <c r="FZ560">
        <v>52.021459301214733</v>
      </c>
      <c r="GA560">
        <v>94.782046897006822</v>
      </c>
      <c r="GB560">
        <v>32.63227042059426</v>
      </c>
      <c r="GC560">
        <v>11.878515312882428</v>
      </c>
      <c r="GD560">
        <v>8.204056222974291</v>
      </c>
      <c r="GE560">
        <v>11.276531443686968</v>
      </c>
      <c r="GF560">
        <v>19.984047971972153</v>
      </c>
      <c r="GG560">
        <v>16.34202676066672</v>
      </c>
      <c r="GH560">
        <v>13.716985053078401</v>
      </c>
      <c r="GI560">
        <v>26.920406376812746</v>
      </c>
      <c r="GJ560"/>
      <c r="GK560">
        <v>57.401950170037132</v>
      </c>
      <c r="GL560">
        <v>88.43714314973397</v>
      </c>
      <c r="GM560">
        <v>57.810301533201425</v>
      </c>
      <c r="GN560">
        <v>39.232859012854668</v>
      </c>
      <c r="GO560">
        <v>35.703991971373888</v>
      </c>
      <c r="GP560">
        <v>24.195213048635171</v>
      </c>
      <c r="GQ560">
        <v>26.92485933159243</v>
      </c>
      <c r="GR560">
        <v>24.580478439923432</v>
      </c>
      <c r="GS560">
        <v>16.736746244025369</v>
      </c>
      <c r="GT560">
        <v>38.915569850046047</v>
      </c>
      <c r="GU560"/>
      <c r="GV560"/>
      <c r="GW560"/>
      <c r="GX560"/>
      <c r="GY560"/>
      <c r="GZ560"/>
      <c r="HA560"/>
      <c r="HB560"/>
      <c r="HC560"/>
    </row>
    <row r="561" spans="1:211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47.97743055555555</v>
      </c>
      <c r="AO561">
        <v>36.929957806477624</v>
      </c>
      <c r="AP561">
        <v>26.042039184593971</v>
      </c>
      <c r="AQ561">
        <v>252.33122667964864</v>
      </c>
      <c r="AR561">
        <v>35.632168865715585</v>
      </c>
      <c r="AS561">
        <v>346.62999676188019</v>
      </c>
      <c r="AT561">
        <v>28.170665505016032</v>
      </c>
      <c r="AU561">
        <v>32.402886449215281</v>
      </c>
      <c r="AV561"/>
      <c r="AW561"/>
      <c r="FY561" s="211">
        <v>556</v>
      </c>
      <c r="FZ561">
        <v>44.219931768727541</v>
      </c>
      <c r="GA561">
        <v>53.359687966541728</v>
      </c>
      <c r="GB561">
        <v>25.363945979755297</v>
      </c>
      <c r="GC561">
        <v>15.621799970992674</v>
      </c>
      <c r="GD561">
        <v>7.9058493933177054</v>
      </c>
      <c r="GE561">
        <v>12.079663289779788</v>
      </c>
      <c r="GF561">
        <v>17.734304664661302</v>
      </c>
      <c r="GG561">
        <v>10.863196979633944</v>
      </c>
      <c r="GH561">
        <v>15.404898895651236</v>
      </c>
      <c r="GI561">
        <v>23.623349087348494</v>
      </c>
      <c r="GJ561"/>
      <c r="GK561">
        <v>47.539777838064722</v>
      </c>
      <c r="GL561">
        <v>49.493428581122217</v>
      </c>
      <c r="GM561">
        <v>44.933967090322462</v>
      </c>
      <c r="GN561">
        <v>51.580976239358343</v>
      </c>
      <c r="GO561">
        <v>34.388849700452354</v>
      </c>
      <c r="GP561">
        <v>25.918433191229479</v>
      </c>
      <c r="GQ561">
        <v>23.893740602969885</v>
      </c>
      <c r="GR561">
        <v>16.339624396480893</v>
      </c>
      <c r="GS561">
        <v>17.941261762994426</v>
      </c>
      <c r="GT561">
        <v>33.739519398960766</v>
      </c>
      <c r="GU561"/>
      <c r="GV561"/>
      <c r="GW561"/>
      <c r="GX561"/>
      <c r="GY561"/>
      <c r="GZ561"/>
      <c r="HA561"/>
      <c r="HB561"/>
      <c r="HC561"/>
    </row>
    <row r="562" spans="1:211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54.62526709401709</v>
      </c>
      <c r="AO562">
        <v>43.824149311626847</v>
      </c>
      <c r="AP562">
        <v>40.396063214620796</v>
      </c>
      <c r="AQ562">
        <v>307.11198784306254</v>
      </c>
      <c r="AR562">
        <v>41.521175191444655</v>
      </c>
      <c r="AS562">
        <v>397.48535292037218</v>
      </c>
      <c r="AT562">
        <v>32.340176594032876</v>
      </c>
      <c r="AU562">
        <v>13.159359880459352</v>
      </c>
      <c r="AV562"/>
      <c r="AW562"/>
      <c r="FY562" s="211">
        <v>557</v>
      </c>
      <c r="FZ562">
        <v>46.259943023857588</v>
      </c>
      <c r="GA562">
        <v>86.921440314543261</v>
      </c>
      <c r="GB562">
        <v>40.121150913431094</v>
      </c>
      <c r="GC562">
        <v>15.404375091140771</v>
      </c>
      <c r="GD562">
        <v>8.8261562769774109</v>
      </c>
      <c r="GE562">
        <v>10.076503045745952</v>
      </c>
      <c r="GF562">
        <v>34.26464513751953</v>
      </c>
      <c r="GG562">
        <v>26.709295182534763</v>
      </c>
      <c r="GH562">
        <v>7.0329089830516915</v>
      </c>
      <c r="GI562">
        <v>30.104396964674841</v>
      </c>
      <c r="GJ562"/>
      <c r="GK562">
        <v>47.823601065819588</v>
      </c>
      <c r="GL562">
        <v>76.817547217020817</v>
      </c>
      <c r="GM562">
        <v>71.077366124691878</v>
      </c>
      <c r="GN562">
        <v>50.870536458235243</v>
      </c>
      <c r="GO562">
        <v>38.402692625268301</v>
      </c>
      <c r="GP562">
        <v>21.620401556502976</v>
      </c>
      <c r="GQ562">
        <v>46.165359073825364</v>
      </c>
      <c r="GR562">
        <v>40.174163461782371</v>
      </c>
      <c r="GS562">
        <v>8.5637381963184342</v>
      </c>
      <c r="GT562">
        <v>42.406551417184723</v>
      </c>
      <c r="GU562"/>
      <c r="GV562"/>
      <c r="GW562"/>
      <c r="GX562"/>
      <c r="GY562"/>
      <c r="GZ562"/>
      <c r="HA562"/>
      <c r="HB562"/>
      <c r="HC562"/>
    </row>
    <row r="563" spans="1:211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49.475534188034189</v>
      </c>
      <c r="AO563">
        <v>38.327458064340661</v>
      </c>
      <c r="AP563">
        <v>28.725737730103841</v>
      </c>
      <c r="AQ563">
        <v>261.30741775597886</v>
      </c>
      <c r="AR563">
        <v>37.109911591312084</v>
      </c>
      <c r="AS563">
        <v>352.46883454147155</v>
      </c>
      <c r="AT563">
        <v>29.264855189500679</v>
      </c>
      <c r="AU563">
        <v>28.995782577185739</v>
      </c>
      <c r="AV563"/>
      <c r="AW563"/>
      <c r="FY563" s="211">
        <v>558</v>
      </c>
      <c r="FZ563">
        <v>48.107618660140105</v>
      </c>
      <c r="GA563">
        <v>82.805099588864124</v>
      </c>
      <c r="GB563">
        <v>33.845328706582563</v>
      </c>
      <c r="GC563">
        <v>13.083764492193461</v>
      </c>
      <c r="GD563">
        <v>6.3878810442399852</v>
      </c>
      <c r="GE563">
        <v>7.8305354994049852</v>
      </c>
      <c r="GF563">
        <v>21.434077838012346</v>
      </c>
      <c r="GG563">
        <v>16.082254658979817</v>
      </c>
      <c r="GH563">
        <v>9.0696557386495051</v>
      </c>
      <c r="GI563">
        <v>25.073391095029219</v>
      </c>
      <c r="GJ563"/>
      <c r="GK563">
        <v>51.537825428189734</v>
      </c>
      <c r="GL563">
        <v>75.516056478648096</v>
      </c>
      <c r="GM563">
        <v>59.959317350564682</v>
      </c>
      <c r="GN563">
        <v>43.194405998513872</v>
      </c>
      <c r="GO563">
        <v>27.77832558966016</v>
      </c>
      <c r="GP563">
        <v>16.801396390294482</v>
      </c>
      <c r="GQ563">
        <v>28.878510074649924</v>
      </c>
      <c r="GR563">
        <v>24.189748291311929</v>
      </c>
      <c r="GS563">
        <v>10.158983863898991</v>
      </c>
      <c r="GT563">
        <v>35.662592461392698</v>
      </c>
      <c r="GU563"/>
      <c r="GV563"/>
      <c r="GW563"/>
      <c r="GX563"/>
      <c r="GY563"/>
      <c r="GZ563"/>
      <c r="HA563"/>
      <c r="HB563"/>
      <c r="HC563"/>
    </row>
    <row r="564" spans="1:211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47.977991452991446</v>
      </c>
      <c r="AO564">
        <v>36.132240614916171</v>
      </c>
      <c r="AP564">
        <v>18.822547554808086</v>
      </c>
      <c r="AQ564">
        <v>238.8469281025871</v>
      </c>
      <c r="AR564">
        <v>34.614721669121209</v>
      </c>
      <c r="AS564">
        <v>322.75674590271302</v>
      </c>
      <c r="AT564">
        <v>27.951231495739922</v>
      </c>
      <c r="AU564">
        <v>18.360628209900725</v>
      </c>
      <c r="AV564"/>
      <c r="AW564"/>
      <c r="FY564" s="211">
        <v>559</v>
      </c>
      <c r="FZ564">
        <v>42.543169607394553</v>
      </c>
      <c r="GA564">
        <v>72.724688402843839</v>
      </c>
      <c r="GB564">
        <v>27.459228473735077</v>
      </c>
      <c r="GC564">
        <v>9.4804160532597894</v>
      </c>
      <c r="GD564">
        <v>6.874137454532975</v>
      </c>
      <c r="GE564">
        <v>10.123196757728094</v>
      </c>
      <c r="GF564">
        <v>22.497433073108489</v>
      </c>
      <c r="GG564">
        <v>17.121343065727412</v>
      </c>
      <c r="GH564">
        <v>8.3719899125995436</v>
      </c>
      <c r="GI564">
        <v>23.038410979401419</v>
      </c>
      <c r="GJ564"/>
      <c r="GK564">
        <v>45.794976805714683</v>
      </c>
      <c r="GL564">
        <v>66.607409090305907</v>
      </c>
      <c r="GM564">
        <v>48.645903502131702</v>
      </c>
      <c r="GN564">
        <v>31.300795751828318</v>
      </c>
      <c r="GO564">
        <v>29.903184066410265</v>
      </c>
      <c r="GP564">
        <v>21.720588774095674</v>
      </c>
      <c r="GQ564">
        <v>30.311187286225422</v>
      </c>
      <c r="GR564">
        <v>25.752668885757931</v>
      </c>
      <c r="GS564">
        <v>9.3775235666759915</v>
      </c>
      <c r="GT564">
        <v>32.806555045431615</v>
      </c>
      <c r="GU564"/>
      <c r="GV564"/>
      <c r="GW564"/>
      <c r="GX564"/>
      <c r="GY564"/>
      <c r="GZ564"/>
      <c r="HA564"/>
      <c r="HB564"/>
      <c r="HC564"/>
    </row>
    <row r="565" spans="1:211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49.546794871794873</v>
      </c>
      <c r="AO565">
        <v>39.567796796371681</v>
      </c>
      <c r="AP565">
        <v>38.39318460072532</v>
      </c>
      <c r="AQ565">
        <v>252.36989055364759</v>
      </c>
      <c r="AR565">
        <v>38.175761723918953</v>
      </c>
      <c r="AS565">
        <v>358.95120861997179</v>
      </c>
      <c r="AT565">
        <v>30.200480319350202</v>
      </c>
      <c r="AU565">
        <v>21.670079395350058</v>
      </c>
      <c r="AV565"/>
      <c r="AW565"/>
      <c r="FY565" s="211">
        <v>560</v>
      </c>
      <c r="FZ565">
        <v>49.641930689388808</v>
      </c>
      <c r="GA565">
        <v>84.308318800814476</v>
      </c>
      <c r="GB565">
        <v>33.504469353494933</v>
      </c>
      <c r="GC565">
        <v>11.814589605880032</v>
      </c>
      <c r="GD565">
        <v>8.3395286862175233</v>
      </c>
      <c r="GE565">
        <v>13.6439026411815</v>
      </c>
      <c r="GF565">
        <v>31.557922720911169</v>
      </c>
      <c r="GG565">
        <v>22.033397352170585</v>
      </c>
      <c r="GH565">
        <v>10.116154477724448</v>
      </c>
      <c r="GI565">
        <v>28.530948416545375</v>
      </c>
      <c r="GJ565"/>
      <c r="GK565">
        <v>53.129484419667122</v>
      </c>
      <c r="GL565">
        <v>76.84453898392718</v>
      </c>
      <c r="GM565">
        <v>59.355461666346898</v>
      </c>
      <c r="GN565">
        <v>39.010202145585978</v>
      </c>
      <c r="GO565">
        <v>36.280555862628724</v>
      </c>
      <c r="GP565">
        <v>29.274704980584666</v>
      </c>
      <c r="GQ565">
        <v>42.518544353451368</v>
      </c>
      <c r="GR565">
        <v>33.141020786775371</v>
      </c>
      <c r="GS565">
        <v>11.331174309733489</v>
      </c>
      <c r="GT565">
        <v>40.523044122365519</v>
      </c>
      <c r="GU565"/>
      <c r="GV565"/>
      <c r="GW565"/>
      <c r="GX565"/>
      <c r="GY565"/>
      <c r="GZ565"/>
      <c r="HA565"/>
      <c r="HB565"/>
      <c r="HC565"/>
    </row>
    <row r="566" spans="1:211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56.883199786324781</v>
      </c>
      <c r="AO566">
        <v>44.172676519774726</v>
      </c>
      <c r="AP566">
        <v>30.743931704760271</v>
      </c>
      <c r="AQ566">
        <v>302.01893573910417</v>
      </c>
      <c r="AR566">
        <v>42.051103947409786</v>
      </c>
      <c r="AS566">
        <v>401.40033792522553</v>
      </c>
      <c r="AT566">
        <v>33.326866859123236</v>
      </c>
      <c r="AU566">
        <v>19.950424333812684</v>
      </c>
      <c r="AV566"/>
      <c r="AW566"/>
      <c r="FY566" s="211">
        <v>561</v>
      </c>
      <c r="FZ566">
        <v>41.267459961814581</v>
      </c>
      <c r="GA566">
        <v>84.750442098446968</v>
      </c>
      <c r="GB566">
        <v>35.8303331745634</v>
      </c>
      <c r="GC566">
        <v>14.906013264971994</v>
      </c>
      <c r="GD566">
        <v>10.097799936010469</v>
      </c>
      <c r="GE566">
        <v>9.6375821531138293</v>
      </c>
      <c r="GF566">
        <v>18.24401213272392</v>
      </c>
      <c r="GG566">
        <v>16.34202676066672</v>
      </c>
      <c r="GH566">
        <v>15.404898895651236</v>
      </c>
      <c r="GI566">
        <v>27.284774423563636</v>
      </c>
      <c r="GJ566"/>
      <c r="GK566">
        <v>44.469644319007514</v>
      </c>
      <c r="GL566">
        <v>77.235269132538676</v>
      </c>
      <c r="GM566">
        <v>63.475888688068153</v>
      </c>
      <c r="GN566">
        <v>49.228366218051214</v>
      </c>
      <c r="GO566">
        <v>43.941213507818681</v>
      </c>
      <c r="GP566">
        <v>20.678641711131672</v>
      </c>
      <c r="GQ566">
        <v>24.580478439923432</v>
      </c>
      <c r="GR566">
        <v>24.580478439923432</v>
      </c>
      <c r="GS566">
        <v>17.941261762994426</v>
      </c>
      <c r="GT566">
        <v>38.881697343562443</v>
      </c>
      <c r="GU566"/>
      <c r="GV566"/>
      <c r="GW566"/>
      <c r="GX566"/>
      <c r="GY566"/>
      <c r="GZ566"/>
      <c r="HA566"/>
      <c r="HB566"/>
      <c r="HC566"/>
    </row>
    <row r="567" spans="1:211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46.238461538461529</v>
      </c>
      <c r="AO567">
        <v>38.444710345025065</v>
      </c>
      <c r="AP567">
        <v>40.155941524806799</v>
      </c>
      <c r="AQ567">
        <v>254.5188267617475</v>
      </c>
      <c r="AR567">
        <v>37.47164278969133</v>
      </c>
      <c r="AS567">
        <v>355.08982412591359</v>
      </c>
      <c r="AT567">
        <v>29.3931263908289</v>
      </c>
      <c r="AU567">
        <v>30.184953826667563</v>
      </c>
      <c r="AV567"/>
      <c r="AW567"/>
      <c r="FY567" s="211">
        <v>562</v>
      </c>
      <c r="FZ567">
        <v>40.169638067392796</v>
      </c>
      <c r="GA567">
        <v>47.307192846674113</v>
      </c>
      <c r="GB567">
        <v>20.491662285620482</v>
      </c>
      <c r="GC567">
        <v>11.664213026558372</v>
      </c>
      <c r="GD567">
        <v>7.1483637576229446</v>
      </c>
      <c r="GE567">
        <v>12.429866129645839</v>
      </c>
      <c r="GF567">
        <v>24.404442048446207</v>
      </c>
      <c r="GG567">
        <v>13.720690098189829</v>
      </c>
      <c r="GH567">
        <v>6.9766582604996188</v>
      </c>
      <c r="GI567">
        <v>21.29711946856213</v>
      </c>
      <c r="GJ567"/>
      <c r="GK567">
        <v>41.544949415232196</v>
      </c>
      <c r="GL567">
        <v>41.808125901430465</v>
      </c>
      <c r="GM567">
        <v>36.302382898268419</v>
      </c>
      <c r="GN567">
        <v>38.502011708178131</v>
      </c>
      <c r="GO567">
        <v>31.083603641882874</v>
      </c>
      <c r="GP567">
        <v>26.669837323174661</v>
      </c>
      <c r="GQ567">
        <v>32.880534021034379</v>
      </c>
      <c r="GR567">
        <v>20.637656031207388</v>
      </c>
      <c r="GS567">
        <v>7.8146029722299923</v>
      </c>
      <c r="GT567">
        <v>29.925214589729574</v>
      </c>
      <c r="GU567"/>
      <c r="GV567"/>
      <c r="GW567"/>
      <c r="GX567"/>
      <c r="GY567"/>
      <c r="GZ567"/>
      <c r="HA567"/>
      <c r="HB567"/>
      <c r="HC567"/>
    </row>
    <row r="568" spans="1:211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44.421581196581208</v>
      </c>
      <c r="AO568">
        <v>32.938505262812761</v>
      </c>
      <c r="AP568">
        <v>11.789816509737657</v>
      </c>
      <c r="AQ568">
        <v>226.66652775447122</v>
      </c>
      <c r="AR568">
        <v>31.773016731218434</v>
      </c>
      <c r="AS568">
        <v>305.51440371252016</v>
      </c>
      <c r="AT568">
        <v>25.635959777945782</v>
      </c>
      <c r="AU568">
        <v>33.721785456742467</v>
      </c>
      <c r="AV568"/>
      <c r="AW568"/>
      <c r="FY568" s="211">
        <v>563</v>
      </c>
      <c r="FZ568">
        <v>38.526847718556972</v>
      </c>
      <c r="GA568">
        <v>76.036019077390151</v>
      </c>
      <c r="GB568">
        <v>34.286440810578306</v>
      </c>
      <c r="GC568">
        <v>13.382751579329282</v>
      </c>
      <c r="GD568">
        <v>7.775162777745086</v>
      </c>
      <c r="GE568">
        <v>11.944251525031579</v>
      </c>
      <c r="GF568">
        <v>32.858555570450257</v>
      </c>
      <c r="GG568">
        <v>23.804570772763078</v>
      </c>
      <c r="GH568">
        <v>10.521238113301502</v>
      </c>
      <c r="GI568">
        <v>27.022032568931024</v>
      </c>
      <c r="GJ568"/>
      <c r="GK568">
        <v>43.434480085404999</v>
      </c>
      <c r="GL568">
        <v>71.870184848606385</v>
      </c>
      <c r="GM568">
        <v>60.740777647787674</v>
      </c>
      <c r="GN568">
        <v>44.178072981247752</v>
      </c>
      <c r="GO568">
        <v>33.811428339065728</v>
      </c>
      <c r="GP568">
        <v>25.627890260210666</v>
      </c>
      <c r="GQ568">
        <v>44.270909868436277</v>
      </c>
      <c r="GR568">
        <v>35.805089981853783</v>
      </c>
      <c r="GS568">
        <v>12.471039682433432</v>
      </c>
      <c r="GT568">
        <v>38.945727124625613</v>
      </c>
      <c r="GU568"/>
      <c r="GV568"/>
      <c r="GW568"/>
      <c r="GX568"/>
      <c r="GY568"/>
      <c r="GZ568"/>
      <c r="HA568"/>
      <c r="HB568"/>
      <c r="HC568"/>
    </row>
    <row r="569" spans="1:211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50.897970085470078</v>
      </c>
      <c r="AO569">
        <v>39.351511148402963</v>
      </c>
      <c r="AP569">
        <v>30.169217837003522</v>
      </c>
      <c r="AQ569">
        <v>267.99839275014688</v>
      </c>
      <c r="AR569">
        <v>38.114809732534738</v>
      </c>
      <c r="AS569">
        <v>367.43740154557787</v>
      </c>
      <c r="AT569">
        <v>30.077043356433666</v>
      </c>
      <c r="AU569">
        <v>26.66200746777659</v>
      </c>
      <c r="AV569"/>
      <c r="AW569"/>
      <c r="FY569" s="211">
        <v>564</v>
      </c>
      <c r="FZ569">
        <v>44.606336076274566</v>
      </c>
      <c r="GA569">
        <v>73.520510338582255</v>
      </c>
      <c r="GB569">
        <v>31.970602264600643</v>
      </c>
      <c r="GC569">
        <v>15.064350406739399</v>
      </c>
      <c r="GD569">
        <v>9.1927232413080322</v>
      </c>
      <c r="GE569">
        <v>10.44071399920665</v>
      </c>
      <c r="GF569">
        <v>30.230925691989533</v>
      </c>
      <c r="GG569">
        <v>25.43405031970817</v>
      </c>
      <c r="GH569">
        <v>17.205314183328209</v>
      </c>
      <c r="GI569">
        <v>28.846795276606674</v>
      </c>
      <c r="GJ569"/>
      <c r="GK569">
        <v>47.933658005248148</v>
      </c>
      <c r="GL569">
        <v>67.310723357806594</v>
      </c>
      <c r="GM569">
        <v>56.638111087366923</v>
      </c>
      <c r="GN569">
        <v>49.739808417870812</v>
      </c>
      <c r="GO569">
        <v>39.989315163883845</v>
      </c>
      <c r="GP569">
        <v>22.401861853725979</v>
      </c>
      <c r="GQ569">
        <v>40.730657915865407</v>
      </c>
      <c r="GR569">
        <v>38.256033641325914</v>
      </c>
      <c r="GS569">
        <v>20.644047730140365</v>
      </c>
      <c r="GT569">
        <v>41.187157980500942</v>
      </c>
      <c r="GU569"/>
      <c r="GV569"/>
      <c r="GW569"/>
      <c r="GX569"/>
      <c r="GY569"/>
      <c r="GZ569"/>
      <c r="HA569"/>
      <c r="HB569"/>
      <c r="HC569"/>
    </row>
    <row r="570" spans="1:211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52.725267094017092</v>
      </c>
      <c r="AO570">
        <v>39.542942223150717</v>
      </c>
      <c r="AP570">
        <v>22.071560955800656</v>
      </c>
      <c r="AQ570">
        <v>274.7926323224807</v>
      </c>
      <c r="AR570">
        <v>38.842598617278625</v>
      </c>
      <c r="AS570">
        <v>367.62322779529165</v>
      </c>
      <c r="AT570">
        <v>31.092241842214893</v>
      </c>
      <c r="AU570">
        <v>35.059971532344846</v>
      </c>
      <c r="AV570"/>
      <c r="AW570"/>
      <c r="FY570" s="211">
        <v>565</v>
      </c>
      <c r="FZ570">
        <v>41.552360225983143</v>
      </c>
      <c r="GA570">
        <v>51.856468754591333</v>
      </c>
      <c r="GB570">
        <v>14.997811535855302</v>
      </c>
      <c r="GC570">
        <v>14.199239466712713</v>
      </c>
      <c r="GD570">
        <v>11.308076641641966</v>
      </c>
      <c r="GE570">
        <v>11.458636920417316</v>
      </c>
      <c r="GF570">
        <v>41.444489989367057</v>
      </c>
      <c r="GG570">
        <v>31.408808658506846</v>
      </c>
      <c r="GH570">
        <v>9.1259064612015752</v>
      </c>
      <c r="GI570">
        <v>26.271215584997876</v>
      </c>
      <c r="GJ570"/>
      <c r="GK570">
        <v>44.775928400752861</v>
      </c>
      <c r="GL570">
        <v>48.164946075843119</v>
      </c>
      <c r="GM570">
        <v>26.569650105581971</v>
      </c>
      <c r="GN570">
        <v>46.894004048141483</v>
      </c>
      <c r="GO570">
        <v>49.208328774532674</v>
      </c>
      <c r="GP570">
        <v>24.585943197246667</v>
      </c>
      <c r="GQ570">
        <v>55.838890328843405</v>
      </c>
      <c r="GR570">
        <v>47.242827059390414</v>
      </c>
      <c r="GS570">
        <v>10.90811908798743</v>
      </c>
      <c r="GT570">
        <v>37.460183339539661</v>
      </c>
      <c r="GU570"/>
      <c r="GV570"/>
      <c r="GW570"/>
      <c r="GX570"/>
      <c r="GY570"/>
      <c r="GZ570"/>
      <c r="HA570"/>
      <c r="HB570"/>
      <c r="HC570"/>
    </row>
    <row r="571" spans="1:211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49.923477564102562</v>
      </c>
      <c r="AO571">
        <v>40.993911275142352</v>
      </c>
      <c r="AP571">
        <v>46.056986820782143</v>
      </c>
      <c r="AQ571">
        <v>287.75834576088954</v>
      </c>
      <c r="AR571">
        <v>38.915569850046055</v>
      </c>
      <c r="AS571">
        <v>353.558419015499</v>
      </c>
      <c r="AT571">
        <v>30.349315644157503</v>
      </c>
      <c r="AU571">
        <v>25.54117679741158</v>
      </c>
      <c r="AV571"/>
      <c r="AW571"/>
      <c r="FY571" s="211">
        <v>566</v>
      </c>
      <c r="FZ571">
        <v>37.327665911594529</v>
      </c>
      <c r="GA571">
        <v>48.987261377677477</v>
      </c>
      <c r="GB571">
        <v>25.033111901758485</v>
      </c>
      <c r="GC571">
        <v>17.97377222936974</v>
      </c>
      <c r="GD571">
        <v>10.633304703940574</v>
      </c>
      <c r="GE571">
        <v>13.840016231506489</v>
      </c>
      <c r="GF571">
        <v>22.304095757636468</v>
      </c>
      <c r="GG571">
        <v>13.484533642110833</v>
      </c>
      <c r="GH571">
        <v>12.670486314003462</v>
      </c>
      <c r="GI571">
        <v>24.729760713021719</v>
      </c>
      <c r="GJ571"/>
      <c r="GK571">
        <v>38.596069521444335</v>
      </c>
      <c r="GL571">
        <v>43.292900466154151</v>
      </c>
      <c r="GM571">
        <v>44.347871867405203</v>
      </c>
      <c r="GN571">
        <v>59.356849184779882</v>
      </c>
      <c r="GO571">
        <v>46.267389206294638</v>
      </c>
      <c r="GP571">
        <v>29.695491294473975</v>
      </c>
      <c r="GQ571">
        <v>30.05070052048443</v>
      </c>
      <c r="GR571">
        <v>20.282446805196937</v>
      </c>
      <c r="GS571">
        <v>15.564555798190872</v>
      </c>
      <c r="GT571">
        <v>34.965317382763899</v>
      </c>
      <c r="GU571"/>
      <c r="GV571"/>
      <c r="GW571"/>
      <c r="GX571"/>
      <c r="GY571"/>
      <c r="GZ571"/>
      <c r="HA571"/>
      <c r="HB571"/>
      <c r="HC571"/>
    </row>
    <row r="572" spans="1:211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43.950053418803421</v>
      </c>
      <c r="AO572">
        <v>34.57695788019555</v>
      </c>
      <c r="AP572">
        <v>17.855606766478388</v>
      </c>
      <c r="AQ572">
        <v>226.17662799640971</v>
      </c>
      <c r="AR572">
        <v>33.739519398960745</v>
      </c>
      <c r="AS572">
        <v>321.09718180697826</v>
      </c>
      <c r="AT572">
        <v>26.951491308150253</v>
      </c>
      <c r="AU572">
        <v>16.917276643333846</v>
      </c>
      <c r="AV572"/>
      <c r="AW572"/>
      <c r="FY572" s="211">
        <v>567</v>
      </c>
      <c r="FZ572">
        <v>36.177104125335234</v>
      </c>
      <c r="GA572">
        <v>64.373152135287384</v>
      </c>
      <c r="GB572">
        <v>23.930331641769126</v>
      </c>
      <c r="GC572">
        <v>11.350221325192713</v>
      </c>
      <c r="GD572">
        <v>7.8509504268180503</v>
      </c>
      <c r="GE572">
        <v>10.137204871322737</v>
      </c>
      <c r="GF572">
        <v>28.587558510477315</v>
      </c>
      <c r="GG572">
        <v>20.498380387657097</v>
      </c>
      <c r="GH572">
        <v>8.3719899125995436</v>
      </c>
      <c r="GI572">
        <v>23.038135187003668</v>
      </c>
      <c r="GJ572"/>
      <c r="GK572">
        <v>37.417579038465981</v>
      </c>
      <c r="GL572">
        <v>56.890309637834349</v>
      </c>
      <c r="GM572">
        <v>42.394221124347709</v>
      </c>
      <c r="GN572">
        <v>37.484147333969666</v>
      </c>
      <c r="GO572">
        <v>34.162941070771922</v>
      </c>
      <c r="GP572">
        <v>21.75064493937348</v>
      </c>
      <c r="GQ572">
        <v>38.516520407066913</v>
      </c>
      <c r="GR572">
        <v>30.832160817707422</v>
      </c>
      <c r="GS572">
        <v>9.3775235666759915</v>
      </c>
      <c r="GT572">
        <v>32.373757041465709</v>
      </c>
      <c r="GU572"/>
      <c r="GV572"/>
      <c r="GW572"/>
      <c r="GX572"/>
      <c r="GY572"/>
      <c r="GZ572"/>
      <c r="HA572"/>
      <c r="HB572"/>
      <c r="HC572"/>
    </row>
    <row r="573" spans="1:211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60.339583333333323</v>
      </c>
      <c r="AO573">
        <v>44.392195719664969</v>
      </c>
      <c r="AP573">
        <v>23.2793328789502</v>
      </c>
      <c r="AQ573">
        <v>305.7208149334769</v>
      </c>
      <c r="AR573">
        <v>42.406551417184765</v>
      </c>
      <c r="AS573">
        <v>415.97636679200923</v>
      </c>
      <c r="AT573">
        <v>34.164491033905442</v>
      </c>
      <c r="AU573">
        <v>46.974263422327645</v>
      </c>
      <c r="AV573"/>
      <c r="AW573"/>
      <c r="FY573" s="211">
        <v>568</v>
      </c>
      <c r="FZ573">
        <v>29.999254390989051</v>
      </c>
      <c r="GA573">
        <v>47.041918868094633</v>
      </c>
      <c r="GB573">
        <v>23.820053615770188</v>
      </c>
      <c r="GC573">
        <v>10.554654737093957</v>
      </c>
      <c r="GD573">
        <v>7.3831029310272314</v>
      </c>
      <c r="GE573">
        <v>12.383172417663701</v>
      </c>
      <c r="GF573">
        <v>34.484346632374113</v>
      </c>
      <c r="GG573">
        <v>25.693822421395069</v>
      </c>
      <c r="GH573">
        <v>12.265402678426408</v>
      </c>
      <c r="GI573">
        <v>23.57852473236262</v>
      </c>
      <c r="GJ573"/>
      <c r="GK573">
        <v>31.015904638381247</v>
      </c>
      <c r="GL573">
        <v>41.573687812263564</v>
      </c>
      <c r="GM573">
        <v>42.198856050041961</v>
      </c>
      <c r="GN573">
        <v>34.81427529518637</v>
      </c>
      <c r="GO573">
        <v>32.079164254905869</v>
      </c>
      <c r="GP573">
        <v>26.569650105581978</v>
      </c>
      <c r="GQ573">
        <v>46.461366762167408</v>
      </c>
      <c r="GR573">
        <v>38.646763789937417</v>
      </c>
      <c r="GS573">
        <v>14.42469042549093</v>
      </c>
      <c r="GT573">
        <v>33.235996426197488</v>
      </c>
      <c r="GU573"/>
      <c r="GV573"/>
      <c r="GW573"/>
      <c r="GX573"/>
      <c r="GY573"/>
      <c r="GZ573"/>
      <c r="HA573"/>
      <c r="HB573"/>
      <c r="HC573"/>
    </row>
    <row r="574" spans="1:211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49.230608974358979</v>
      </c>
      <c r="AO574">
        <v>37.367716192712457</v>
      </c>
      <c r="AP574">
        <v>36.315019447695505</v>
      </c>
      <c r="AQ574">
        <v>263.71960732209612</v>
      </c>
      <c r="AR574">
        <v>35.662592461392691</v>
      </c>
      <c r="AS574">
        <v>340.99808327845591</v>
      </c>
      <c r="AT574">
        <v>27.936219370488431</v>
      </c>
      <c r="AU574">
        <v>36.67049662268834</v>
      </c>
      <c r="AV574"/>
      <c r="AW574"/>
      <c r="FY574" s="211">
        <v>569</v>
      </c>
      <c r="FZ574">
        <v>52.129449018609606</v>
      </c>
      <c r="GA574">
        <v>78.82598991017187</v>
      </c>
      <c r="GB574">
        <v>26.015588860658095</v>
      </c>
      <c r="GC574">
        <v>16.697616150037746</v>
      </c>
      <c r="GD574">
        <v>10.245667409179941</v>
      </c>
      <c r="GE574">
        <v>8.4235456415781726</v>
      </c>
      <c r="GF574">
        <v>26.144477887694443</v>
      </c>
      <c r="GG574">
        <v>20.474764742049196</v>
      </c>
      <c r="GH574">
        <v>11.567736852376445</v>
      </c>
      <c r="GI574">
        <v>27.402799720805174</v>
      </c>
      <c r="GJ574"/>
      <c r="GK574">
        <v>55.716372561874834</v>
      </c>
      <c r="GL574">
        <v>71.999485141144589</v>
      </c>
      <c r="GM574">
        <v>46.088397074856431</v>
      </c>
      <c r="GN574">
        <v>55.138067195791407</v>
      </c>
      <c r="GO574">
        <v>44.576057479303635</v>
      </c>
      <c r="GP574">
        <v>18.073774053721674</v>
      </c>
      <c r="GQ574">
        <v>35.224914912703376</v>
      </c>
      <c r="GR574">
        <v>30.796639895106377</v>
      </c>
      <c r="GS574">
        <v>13.64323012826793</v>
      </c>
      <c r="GT574">
        <v>39.049794431401232</v>
      </c>
      <c r="GU574"/>
      <c r="GV574"/>
      <c r="GW574"/>
      <c r="GX574"/>
      <c r="GY574"/>
      <c r="GZ574"/>
      <c r="HA574"/>
      <c r="HB574"/>
      <c r="HC574"/>
    </row>
    <row r="575" spans="1:211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44.195699786324781</v>
      </c>
      <c r="AO575">
        <v>34.222079277457752</v>
      </c>
      <c r="AP575">
        <v>23.715911932379079</v>
      </c>
      <c r="AQ575">
        <v>240.2340137803312</v>
      </c>
      <c r="AR575">
        <v>32.80655504543158</v>
      </c>
      <c r="AS575">
        <v>322.33911784507166</v>
      </c>
      <c r="AT575">
        <v>25.934495178633082</v>
      </c>
      <c r="AU575">
        <v>32.822498876846048</v>
      </c>
      <c r="AV575"/>
      <c r="AW575"/>
      <c r="FY575" s="211">
        <v>570</v>
      </c>
      <c r="FZ575">
        <v>35.357696821065609</v>
      </c>
      <c r="GA575">
        <v>77.194727766628958</v>
      </c>
      <c r="GB575">
        <v>37.705059616545327</v>
      </c>
      <c r="GC575">
        <v>15.942395712783723</v>
      </c>
      <c r="GD575">
        <v>11.191554056778477</v>
      </c>
      <c r="GE575">
        <v>14.904632864699295</v>
      </c>
      <c r="GF575">
        <v>18.824024079139999</v>
      </c>
      <c r="GG575">
        <v>13.744305743797735</v>
      </c>
      <c r="GH575">
        <v>10.116154477724448</v>
      </c>
      <c r="GI575">
        <v>26.865910969476069</v>
      </c>
      <c r="GJ575"/>
      <c r="GK575">
        <v>36.572341910036364</v>
      </c>
      <c r="GL575">
        <v>68.221483947567833</v>
      </c>
      <c r="GM575">
        <v>66.797094951265919</v>
      </c>
      <c r="GN575">
        <v>52.655213791613804</v>
      </c>
      <c r="GO575">
        <v>48.705560436243708</v>
      </c>
      <c r="GP575">
        <v>31.97975985558735</v>
      </c>
      <c r="GQ575">
        <v>25.361938737146435</v>
      </c>
      <c r="GR575">
        <v>20.67317695380844</v>
      </c>
      <c r="GS575">
        <v>11.331174309733489</v>
      </c>
      <c r="GT575">
        <v>37.753622068885178</v>
      </c>
      <c r="GU575"/>
      <c r="GV575"/>
      <c r="GW575"/>
      <c r="GX575"/>
      <c r="GY575"/>
      <c r="GZ575"/>
      <c r="HA575"/>
      <c r="HB575"/>
      <c r="HC575"/>
    </row>
    <row r="576" spans="1:211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55.153044871794876</v>
      </c>
      <c r="AO576">
        <v>42.140873163106633</v>
      </c>
      <c r="AP576">
        <v>30.492407031562049</v>
      </c>
      <c r="AQ576">
        <v>293.49116274432885</v>
      </c>
      <c r="AR576">
        <v>40.523044122365526</v>
      </c>
      <c r="AS576">
        <v>388.01707817435982</v>
      </c>
      <c r="AT576">
        <v>32.121282737573246</v>
      </c>
      <c r="AU576">
        <v>36.60798933904843</v>
      </c>
      <c r="AV576"/>
      <c r="AW576"/>
      <c r="FY576" s="211">
        <v>571</v>
      </c>
      <c r="FZ576">
        <v>33.66014524886468</v>
      </c>
      <c r="GA576">
        <v>65.385441662144871</v>
      </c>
      <c r="GB576">
        <v>28.110871354637879</v>
      </c>
      <c r="GC576">
        <v>13.522373504678209</v>
      </c>
      <c r="GD576">
        <v>9.2275114048746971</v>
      </c>
      <c r="GE576">
        <v>9.6375821531138293</v>
      </c>
      <c r="GF576">
        <v>16.213970320267645</v>
      </c>
      <c r="GG576">
        <v>14.783394150545327</v>
      </c>
      <c r="GH576">
        <v>16.215066166805343</v>
      </c>
      <c r="GI576">
        <v>23.458974820213619</v>
      </c>
      <c r="GJ576"/>
      <c r="GK576">
        <v>36.605633714086601</v>
      </c>
      <c r="GL576">
        <v>60.121288623355014</v>
      </c>
      <c r="GM576">
        <v>49.800333486665672</v>
      </c>
      <c r="GN576">
        <v>44.650742496054548</v>
      </c>
      <c r="GO576">
        <v>40.145050083045021</v>
      </c>
      <c r="GP576">
        <v>20.678641711131672</v>
      </c>
      <c r="GQ576">
        <v>21.845367399642935</v>
      </c>
      <c r="GR576">
        <v>22.236097548254435</v>
      </c>
      <c r="GS576">
        <v>20.220992508394307</v>
      </c>
      <c r="GT576">
        <v>33.723475438366911</v>
      </c>
      <c r="GU576"/>
      <c r="GV576"/>
      <c r="GW576"/>
      <c r="GX576"/>
      <c r="GY576"/>
      <c r="GZ576"/>
      <c r="HA576"/>
      <c r="HB576"/>
      <c r="HC576"/>
    </row>
    <row r="577" spans="1:211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52.334935897435891</v>
      </c>
      <c r="AO577">
        <v>40.501293956301957</v>
      </c>
      <c r="AP577">
        <v>32.091202587012475</v>
      </c>
      <c r="AQ577">
        <v>273.76534280152674</v>
      </c>
      <c r="AR577">
        <v>38.881697343562465</v>
      </c>
      <c r="AS577">
        <v>371.73690739698577</v>
      </c>
      <c r="AT577">
        <v>30.786327919182089</v>
      </c>
      <c r="AU577">
        <v>32.784098763002191</v>
      </c>
      <c r="AV577"/>
      <c r="AW577"/>
      <c r="FY577" s="211">
        <v>572</v>
      </c>
      <c r="FZ577">
        <v>46.950915671218837</v>
      </c>
      <c r="GA577">
        <v>74.444375205913275</v>
      </c>
      <c r="GB577">
        <v>20.942799664707039</v>
      </c>
      <c r="GC577">
        <v>13.50562714423703</v>
      </c>
      <c r="GD577">
        <v>10.778964843508192</v>
      </c>
      <c r="GE577">
        <v>14.236912783354686</v>
      </c>
      <c r="GF577">
        <v>30.837301817788159</v>
      </c>
      <c r="GG577">
        <v>20.521996033264994</v>
      </c>
      <c r="GH577">
        <v>10.813820303774412</v>
      </c>
      <c r="GI577">
        <v>26.398293068041276</v>
      </c>
      <c r="GJ577"/>
      <c r="GK577">
        <v>52.163016160071102</v>
      </c>
      <c r="GL577">
        <v>70.463556313604983</v>
      </c>
      <c r="GM577">
        <v>37.101603656791944</v>
      </c>
      <c r="GN577">
        <v>44.599272033376309</v>
      </c>
      <c r="GO577">
        <v>46.901301055790221</v>
      </c>
      <c r="GP577">
        <v>30.547082644011859</v>
      </c>
      <c r="GQ577">
        <v>41.547639135689458</v>
      </c>
      <c r="GR577">
        <v>30.867681740308466</v>
      </c>
      <c r="GS577">
        <v>12.11263460695649</v>
      </c>
      <c r="GT577">
        <v>37.965238923059843</v>
      </c>
      <c r="GU577"/>
      <c r="GV577"/>
      <c r="GW577"/>
      <c r="GX577"/>
      <c r="GY577"/>
      <c r="GZ577"/>
      <c r="HA577"/>
      <c r="HB577"/>
      <c r="HC577"/>
    </row>
    <row r="578" spans="1:211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41.805822649572654</v>
      </c>
      <c r="AO578">
        <v>30.716891850236806</v>
      </c>
      <c r="AP578">
        <v>6.9408131700402151</v>
      </c>
      <c r="AQ578">
        <v>205.60984598921235</v>
      </c>
      <c r="AR578">
        <v>29.925214589729542</v>
      </c>
      <c r="AS578">
        <v>284.68423469882703</v>
      </c>
      <c r="AT578">
        <v>24.308227848343403</v>
      </c>
      <c r="AU578">
        <v>29.064479209242464</v>
      </c>
      <c r="AV578"/>
      <c r="AW578"/>
      <c r="FY578" s="211">
        <v>573</v>
      </c>
      <c r="FZ578">
        <v>40.105737105453628</v>
      </c>
      <c r="GA578">
        <v>53.939042311161131</v>
      </c>
      <c r="GB578">
        <v>20.271106233622607</v>
      </c>
      <c r="GC578">
        <v>11.715403060962657</v>
      </c>
      <c r="GD578">
        <v>8.4365683135771938</v>
      </c>
      <c r="GE578">
        <v>10.230592295287016</v>
      </c>
      <c r="GF578">
        <v>26.144477887694443</v>
      </c>
      <c r="GG578">
        <v>19.955220538675395</v>
      </c>
      <c r="GH578">
        <v>7.3817418960766723</v>
      </c>
      <c r="GI578">
        <v>22.450947796674313</v>
      </c>
      <c r="GJ578"/>
      <c r="GK578">
        <v>41.481172584025565</v>
      </c>
      <c r="GL578">
        <v>47.669078130602948</v>
      </c>
      <c r="GM578">
        <v>35.911652749656916</v>
      </c>
      <c r="GN578">
        <v>38.694125020072143</v>
      </c>
      <c r="GO578">
        <v>36.715882869060081</v>
      </c>
      <c r="GP578">
        <v>21.951019374558864</v>
      </c>
      <c r="GQ578">
        <v>35.224914912703376</v>
      </c>
      <c r="GR578">
        <v>30.015179597883378</v>
      </c>
      <c r="GS578">
        <v>8.954468344929932</v>
      </c>
      <c r="GT578">
        <v>31.657618292075178</v>
      </c>
      <c r="GU578"/>
      <c r="GV578"/>
      <c r="GW578"/>
      <c r="GX578"/>
      <c r="GY578"/>
      <c r="GZ578"/>
      <c r="HA578"/>
      <c r="HB578"/>
      <c r="HC578"/>
    </row>
    <row r="579" spans="1:211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51.483547008547006</v>
      </c>
      <c r="AO579">
        <v>41.115560081967232</v>
      </c>
      <c r="AP579">
        <v>52.505363282485149</v>
      </c>
      <c r="AQ579">
        <v>276.15787051407722</v>
      </c>
      <c r="AR579">
        <v>38.945727124625648</v>
      </c>
      <c r="AS579">
        <v>360.18818726883836</v>
      </c>
      <c r="AT579">
        <v>30.033986804208876</v>
      </c>
      <c r="AU579">
        <v>15.509240112417899</v>
      </c>
      <c r="AV579"/>
      <c r="AW579"/>
      <c r="FY579" s="211">
        <v>574</v>
      </c>
      <c r="FZ579">
        <v>51.533695081127043</v>
      </c>
      <c r="GA579">
        <v>67.330784171727728</v>
      </c>
      <c r="GB579">
        <v>28.551983458633629</v>
      </c>
      <c r="GC579">
        <v>15.213698966041566</v>
      </c>
      <c r="GD579">
        <v>8.3629011165544913</v>
      </c>
      <c r="GE579">
        <v>8.1340446272888993</v>
      </c>
      <c r="GF579">
        <v>16.72367778833026</v>
      </c>
      <c r="GG579">
        <v>13.767921389405629</v>
      </c>
      <c r="GH579">
        <v>11.792739742584736</v>
      </c>
      <c r="GI579">
        <v>25.100378014497071</v>
      </c>
      <c r="GJ579"/>
      <c r="GK579">
        <v>55.094354342668368</v>
      </c>
      <c r="GL579">
        <v>61.840501277245608</v>
      </c>
      <c r="GM579">
        <v>50.581793783888678</v>
      </c>
      <c r="GN579">
        <v>50.248443587171174</v>
      </c>
      <c r="GO579">
        <v>36.395283772763463</v>
      </c>
      <c r="GP579">
        <v>17.452613304646981</v>
      </c>
      <c r="GQ579">
        <v>22.532105236596479</v>
      </c>
      <c r="GR579">
        <v>20.708697876409481</v>
      </c>
      <c r="GS579">
        <v>16.639771024621695</v>
      </c>
      <c r="GT579">
        <v>36.248661632107741</v>
      </c>
      <c r="GU579"/>
      <c r="GV579"/>
      <c r="GW579"/>
      <c r="GX579"/>
      <c r="GY579"/>
      <c r="GZ579"/>
      <c r="HA579"/>
      <c r="HB579"/>
      <c r="HC579"/>
    </row>
    <row r="580" spans="1:211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54.468456196581187</v>
      </c>
      <c r="AO580">
        <v>42.483137515373492</v>
      </c>
      <c r="AP580">
        <v>27.86504850782979</v>
      </c>
      <c r="AQ580">
        <v>286.51232179834415</v>
      </c>
      <c r="AR580">
        <v>41.187157980500956</v>
      </c>
      <c r="AS580">
        <v>383.81226757116684</v>
      </c>
      <c r="AT580">
        <v>32.67448761070299</v>
      </c>
      <c r="AU580">
        <v>26.206720305243039</v>
      </c>
      <c r="AV580"/>
      <c r="AW580"/>
      <c r="FY580" s="211">
        <v>575</v>
      </c>
      <c r="FZ580">
        <v>42.825559937843302</v>
      </c>
      <c r="GA580">
        <v>100.45041322209678</v>
      </c>
      <c r="GB580">
        <v>47.519803930450628</v>
      </c>
      <c r="GC580">
        <v>15.743623190584769</v>
      </c>
      <c r="GD580">
        <v>9.9325818218334572</v>
      </c>
      <c r="GE580">
        <v>12.929488847854747</v>
      </c>
      <c r="GF580">
        <v>21.75044799060294</v>
      </c>
      <c r="GG580">
        <v>17.404730813022212</v>
      </c>
      <c r="GH580">
        <v>14.358400156576293</v>
      </c>
      <c r="GI580">
        <v>30.916629512316458</v>
      </c>
      <c r="GJ580"/>
      <c r="GK580">
        <v>44.294429654028377</v>
      </c>
      <c r="GL580">
        <v>88.773889764532697</v>
      </c>
      <c r="GM580">
        <v>84.184586564477641</v>
      </c>
      <c r="GN580">
        <v>51.987179202501245</v>
      </c>
      <c r="GO580">
        <v>43.213511320043025</v>
      </c>
      <c r="GP580">
        <v>27.741840551416477</v>
      </c>
      <c r="GQ580">
        <v>29.304761145862471</v>
      </c>
      <c r="GR580">
        <v>26.178919956970475</v>
      </c>
      <c r="GS580">
        <v>16.769071317159927</v>
      </c>
      <c r="GT580">
        <v>43.553272000314301</v>
      </c>
      <c r="GU580"/>
      <c r="GV580"/>
      <c r="GW580"/>
      <c r="GX580"/>
      <c r="GY580"/>
      <c r="GZ580"/>
      <c r="HA580"/>
      <c r="HB580"/>
      <c r="HC580"/>
    </row>
    <row r="581" spans="1:211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49.979540598290598</v>
      </c>
      <c r="AO581">
        <v>39.164882041785965</v>
      </c>
      <c r="AP581">
        <v>20.160243859300756</v>
      </c>
      <c r="AQ581">
        <v>253.62301423927511</v>
      </c>
      <c r="AR581">
        <v>37.460183339539675</v>
      </c>
      <c r="AS581">
        <v>356.42947036346851</v>
      </c>
      <c r="AT581">
        <v>30.00477250655149</v>
      </c>
      <c r="AU581">
        <v>21.648780456708625</v>
      </c>
      <c r="AV581"/>
      <c r="AW581"/>
      <c r="FY581" s="211">
        <v>576</v>
      </c>
      <c r="FZ581">
        <v>35.581350187852664</v>
      </c>
      <c r="GA581">
        <v>68.794385111612058</v>
      </c>
      <c r="GB581">
        <v>34.266390260396676</v>
      </c>
      <c r="GC581">
        <v>11.341761983673001</v>
      </c>
      <c r="GD581">
        <v>6.1518309120713024</v>
      </c>
      <c r="GE581">
        <v>9.6515902667084728</v>
      </c>
      <c r="GF581">
        <v>31.557922720911169</v>
      </c>
      <c r="GG581">
        <v>23.851802063978877</v>
      </c>
      <c r="GH581">
        <v>10.813820303774412</v>
      </c>
      <c r="GI581">
        <v>25.459764139122566</v>
      </c>
      <c r="GJ581"/>
      <c r="GK581">
        <v>36.795560819259507</v>
      </c>
      <c r="GL581">
        <v>60.797611123949338</v>
      </c>
      <c r="GM581">
        <v>60.705256725186615</v>
      </c>
      <c r="GN581">
        <v>37.425486509153544</v>
      </c>
      <c r="GO581">
        <v>26.733688806238881</v>
      </c>
      <c r="GP581">
        <v>20.708697876409481</v>
      </c>
      <c r="GQ581">
        <v>42.518544353451368</v>
      </c>
      <c r="GR581">
        <v>35.876131827055872</v>
      </c>
      <c r="GS581">
        <v>12.11263460695649</v>
      </c>
      <c r="GT581">
        <v>35.773137062218574</v>
      </c>
      <c r="GU581"/>
      <c r="GV581"/>
      <c r="GW581"/>
      <c r="GX581"/>
      <c r="GY581"/>
      <c r="GZ581"/>
      <c r="HA581"/>
      <c r="HB581"/>
      <c r="HC581"/>
    </row>
    <row r="582" spans="1:211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48.59420405982906</v>
      </c>
      <c r="AO582">
        <v>36.241959204718832</v>
      </c>
      <c r="AP582">
        <v>21.22745766228207</v>
      </c>
      <c r="AQ582">
        <v>226.98400878261975</v>
      </c>
      <c r="AR582">
        <v>34.965317382763899</v>
      </c>
      <c r="AS582">
        <v>329.94437675009334</v>
      </c>
      <c r="AT582">
        <v>28.091361974575516</v>
      </c>
      <c r="AU582">
        <v>37.697696654788672</v>
      </c>
      <c r="AV582"/>
      <c r="AW582"/>
      <c r="FY582" s="211">
        <v>577</v>
      </c>
      <c r="FZ582">
        <v>47.511231989627497</v>
      </c>
      <c r="GA582">
        <v>76.959883944721142</v>
      </c>
      <c r="GB582">
        <v>24.371443745764868</v>
      </c>
      <c r="GC582">
        <v>11.907445825205158</v>
      </c>
      <c r="GD582">
        <v>8.5366247678245877</v>
      </c>
      <c r="GE582">
        <v>11.033724141379835</v>
      </c>
      <c r="GF582">
        <v>20.177385287444174</v>
      </c>
      <c r="GG582">
        <v>12.705217337050135</v>
      </c>
      <c r="GH582">
        <v>9.0696557386495051</v>
      </c>
      <c r="GI582">
        <v>23.580380189886963</v>
      </c>
      <c r="GJ582"/>
      <c r="GK582">
        <v>54.537538837218406</v>
      </c>
      <c r="GL582">
        <v>75.023017804404745</v>
      </c>
      <c r="GM582">
        <v>43.175681421570708</v>
      </c>
      <c r="GN582">
        <v>39.313051445133162</v>
      </c>
      <c r="GO582">
        <v>37.1339794624921</v>
      </c>
      <c r="GP582">
        <v>23.674239517153168</v>
      </c>
      <c r="GQ582">
        <v>27.185346097333422</v>
      </c>
      <c r="GR582">
        <v>19.110256359362435</v>
      </c>
      <c r="GS582">
        <v>10.158983863898991</v>
      </c>
      <c r="GT582">
        <v>34.438305936502729</v>
      </c>
      <c r="GU582"/>
      <c r="GV582"/>
      <c r="GW582"/>
      <c r="GX582"/>
      <c r="GY582"/>
      <c r="GZ582"/>
      <c r="HA582"/>
      <c r="HB582"/>
      <c r="HC582"/>
    </row>
    <row r="583" spans="1:211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45.701095085470094</v>
      </c>
      <c r="AO583">
        <v>34.119980497767912</v>
      </c>
      <c r="AP583">
        <v>3.1350617701770731</v>
      </c>
      <c r="AQ583">
        <v>234.3150285234629</v>
      </c>
      <c r="AR583">
        <v>32.373757041465701</v>
      </c>
      <c r="AS583">
        <v>311.5585513947255</v>
      </c>
      <c r="AT583">
        <v>26.773493690393369</v>
      </c>
      <c r="AU583">
        <v>18.352310293330937</v>
      </c>
      <c r="AV583"/>
      <c r="AW583"/>
      <c r="FY583" s="211">
        <v>578</v>
      </c>
      <c r="FZ583">
        <v>42.432669956279838</v>
      </c>
      <c r="GA583">
        <v>67.507633490780705</v>
      </c>
      <c r="GB583">
        <v>29.003120837720189</v>
      </c>
      <c r="GC583">
        <v>11.459335243007997</v>
      </c>
      <c r="GD583">
        <v>7.4851929557732966</v>
      </c>
      <c r="GE583">
        <v>10.319310348053083</v>
      </c>
      <c r="GF583">
        <v>29.193934636275941</v>
      </c>
      <c r="GG583">
        <v>25.457665965316071</v>
      </c>
      <c r="GH583">
        <v>14.065817966103388</v>
      </c>
      <c r="GI583">
        <v>26.021994621630085</v>
      </c>
      <c r="GJ583"/>
      <c r="GK583">
        <v>45.673723180445307</v>
      </c>
      <c r="GL583">
        <v>61.996793336690203</v>
      </c>
      <c r="GM583">
        <v>51.38101454241221</v>
      </c>
      <c r="GN583">
        <v>37.833013003422941</v>
      </c>
      <c r="GO583">
        <v>32.558155997167702</v>
      </c>
      <c r="GP583">
        <v>22.141375087984979</v>
      </c>
      <c r="GQ583">
        <v>39.333501626890964</v>
      </c>
      <c r="GR583">
        <v>38.291554563926965</v>
      </c>
      <c r="GS583">
        <v>17.127476392636872</v>
      </c>
      <c r="GT583">
        <v>37.214774347910613</v>
      </c>
      <c r="GU583"/>
      <c r="GV583"/>
      <c r="GW583"/>
      <c r="GX583"/>
      <c r="GY583"/>
      <c r="GZ583"/>
      <c r="HA583"/>
      <c r="HB583"/>
      <c r="HC583"/>
    </row>
    <row r="584" spans="1:211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47.101388888888891</v>
      </c>
      <c r="AO584">
        <v>34.102035556015423</v>
      </c>
      <c r="AP584">
        <v>17.434563099469024</v>
      </c>
      <c r="AQ584">
        <v>227.20425342519692</v>
      </c>
      <c r="AR584">
        <v>33.235996426197481</v>
      </c>
      <c r="AS584">
        <v>309.70245873081336</v>
      </c>
      <c r="AT584">
        <v>26.258676092817336</v>
      </c>
      <c r="AU584">
        <v>33.779048967435578</v>
      </c>
      <c r="AV584"/>
      <c r="AW584"/>
      <c r="FY584" s="211">
        <v>579</v>
      </c>
      <c r="FZ584">
        <v>49.827980974736555</v>
      </c>
      <c r="GA584">
        <v>57.338797645233932</v>
      </c>
      <c r="GB584">
        <v>23.35889096159282</v>
      </c>
      <c r="GC584">
        <v>16.050481610579514</v>
      </c>
      <c r="GD584">
        <v>9.3924728540894353</v>
      </c>
      <c r="GE584">
        <v>11.748137934706589</v>
      </c>
      <c r="GF584">
        <v>29.98486001775241</v>
      </c>
      <c r="GG584">
        <v>21.750009604875785</v>
      </c>
      <c r="GH584">
        <v>5.9301595214246756</v>
      </c>
      <c r="GI584">
        <v>25.683730411118233</v>
      </c>
      <c r="GJ584"/>
      <c r="GK584">
        <v>53.328884074658774</v>
      </c>
      <c r="GL584">
        <v>53.009999918625709</v>
      </c>
      <c r="GM584">
        <v>41.381874830217917</v>
      </c>
      <c r="GN584">
        <v>53.004524192959593</v>
      </c>
      <c r="GO584">
        <v>40.867298178048536</v>
      </c>
      <c r="GP584">
        <v>25.207103946321361</v>
      </c>
      <c r="GQ584">
        <v>40.399129304922319</v>
      </c>
      <c r="GR584">
        <v>32.714769715562831</v>
      </c>
      <c r="GS584">
        <v>6.6424125263954927</v>
      </c>
      <c r="GT584">
        <v>36.523919782848601</v>
      </c>
      <c r="GU584"/>
      <c r="GV584"/>
      <c r="GW584"/>
      <c r="GX584"/>
      <c r="GY584"/>
      <c r="GZ584"/>
      <c r="HA584"/>
      <c r="HB584"/>
      <c r="HC584"/>
    </row>
    <row r="585" spans="1:211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52.67705662393162</v>
      </c>
      <c r="AO585">
        <v>41.030673287417144</v>
      </c>
      <c r="AP585">
        <v>22.27417710045631</v>
      </c>
      <c r="AQ585">
        <v>277.92763619316065</v>
      </c>
      <c r="AR585">
        <v>39.049794431401253</v>
      </c>
      <c r="AS585">
        <v>370.57425649087071</v>
      </c>
      <c r="AT585">
        <v>31.183534200295284</v>
      </c>
      <c r="AU585">
        <v>23.151460336057227</v>
      </c>
      <c r="AV585"/>
      <c r="AW585"/>
      <c r="FY585" s="211">
        <v>580</v>
      </c>
      <c r="FZ585">
        <v>48.034577959626887</v>
      </c>
      <c r="GA585">
        <v>79.573005458449899</v>
      </c>
      <c r="GB585">
        <v>31.208681357698904</v>
      </c>
      <c r="GC585">
        <v>8.2335047800781744</v>
      </c>
      <c r="GD585">
        <v>5.2107103629438605</v>
      </c>
      <c r="GE585">
        <v>12.733375257529756</v>
      </c>
      <c r="GF585">
        <v>33.06068094571647</v>
      </c>
      <c r="GG585">
        <v>24.938121761942277</v>
      </c>
      <c r="GH585">
        <v>13.368152140053422</v>
      </c>
      <c r="GI585">
        <v>26.567309250036775</v>
      </c>
      <c r="GJ585"/>
      <c r="GK585">
        <v>53.266510631899095</v>
      </c>
      <c r="GL585">
        <v>74.996026037498368</v>
      </c>
      <c r="GM585">
        <v>55.288316028527198</v>
      </c>
      <c r="GN585">
        <v>27.144043660129661</v>
      </c>
      <c r="GO585">
        <v>22.620590785819605</v>
      </c>
      <c r="GP585">
        <v>27.321054237527168</v>
      </c>
      <c r="GQ585">
        <v>44.543236941710958</v>
      </c>
      <c r="GR585">
        <v>37.510094266703966</v>
      </c>
      <c r="GS585">
        <v>16.346016095413869</v>
      </c>
      <c r="GT585">
        <v>38.412934096674149</v>
      </c>
      <c r="GU585"/>
      <c r="GV585"/>
      <c r="GW585"/>
      <c r="GX585"/>
      <c r="GY585"/>
      <c r="GZ585"/>
      <c r="HA585"/>
      <c r="HB585"/>
      <c r="HC585"/>
    </row>
    <row r="586" spans="1:211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53.325827991453004</v>
      </c>
      <c r="AO586">
        <v>40.005136696188856</v>
      </c>
      <c r="AP586">
        <v>0</v>
      </c>
      <c r="AQ586">
        <v>261.84646210863963</v>
      </c>
      <c r="AR586">
        <v>37.753622068885221</v>
      </c>
      <c r="AS586">
        <v>329.85458637471572</v>
      </c>
      <c r="AT586">
        <v>31.46135172407099</v>
      </c>
      <c r="AU586">
        <v>16.410666241682975</v>
      </c>
      <c r="AV586"/>
      <c r="AW586"/>
      <c r="FY586" s="211">
        <v>581</v>
      </c>
      <c r="FZ586">
        <v>34.578891134147369</v>
      </c>
      <c r="GA586">
        <v>62.869932923336989</v>
      </c>
      <c r="GB586">
        <v>26.797560317741461</v>
      </c>
      <c r="GC586">
        <v>11.559837730951218</v>
      </c>
      <c r="GD586">
        <v>6.4774062756491277</v>
      </c>
      <c r="GE586">
        <v>9.5161785019602654</v>
      </c>
      <c r="GF586">
        <v>20.977098728714836</v>
      </c>
      <c r="GG586">
        <v>14.807009796153228</v>
      </c>
      <c r="GH586">
        <v>9.4184886516744868</v>
      </c>
      <c r="GI586">
        <v>21.380507961426122</v>
      </c>
      <c r="GJ586"/>
      <c r="GK586">
        <v>35.762143215781997</v>
      </c>
      <c r="GL586">
        <v>55.561827132555244</v>
      </c>
      <c r="GM586">
        <v>47.473713056297207</v>
      </c>
      <c r="GN586">
        <v>38.157276600370551</v>
      </c>
      <c r="GO586">
        <v>28.163601645499501</v>
      </c>
      <c r="GP586">
        <v>20.418154945390672</v>
      </c>
      <c r="GQ586">
        <v>28.262814082898476</v>
      </c>
      <c r="GR586">
        <v>22.271618470855483</v>
      </c>
      <c r="GS586">
        <v>10.549714012510492</v>
      </c>
      <c r="GT586">
        <v>30.042397202597535</v>
      </c>
      <c r="GU586"/>
      <c r="GV586"/>
      <c r="GW586"/>
      <c r="GX586"/>
      <c r="GY586"/>
      <c r="GZ586"/>
      <c r="HA586"/>
      <c r="HB586"/>
      <c r="HC586"/>
    </row>
    <row r="587" spans="1:211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44.371741452991444</v>
      </c>
      <c r="AO587">
        <v>35.002762300899704</v>
      </c>
      <c r="AP587">
        <v>38.63347436327534</v>
      </c>
      <c r="AQ587">
        <v>230.2153307861461</v>
      </c>
      <c r="AR587">
        <v>33.72347543836689</v>
      </c>
      <c r="AS587">
        <v>307.69150675929217</v>
      </c>
      <c r="AT587">
        <v>26.298212273785548</v>
      </c>
      <c r="AU587">
        <v>17.828279067957979</v>
      </c>
      <c r="AV587"/>
      <c r="AW587"/>
      <c r="FY587" s="211">
        <v>582</v>
      </c>
      <c r="FZ587">
        <v>42.772820046005769</v>
      </c>
      <c r="GA587">
        <v>62.644277216823554</v>
      </c>
      <c r="GB587">
        <v>23.248612935593876</v>
      </c>
      <c r="GC587">
        <v>13.509952125907747</v>
      </c>
      <c r="GD587">
        <v>9.3950513681581906</v>
      </c>
      <c r="GE587">
        <v>10.412697772017365</v>
      </c>
      <c r="GF587">
        <v>20.370722602916203</v>
      </c>
      <c r="GG587">
        <v>20.238608285970198</v>
      </c>
      <c r="GH587">
        <v>11.916569765401425</v>
      </c>
      <c r="GI587">
        <v>23.748457488991001</v>
      </c>
      <c r="GJ587"/>
      <c r="GK587">
        <v>46.040634074825334</v>
      </c>
      <c r="GL587">
        <v>57.698761701963704</v>
      </c>
      <c r="GM587">
        <v>41.186509755912155</v>
      </c>
      <c r="GN587">
        <v>44.602036405691194</v>
      </c>
      <c r="GO587">
        <v>40.865508585927387</v>
      </c>
      <c r="GP587">
        <v>22.341749523170364</v>
      </c>
      <c r="GQ587">
        <v>27.445832863074425</v>
      </c>
      <c r="GR587">
        <v>30.441430669095926</v>
      </c>
      <c r="GS587">
        <v>14.03396027687943</v>
      </c>
      <c r="GT587">
        <v>33.914489111323739</v>
      </c>
      <c r="GU587"/>
      <c r="GV587"/>
      <c r="GW587"/>
      <c r="GX587"/>
      <c r="GY587"/>
      <c r="GZ587"/>
      <c r="HA587"/>
      <c r="HB587"/>
      <c r="HC587"/>
    </row>
    <row r="588" spans="1:211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49.705795940170944</v>
      </c>
      <c r="AO588">
        <v>40.426902626966069</v>
      </c>
      <c r="AP588">
        <v>27.7963153806501</v>
      </c>
      <c r="AQ588">
        <v>269.43100653580791</v>
      </c>
      <c r="AR588">
        <v>37.96523892305985</v>
      </c>
      <c r="AS588">
        <v>340.01400043793666</v>
      </c>
      <c r="AT588">
        <v>29.981638254706933</v>
      </c>
      <c r="AU588">
        <v>9.4448943750547798</v>
      </c>
      <c r="AV588"/>
      <c r="AW588"/>
      <c r="FY588" s="211">
        <v>583</v>
      </c>
      <c r="FZ588">
        <v>48.006114616761657</v>
      </c>
      <c r="GA588">
        <v>83.68934618412905</v>
      </c>
      <c r="GB588">
        <v>27.880290027549194</v>
      </c>
      <c r="GC588">
        <v>11.505813026025443</v>
      </c>
      <c r="GD588">
        <v>8.3364368422242201</v>
      </c>
      <c r="GE588">
        <v>9.8336957434388204</v>
      </c>
      <c r="GF588">
        <v>25.415068924777252</v>
      </c>
      <c r="GG588">
        <v>21.726393959267888</v>
      </c>
      <c r="GH588">
        <v>12.906817781924296</v>
      </c>
      <c r="GI588">
        <v>26.137182514590879</v>
      </c>
      <c r="GJ588"/>
      <c r="GK588">
        <v>51.450229342751655</v>
      </c>
      <c r="GL588">
        <v>76.297516775871088</v>
      </c>
      <c r="GM588">
        <v>49.39184287675365</v>
      </c>
      <c r="GN588">
        <v>37.994202015356279</v>
      </c>
      <c r="GO588">
        <v>36.27143726920557</v>
      </c>
      <c r="GP588">
        <v>21.09942802502098</v>
      </c>
      <c r="GQ588">
        <v>34.242169387407785</v>
      </c>
      <c r="GR588">
        <v>32.679248792961786</v>
      </c>
      <c r="GS588">
        <v>14.457015498625486</v>
      </c>
      <c r="GT588">
        <v>37.162538874948829</v>
      </c>
      <c r="GU588"/>
      <c r="GV588"/>
      <c r="GW588"/>
      <c r="GX588"/>
      <c r="GY588"/>
      <c r="GZ588"/>
      <c r="HA588"/>
      <c r="HB588"/>
      <c r="HC588"/>
    </row>
    <row r="589" spans="1:211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43.565705128205124</v>
      </c>
      <c r="AO589">
        <v>32.827511187556837</v>
      </c>
      <c r="AP589">
        <v>5.2475529645957044</v>
      </c>
      <c r="AQ589">
        <v>220.63083743918506</v>
      </c>
      <c r="AR589">
        <v>31.657618292075153</v>
      </c>
      <c r="AS589">
        <v>307.18739125126575</v>
      </c>
      <c r="AT589">
        <v>26.069165487037946</v>
      </c>
      <c r="AU589">
        <v>25.410921027457281</v>
      </c>
      <c r="AV589"/>
      <c r="AW589"/>
      <c r="FY589" s="211">
        <v>584</v>
      </c>
      <c r="FZ589">
        <v>46.78265626082694</v>
      </c>
      <c r="GA589">
        <v>66.446537576462788</v>
      </c>
      <c r="GB589">
        <v>23.048107433777634</v>
      </c>
      <c r="GC589">
        <v>9.9430547503838493</v>
      </c>
      <c r="GD589">
        <v>7.0460249526681125</v>
      </c>
      <c r="GE589">
        <v>10.608811362342355</v>
      </c>
      <c r="GF589">
        <v>23.218053976231495</v>
      </c>
      <c r="GG589">
        <v>15.775251266077118</v>
      </c>
      <c r="GH589">
        <v>11.162653216799388</v>
      </c>
      <c r="GI589">
        <v>23.238760433167581</v>
      </c>
      <c r="GJ589"/>
      <c r="GK589">
        <v>50.174304488735402</v>
      </c>
      <c r="GL589">
        <v>61.059040980022615</v>
      </c>
      <c r="GM589">
        <v>40.831300529901711</v>
      </c>
      <c r="GN589">
        <v>32.817297902680053</v>
      </c>
      <c r="GO589">
        <v>30.638225920039002</v>
      </c>
      <c r="GP589">
        <v>22.762535837059669</v>
      </c>
      <c r="GQ589">
        <v>31.282092503987329</v>
      </c>
      <c r="GR589">
        <v>23.727976297498337</v>
      </c>
      <c r="GS589">
        <v>12.503364755567986</v>
      </c>
      <c r="GT589">
        <v>33.085857639646278</v>
      </c>
      <c r="GU589"/>
      <c r="GV589"/>
      <c r="GW589"/>
      <c r="GX589"/>
      <c r="GY589"/>
      <c r="GZ589"/>
      <c r="HA589"/>
      <c r="HB589"/>
      <c r="HC589"/>
    </row>
    <row r="590" spans="1:211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45.74529914529915</v>
      </c>
      <c r="AO590">
        <v>36.774222583811969</v>
      </c>
      <c r="AP590">
        <v>41.519949337640824</v>
      </c>
      <c r="AQ590">
        <v>246.51182435619106</v>
      </c>
      <c r="AR590">
        <v>36.248661632107741</v>
      </c>
      <c r="AS590">
        <v>341.61522245301023</v>
      </c>
      <c r="AT590">
        <v>28.380442404099608</v>
      </c>
      <c r="AU590">
        <v>42.827391850568304</v>
      </c>
      <c r="AV590"/>
      <c r="AW590"/>
      <c r="FY590" s="211">
        <v>585</v>
      </c>
      <c r="FZ590">
        <v>27.488781188534919</v>
      </c>
      <c r="GA590">
        <v>56.857056075535425</v>
      </c>
      <c r="GB590">
        <v>36.391748579648898</v>
      </c>
      <c r="GC590">
        <v>14.266713570428449</v>
      </c>
      <c r="GD590">
        <v>7.3194417624722146</v>
      </c>
      <c r="GE590">
        <v>13.340393513297581</v>
      </c>
      <c r="GF590">
        <v>38.614734735640127</v>
      </c>
      <c r="GG590">
        <v>27.748383589282355</v>
      </c>
      <c r="GH590">
        <v>12.614235591451386</v>
      </c>
      <c r="GI590">
        <v>27.189897477595004</v>
      </c>
      <c r="GJ590"/>
      <c r="GK590">
        <v>28.430785620401487</v>
      </c>
      <c r="GL590">
        <v>50.247897111438853</v>
      </c>
      <c r="GM590">
        <v>64.47047452089744</v>
      </c>
      <c r="GN590">
        <v>47.105339991626614</v>
      </c>
      <c r="GO590">
        <v>31.836808030500308</v>
      </c>
      <c r="GP590">
        <v>28.623488066232163</v>
      </c>
      <c r="GQ590">
        <v>52.026311302997861</v>
      </c>
      <c r="GR590">
        <v>41.737084056228362</v>
      </c>
      <c r="GS590">
        <v>14.815420574102429</v>
      </c>
      <c r="GT590">
        <v>38.315960009779907</v>
      </c>
      <c r="GU590"/>
      <c r="GV590"/>
      <c r="GW590"/>
      <c r="GX590"/>
      <c r="GY590"/>
      <c r="GZ590"/>
      <c r="HA590"/>
      <c r="HB590"/>
      <c r="HC590"/>
    </row>
    <row r="591" spans="1:211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60.906997863247852</v>
      </c>
      <c r="AO591">
        <v>45.600146147730669</v>
      </c>
      <c r="AP591">
        <v>8.439243740770209</v>
      </c>
      <c r="AQ591">
        <v>313.83167942318158</v>
      </c>
      <c r="AR591">
        <v>43.553272000314358</v>
      </c>
      <c r="AS591">
        <v>433.80899616940741</v>
      </c>
      <c r="AT591">
        <v>35.769558611262084</v>
      </c>
      <c r="AU591">
        <v>28.022678367335299</v>
      </c>
      <c r="AV591"/>
      <c r="AW591"/>
      <c r="FY591" s="211">
        <v>586</v>
      </c>
      <c r="FZ591">
        <v>51.716746830562705</v>
      </c>
      <c r="GA591">
        <v>71.928866467105394</v>
      </c>
      <c r="GB591">
        <v>23.599497563772314</v>
      </c>
      <c r="GC591">
        <v>11.788116611485616</v>
      </c>
      <c r="GD591">
        <v>6.3291676220127568</v>
      </c>
      <c r="GE591">
        <v>7.8025192722157017</v>
      </c>
      <c r="GF591">
        <v>17.664000186307838</v>
      </c>
      <c r="GG591">
        <v>12.185673133676337</v>
      </c>
      <c r="GH591">
        <v>4.1859949562997709</v>
      </c>
      <c r="GI591">
        <v>21.484044458996536</v>
      </c>
      <c r="GJ591"/>
      <c r="GK591">
        <v>55.282534817716282</v>
      </c>
      <c r="GL591">
        <v>65.904094822805206</v>
      </c>
      <c r="GM591">
        <v>41.808125901430458</v>
      </c>
      <c r="GN591">
        <v>38.922766028414181</v>
      </c>
      <c r="GO591">
        <v>27.531479388125078</v>
      </c>
      <c r="GP591">
        <v>16.741284059738867</v>
      </c>
      <c r="GQ591">
        <v>23.799018142700429</v>
      </c>
      <c r="GR591">
        <v>18.328796062139435</v>
      </c>
      <c r="GS591">
        <v>4.6887617833379949</v>
      </c>
      <c r="GT591">
        <v>30.621984006662046</v>
      </c>
      <c r="GU591"/>
      <c r="GV591"/>
      <c r="GW591"/>
      <c r="GX591"/>
      <c r="GY591"/>
      <c r="GZ591"/>
      <c r="HA591"/>
      <c r="HB591"/>
      <c r="HC591"/>
    </row>
    <row r="592" spans="1:211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50.595192307692301</v>
      </c>
      <c r="AO592">
        <v>36.944674970987961</v>
      </c>
      <c r="AP592">
        <v>9.3384893413861114</v>
      </c>
      <c r="AQ592">
        <v>257.47061795010114</v>
      </c>
      <c r="AR592">
        <v>35.773137062218588</v>
      </c>
      <c r="AS592">
        <v>333.40628285247567</v>
      </c>
      <c r="AT592">
        <v>28.884875945860909</v>
      </c>
      <c r="AU592">
        <v>29.927095242701078</v>
      </c>
      <c r="AV592"/>
      <c r="AW592"/>
      <c r="FY592" s="211">
        <v>587</v>
      </c>
      <c r="FZ592">
        <v>54.579019795036658</v>
      </c>
      <c r="GA592">
        <v>97.572017729788541</v>
      </c>
      <c r="GB592">
        <v>36.040863951470456</v>
      </c>
      <c r="GC592">
        <v>11.570718102455007</v>
      </c>
      <c r="GD592">
        <v>7.840782499693189</v>
      </c>
      <c r="GE592">
        <v>9.2733711996531341</v>
      </c>
      <c r="GF592">
        <v>20.880430070978818</v>
      </c>
      <c r="GG592">
        <v>16.625414507961512</v>
      </c>
      <c r="GH592">
        <v>12.670486314003458</v>
      </c>
      <c r="GI592">
        <v>27.986181088352275</v>
      </c>
      <c r="GJ592"/>
      <c r="GK592">
        <v>58.24893392859174</v>
      </c>
      <c r="GL592">
        <v>88.566443442272174</v>
      </c>
      <c r="GM592">
        <v>63.84885837537913</v>
      </c>
      <c r="GN592">
        <v>38.185532508976117</v>
      </c>
      <c r="GO592">
        <v>34.088330705878604</v>
      </c>
      <c r="GP592">
        <v>19.897181413908672</v>
      </c>
      <c r="GQ592">
        <v>28.132570700027973</v>
      </c>
      <c r="GR592">
        <v>25.006729511135973</v>
      </c>
      <c r="GS592">
        <v>15.564555798190868</v>
      </c>
      <c r="GT592">
        <v>39.976649901613662</v>
      </c>
      <c r="GU592"/>
      <c r="GV592"/>
      <c r="GW592"/>
      <c r="GX592"/>
      <c r="GY592"/>
      <c r="GZ592"/>
      <c r="HA592"/>
      <c r="HB592"/>
      <c r="HC592"/>
    </row>
    <row r="593" spans="1:211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42.548477564102576</v>
      </c>
      <c r="AO593">
        <v>36.375040074506991</v>
      </c>
      <c r="AP593">
        <v>54.014286807968347</v>
      </c>
      <c r="AQ593">
        <v>245.85299296755386</v>
      </c>
      <c r="AR593">
        <v>34.438305936502729</v>
      </c>
      <c r="AS593">
        <v>316.93130200064417</v>
      </c>
      <c r="AT593">
        <v>26.171392845141458</v>
      </c>
      <c r="AU593">
        <v>13.874907118163149</v>
      </c>
      <c r="AV593"/>
      <c r="AW593"/>
      <c r="FY593" s="211">
        <v>588</v>
      </c>
      <c r="FZ593">
        <v>50.336534605692194</v>
      </c>
      <c r="GA593">
        <v>66.004414278830296</v>
      </c>
      <c r="GB593">
        <v>21.494189794701718</v>
      </c>
      <c r="GC593">
        <v>12.801685970974113</v>
      </c>
      <c r="GD593">
        <v>8.7701161351240398</v>
      </c>
      <c r="GE593">
        <v>11.337233269263747</v>
      </c>
      <c r="GF593">
        <v>37.771080995398549</v>
      </c>
      <c r="GG593">
        <v>27.512227133203357</v>
      </c>
      <c r="GH593">
        <v>11.972820487953497</v>
      </c>
      <c r="GI593">
        <v>27.400161212536268</v>
      </c>
      <c r="GJ593"/>
      <c r="GK593">
        <v>53.858387065627255</v>
      </c>
      <c r="GL593">
        <v>60.668310831411105</v>
      </c>
      <c r="GM593">
        <v>38.078429028320691</v>
      </c>
      <c r="GN593">
        <v>42.278105695779992</v>
      </c>
      <c r="GO593">
        <v>38.163143431381961</v>
      </c>
      <c r="GP593">
        <v>24.325456431505664</v>
      </c>
      <c r="GQ593">
        <v>50.889641779764403</v>
      </c>
      <c r="GR593">
        <v>41.38187483021791</v>
      </c>
      <c r="GS593">
        <v>14.783095500967869</v>
      </c>
      <c r="GT593">
        <v>39.154539361212429</v>
      </c>
      <c r="GU593"/>
      <c r="GV593"/>
      <c r="GW593"/>
      <c r="GX593"/>
      <c r="GY593"/>
      <c r="GZ593"/>
      <c r="HA593"/>
      <c r="HB593"/>
      <c r="HC593"/>
    </row>
    <row r="594" spans="1:211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49.539930555555557</v>
      </c>
      <c r="AO594">
        <v>38.355138207948883</v>
      </c>
      <c r="AP594">
        <v>38.31218637552962</v>
      </c>
      <c r="AQ594">
        <v>262.94667602094057</v>
      </c>
      <c r="AR594">
        <v>37.21477434791062</v>
      </c>
      <c r="AS594">
        <v>343.89164504357478</v>
      </c>
      <c r="AT594">
        <v>28.998742291968814</v>
      </c>
      <c r="AU594">
        <v>38.2089109378148</v>
      </c>
      <c r="AV594"/>
      <c r="AW594"/>
      <c r="FY594" s="211">
        <v>589</v>
      </c>
      <c r="FZ594">
        <v>46.93675606520511</v>
      </c>
      <c r="GA594">
        <v>70.425647255155013</v>
      </c>
      <c r="GB594">
        <v>25.113314102484985</v>
      </c>
      <c r="GC594">
        <v>15.018937131685679</v>
      </c>
      <c r="GD594">
        <v>11.320842832035105</v>
      </c>
      <c r="GE594">
        <v>11.411943208435174</v>
      </c>
      <c r="GF594">
        <v>34.097672001430055</v>
      </c>
      <c r="GG594">
        <v>26.473138726455769</v>
      </c>
      <c r="GH594">
        <v>10.870071026326483</v>
      </c>
      <c r="GI594">
        <v>28.491600838270479</v>
      </c>
      <c r="GJ594"/>
      <c r="GK594">
        <v>50.341815728123763</v>
      </c>
      <c r="GL594">
        <v>64.575612317526108</v>
      </c>
      <c r="GM594">
        <v>44.489955557809388</v>
      </c>
      <c r="GN594">
        <v>49.601335905362184</v>
      </c>
      <c r="GO594">
        <v>49.263887140652258</v>
      </c>
      <c r="GP594">
        <v>24.485755979653973</v>
      </c>
      <c r="GQ594">
        <v>45.940393230685409</v>
      </c>
      <c r="GR594">
        <v>39.818954235771919</v>
      </c>
      <c r="GS594">
        <v>12.861769831044931</v>
      </c>
      <c r="GT594">
        <v>40.579564297663147</v>
      </c>
      <c r="GU594"/>
      <c r="GV594"/>
      <c r="GW594"/>
      <c r="GX594"/>
      <c r="GY594"/>
      <c r="GZ594"/>
      <c r="HA594"/>
      <c r="HB594"/>
      <c r="HC594"/>
    </row>
    <row r="595" spans="1:211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49.594284188034194</v>
      </c>
      <c r="AO595">
        <v>38.30799164705612</v>
      </c>
      <c r="AP595">
        <v>24.055868053699033</v>
      </c>
      <c r="AQ595">
        <v>251.06552153611</v>
      </c>
      <c r="AR595">
        <v>36.52391978284863</v>
      </c>
      <c r="AS595">
        <v>355.58111429283616</v>
      </c>
      <c r="AT595">
        <v>29.039279211002096</v>
      </c>
      <c r="AU595">
        <v>40.488904928027793</v>
      </c>
      <c r="AV595"/>
      <c r="AW595"/>
      <c r="FY595" s="211">
        <v>590</v>
      </c>
      <c r="FZ595">
        <v>40.602152461923119</v>
      </c>
      <c r="GA595">
        <v>59.991537431028739</v>
      </c>
      <c r="GB595">
        <v>24.351393195583245</v>
      </c>
      <c r="GC595">
        <v>13.821962808648033</v>
      </c>
      <c r="GD595">
        <v>8.2922507464195139</v>
      </c>
      <c r="GE595">
        <v>10.426705885612005</v>
      </c>
      <c r="GF595">
        <v>20.687092755506793</v>
      </c>
      <c r="GG595">
        <v>14.287465592779428</v>
      </c>
      <c r="GH595">
        <v>9.7673215646994667</v>
      </c>
      <c r="GI595">
        <v>22.720930648727553</v>
      </c>
      <c r="GJ595"/>
      <c r="GK595">
        <v>43.791918429966259</v>
      </c>
      <c r="GL595">
        <v>55.354380810294714</v>
      </c>
      <c r="GM595">
        <v>43.140160498969664</v>
      </c>
      <c r="GN595">
        <v>45.624878147126033</v>
      </c>
      <c r="GO595">
        <v>36.057454263467527</v>
      </c>
      <c r="GP595">
        <v>22.37180568844817</v>
      </c>
      <c r="GQ595">
        <v>27.872083934286973</v>
      </c>
      <c r="GR595">
        <v>21.49015817363248</v>
      </c>
      <c r="GS595">
        <v>10.94044416112199</v>
      </c>
      <c r="GT595">
        <v>32.36041225756248</v>
      </c>
      <c r="GU595"/>
      <c r="GV595"/>
      <c r="GW595"/>
      <c r="GX595"/>
      <c r="GY595"/>
      <c r="GZ595"/>
      <c r="HA595"/>
      <c r="HB595"/>
      <c r="HC595"/>
    </row>
    <row r="596" spans="1:211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50.200560897435899</v>
      </c>
      <c r="AO596">
        <v>39.744882278190403</v>
      </c>
      <c r="AP596">
        <v>63.596911623351374</v>
      </c>
      <c r="AQ596">
        <v>282.92811927407644</v>
      </c>
      <c r="AR596">
        <v>38.412934096674157</v>
      </c>
      <c r="AS596">
        <v>358.9420352263644</v>
      </c>
      <c r="AT596">
        <v>29.063895555605068</v>
      </c>
      <c r="AU596">
        <v>34.210885669836976</v>
      </c>
      <c r="AV596"/>
      <c r="AW596"/>
      <c r="FY596" s="211">
        <v>591</v>
      </c>
      <c r="FZ596">
        <v>45.457693861513775</v>
      </c>
      <c r="GA596">
        <v>54.067085242753677</v>
      </c>
      <c r="GB596">
        <v>19.188376523814874</v>
      </c>
      <c r="GC596">
        <v>10.805219510531193</v>
      </c>
      <c r="GD596">
        <v>8.2839268571831255</v>
      </c>
      <c r="GE596">
        <v>15.282851931754632</v>
      </c>
      <c r="GF596">
        <v>31.847928694119204</v>
      </c>
      <c r="GG596">
        <v>19.695448436988499</v>
      </c>
      <c r="GH596">
        <v>8.0231569995745602</v>
      </c>
      <c r="GI596">
        <v>23.991396225937752</v>
      </c>
      <c r="GJ596"/>
      <c r="GK596">
        <v>48.810783549281069</v>
      </c>
      <c r="GL596">
        <v>50.118596818900627</v>
      </c>
      <c r="GM596">
        <v>33.993522929200466</v>
      </c>
      <c r="GN596">
        <v>35.664891864530532</v>
      </c>
      <c r="GO596">
        <v>36.025565847864229</v>
      </c>
      <c r="GP596">
        <v>32.791276318088158</v>
      </c>
      <c r="GQ596">
        <v>42.909274502062864</v>
      </c>
      <c r="GR596">
        <v>29.624449449271879</v>
      </c>
      <c r="GS596">
        <v>8.9867934180644902</v>
      </c>
      <c r="GT596">
        <v>34.145188049294617</v>
      </c>
      <c r="GU596"/>
      <c r="GV596"/>
      <c r="GW596"/>
      <c r="GX596"/>
      <c r="GY596"/>
      <c r="GZ596"/>
      <c r="HA596"/>
      <c r="HB596"/>
      <c r="HC596"/>
    </row>
    <row r="597" spans="1:211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43.071394230769229</v>
      </c>
      <c r="AO597">
        <v>31.66632603647572</v>
      </c>
      <c r="AP597">
        <v>7.6724290193083702</v>
      </c>
      <c r="AQ597">
        <v>218.38291202175512</v>
      </c>
      <c r="AR597">
        <v>30.04239720259751</v>
      </c>
      <c r="AS597">
        <v>281.49608857639532</v>
      </c>
      <c r="AT597">
        <v>24.420748606217945</v>
      </c>
      <c r="AU597">
        <v>20.464979377501024</v>
      </c>
      <c r="AV597"/>
      <c r="AW597"/>
      <c r="FY597" s="211">
        <v>592</v>
      </c>
      <c r="FZ597">
        <v>43.246424660079732</v>
      </c>
      <c r="GA597">
        <v>80.329209122122279</v>
      </c>
      <c r="GB597">
        <v>27.890315302640008</v>
      </c>
      <c r="GC597">
        <v>11.330504459576037</v>
      </c>
      <c r="GD597">
        <v>7.7433795766201285</v>
      </c>
      <c r="GE597">
        <v>7.8165273858103461</v>
      </c>
      <c r="GF597">
        <v>35.591642166441169</v>
      </c>
      <c r="GG597">
        <v>29.28340055379585</v>
      </c>
      <c r="GH597">
        <v>10.228655922828594</v>
      </c>
      <c r="GI597">
        <v>26.63711714211313</v>
      </c>
      <c r="GJ597"/>
      <c r="GK597">
        <v>46.527029470246745</v>
      </c>
      <c r="GL597">
        <v>73.327967646423687</v>
      </c>
      <c r="GM597">
        <v>49.409603338054175</v>
      </c>
      <c r="GN597">
        <v>37.419025642534422</v>
      </c>
      <c r="GO597">
        <v>33.694793526747894</v>
      </c>
      <c r="GP597">
        <v>16.771340225016679</v>
      </c>
      <c r="GQ597">
        <v>47.953245511411318</v>
      </c>
      <c r="GR597">
        <v>44.045944025296322</v>
      </c>
      <c r="GS597">
        <v>12.829444757910373</v>
      </c>
      <c r="GT597">
        <v>38.082823320874098</v>
      </c>
      <c r="GU597"/>
      <c r="GV597"/>
      <c r="GW597"/>
      <c r="GX597"/>
      <c r="GY597"/>
      <c r="GZ597"/>
      <c r="HA597"/>
      <c r="HB597"/>
      <c r="HC597"/>
    </row>
    <row r="598" spans="1:211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45.87646901709401</v>
      </c>
      <c r="AO598">
        <v>35.857091296786372</v>
      </c>
      <c r="AP598">
        <v>24.537792994428592</v>
      </c>
      <c r="AQ598">
        <v>238.25776960778532</v>
      </c>
      <c r="AR598">
        <v>33.914489111323746</v>
      </c>
      <c r="AS598">
        <v>313.80957976999406</v>
      </c>
      <c r="AT598">
        <v>26.912581119096341</v>
      </c>
      <c r="AU598">
        <v>22.237293454049187</v>
      </c>
      <c r="AV598"/>
      <c r="AW598"/>
      <c r="FY598" s="211">
        <v>593</v>
      </c>
      <c r="FZ598">
        <v>48.339779032471171</v>
      </c>
      <c r="GA598">
        <v>70.023142229588572</v>
      </c>
      <c r="GB598">
        <v>27.238672421737206</v>
      </c>
      <c r="GC598">
        <v>12.694804506846323</v>
      </c>
      <c r="GD598">
        <v>8.7751586477569283</v>
      </c>
      <c r="GE598">
        <v>12.369164304069056</v>
      </c>
      <c r="GF598">
        <v>29.290603294011952</v>
      </c>
      <c r="GG598">
        <v>22.340400745073289</v>
      </c>
      <c r="GH598">
        <v>12.963068504476368</v>
      </c>
      <c r="GI598">
        <v>27.014359227480021</v>
      </c>
      <c r="GJ598"/>
      <c r="GK598">
        <v>53.590313930732059</v>
      </c>
      <c r="GL598">
        <v>66.556254827489965</v>
      </c>
      <c r="GM598">
        <v>48.255173353520206</v>
      </c>
      <c r="GN598">
        <v>41.909732631109399</v>
      </c>
      <c r="GO598">
        <v>38.167740054022339</v>
      </c>
      <c r="GP598">
        <v>26.539593940304162</v>
      </c>
      <c r="GQ598">
        <v>39.46374500976146</v>
      </c>
      <c r="GR598">
        <v>33.60279278058897</v>
      </c>
      <c r="GS598">
        <v>15.206150722713929</v>
      </c>
      <c r="GT598">
        <v>38.936624614149991</v>
      </c>
      <c r="GU598"/>
      <c r="GV598"/>
      <c r="GW598"/>
      <c r="GX598"/>
      <c r="GY598"/>
      <c r="GZ598"/>
      <c r="HA598"/>
      <c r="HB598"/>
      <c r="HC598"/>
    </row>
    <row r="599" spans="1:211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50.369097222222216</v>
      </c>
      <c r="AO599">
        <v>39.10456288589031</v>
      </c>
      <c r="AP599">
        <v>19.360110931702295</v>
      </c>
      <c r="AQ599">
        <v>275.4371596206887</v>
      </c>
      <c r="AR599">
        <v>37.162538874948837</v>
      </c>
      <c r="AS599">
        <v>351.36531645172687</v>
      </c>
      <c r="AT599">
        <v>29.811622100887508</v>
      </c>
      <c r="AU599">
        <v>23.697430802153672</v>
      </c>
      <c r="AV599"/>
      <c r="AW599"/>
      <c r="FY599" s="211">
        <v>594</v>
      </c>
      <c r="FZ599">
        <v>53.791562971736617</v>
      </c>
      <c r="GA599">
        <v>60.433660728661216</v>
      </c>
      <c r="GB599">
        <v>16.972790728745341</v>
      </c>
      <c r="GC599">
        <v>13.698446493436913</v>
      </c>
      <c r="GD599">
        <v>10.476505245305059</v>
      </c>
      <c r="GE599">
        <v>13.812000004317207</v>
      </c>
      <c r="GF599">
        <v>35.670734704588817</v>
      </c>
      <c r="GG599">
        <v>26.756526473750561</v>
      </c>
      <c r="GH599">
        <v>11.567736852376445</v>
      </c>
      <c r="GI599">
        <v>27.337157045869183</v>
      </c>
      <c r="GJ599"/>
      <c r="GK599">
        <v>57.435585215765443</v>
      </c>
      <c r="GL599">
        <v>55.74511095890621</v>
      </c>
      <c r="GM599">
        <v>30.068460981784948</v>
      </c>
      <c r="GN599">
        <v>45.232283754535779</v>
      </c>
      <c r="GO599">
        <v>45.580662033892182</v>
      </c>
      <c r="GP599">
        <v>29.63537896391836</v>
      </c>
      <c r="GQ599">
        <v>48.059808279214451</v>
      </c>
      <c r="GR599">
        <v>40.24520530698446</v>
      </c>
      <c r="GS599">
        <v>13.64323012826793</v>
      </c>
      <c r="GT599">
        <v>38.957549327784989</v>
      </c>
      <c r="GU599"/>
      <c r="GV599"/>
      <c r="GW599"/>
      <c r="GX599"/>
      <c r="GY599"/>
      <c r="GZ599"/>
      <c r="HA599"/>
      <c r="HB599"/>
      <c r="HC599"/>
    </row>
    <row r="600" spans="1:211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44.353338675213671</v>
      </c>
      <c r="AO600">
        <v>33.88819968551384</v>
      </c>
      <c r="AP600">
        <v>29.953416010397401</v>
      </c>
      <c r="AQ600">
        <v>237.26991122873724</v>
      </c>
      <c r="AR600">
        <v>33.085857639646278</v>
      </c>
      <c r="AS600">
        <v>299.48446771501602</v>
      </c>
      <c r="AT600">
        <v>25.82209897228347</v>
      </c>
      <c r="AU600">
        <v>33.485376278938226</v>
      </c>
      <c r="AV600"/>
      <c r="AW600"/>
      <c r="FY600" s="211">
        <v>595</v>
      </c>
      <c r="FZ600">
        <v>47.364250592295782</v>
      </c>
      <c r="GA600">
        <v>81.881234721533133</v>
      </c>
      <c r="GB600">
        <v>34.847856215663803</v>
      </c>
      <c r="GC600">
        <v>13.147978122202209</v>
      </c>
      <c r="GD600">
        <v>7.5404236043407984</v>
      </c>
      <c r="GE600">
        <v>15.390247469313554</v>
      </c>
      <c r="GF600">
        <v>27.954818205296135</v>
      </c>
      <c r="GG600">
        <v>16.035023367764019</v>
      </c>
      <c r="GH600">
        <v>13.075569949580515</v>
      </c>
      <c r="GI600">
        <v>27.935505249478076</v>
      </c>
      <c r="GJ600"/>
      <c r="GK600">
        <v>48.975122275994536</v>
      </c>
      <c r="GL600">
        <v>72.363223522849736</v>
      </c>
      <c r="GM600">
        <v>61.735363480616954</v>
      </c>
      <c r="GN600">
        <v>43.425694069108843</v>
      </c>
      <c r="GO600">
        <v>32.815867726042732</v>
      </c>
      <c r="GP600">
        <v>33.021706918551345</v>
      </c>
      <c r="GQ600">
        <v>37.664018264641825</v>
      </c>
      <c r="GR600">
        <v>24.11870644610984</v>
      </c>
      <c r="GS600">
        <v>16.704421170890814</v>
      </c>
      <c r="GT600">
        <v>39.578958583637373</v>
      </c>
      <c r="GU600"/>
      <c r="GV600"/>
      <c r="GW600"/>
      <c r="GX600"/>
      <c r="GY600"/>
      <c r="GZ600"/>
      <c r="HA600"/>
      <c r="HB600"/>
      <c r="HC600"/>
    </row>
    <row r="601" spans="1:211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53.22873931623932</v>
      </c>
      <c r="AO601">
        <v>39.760956928420541</v>
      </c>
      <c r="AP601">
        <v>7.103324197143392</v>
      </c>
      <c r="AQ601">
        <v>261.83138608388634</v>
      </c>
      <c r="AR601">
        <v>38.315960009779914</v>
      </c>
      <c r="AS601">
        <v>359.86272685475228</v>
      </c>
      <c r="AT601">
        <v>31.349922176260222</v>
      </c>
      <c r="AU601">
        <v>21.284433318140817</v>
      </c>
      <c r="AV601"/>
      <c r="AW601"/>
      <c r="FY601" s="211">
        <v>596</v>
      </c>
      <c r="FZ601">
        <v>53.068007110375738</v>
      </c>
      <c r="GA601">
        <v>90.055921670036582</v>
      </c>
      <c r="GB601">
        <v>37.815337642544264</v>
      </c>
      <c r="GC601">
        <v>14.837537512058068</v>
      </c>
      <c r="GD601">
        <v>7.7947207523544799</v>
      </c>
      <c r="GE601">
        <v>9.2593630860584906</v>
      </c>
      <c r="GF601">
        <v>25.731439077367835</v>
      </c>
      <c r="GG601">
        <v>22.009781706562684</v>
      </c>
      <c r="GH601">
        <v>12.265402678426408</v>
      </c>
      <c r="GI601">
        <v>29.029633469291138</v>
      </c>
      <c r="GJ601"/>
      <c r="GK601">
        <v>56.686013334145741</v>
      </c>
      <c r="GL601">
        <v>81.924030915876685</v>
      </c>
      <c r="GM601">
        <v>66.992460025571674</v>
      </c>
      <c r="GN601">
        <v>48.990681268143646</v>
      </c>
      <c r="GO601">
        <v>33.905218677345808</v>
      </c>
      <c r="GP601">
        <v>19.867125248630867</v>
      </c>
      <c r="GQ601">
        <v>34.668420458620325</v>
      </c>
      <c r="GR601">
        <v>33.105499864174327</v>
      </c>
      <c r="GS601">
        <v>14.42469042549093</v>
      </c>
      <c r="GT601">
        <v>41.335360584234884</v>
      </c>
      <c r="GU601"/>
      <c r="GV601"/>
      <c r="GW601"/>
      <c r="GX601"/>
      <c r="GY601"/>
      <c r="GZ601"/>
      <c r="HA601"/>
      <c r="HB601"/>
      <c r="HC601"/>
    </row>
    <row r="602" spans="1:211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41.774839743589737</v>
      </c>
      <c r="AO602">
        <v>32.362884501306993</v>
      </c>
      <c r="AP602">
        <v>27.042996790706631</v>
      </c>
      <c r="AQ602">
        <v>228.68462710243494</v>
      </c>
      <c r="AR602">
        <v>30.621984006662036</v>
      </c>
      <c r="AS602">
        <v>292.38227088041191</v>
      </c>
      <c r="AT602">
        <v>24.111421597655141</v>
      </c>
      <c r="AU602">
        <v>35.766996823290697</v>
      </c>
      <c r="AV602"/>
      <c r="AW602"/>
      <c r="FY602" s="211">
        <v>597</v>
      </c>
      <c r="FZ602">
        <v>36.807462608345013</v>
      </c>
      <c r="GA602">
        <v>54.381165608793594</v>
      </c>
      <c r="GB602">
        <v>28.993095562629371</v>
      </c>
      <c r="GC602">
        <v>13.847282065491898</v>
      </c>
      <c r="GD602">
        <v>7.4092236588436355</v>
      </c>
      <c r="GE602">
        <v>11.5193387459941</v>
      </c>
      <c r="GF602">
        <v>38.641098915022674</v>
      </c>
      <c r="GG602">
        <v>30.629492353446139</v>
      </c>
      <c r="GH602">
        <v>13.368152140053422</v>
      </c>
      <c r="GI602">
        <v>26.897906283245032</v>
      </c>
      <c r="GJ602"/>
      <c r="GK602">
        <v>38.052197331960173</v>
      </c>
      <c r="GL602">
        <v>48.059808279214451</v>
      </c>
      <c r="GM602">
        <v>51.363254081111677</v>
      </c>
      <c r="GN602">
        <v>45.720024010185831</v>
      </c>
      <c r="GO602">
        <v>32.227538179111818</v>
      </c>
      <c r="GP602">
        <v>24.716186580117171</v>
      </c>
      <c r="GQ602">
        <v>52.061832225598906</v>
      </c>
      <c r="GR602">
        <v>46.070636613555905</v>
      </c>
      <c r="GS602">
        <v>16.346016095413869</v>
      </c>
      <c r="GT602">
        <v>38.010167582639291</v>
      </c>
      <c r="GU602"/>
      <c r="GV602"/>
      <c r="GW602"/>
      <c r="GX602"/>
      <c r="GY602"/>
      <c r="GZ602"/>
      <c r="HA602"/>
      <c r="HB602"/>
      <c r="HC602"/>
    </row>
    <row r="603" spans="1:211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53.114449786324784</v>
      </c>
      <c r="AO603">
        <v>41.151578628597505</v>
      </c>
      <c r="AP603">
        <v>29.385809555993774</v>
      </c>
      <c r="AQ603">
        <v>295.03928525939307</v>
      </c>
      <c r="AR603">
        <v>39.976649901613705</v>
      </c>
      <c r="AS603">
        <v>389.76752262745538</v>
      </c>
      <c r="AT603">
        <v>31.445456029423863</v>
      </c>
      <c r="AU603">
        <v>33.615218631509364</v>
      </c>
      <c r="AV603"/>
      <c r="AW603"/>
      <c r="FY603" s="211">
        <v>598</v>
      </c>
      <c r="FZ603">
        <v>49.903531608969594</v>
      </c>
      <c r="GA603">
        <v>94.123456008255317</v>
      </c>
      <c r="GB603">
        <v>34.958134241662727</v>
      </c>
      <c r="GC603">
        <v>11.50664030710027</v>
      </c>
      <c r="GD603">
        <v>7.9697751115884978</v>
      </c>
      <c r="GE603">
        <v>11.533346859588743</v>
      </c>
      <c r="GF603">
        <v>31.970961531237773</v>
      </c>
      <c r="GG603">
        <v>21.537468794404692</v>
      </c>
      <c r="GH603">
        <v>11.623987574928517</v>
      </c>
      <c r="GI603">
        <v>29.067295551245632</v>
      </c>
      <c r="GJ603"/>
      <c r="GK603">
        <v>53.407030104381079</v>
      </c>
      <c r="GL603">
        <v>85.518748283102482</v>
      </c>
      <c r="GM603">
        <v>61.930728554922688</v>
      </c>
      <c r="GN603">
        <v>37.996934394017899</v>
      </c>
      <c r="GO603">
        <v>34.675728130820154</v>
      </c>
      <c r="GP603">
        <v>24.74624274539498</v>
      </c>
      <c r="GQ603">
        <v>43.075038807534412</v>
      </c>
      <c r="GR603">
        <v>32.395081412153424</v>
      </c>
      <c r="GS603">
        <v>14.392365352356371</v>
      </c>
      <c r="GT603">
        <v>41.496178190002937</v>
      </c>
      <c r="GU603"/>
      <c r="GV603"/>
      <c r="GW603"/>
      <c r="GX603"/>
      <c r="GY603"/>
      <c r="GZ603"/>
      <c r="HA603"/>
      <c r="HB603"/>
      <c r="HC603"/>
    </row>
    <row r="604" spans="1:211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51.434935897435892</v>
      </c>
      <c r="AO604">
        <v>40.358098395618931</v>
      </c>
      <c r="AP604">
        <v>27.269705435590396</v>
      </c>
      <c r="AQ604">
        <v>275.40046388367779</v>
      </c>
      <c r="AR604">
        <v>39.154539361212443</v>
      </c>
      <c r="AS604">
        <v>381.00113358558815</v>
      </c>
      <c r="AT604">
        <v>31.081543917788192</v>
      </c>
      <c r="AU604">
        <v>34.900789240541869</v>
      </c>
      <c r="AV604"/>
      <c r="AW604"/>
      <c r="FY604" s="211">
        <v>599</v>
      </c>
      <c r="FZ604">
        <v>40.543904100453688</v>
      </c>
      <c r="GA604">
        <v>88.729551777139164</v>
      </c>
      <c r="GB604">
        <v>34.075910033671242</v>
      </c>
      <c r="GC604">
        <v>10.301543216141582</v>
      </c>
      <c r="GD604">
        <v>7.3042787058670156</v>
      </c>
      <c r="GE604">
        <v>10.762900611883421</v>
      </c>
      <c r="GF604">
        <v>28.200883879533261</v>
      </c>
      <c r="GG604">
        <v>19.719064082596397</v>
      </c>
      <c r="GH604">
        <v>10.116154477724448</v>
      </c>
      <c r="GI604">
        <v>26.04946328203064</v>
      </c>
      <c r="GJ604"/>
      <c r="GK604">
        <v>43.720072437387813</v>
      </c>
      <c r="GL604">
        <v>80.751840470042183</v>
      </c>
      <c r="GM604">
        <v>60.367807960476689</v>
      </c>
      <c r="GN604">
        <v>34.001328656048237</v>
      </c>
      <c r="GO604">
        <v>31.762144342851563</v>
      </c>
      <c r="GP604">
        <v>23.093153655115557</v>
      </c>
      <c r="GQ604">
        <v>37.995546875584914</v>
      </c>
      <c r="GR604">
        <v>29.659970371872923</v>
      </c>
      <c r="GS604">
        <v>11.331174309733489</v>
      </c>
      <c r="GT604">
        <v>37.035349185206897</v>
      </c>
      <c r="GU604"/>
      <c r="GV604"/>
      <c r="GW604"/>
      <c r="GX604"/>
      <c r="GY604"/>
      <c r="GZ604"/>
      <c r="HA604"/>
      <c r="HB604"/>
      <c r="HC604"/>
    </row>
    <row r="605" spans="1:211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54.19201388888888</v>
      </c>
      <c r="AO605">
        <v>42.195904422429301</v>
      </c>
      <c r="AP605">
        <v>24.036449299353272</v>
      </c>
      <c r="AQ605">
        <v>280.15992318748386</v>
      </c>
      <c r="AR605">
        <v>40.579564297663183</v>
      </c>
      <c r="AS605">
        <v>411.36500047149298</v>
      </c>
      <c r="AT605">
        <v>32.438609387107633</v>
      </c>
      <c r="AU605">
        <v>32.414185366737009</v>
      </c>
      <c r="AV605"/>
      <c r="AW605"/>
      <c r="FY605" s="211">
        <v>600</v>
      </c>
      <c r="FZ605">
        <v>35.107745573778693</v>
      </c>
      <c r="GA605">
        <v>53.320069694475677</v>
      </c>
      <c r="GB605">
        <v>29.113398863719119</v>
      </c>
      <c r="GC605">
        <v>14.85607631482803</v>
      </c>
      <c r="GD605">
        <v>8.7475334488734156</v>
      </c>
      <c r="GE605">
        <v>11.56603245797624</v>
      </c>
      <c r="GF605">
        <v>28.033910743443787</v>
      </c>
      <c r="GG605">
        <v>21.041540236638795</v>
      </c>
      <c r="GH605">
        <v>9.0696557386495051</v>
      </c>
      <c r="GI605">
        <v>24.746321947521391</v>
      </c>
      <c r="GJ605"/>
      <c r="GK605">
        <v>36.309165423838095</v>
      </c>
      <c r="GL605">
        <v>47.122055922546856</v>
      </c>
      <c r="GM605">
        <v>51.576379616717951</v>
      </c>
      <c r="GN605">
        <v>49.048071884588715</v>
      </c>
      <c r="GO605">
        <v>38.047515392911109</v>
      </c>
      <c r="GP605">
        <v>24.816373797709865</v>
      </c>
      <c r="GQ605">
        <v>37.770581032444966</v>
      </c>
      <c r="GR605">
        <v>31.649142037531469</v>
      </c>
      <c r="GS605">
        <v>10.158983863898991</v>
      </c>
      <c r="GT605">
        <v>34.77252506596222</v>
      </c>
      <c r="GU605"/>
      <c r="GV605"/>
      <c r="GW605"/>
      <c r="GX605"/>
      <c r="GY605"/>
      <c r="GZ605"/>
      <c r="HA605"/>
      <c r="HB605"/>
      <c r="HC605"/>
    </row>
    <row r="606" spans="1:211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43.958199786324784</v>
      </c>
      <c r="AO606">
        <v>33.900369636487632</v>
      </c>
      <c r="AP606">
        <v>21.730156810331675</v>
      </c>
      <c r="AQ606">
        <v>224.94881309092787</v>
      </c>
      <c r="AR606">
        <v>32.360412257562466</v>
      </c>
      <c r="AS606">
        <v>310.51441359736697</v>
      </c>
      <c r="AT606">
        <v>25.51880383353496</v>
      </c>
      <c r="AU606">
        <v>20.129209776698957</v>
      </c>
      <c r="AV606"/>
      <c r="AW606"/>
      <c r="FY606" s="211">
        <v>601</v>
      </c>
      <c r="FZ606">
        <v>38.626186299570037</v>
      </c>
      <c r="GA606">
        <v>57.161948326180955</v>
      </c>
      <c r="GB606">
        <v>21.273633742703844</v>
      </c>
      <c r="GC606">
        <v>14.138973665781505</v>
      </c>
      <c r="GD606">
        <v>10.047686817181427</v>
      </c>
      <c r="GE606">
        <v>9.077257609328143</v>
      </c>
      <c r="GF606">
        <v>17.954006159515885</v>
      </c>
      <c r="GG606">
        <v>16.601798862353615</v>
      </c>
      <c r="GH606">
        <v>12.963068504476368</v>
      </c>
      <c r="GI606">
        <v>22.748722138610184</v>
      </c>
      <c r="GJ606"/>
      <c r="GK606">
        <v>41.745752458670765</v>
      </c>
      <c r="GL606">
        <v>52.853707859181114</v>
      </c>
      <c r="GM606">
        <v>37.687698879709188</v>
      </c>
      <c r="GN606">
        <v>46.68727539184782</v>
      </c>
      <c r="GO606">
        <v>43.714447408006478</v>
      </c>
      <c r="GP606">
        <v>19.476395100019367</v>
      </c>
      <c r="GQ606">
        <v>24.189748291311936</v>
      </c>
      <c r="GR606">
        <v>24.971208588534932</v>
      </c>
      <c r="GS606">
        <v>15.206150722713929</v>
      </c>
      <c r="GT606">
        <v>32.508759552082466</v>
      </c>
      <c r="GU606"/>
      <c r="GV606"/>
      <c r="GW606"/>
      <c r="GX606"/>
      <c r="GY606"/>
      <c r="GZ606"/>
      <c r="HA606"/>
      <c r="HB606"/>
      <c r="HC606"/>
    </row>
    <row r="607" spans="1:211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45.900213675213685</v>
      </c>
      <c r="AO607">
        <v>35.307034274655898</v>
      </c>
      <c r="AP607">
        <v>24.951379854012799</v>
      </c>
      <c r="AQ607">
        <v>236.64308428417132</v>
      </c>
      <c r="AR607">
        <v>34.14518804929461</v>
      </c>
      <c r="AS607">
        <v>340.72161848660301</v>
      </c>
      <c r="AT607">
        <v>26.884676939032314</v>
      </c>
      <c r="AU607">
        <v>43.557057227596886</v>
      </c>
      <c r="AV607"/>
      <c r="AW607"/>
      <c r="FY607" s="211">
        <v>602</v>
      </c>
      <c r="FZ607">
        <v>37.688116809996167</v>
      </c>
      <c r="GA607">
        <v>73.215618087936747</v>
      </c>
      <c r="GB607">
        <v>30.978100030610214</v>
      </c>
      <c r="GC607">
        <v>12.184084160672617</v>
      </c>
      <c r="GD607">
        <v>7.9429594059908517</v>
      </c>
      <c r="GE607">
        <v>9.8196876298441804</v>
      </c>
      <c r="GF607">
        <v>19.694041998764117</v>
      </c>
      <c r="GG607">
        <v>13.484533642110831</v>
      </c>
      <c r="GH607">
        <v>10.5212381133015</v>
      </c>
      <c r="GI607">
        <v>23.749574213652799</v>
      </c>
      <c r="GJ607"/>
      <c r="GK607">
        <v>38.980499632911986</v>
      </c>
      <c r="GL607">
        <v>64.704912610064341</v>
      </c>
      <c r="GM607">
        <v>54.879825418615162</v>
      </c>
      <c r="GN607">
        <v>40.215223793564263</v>
      </c>
      <c r="GO607">
        <v>34.537340934720227</v>
      </c>
      <c r="GP607">
        <v>21.069371859743175</v>
      </c>
      <c r="GQ607">
        <v>26.534129182980934</v>
      </c>
      <c r="GR607">
        <v>20.282446805196933</v>
      </c>
      <c r="GS607">
        <v>12.471039682433428</v>
      </c>
      <c r="GT607">
        <v>33.480566970332347</v>
      </c>
      <c r="GU607"/>
      <c r="GV607"/>
      <c r="GW607"/>
      <c r="GX607"/>
      <c r="GY607"/>
      <c r="GZ607"/>
      <c r="HA607"/>
      <c r="HB607"/>
      <c r="HC607"/>
    </row>
    <row r="608" spans="1:211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50.85096153846154</v>
      </c>
      <c r="AO608">
        <v>40.006121746451569</v>
      </c>
      <c r="AP608">
        <v>25.913835019486125</v>
      </c>
      <c r="AQ608">
        <v>280.09717629202731</v>
      </c>
      <c r="AR608">
        <v>38.08282332087412</v>
      </c>
      <c r="AS608">
        <v>365.19147197584061</v>
      </c>
      <c r="AT608">
        <v>30.328880712155769</v>
      </c>
      <c r="AU608">
        <v>19.06893510613699</v>
      </c>
      <c r="AV608"/>
      <c r="AW608"/>
      <c r="FY608" s="211">
        <v>603</v>
      </c>
      <c r="FZ608">
        <v>58.34741176811491</v>
      </c>
      <c r="GA608">
        <v>75.770745098810679</v>
      </c>
      <c r="GB608">
        <v>25.02308662666767</v>
      </c>
      <c r="GC608">
        <v>11.702330814765878</v>
      </c>
      <c r="GD608">
        <v>6.2375219385533498</v>
      </c>
      <c r="GE608">
        <v>7.162815418060374</v>
      </c>
      <c r="GF608">
        <v>18.657050943050521</v>
      </c>
      <c r="GG608">
        <v>15.586326101213924</v>
      </c>
      <c r="GH608">
        <v>10.870071026326483</v>
      </c>
      <c r="GI608">
        <v>23.983480169316351</v>
      </c>
      <c r="GJ608"/>
      <c r="GK608">
        <v>63.948697449622706</v>
      </c>
      <c r="GL608">
        <v>71.635746759439485</v>
      </c>
      <c r="GM608">
        <v>44.330111406104685</v>
      </c>
      <c r="GN608">
        <v>38.62406861961486</v>
      </c>
      <c r="GO608">
        <v>27.115289696876143</v>
      </c>
      <c r="GP608">
        <v>15.368719178718981</v>
      </c>
      <c r="GQ608">
        <v>25.13697289400648</v>
      </c>
      <c r="GR608">
        <v>23.443808916689981</v>
      </c>
      <c r="GS608">
        <v>12.861769831044931</v>
      </c>
      <c r="GT608">
        <v>34.67856825553099</v>
      </c>
      <c r="GU608"/>
      <c r="GV608"/>
      <c r="GW608"/>
      <c r="GX608"/>
      <c r="GY608"/>
      <c r="GZ608"/>
      <c r="HA608"/>
      <c r="HB608"/>
      <c r="HC608"/>
    </row>
    <row r="609" spans="1:211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49.901308760683762</v>
      </c>
      <c r="AO609">
        <v>40.222812186439242</v>
      </c>
      <c r="AP609">
        <v>46.342168451364621</v>
      </c>
      <c r="AQ609">
        <v>271.04915291351091</v>
      </c>
      <c r="AR609">
        <v>38.936624614149991</v>
      </c>
      <c r="AS609">
        <v>363.27876615543573</v>
      </c>
      <c r="AT609">
        <v>30.053510414953777</v>
      </c>
      <c r="AU609">
        <v>32.408207209971351</v>
      </c>
      <c r="AV609"/>
      <c r="AW609"/>
      <c r="FY609" s="211">
        <v>604</v>
      </c>
      <c r="FZ609">
        <v>40.842963970635978</v>
      </c>
      <c r="GA609">
        <v>78.865608182237963</v>
      </c>
      <c r="GB609">
        <v>38.146171720541062</v>
      </c>
      <c r="GC609">
        <v>15.657172318265502</v>
      </c>
      <c r="GD609">
        <v>8.0195367991501598</v>
      </c>
      <c r="GE609">
        <v>9.637582153113831</v>
      </c>
      <c r="GF609">
        <v>30.740633160052155</v>
      </c>
      <c r="GG609">
        <v>22.080628643386387</v>
      </c>
      <c r="GH609">
        <v>11.275154661903535</v>
      </c>
      <c r="GI609">
        <v>28.222604957715191</v>
      </c>
      <c r="GJ609"/>
      <c r="GK609">
        <v>45.847556951080499</v>
      </c>
      <c r="GL609">
        <v>74.370857799719971</v>
      </c>
      <c r="GM609">
        <v>67.578555248488911</v>
      </c>
      <c r="GN609">
        <v>51.701645632362073</v>
      </c>
      <c r="GO609">
        <v>34.887953538090301</v>
      </c>
      <c r="GP609">
        <v>20.678641711131675</v>
      </c>
      <c r="GQ609">
        <v>41.417395752818969</v>
      </c>
      <c r="GR609">
        <v>33.212062631977467</v>
      </c>
      <c r="GS609">
        <v>14.00163520374487</v>
      </c>
      <c r="GT609">
        <v>40.74661933884471</v>
      </c>
      <c r="GU609"/>
      <c r="GV609"/>
      <c r="GW609"/>
      <c r="GX609"/>
      <c r="GY609"/>
      <c r="GZ609"/>
      <c r="HA609"/>
      <c r="HB609"/>
      <c r="HC609"/>
    </row>
    <row r="610" spans="1:211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51.916800213675216</v>
      </c>
      <c r="AO610">
        <v>40.460327495105474</v>
      </c>
      <c r="AP610">
        <v>21.852071250067777</v>
      </c>
      <c r="AQ610">
        <v>270.51712124878736</v>
      </c>
      <c r="AR610">
        <v>38.957549327785003</v>
      </c>
      <c r="AS610">
        <v>383.957266825239</v>
      </c>
      <c r="AT610">
        <v>31.097023290087179</v>
      </c>
      <c r="AU610">
        <v>31.049809134663722</v>
      </c>
      <c r="AV610"/>
      <c r="AW610"/>
      <c r="FY610" s="211">
        <v>605</v>
      </c>
      <c r="FZ610">
        <v>41.7126012330233</v>
      </c>
      <c r="GA610">
        <v>65.876371347237779</v>
      </c>
      <c r="GB610">
        <v>28.662261484632566</v>
      </c>
      <c r="GC610">
        <v>16.779429792383784</v>
      </c>
      <c r="GD610">
        <v>8.3398051003793192</v>
      </c>
      <c r="GE610">
        <v>8.4375537551728161</v>
      </c>
      <c r="GF610">
        <v>16.046997184178171</v>
      </c>
      <c r="GG610">
        <v>11.42997247422354</v>
      </c>
      <c r="GH610">
        <v>13.660734330526328</v>
      </c>
      <c r="GI610">
        <v>23.805598454092902</v>
      </c>
      <c r="GJ610"/>
      <c r="GK610">
        <v>43.139758425281492</v>
      </c>
      <c r="GL610">
        <v>58.218792143113447</v>
      </c>
      <c r="GM610">
        <v>50.777158858194433</v>
      </c>
      <c r="GN610">
        <v>55.396764369411258</v>
      </c>
      <c r="GO610">
        <v>36.268747548748294</v>
      </c>
      <c r="GP610">
        <v>18.103830218999484</v>
      </c>
      <c r="GQ610">
        <v>21.620401556502983</v>
      </c>
      <c r="GR610">
        <v>17.192126538905981</v>
      </c>
      <c r="GS610">
        <v>15.987611019936924</v>
      </c>
      <c r="GT610">
        <v>33.558735481732832</v>
      </c>
      <c r="GU610"/>
      <c r="GV610"/>
      <c r="GW610"/>
      <c r="GX610"/>
      <c r="GY610"/>
      <c r="GZ610"/>
      <c r="HA610"/>
      <c r="HB610"/>
      <c r="HC610"/>
    </row>
    <row r="611" spans="1:211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54.587286324786319</v>
      </c>
      <c r="AO611">
        <v>41.0403082458444</v>
      </c>
      <c r="AP611">
        <v>27.573346770352639</v>
      </c>
      <c r="AQ611">
        <v>285.17290749746797</v>
      </c>
      <c r="AR611">
        <v>39.578958583637402</v>
      </c>
      <c r="AS611">
        <v>375.79349545920752</v>
      </c>
      <c r="AT611">
        <v>31.87901759498828</v>
      </c>
      <c r="AU611">
        <v>43.861743377372605</v>
      </c>
      <c r="AV611"/>
      <c r="AW611"/>
      <c r="FY611" s="211">
        <v>606</v>
      </c>
      <c r="FZ611">
        <v>41.08789535048323</v>
      </c>
      <c r="GA611">
        <v>55.088562885005565</v>
      </c>
      <c r="GB611">
        <v>22.707248080690018</v>
      </c>
      <c r="GC611">
        <v>15.034103951390817</v>
      </c>
      <c r="GD611">
        <v>9.9774628954194071</v>
      </c>
      <c r="GE611">
        <v>13.65791075477614</v>
      </c>
      <c r="GF611">
        <v>21.434077838012353</v>
      </c>
      <c r="GG611">
        <v>10.886812625241847</v>
      </c>
      <c r="GH611">
        <v>10.870071026326483</v>
      </c>
      <c r="GI611">
        <v>23.816617376611568</v>
      </c>
      <c r="GJ611"/>
      <c r="GK611">
        <v>42.497070970415471</v>
      </c>
      <c r="GL611">
        <v>48.684976516992862</v>
      </c>
      <c r="GM611">
        <v>40.227444845683941</v>
      </c>
      <c r="GN611">
        <v>49.651429514158544</v>
      </c>
      <c r="GO611">
        <v>43.417507597675069</v>
      </c>
      <c r="GP611">
        <v>29.304761145862471</v>
      </c>
      <c r="GQ611">
        <v>28.878510074649931</v>
      </c>
      <c r="GR611">
        <v>16.375145319081941</v>
      </c>
      <c r="GS611">
        <v>12.861769831044931</v>
      </c>
      <c r="GT611">
        <v>33.576460663893869</v>
      </c>
      <c r="GU611"/>
      <c r="GV611"/>
      <c r="GW611"/>
      <c r="GX611"/>
      <c r="GY611"/>
      <c r="GZ611"/>
      <c r="HA611"/>
      <c r="HB611"/>
      <c r="HC611"/>
    </row>
    <row r="612" spans="1:211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55.717948717948715</v>
      </c>
      <c r="AO612">
        <v>43.189950080223497</v>
      </c>
      <c r="AP612">
        <v>24.350023038898136</v>
      </c>
      <c r="AQ612">
        <v>301.8671447050757</v>
      </c>
      <c r="AR612">
        <v>41.335360584234934</v>
      </c>
      <c r="AS612">
        <v>401.48772935004644</v>
      </c>
      <c r="AT612">
        <v>32.968884479481922</v>
      </c>
      <c r="AU612">
        <v>29.252362582008754</v>
      </c>
      <c r="AV612"/>
      <c r="AW612"/>
      <c r="FY612" s="211">
        <v>607</v>
      </c>
      <c r="FZ612">
        <v>40.360852351018025</v>
      </c>
      <c r="GA612">
        <v>59.372564814343299</v>
      </c>
      <c r="GB612">
        <v>28.231174655727639</v>
      </c>
      <c r="GC612">
        <v>12.874399521497073</v>
      </c>
      <c r="GD612">
        <v>8.1481977289776157</v>
      </c>
      <c r="GE612">
        <v>13.52249899002793</v>
      </c>
      <c r="GF612">
        <v>20.608000217359145</v>
      </c>
      <c r="GG612">
        <v>12.657986045834337</v>
      </c>
      <c r="GH612">
        <v>11.275154661903537</v>
      </c>
      <c r="GI612">
        <v>23.84172848199141</v>
      </c>
      <c r="GJ612"/>
      <c r="GK612">
        <v>43.531891962339913</v>
      </c>
      <c r="GL612">
        <v>54.807358602238622</v>
      </c>
      <c r="GM612">
        <v>50.013459022271967</v>
      </c>
      <c r="GN612">
        <v>42.506746704122044</v>
      </c>
      <c r="GO612">
        <v>35.443547863837232</v>
      </c>
      <c r="GP612">
        <v>29.014218214843659</v>
      </c>
      <c r="GQ612">
        <v>27.765521166483833</v>
      </c>
      <c r="GR612">
        <v>19.039214514160346</v>
      </c>
      <c r="GS612">
        <v>14.001635203744872</v>
      </c>
      <c r="GT612">
        <v>34.151211043735564</v>
      </c>
      <c r="GU612"/>
      <c r="GV612"/>
      <c r="GW612"/>
      <c r="GX612"/>
      <c r="GY612"/>
      <c r="GZ612"/>
      <c r="HA612"/>
      <c r="HB612"/>
      <c r="HC612"/>
    </row>
    <row r="613" spans="1:211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53.118322649572647</v>
      </c>
      <c r="AO613">
        <v>39.262766097890911</v>
      </c>
      <c r="AP613">
        <v>22.754258833662192</v>
      </c>
      <c r="AQ613">
        <v>262.49421794186486</v>
      </c>
      <c r="AR613">
        <v>38.010167582639319</v>
      </c>
      <c r="AS613">
        <v>355.14006074207282</v>
      </c>
      <c r="AT613">
        <v>30.348208037513416</v>
      </c>
      <c r="AU613">
        <v>35.14533990233636</v>
      </c>
      <c r="AV613"/>
      <c r="AW613"/>
      <c r="FY613" s="211">
        <v>608</v>
      </c>
      <c r="FZ613">
        <v>43.792581372474679</v>
      </c>
      <c r="GA613">
        <v>69.983523957522536</v>
      </c>
      <c r="GB613">
        <v>30.326457149707423</v>
      </c>
      <c r="GC613">
        <v>13.355990661928509</v>
      </c>
      <c r="GD613">
        <v>9.443044034936964</v>
      </c>
      <c r="GE613">
        <v>14.890624751104651</v>
      </c>
      <c r="GF613">
        <v>22.330459937019011</v>
      </c>
      <c r="GG613">
        <v>15.586326101213919</v>
      </c>
      <c r="GH613">
        <v>13.716985053078401</v>
      </c>
      <c r="GI613">
        <v>26.395136064311401</v>
      </c>
      <c r="GJ613"/>
      <c r="GK613">
        <v>47.080351715446724</v>
      </c>
      <c r="GL613">
        <v>64.184882168914612</v>
      </c>
      <c r="GM613">
        <v>53.725395434081207</v>
      </c>
      <c r="GN613">
        <v>44.082005660749651</v>
      </c>
      <c r="GO613">
        <v>41.061361050329985</v>
      </c>
      <c r="GP613">
        <v>31.949703690309544</v>
      </c>
      <c r="GQ613">
        <v>30.086221443085464</v>
      </c>
      <c r="GR613">
        <v>23.443808916689974</v>
      </c>
      <c r="GS613">
        <v>16.736746244025369</v>
      </c>
      <c r="GT613">
        <v>37.738015177393756</v>
      </c>
      <c r="GU613"/>
      <c r="GV613"/>
      <c r="GW613"/>
      <c r="GX613"/>
      <c r="GY613"/>
      <c r="GZ613"/>
      <c r="HA613"/>
      <c r="HB613"/>
      <c r="HC613"/>
    </row>
    <row r="614" spans="1:211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55.185176282051273</v>
      </c>
      <c r="AO614">
        <v>42.963407597468638</v>
      </c>
      <c r="AP614">
        <v>30.13023928349007</v>
      </c>
      <c r="AQ614">
        <v>304.19459758898171</v>
      </c>
      <c r="AR614">
        <v>41.496178190002965</v>
      </c>
      <c r="AS614">
        <v>399.23845858519246</v>
      </c>
      <c r="AT614">
        <v>32.846736402155763</v>
      </c>
      <c r="AU614">
        <v>31.189134491020354</v>
      </c>
      <c r="AV614"/>
      <c r="AW614"/>
      <c r="FY614" s="211">
        <v>609</v>
      </c>
      <c r="FZ614">
        <v>40.204098482082195</v>
      </c>
      <c r="GA614">
        <v>68.92242804320459</v>
      </c>
      <c r="GB614">
        <v>23.599497563772314</v>
      </c>
      <c r="GC614">
        <v>12.119179084243047</v>
      </c>
      <c r="GD614">
        <v>9.0181150796464902</v>
      </c>
      <c r="GE614">
        <v>13.536507103622576</v>
      </c>
      <c r="GF614">
        <v>28.490889852741297</v>
      </c>
      <c r="GG614">
        <v>19.719064082596397</v>
      </c>
      <c r="GH614">
        <v>10.116154477724448</v>
      </c>
      <c r="GI614">
        <v>24.476762809692111</v>
      </c>
      <c r="GJ614"/>
      <c r="GK614">
        <v>43.383669064267124</v>
      </c>
      <c r="GL614">
        <v>63.247129812246996</v>
      </c>
      <c r="GM614">
        <v>41.808125901430458</v>
      </c>
      <c r="GN614">
        <v>40.023893299944419</v>
      </c>
      <c r="GO614">
        <v>39.24243300272142</v>
      </c>
      <c r="GP614">
        <v>29.044274380121472</v>
      </c>
      <c r="GQ614">
        <v>38.38627702419641</v>
      </c>
      <c r="GR614">
        <v>29.659970371872923</v>
      </c>
      <c r="GS614">
        <v>11.331174309733489</v>
      </c>
      <c r="GT614">
        <v>34.830335860469781</v>
      </c>
      <c r="GU614"/>
      <c r="GV614"/>
      <c r="GW614"/>
      <c r="GX614"/>
      <c r="GY614"/>
      <c r="GZ614"/>
      <c r="HA614"/>
      <c r="HB614"/>
      <c r="HC614"/>
    </row>
    <row r="615" spans="1:211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51.187099358974358</v>
      </c>
      <c r="AO615">
        <v>38.971838826432034</v>
      </c>
      <c r="AP615">
        <v>33.474097694788227</v>
      </c>
      <c r="AQ615">
        <v>275.8036541670408</v>
      </c>
      <c r="AR615">
        <v>37.035349185206911</v>
      </c>
      <c r="AS615">
        <v>342.68043869722675</v>
      </c>
      <c r="AT615">
        <v>29.214538573147493</v>
      </c>
      <c r="AU615">
        <v>24.3818762075392</v>
      </c>
      <c r="AV615"/>
      <c r="AW615"/>
      <c r="FY615" s="211">
        <v>610</v>
      </c>
      <c r="FZ615">
        <v>41.08789535048323</v>
      </c>
      <c r="GA615">
        <v>54.646439587373081</v>
      </c>
      <c r="GB615">
        <v>25.253667953756363</v>
      </c>
      <c r="GC615">
        <v>13.223035635770506</v>
      </c>
      <c r="GD615">
        <v>7.2903989740731872</v>
      </c>
      <c r="GE615">
        <v>12.065655176185144</v>
      </c>
      <c r="GF615">
        <v>38.667463094405228</v>
      </c>
      <c r="GG615">
        <v>28.834703287245752</v>
      </c>
      <c r="GH615">
        <v>10.464987390749426</v>
      </c>
      <c r="GI615">
        <v>26.013197406543778</v>
      </c>
      <c r="GJ615"/>
      <c r="GK615">
        <v>42.497070970415471</v>
      </c>
      <c r="GL615">
        <v>48.294246368381351</v>
      </c>
      <c r="GM615">
        <v>44.738602016016713</v>
      </c>
      <c r="GN615">
        <v>43.662076816992126</v>
      </c>
      <c r="GO615">
        <v>31.714751119063582</v>
      </c>
      <c r="GP615">
        <v>25.888377025951669</v>
      </c>
      <c r="GQ615">
        <v>52.097353148199957</v>
      </c>
      <c r="GR615">
        <v>43.371046495876456</v>
      </c>
      <c r="GS615">
        <v>11.721904458344987</v>
      </c>
      <c r="GT615">
        <v>36.553936342408136</v>
      </c>
      <c r="GU615"/>
      <c r="GV615"/>
      <c r="GW615"/>
      <c r="GX615"/>
      <c r="GY615"/>
      <c r="GZ615"/>
      <c r="HA615"/>
      <c r="HB615"/>
      <c r="HC615"/>
    </row>
    <row r="616" spans="1:211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48.912232905982911</v>
      </c>
      <c r="AO616">
        <v>36.127079403815024</v>
      </c>
      <c r="AP616">
        <v>5.6772375874926722</v>
      </c>
      <c r="AQ616">
        <v>235.6022850199046</v>
      </c>
      <c r="AR616">
        <v>34.772525065962235</v>
      </c>
      <c r="AS616">
        <v>336.98601480144879</v>
      </c>
      <c r="AT616">
        <v>28.387787707389702</v>
      </c>
      <c r="AU616">
        <v>29.995736083504887</v>
      </c>
      <c r="AV616"/>
      <c r="AW616"/>
      <c r="FY616" s="211">
        <v>611</v>
      </c>
      <c r="FZ616">
        <v>53.206970104355705</v>
      </c>
      <c r="GA616">
        <v>79.219306820343917</v>
      </c>
      <c r="GB616">
        <v>33.745075955674437</v>
      </c>
      <c r="GC616">
        <v>12.912004322457394</v>
      </c>
      <c r="GD616">
        <v>7.2726969017982794</v>
      </c>
      <c r="GE616">
        <v>10.95901420220841</v>
      </c>
      <c r="GF616">
        <v>20.37072260291621</v>
      </c>
      <c r="GG616">
        <v>19.459291980909505</v>
      </c>
      <c r="GH616">
        <v>14.999815260074183</v>
      </c>
      <c r="GI616">
        <v>27.032688366043839</v>
      </c>
      <c r="GJ616"/>
      <c r="GK616">
        <v>58.623548248562557</v>
      </c>
      <c r="GL616">
        <v>74.683441918609162</v>
      </c>
      <c r="GM616">
        <v>59.781712737559445</v>
      </c>
      <c r="GN616">
        <v>42.607908701908443</v>
      </c>
      <c r="GO616">
        <v>31.607352210230843</v>
      </c>
      <c r="GP616">
        <v>23.513939969004863</v>
      </c>
      <c r="GQ616">
        <v>27.445832863074433</v>
      </c>
      <c r="GR616">
        <v>29.269240223261431</v>
      </c>
      <c r="GS616">
        <v>16.801396390294485</v>
      </c>
      <c r="GT616">
        <v>38.851968489944355</v>
      </c>
      <c r="GU616"/>
      <c r="GV616"/>
      <c r="GW616"/>
      <c r="GX616"/>
      <c r="GY616"/>
      <c r="GZ616"/>
      <c r="HA616"/>
      <c r="HB616"/>
      <c r="HC616"/>
    </row>
    <row r="617" spans="1:211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43.349732905982904</v>
      </c>
      <c r="AO617">
        <v>33.904114425207794</v>
      </c>
      <c r="AP617">
        <v>26.371494596771214</v>
      </c>
      <c r="AQ617">
        <v>220.5932821257019</v>
      </c>
      <c r="AR617">
        <v>32.508759552082445</v>
      </c>
      <c r="AS617">
        <v>307.64963626479215</v>
      </c>
      <c r="AT617">
        <v>25.624462669481023</v>
      </c>
      <c r="AU617">
        <v>22.964313690674661</v>
      </c>
      <c r="AV617"/>
      <c r="AW617"/>
      <c r="FY617" s="211">
        <v>612</v>
      </c>
      <c r="FZ617">
        <v>40.869405981973635</v>
      </c>
      <c r="GA617">
        <v>78.649140591118879</v>
      </c>
      <c r="GB617">
        <v>35.509524371657413</v>
      </c>
      <c r="GC617">
        <v>15.564190381409315</v>
      </c>
      <c r="GD617">
        <v>9.2912752244883183</v>
      </c>
      <c r="GE617">
        <v>8.8484584206156534</v>
      </c>
      <c r="GF617">
        <v>26.293874904195548</v>
      </c>
      <c r="GG617">
        <v>23.63926125350778</v>
      </c>
      <c r="GH617">
        <v>9.8235722872515403</v>
      </c>
      <c r="GI617">
        <v>27.299889181451629</v>
      </c>
      <c r="GJ617"/>
      <c r="GK617">
        <v>44.06139495330838</v>
      </c>
      <c r="GL617">
        <v>71.84319308169998</v>
      </c>
      <c r="GM617">
        <v>62.907553926451435</v>
      </c>
      <c r="GN617">
        <v>51.406061346810368</v>
      </c>
      <c r="GO617">
        <v>40.435561020410574</v>
      </c>
      <c r="GP617">
        <v>18.985477733815173</v>
      </c>
      <c r="GQ617">
        <v>35.426200140775961</v>
      </c>
      <c r="GR617">
        <v>35.556443523646465</v>
      </c>
      <c r="GS617">
        <v>11.689579385210433</v>
      </c>
      <c r="GT617">
        <v>38.904057885231353</v>
      </c>
      <c r="GU617"/>
      <c r="GV617"/>
      <c r="GW617"/>
      <c r="GX617"/>
      <c r="GY617"/>
      <c r="GZ617"/>
      <c r="HA617"/>
      <c r="HB617"/>
      <c r="HC617"/>
    </row>
    <row r="618" spans="1:211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46.819017094017099</v>
      </c>
      <c r="AO618">
        <v>34.715535689056274</v>
      </c>
      <c r="AP618">
        <v>8.8787935186208191</v>
      </c>
      <c r="AQ618">
        <v>239.27795409288001</v>
      </c>
      <c r="AR618">
        <v>33.480566970332355</v>
      </c>
      <c r="AS618">
        <v>326.26614179622158</v>
      </c>
      <c r="AT618">
        <v>27.145338855744658</v>
      </c>
      <c r="AU618">
        <v>21.963603862329045</v>
      </c>
      <c r="AV618"/>
      <c r="AW618"/>
      <c r="FY618" s="211">
        <v>613</v>
      </c>
      <c r="FZ618">
        <v>21.973584889522545</v>
      </c>
      <c r="GA618">
        <v>66.760617942502705</v>
      </c>
      <c r="GB618">
        <v>36.371698029467275</v>
      </c>
      <c r="GC618">
        <v>17.827142740180957</v>
      </c>
      <c r="GD618">
        <v>11.016965644316459</v>
      </c>
      <c r="GE618">
        <v>10.244600408881661</v>
      </c>
      <c r="GF618">
        <v>37.191069048982477</v>
      </c>
      <c r="GG618">
        <v>28.031771336577162</v>
      </c>
      <c r="GH618">
        <v>10.17240520027652</v>
      </c>
      <c r="GI618">
        <v>28.002128623207017</v>
      </c>
      <c r="GJ618"/>
      <c r="GK618">
        <v>22.726125450673592</v>
      </c>
      <c r="GL618">
        <v>59.000252440336439</v>
      </c>
      <c r="GM618">
        <v>64.434953598296389</v>
      </c>
      <c r="GN618">
        <v>58.876395272227484</v>
      </c>
      <c r="GO618">
        <v>47.941415868428727</v>
      </c>
      <c r="GP618">
        <v>21.981075539836677</v>
      </c>
      <c r="GQ618">
        <v>50.108181482541411</v>
      </c>
      <c r="GR618">
        <v>42.163335127440916</v>
      </c>
      <c r="GS618">
        <v>12.080309533821929</v>
      </c>
      <c r="GT618">
        <v>39.458197186752408</v>
      </c>
      <c r="GU618"/>
      <c r="GV618"/>
      <c r="GW618"/>
      <c r="GX618"/>
      <c r="GY618"/>
      <c r="GZ618"/>
      <c r="HA618"/>
      <c r="HB618"/>
      <c r="HC618"/>
    </row>
    <row r="619" spans="1:211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43.757745726495727</v>
      </c>
      <c r="AO619">
        <v>35.714375300764928</v>
      </c>
      <c r="AP619">
        <v>37.477154395727212</v>
      </c>
      <c r="AQ619">
        <v>253.34083990488011</v>
      </c>
      <c r="AR619">
        <v>34.678568255530976</v>
      </c>
      <c r="AS619">
        <v>316.81871043651341</v>
      </c>
      <c r="AT619">
        <v>26.646930315738974</v>
      </c>
      <c r="AU619">
        <v>29.038766114273862</v>
      </c>
      <c r="AV619"/>
      <c r="AW619"/>
      <c r="FY619" s="211">
        <v>614</v>
      </c>
      <c r="FZ619">
        <v>52.870795754926348</v>
      </c>
      <c r="GA619">
        <v>59.332946542277256</v>
      </c>
      <c r="GB619">
        <v>17.624433609648147</v>
      </c>
      <c r="GC619">
        <v>11.416793126420009</v>
      </c>
      <c r="GD619">
        <v>9.0116470927445782</v>
      </c>
      <c r="GE619">
        <v>12.098340774572641</v>
      </c>
      <c r="GF619">
        <v>25.13385101136339</v>
      </c>
      <c r="GG619">
        <v>22.600172846760184</v>
      </c>
      <c r="GH619">
        <v>15.112316705178326</v>
      </c>
      <c r="GI619">
        <v>25.076005083127452</v>
      </c>
      <c r="GJ619"/>
      <c r="GK619">
        <v>54.676632427150501</v>
      </c>
      <c r="GL619">
        <v>52.435985943663255</v>
      </c>
      <c r="GM619">
        <v>31.222890966318928</v>
      </c>
      <c r="GN619">
        <v>37.688662995351827</v>
      </c>
      <c r="GO619">
        <v>39.196936016565445</v>
      </c>
      <c r="GP619">
        <v>25.958508078266547</v>
      </c>
      <c r="GQ619">
        <v>33.863279546329963</v>
      </c>
      <c r="GR619">
        <v>33.993522929200466</v>
      </c>
      <c r="GS619">
        <v>18.299666838471367</v>
      </c>
      <c r="GT619">
        <v>35.45188115896724</v>
      </c>
      <c r="GU619"/>
      <c r="GV619"/>
      <c r="GW619"/>
      <c r="GX619"/>
      <c r="GY619"/>
      <c r="GZ619"/>
      <c r="HA619"/>
      <c r="HB619"/>
      <c r="HC619"/>
    </row>
    <row r="620" spans="1:211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51.770699786324784</v>
      </c>
      <c r="AO620">
        <v>42.444292380825935</v>
      </c>
      <c r="AP620">
        <v>36.343917098073696</v>
      </c>
      <c r="AQ620">
        <v>283.48805656700176</v>
      </c>
      <c r="AR620">
        <v>40.74661933884471</v>
      </c>
      <c r="AS620">
        <v>391.5175519370793</v>
      </c>
      <c r="AT620">
        <v>32.09285434595769</v>
      </c>
      <c r="AU620">
        <v>5.8863805675548484</v>
      </c>
      <c r="AV620"/>
      <c r="AW620"/>
      <c r="FY620" s="211">
        <v>615</v>
      </c>
      <c r="FZ620">
        <v>49.418277322601753</v>
      </c>
      <c r="GA620">
        <v>82.539825610284652</v>
      </c>
      <c r="GB620">
        <v>33.173635275498128</v>
      </c>
      <c r="GC620">
        <v>17.033090788527581</v>
      </c>
      <c r="GD620">
        <v>10.01032013954601</v>
      </c>
      <c r="GE620">
        <v>7.1488073044657323</v>
      </c>
      <c r="GF620">
        <v>25.880836093868943</v>
      </c>
      <c r="GG620">
        <v>24.135189811273673</v>
      </c>
      <c r="GH620">
        <v>9.4184886516744868</v>
      </c>
      <c r="GI620">
        <v>28.250250290415782</v>
      </c>
      <c r="GJ620"/>
      <c r="GK620">
        <v>52.906265510443973</v>
      </c>
      <c r="GL620">
        <v>75.281618389481196</v>
      </c>
      <c r="GM620">
        <v>58.769366443429654</v>
      </c>
      <c r="GN620">
        <v>56.253767153516961</v>
      </c>
      <c r="GO620">
        <v>43.560502080966451</v>
      </c>
      <c r="GP620">
        <v>15.338663013441176</v>
      </c>
      <c r="GQ620">
        <v>34.869705686692917</v>
      </c>
      <c r="GR620">
        <v>36.302382898268412</v>
      </c>
      <c r="GS620">
        <v>10.54971401251049</v>
      </c>
      <c r="GT620">
        <v>40.131110746808695</v>
      </c>
      <c r="GU620"/>
      <c r="GV620"/>
      <c r="GW620"/>
      <c r="GX620"/>
      <c r="GY620"/>
      <c r="GZ620"/>
      <c r="HA620"/>
      <c r="HB620"/>
      <c r="HC620"/>
    </row>
    <row r="621" spans="1:211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47.300347222222229</v>
      </c>
      <c r="AO621">
        <v>35.026392616082717</v>
      </c>
      <c r="AP621">
        <v>13.852818118180519</v>
      </c>
      <c r="AQ621">
        <v>234.75132515585051</v>
      </c>
      <c r="AR621">
        <v>33.558735481732825</v>
      </c>
      <c r="AS621">
        <v>327.29569694213745</v>
      </c>
      <c r="AT621">
        <v>27.113661730890758</v>
      </c>
      <c r="AU621">
        <v>19.22272898464675</v>
      </c>
      <c r="AV621"/>
      <c r="AW621"/>
      <c r="FY621" s="211">
        <v>616</v>
      </c>
      <c r="FZ621">
        <v>35.313608065609891</v>
      </c>
      <c r="GA621">
        <v>62.202153919191105</v>
      </c>
      <c r="GB621">
        <v>24.702277823761683</v>
      </c>
      <c r="GC621">
        <v>11.256789259854875</v>
      </c>
      <c r="GD621">
        <v>8.799064157217968</v>
      </c>
      <c r="GE621">
        <v>10.291294120863798</v>
      </c>
      <c r="GF621">
        <v>36.154077993268885</v>
      </c>
      <c r="GG621">
        <v>32.211740609175429</v>
      </c>
      <c r="GH621">
        <v>11.916569765401423</v>
      </c>
      <c r="GI621">
        <v>25.674779460565691</v>
      </c>
      <c r="GJ621"/>
      <c r="GK621">
        <v>38.321696349405272</v>
      </c>
      <c r="GL621">
        <v>57.308031553352222</v>
      </c>
      <c r="GM621">
        <v>43.761776644487966</v>
      </c>
      <c r="GN621">
        <v>37.164035627769913</v>
      </c>
      <c r="GO621">
        <v>38.276113743048803</v>
      </c>
      <c r="GP621">
        <v>22.081262757429361</v>
      </c>
      <c r="GQ621">
        <v>48.711025193566954</v>
      </c>
      <c r="GR621">
        <v>48.450538427825947</v>
      </c>
      <c r="GS621">
        <v>14.033960276879426</v>
      </c>
      <c r="GT621">
        <v>36.62091444147768</v>
      </c>
      <c r="GU621"/>
      <c r="GV621"/>
      <c r="GW621"/>
      <c r="GX621"/>
      <c r="GY621"/>
      <c r="GZ621"/>
      <c r="HA621"/>
      <c r="HB621"/>
      <c r="HC621"/>
    </row>
    <row r="622" spans="1:211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45.963648504273507</v>
      </c>
      <c r="AO622">
        <v>34.547507647945892</v>
      </c>
      <c r="AP622">
        <v>5.3049729946681117</v>
      </c>
      <c r="AQ622">
        <v>224.56076278395741</v>
      </c>
      <c r="AR622">
        <v>33.576460663893869</v>
      </c>
      <c r="AS622">
        <v>319.69277632842966</v>
      </c>
      <c r="AT622">
        <v>27.591500817121116</v>
      </c>
      <c r="AU622">
        <v>16.954561661028478</v>
      </c>
      <c r="AV622"/>
      <c r="AW622"/>
      <c r="FY622" s="211">
        <v>617</v>
      </c>
      <c r="FZ622">
        <v>25.533115834857519</v>
      </c>
      <c r="GA622">
        <v>67.202741240135168</v>
      </c>
      <c r="GB622">
        <v>38.687536575444931</v>
      </c>
      <c r="GC622">
        <v>16.163342618527668</v>
      </c>
      <c r="GD622">
        <v>8.8184602331701889</v>
      </c>
      <c r="GE622">
        <v>8.1947464528656848</v>
      </c>
      <c r="GF622">
        <v>18.24401213272392</v>
      </c>
      <c r="GG622">
        <v>13.484533642110833</v>
      </c>
      <c r="GH622">
        <v>8.023156999574562</v>
      </c>
      <c r="GI622">
        <v>23.752420123738244</v>
      </c>
      <c r="GJ622"/>
      <c r="GK622">
        <v>26.402138866193614</v>
      </c>
      <c r="GL622">
        <v>59.390982588947935</v>
      </c>
      <c r="GM622">
        <v>68.537620158717132</v>
      </c>
      <c r="GN622">
        <v>53.381126387268303</v>
      </c>
      <c r="GO622">
        <v>38.373536588326616</v>
      </c>
      <c r="GP622">
        <v>17.582856687517484</v>
      </c>
      <c r="GQ622">
        <v>24.580478439923432</v>
      </c>
      <c r="GR622">
        <v>20.282446805196937</v>
      </c>
      <c r="GS622">
        <v>8.9867934180644919</v>
      </c>
      <c r="GT622">
        <v>33.376113494245054</v>
      </c>
      <c r="GU622"/>
      <c r="GV622"/>
      <c r="GW622"/>
      <c r="GX622"/>
      <c r="GY622"/>
      <c r="GZ622"/>
      <c r="HA622"/>
      <c r="HB622"/>
      <c r="HC622"/>
    </row>
    <row r="623" spans="1:211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45.046848290598305</v>
      </c>
      <c r="AO623">
        <v>35.027480429777796</v>
      </c>
      <c r="AP623">
        <v>35.736358298743895</v>
      </c>
      <c r="AQ623">
        <v>230.89255746868002</v>
      </c>
      <c r="AR623">
        <v>34.151211043735557</v>
      </c>
      <c r="AS623">
        <v>309.22565078785453</v>
      </c>
      <c r="AT623">
        <v>26.487609779915843</v>
      </c>
      <c r="AU623">
        <v>34.555710324052377</v>
      </c>
      <c r="AV623"/>
      <c r="AW623"/>
      <c r="FY623" s="211">
        <v>618</v>
      </c>
      <c r="FZ623">
        <v>49.97294104054069</v>
      </c>
      <c r="GA623">
        <v>83.728964456195101</v>
      </c>
      <c r="GB623">
        <v>26.978015269376083</v>
      </c>
      <c r="GC623">
        <v>11.00273894846983</v>
      </c>
      <c r="GD623">
        <v>7.7766751335656998</v>
      </c>
      <c r="GE623">
        <v>10.912320490226268</v>
      </c>
      <c r="GF623">
        <v>36.80439441803842</v>
      </c>
      <c r="GG623">
        <v>31.149036556819944</v>
      </c>
      <c r="GH623">
        <v>9.0696557386495051</v>
      </c>
      <c r="GI623">
        <v>27.370184198790046</v>
      </c>
      <c r="GJ623"/>
      <c r="GK623">
        <v>55.288857348963106</v>
      </c>
      <c r="GL623">
        <v>78.66888943444647</v>
      </c>
      <c r="GM623">
        <v>47.793401359706607</v>
      </c>
      <c r="GN623">
        <v>36.321107475211576</v>
      </c>
      <c r="GO623">
        <v>33.822347189161114</v>
      </c>
      <c r="GP623">
        <v>23.413752751412169</v>
      </c>
      <c r="GQ623">
        <v>49.587207951059405</v>
      </c>
      <c r="GR623">
        <v>46.852096910778911</v>
      </c>
      <c r="GS623">
        <v>10.158983863898991</v>
      </c>
      <c r="GT623">
        <v>39.330159542557844</v>
      </c>
      <c r="GU623"/>
      <c r="GV623"/>
      <c r="GW623"/>
      <c r="GX623"/>
      <c r="GY623"/>
      <c r="GZ623"/>
      <c r="HA623"/>
      <c r="HB623"/>
      <c r="HC623"/>
    </row>
    <row r="624" spans="1:211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50.832238247863245</v>
      </c>
      <c r="AO624">
        <v>39.008849150102627</v>
      </c>
      <c r="AP624">
        <v>40.527758613294296</v>
      </c>
      <c r="AQ624">
        <v>259.82112908329748</v>
      </c>
      <c r="AR624">
        <v>37.738015177393777</v>
      </c>
      <c r="AS624">
        <v>356.35053289606623</v>
      </c>
      <c r="AT624">
        <v>29.224280273014674</v>
      </c>
      <c r="AU624">
        <v>36.922354933871645</v>
      </c>
      <c r="AV624"/>
      <c r="AW624"/>
      <c r="FY624" s="211">
        <v>619</v>
      </c>
      <c r="FZ624">
        <v>58.466073953419183</v>
      </c>
      <c r="GA624">
        <v>87.570843087900371</v>
      </c>
      <c r="GB624">
        <v>30.547013201705294</v>
      </c>
      <c r="GC624">
        <v>13.656806679337361</v>
      </c>
      <c r="GD624">
        <v>8.1651969387177754</v>
      </c>
      <c r="GE624">
        <v>8.3768519295960306</v>
      </c>
      <c r="GF624">
        <v>16.477612114093134</v>
      </c>
      <c r="GG624">
        <v>12.681601691442234</v>
      </c>
      <c r="GH624">
        <v>10.17240520027652</v>
      </c>
      <c r="GI624">
        <v>26.007117109726252</v>
      </c>
      <c r="GJ624"/>
      <c r="GK624">
        <v>65.86871314695189</v>
      </c>
      <c r="GL624">
        <v>84.40054137108072</v>
      </c>
      <c r="GM624">
        <v>54.116125582692703</v>
      </c>
      <c r="GN624">
        <v>45.094754028567621</v>
      </c>
      <c r="GO624">
        <v>35.521865387585883</v>
      </c>
      <c r="GP624">
        <v>17.97358683612898</v>
      </c>
      <c r="GQ624">
        <v>22.200576625653387</v>
      </c>
      <c r="GR624">
        <v>19.074735436761387</v>
      </c>
      <c r="GS624">
        <v>12.080309533821929</v>
      </c>
      <c r="GT624">
        <v>37.957518055341161</v>
      </c>
      <c r="GU624"/>
      <c r="GV624"/>
      <c r="GW624"/>
      <c r="GX624"/>
      <c r="GY624"/>
      <c r="GZ624"/>
      <c r="HA624"/>
      <c r="HB624"/>
      <c r="HC624"/>
    </row>
    <row r="625" spans="1:211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47.413942307692295</v>
      </c>
      <c r="AO625">
        <v>37.095728302700458</v>
      </c>
      <c r="AP625">
        <v>14.830327102790976</v>
      </c>
      <c r="AQ625">
        <v>250.20269657932545</v>
      </c>
      <c r="AR625">
        <v>34.830335860469802</v>
      </c>
      <c r="AS625">
        <v>346.14237931984434</v>
      </c>
      <c r="AT625">
        <v>28.105706954692323</v>
      </c>
      <c r="AU625">
        <v>15.640835144281686</v>
      </c>
      <c r="AV625"/>
      <c r="AW625"/>
      <c r="FY625" s="211">
        <v>620</v>
      </c>
      <c r="FZ625">
        <v>42.985312342691174</v>
      </c>
      <c r="GA625">
        <v>75.691508554678578</v>
      </c>
      <c r="GB625">
        <v>26.988040544466898</v>
      </c>
      <c r="GC625">
        <v>9.7224586264117878</v>
      </c>
      <c r="GD625">
        <v>7.7055667014122298</v>
      </c>
      <c r="GE625">
        <v>9.4694847899781251</v>
      </c>
      <c r="GF625">
        <v>20.880430070978818</v>
      </c>
      <c r="GG625">
        <v>18.184047118082908</v>
      </c>
      <c r="GH625">
        <v>11.511486129824371</v>
      </c>
      <c r="GI625">
        <v>23.742821045535795</v>
      </c>
      <c r="GJ625"/>
      <c r="GK625">
        <v>44.453871732044895</v>
      </c>
      <c r="GL625">
        <v>66.893001442288735</v>
      </c>
      <c r="GM625">
        <v>47.81116182100714</v>
      </c>
      <c r="GN625">
        <v>32.096384003354103</v>
      </c>
      <c r="GO625">
        <v>33.517220907395917</v>
      </c>
      <c r="GP625">
        <v>20.317967727797981</v>
      </c>
      <c r="GQ625">
        <v>28.132570700027973</v>
      </c>
      <c r="GR625">
        <v>27.351110402804977</v>
      </c>
      <c r="GS625">
        <v>12.894094904179488</v>
      </c>
      <c r="GT625">
        <v>33.361784012931075</v>
      </c>
      <c r="GU625"/>
      <c r="GV625"/>
      <c r="GW625"/>
      <c r="GX625"/>
      <c r="GY625"/>
      <c r="GZ625"/>
      <c r="HA625"/>
      <c r="HB625"/>
      <c r="HC625"/>
    </row>
    <row r="626" spans="1:211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51.155422008547006</v>
      </c>
      <c r="AO626">
        <v>38.053936476165042</v>
      </c>
      <c r="AP626">
        <v>3.4552397609339875</v>
      </c>
      <c r="AQ626">
        <v>257.54744385658569</v>
      </c>
      <c r="AR626">
        <v>36.553936342408157</v>
      </c>
      <c r="AS626">
        <v>360.79603629899782</v>
      </c>
      <c r="AT626">
        <v>30.118595554127207</v>
      </c>
      <c r="AU626">
        <v>27.758349432877612</v>
      </c>
      <c r="AV626"/>
      <c r="AW626"/>
      <c r="FY626" s="211">
        <v>621</v>
      </c>
      <c r="FZ626">
        <v>47.778974111870255</v>
      </c>
      <c r="GA626">
        <v>73.383279291595358</v>
      </c>
      <c r="GB626">
        <v>26.566978990652775</v>
      </c>
      <c r="GC626">
        <v>11.339241606979158</v>
      </c>
      <c r="GD626">
        <v>7.577695515671123</v>
      </c>
      <c r="GE626">
        <v>10.804924952667351</v>
      </c>
      <c r="GF626">
        <v>18.63068676366797</v>
      </c>
      <c r="GG626">
        <v>16.34202676066672</v>
      </c>
      <c r="GH626">
        <v>13.31190141750135</v>
      </c>
      <c r="GI626">
        <v>24.03267311242405</v>
      </c>
      <c r="GJ626"/>
      <c r="GK626">
        <v>53.011403307072641</v>
      </c>
      <c r="GL626">
        <v>69.525803956937381</v>
      </c>
      <c r="GM626">
        <v>47.065222446385178</v>
      </c>
      <c r="GN626">
        <v>37.436362701044601</v>
      </c>
      <c r="GO626">
        <v>32.960726453312887</v>
      </c>
      <c r="GP626">
        <v>23.183322150948985</v>
      </c>
      <c r="GQ626">
        <v>25.101451971405428</v>
      </c>
      <c r="GR626">
        <v>24.580478439923432</v>
      </c>
      <c r="GS626">
        <v>15.596880871325428</v>
      </c>
      <c r="GT626">
        <v>34.747137009900314</v>
      </c>
      <c r="GU626"/>
      <c r="GV626"/>
      <c r="GW626"/>
      <c r="GX626"/>
      <c r="GY626"/>
      <c r="GZ626"/>
      <c r="HA626"/>
      <c r="HB626"/>
      <c r="HC626"/>
    </row>
    <row r="627" spans="1:211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50.919925213675207</v>
      </c>
      <c r="AO627">
        <v>40.318634175244995</v>
      </c>
      <c r="AP627">
        <v>45.669072642487045</v>
      </c>
      <c r="AQ627">
        <v>279.17758651678184</v>
      </c>
      <c r="AR627">
        <v>38.851968489944369</v>
      </c>
      <c r="AS627">
        <v>365.75678166911092</v>
      </c>
      <c r="AT627">
        <v>29.89078594111362</v>
      </c>
      <c r="AU627">
        <v>29.809417028551824</v>
      </c>
      <c r="AV627"/>
      <c r="AW627"/>
      <c r="FY627" s="211">
        <v>622</v>
      </c>
      <c r="FZ627">
        <v>53.453922815730536</v>
      </c>
      <c r="GA627">
        <v>74.974923163072233</v>
      </c>
      <c r="GB627">
        <v>26.426625139381407</v>
      </c>
      <c r="GC627">
        <v>15.263185787703879</v>
      </c>
      <c r="GD627">
        <v>8.9965116700924082</v>
      </c>
      <c r="GE627">
        <v>11.169135906128044</v>
      </c>
      <c r="GF627">
        <v>25.88083609386895</v>
      </c>
      <c r="GG627">
        <v>15.302938353919126</v>
      </c>
      <c r="GH627">
        <v>8.0794077221266356</v>
      </c>
      <c r="GI627">
        <v>26.268600539323863</v>
      </c>
      <c r="GJ627"/>
      <c r="GK627">
        <v>58.875505554817074</v>
      </c>
      <c r="GL627">
        <v>70.932432491938783</v>
      </c>
      <c r="GM627">
        <v>46.816575988177867</v>
      </c>
      <c r="GN627">
        <v>50.404210499985616</v>
      </c>
      <c r="GO627">
        <v>39.144078035454214</v>
      </c>
      <c r="GP627">
        <v>23.964782448171977</v>
      </c>
      <c r="GQ627">
        <v>34.869705686692924</v>
      </c>
      <c r="GR627">
        <v>23.017557845477437</v>
      </c>
      <c r="GS627">
        <v>9.7359286421529347</v>
      </c>
      <c r="GT627">
        <v>37.888358781458997</v>
      </c>
      <c r="GU627"/>
      <c r="GV627"/>
      <c r="GW627"/>
      <c r="GX627"/>
      <c r="GY627"/>
      <c r="GZ627"/>
      <c r="HA627"/>
      <c r="HB627"/>
      <c r="HC627"/>
    </row>
    <row r="628" spans="1:211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52.884294871794864</v>
      </c>
      <c r="AO628">
        <v>41.12155229973601</v>
      </c>
      <c r="AP628">
        <v>33.504311303096856</v>
      </c>
      <c r="AQ628">
        <v>275.78859259766972</v>
      </c>
      <c r="AR628">
        <v>38.904057885231367</v>
      </c>
      <c r="AS628">
        <v>354.91433197682665</v>
      </c>
      <c r="AT628">
        <v>31.020642419168841</v>
      </c>
      <c r="AU628">
        <v>37.025331357398755</v>
      </c>
      <c r="AV628"/>
      <c r="AW628"/>
      <c r="FY628" s="211">
        <v>623</v>
      </c>
      <c r="FZ628">
        <v>52.007299695201006</v>
      </c>
      <c r="GA628">
        <v>87.668455862821276</v>
      </c>
      <c r="GB628">
        <v>36.171192527651023</v>
      </c>
      <c r="GC628">
        <v>17.882231953070463</v>
      </c>
      <c r="GD628">
        <v>9.3515483856887105</v>
      </c>
      <c r="GE628">
        <v>9.1659756620942101</v>
      </c>
      <c r="GF628">
        <v>23.218053976231495</v>
      </c>
      <c r="GG628">
        <v>17.074111774511611</v>
      </c>
      <c r="GH628">
        <v>5.581326608399694</v>
      </c>
      <c r="GI628">
        <v>27.857353298947608</v>
      </c>
      <c r="GJ628"/>
      <c r="GK628">
        <v>55.580749738089779</v>
      </c>
      <c r="GL628">
        <v>79.814088113374595</v>
      </c>
      <c r="GM628">
        <v>64.07974437228593</v>
      </c>
      <c r="GN628">
        <v>59.062186356666473</v>
      </c>
      <c r="GO628">
        <v>40.697869371925989</v>
      </c>
      <c r="GP628">
        <v>19.666750813445482</v>
      </c>
      <c r="GQ628">
        <v>31.282092503987329</v>
      </c>
      <c r="GR628">
        <v>25.681627040555835</v>
      </c>
      <c r="GS628">
        <v>6.2516823777839932</v>
      </c>
      <c r="GT628">
        <v>39.578427672814605</v>
      </c>
      <c r="GU628"/>
      <c r="GV628"/>
      <c r="GW628"/>
      <c r="GX628"/>
      <c r="GY628"/>
      <c r="GZ628"/>
      <c r="HA628"/>
      <c r="HB628"/>
      <c r="HC628"/>
    </row>
    <row r="629" spans="1:211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55.73370726495726</v>
      </c>
      <c r="AO629">
        <v>41.877024150035595</v>
      </c>
      <c r="AP629">
        <v>6.3930904352281752</v>
      </c>
      <c r="AQ629">
        <v>267.59198386391478</v>
      </c>
      <c r="AR629">
        <v>39.458197186752429</v>
      </c>
      <c r="AS629">
        <v>391.57265825175324</v>
      </c>
      <c r="AT629">
        <v>32.502468541437416</v>
      </c>
      <c r="AU629">
        <v>15.60512135605401</v>
      </c>
      <c r="AV629"/>
      <c r="AW629"/>
      <c r="FY629" s="211">
        <v>624</v>
      </c>
      <c r="FZ629">
        <v>41.552360225983143</v>
      </c>
      <c r="GA629">
        <v>79.710236505436853</v>
      </c>
      <c r="GB629">
        <v>31.198656082608093</v>
      </c>
      <c r="GC629">
        <v>11.220877554513574</v>
      </c>
      <c r="GD629">
        <v>7.4739391212007726</v>
      </c>
      <c r="GE629">
        <v>10.95901420220841</v>
      </c>
      <c r="GF629">
        <v>27.910877906325226</v>
      </c>
      <c r="GG629">
        <v>21.537468794404692</v>
      </c>
      <c r="GH629">
        <v>11.218903939351463</v>
      </c>
      <c r="GI629">
        <v>25.718891409675468</v>
      </c>
      <c r="GJ629"/>
      <c r="GK629">
        <v>44.775928400752861</v>
      </c>
      <c r="GL629">
        <v>72.780945438367596</v>
      </c>
      <c r="GM629">
        <v>55.270555567226673</v>
      </c>
      <c r="GN629">
        <v>37.049265059430837</v>
      </c>
      <c r="GO629">
        <v>32.513516481143498</v>
      </c>
      <c r="GP629">
        <v>23.513939969004863</v>
      </c>
      <c r="GQ629">
        <v>37.604816726973418</v>
      </c>
      <c r="GR629">
        <v>32.395081412153424</v>
      </c>
      <c r="GS629">
        <v>13.252499979656431</v>
      </c>
      <c r="GT629">
        <v>36.683463431150571</v>
      </c>
      <c r="GU629"/>
      <c r="GV629"/>
      <c r="GW629"/>
      <c r="GX629"/>
      <c r="GY629"/>
      <c r="GZ629"/>
      <c r="HA629"/>
      <c r="HB629"/>
      <c r="HC629"/>
    </row>
    <row r="630" spans="1:211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48.786805555555553</v>
      </c>
      <c r="AO630">
        <v>36.278796690028557</v>
      </c>
      <c r="AP630">
        <v>21.880657940286589</v>
      </c>
      <c r="AQ630">
        <v>250.27730254701834</v>
      </c>
      <c r="AR630">
        <v>35.451881158967254</v>
      </c>
      <c r="AS630">
        <v>335.44910270204002</v>
      </c>
      <c r="AT630">
        <v>28.372106786590592</v>
      </c>
      <c r="AU630">
        <v>44.633156733745999</v>
      </c>
      <c r="AV630"/>
      <c r="AW630"/>
      <c r="FY630" s="211">
        <v>625</v>
      </c>
      <c r="FZ630">
        <v>47.660800528758244</v>
      </c>
      <c r="GA630">
        <v>65.876371347237765</v>
      </c>
      <c r="GB630">
        <v>21.604467820700656</v>
      </c>
      <c r="GC630">
        <v>11.255761239835387</v>
      </c>
      <c r="GD630">
        <v>7.3726467252945564</v>
      </c>
      <c r="GE630">
        <v>9.0912657229227865</v>
      </c>
      <c r="GF630">
        <v>21.170436044186854</v>
      </c>
      <c r="GG630">
        <v>19.482907626517402</v>
      </c>
      <c r="GH630">
        <v>14.009567243551309</v>
      </c>
      <c r="GI630">
        <v>23.341887405903464</v>
      </c>
      <c r="GJ630"/>
      <c r="GK630">
        <v>49.295775556255563</v>
      </c>
      <c r="GL630">
        <v>58.21879214311344</v>
      </c>
      <c r="GM630">
        <v>38.273794102626439</v>
      </c>
      <c r="GN630">
        <v>37.164480359662434</v>
      </c>
      <c r="GO630">
        <v>32.072692723735656</v>
      </c>
      <c r="GP630">
        <v>19.506451265297176</v>
      </c>
      <c r="GQ630">
        <v>28.523300848639469</v>
      </c>
      <c r="GR630">
        <v>29.304761145862471</v>
      </c>
      <c r="GS630">
        <v>16.378341168548427</v>
      </c>
      <c r="GT630">
        <v>32.908780879961107</v>
      </c>
      <c r="GU630"/>
      <c r="GV630"/>
      <c r="GW630"/>
      <c r="GX630"/>
      <c r="GY630"/>
      <c r="GZ630"/>
      <c r="HA630"/>
      <c r="HB630"/>
      <c r="HC630"/>
    </row>
    <row r="631" spans="1:211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54.881276709401696</v>
      </c>
      <c r="AO631">
        <v>42.396309593555991</v>
      </c>
      <c r="AP631">
        <v>22.614798062380235</v>
      </c>
      <c r="AQ631">
        <v>287.00872128815672</v>
      </c>
      <c r="AR631">
        <v>40.131110746808723</v>
      </c>
      <c r="AS631">
        <v>380.94963010783204</v>
      </c>
      <c r="AT631">
        <v>32.160364493327762</v>
      </c>
      <c r="AU631">
        <v>36.699220971624932</v>
      </c>
      <c r="AV631"/>
      <c r="AW631"/>
      <c r="FY631" s="211">
        <v>626</v>
      </c>
      <c r="FZ631">
        <v>35.671060428099423</v>
      </c>
      <c r="GA631">
        <v>81.301880376913715</v>
      </c>
      <c r="GB631">
        <v>36.933113434552766</v>
      </c>
      <c r="GC631">
        <v>16.004003827562062</v>
      </c>
      <c r="GD631">
        <v>9.322268681526932</v>
      </c>
      <c r="GE631">
        <v>6.1308843832550668</v>
      </c>
      <c r="GF631">
        <v>24.843845038155354</v>
      </c>
      <c r="GG631">
        <v>20.781768134951896</v>
      </c>
      <c r="GH631">
        <v>13.255650694949276</v>
      </c>
      <c r="GI631">
        <v>27.159589300788912</v>
      </c>
      <c r="GJ631"/>
      <c r="GK631">
        <v>38.694907280929144</v>
      </c>
      <c r="GL631">
        <v>74.187573973368998</v>
      </c>
      <c r="GM631">
        <v>65.429539431125662</v>
      </c>
      <c r="GN631">
        <v>52.843335181026248</v>
      </c>
      <c r="GO631">
        <v>40.553095961064535</v>
      </c>
      <c r="GP631">
        <v>13.154581669920487</v>
      </c>
      <c r="GQ631">
        <v>33.472549397718467</v>
      </c>
      <c r="GR631">
        <v>31.258411888919973</v>
      </c>
      <c r="GS631">
        <v>14.847745647236984</v>
      </c>
      <c r="GT631">
        <v>38.59956754361496</v>
      </c>
      <c r="GU631"/>
      <c r="GV631"/>
      <c r="GW631"/>
      <c r="GX631"/>
      <c r="GY631"/>
      <c r="GZ631"/>
      <c r="HA631"/>
      <c r="HB631"/>
      <c r="HC631"/>
    </row>
    <row r="632" spans="1:211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49.43028846153846</v>
      </c>
      <c r="AO632">
        <v>38.472935501524361</v>
      </c>
      <c r="AP632">
        <v>26.970113422633688</v>
      </c>
      <c r="AQ632">
        <v>258.52235517491073</v>
      </c>
      <c r="AR632">
        <v>36.620914441477709</v>
      </c>
      <c r="AS632">
        <v>349.74347472820961</v>
      </c>
      <c r="AT632">
        <v>29.073599578786048</v>
      </c>
      <c r="AU632">
        <v>25.243512083987937</v>
      </c>
      <c r="AV632"/>
      <c r="AW632"/>
      <c r="FY632" s="211">
        <v>627</v>
      </c>
      <c r="FZ632">
        <v>44.966931105513986</v>
      </c>
      <c r="GA632">
        <v>89.132056802705605</v>
      </c>
      <c r="GB632">
        <v>37.484503564547445</v>
      </c>
      <c r="GC632">
        <v>13.595800781393017</v>
      </c>
      <c r="GD632">
        <v>8.4301950929803873</v>
      </c>
      <c r="GE632">
        <v>7.5130182579264302</v>
      </c>
      <c r="GF632">
        <v>38.904740708848159</v>
      </c>
      <c r="GG632">
        <v>32.943825623020331</v>
      </c>
      <c r="GH632">
        <v>10.521238113301502</v>
      </c>
      <c r="GI632">
        <v>30.449689020820077</v>
      </c>
      <c r="GJ632"/>
      <c r="GK632">
        <v>46.491968541968561</v>
      </c>
      <c r="GL632">
        <v>78.771197960078325</v>
      </c>
      <c r="GM632">
        <v>66.406364802654409</v>
      </c>
      <c r="GN632">
        <v>44.897101307492775</v>
      </c>
      <c r="GO632">
        <v>36.679472482673994</v>
      </c>
      <c r="GP632">
        <v>16.120123310664177</v>
      </c>
      <c r="GQ632">
        <v>52.417041451609357</v>
      </c>
      <c r="GR632">
        <v>49.55168702845836</v>
      </c>
      <c r="GS632">
        <v>12.471039682433432</v>
      </c>
      <c r="GT632">
        <v>42.893177392267958</v>
      </c>
      <c r="GU632"/>
      <c r="GV632"/>
      <c r="GW632"/>
      <c r="GX632"/>
      <c r="GY632"/>
      <c r="GZ632"/>
      <c r="HA632"/>
      <c r="HB632"/>
      <c r="HC632"/>
    </row>
    <row r="633" spans="1:211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47.28031517094017</v>
      </c>
      <c r="AO633">
        <v>35.089409343440096</v>
      </c>
      <c r="AP633">
        <v>5.6594409326183008</v>
      </c>
      <c r="AQ633">
        <v>228.10406585314868</v>
      </c>
      <c r="AR633">
        <v>33.376113494245054</v>
      </c>
      <c r="AS633">
        <v>325.0618019547814</v>
      </c>
      <c r="AT633">
        <v>27.364306532776336</v>
      </c>
      <c r="AU633">
        <v>23.307266156462358</v>
      </c>
      <c r="AV633"/>
      <c r="AW633"/>
      <c r="FY633" s="211">
        <v>628</v>
      </c>
      <c r="FZ633">
        <v>41.057966201041239</v>
      </c>
      <c r="GA633">
        <v>92.306156430264963</v>
      </c>
      <c r="GB633">
        <v>48.622584190439987</v>
      </c>
      <c r="GC633">
        <v>14.346959834686523</v>
      </c>
      <c r="GD633">
        <v>5.6336767851487313</v>
      </c>
      <c r="GE633">
        <v>11.33723326926375</v>
      </c>
      <c r="GF633">
        <v>33.394627217895419</v>
      </c>
      <c r="GG633">
        <v>24.890890470726479</v>
      </c>
      <c r="GH633">
        <v>12.209151955874333</v>
      </c>
      <c r="GI633">
        <v>30.034850418833155</v>
      </c>
      <c r="GJ633"/>
      <c r="GK633">
        <v>46.067625841731711</v>
      </c>
      <c r="GL633">
        <v>86.249054317509547</v>
      </c>
      <c r="GM633">
        <v>86.138237307535135</v>
      </c>
      <c r="GN633">
        <v>47.370380721803642</v>
      </c>
      <c r="GO633">
        <v>24.500371324053621</v>
      </c>
      <c r="GP633">
        <v>24.325456431505671</v>
      </c>
      <c r="GQ633">
        <v>44.993168627990869</v>
      </c>
      <c r="GR633">
        <v>37.439052421501877</v>
      </c>
      <c r="GS633">
        <v>13.675555201402489</v>
      </c>
      <c r="GT633">
        <v>43.074991660542764</v>
      </c>
      <c r="GU633"/>
      <c r="GV633"/>
      <c r="GW633"/>
      <c r="GX633"/>
      <c r="GY633"/>
      <c r="GZ633"/>
      <c r="HA633"/>
      <c r="HB633"/>
      <c r="HC633"/>
    </row>
    <row r="634" spans="1:211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52.283253205128212</v>
      </c>
      <c r="AO634">
        <v>42.12368038271962</v>
      </c>
      <c r="AP634">
        <v>29.421636444726026</v>
      </c>
      <c r="AQ634">
        <v>294.76492625067158</v>
      </c>
      <c r="AR634">
        <v>39.330159542557851</v>
      </c>
      <c r="AS634">
        <v>375.94106529962653</v>
      </c>
      <c r="AT634">
        <v>30.931223247802283</v>
      </c>
      <c r="AU634">
        <v>12.348457468237198</v>
      </c>
      <c r="AV634"/>
      <c r="AW634"/>
      <c r="FY634" s="211">
        <v>629</v>
      </c>
      <c r="FZ634">
        <v>31.644066071352455</v>
      </c>
      <c r="GA634">
        <v>44.91972703945877</v>
      </c>
      <c r="GB634">
        <v>25.353920704664478</v>
      </c>
      <c r="GC634">
        <v>14.808633370556619</v>
      </c>
      <c r="GD634">
        <v>9.1647466111571436</v>
      </c>
      <c r="GE634">
        <v>12.780068969511897</v>
      </c>
      <c r="GF634">
        <v>26.434483860902478</v>
      </c>
      <c r="GG634">
        <v>20.734536843736095</v>
      </c>
      <c r="GH634">
        <v>14.009567243551309</v>
      </c>
      <c r="GI634">
        <v>24.047131007324964</v>
      </c>
      <c r="GJ634"/>
      <c r="GK634">
        <v>32.728817255127979</v>
      </c>
      <c r="GL634">
        <v>39.698183098928354</v>
      </c>
      <c r="GM634">
        <v>44.916206629021929</v>
      </c>
      <c r="GN634">
        <v>48.883695097550145</v>
      </c>
      <c r="GO634">
        <v>39.854549810230559</v>
      </c>
      <c r="GP634">
        <v>27.421241455119858</v>
      </c>
      <c r="GQ634">
        <v>35.615645061314872</v>
      </c>
      <c r="GR634">
        <v>31.187370043717877</v>
      </c>
      <c r="GS634">
        <v>16.378341168548427</v>
      </c>
      <c r="GT634">
        <v>33.898711984848752</v>
      </c>
      <c r="GU634"/>
      <c r="GV634"/>
      <c r="GW634"/>
      <c r="GX634"/>
      <c r="GY634"/>
      <c r="GZ634"/>
      <c r="HA634"/>
      <c r="HB634"/>
      <c r="HC634"/>
    </row>
    <row r="635" spans="1:211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46.206597222222214</v>
      </c>
      <c r="AO635">
        <v>39.428872600458568</v>
      </c>
      <c r="AP635">
        <v>54.176091712829994</v>
      </c>
      <c r="AQ635">
        <v>272.12152190621418</v>
      </c>
      <c r="AR635">
        <v>37.95751805534114</v>
      </c>
      <c r="AS635">
        <v>363.2292898736286</v>
      </c>
      <c r="AT635">
        <v>28.860635348877889</v>
      </c>
      <c r="AU635">
        <v>23.215115778303417</v>
      </c>
      <c r="AV635"/>
      <c r="AW635"/>
      <c r="FY635" s="211">
        <v>630</v>
      </c>
      <c r="FZ635">
        <v>51.373942676279142</v>
      </c>
      <c r="GA635">
        <v>80.152359803069317</v>
      </c>
      <c r="GB635">
        <v>30.09587582261873</v>
      </c>
      <c r="GC635">
        <v>10.771513888056093</v>
      </c>
      <c r="GD635">
        <v>5.710435826164737</v>
      </c>
      <c r="GE635">
        <v>8.0733428017121192</v>
      </c>
      <c r="GF635">
        <v>20.660728576124242</v>
      </c>
      <c r="GG635">
        <v>14.263849947171526</v>
      </c>
      <c r="GH635">
        <v>11.972820487953497</v>
      </c>
      <c r="GI635">
        <v>24.54379090093936</v>
      </c>
      <c r="GJ635"/>
      <c r="GK635">
        <v>54.934912264651842</v>
      </c>
      <c r="GL635">
        <v>73.171675586979106</v>
      </c>
      <c r="GM635">
        <v>53.316904824169178</v>
      </c>
      <c r="GN635">
        <v>35.557407639289103</v>
      </c>
      <c r="GO635">
        <v>24.830089013773385</v>
      </c>
      <c r="GP635">
        <v>17.322369921776485</v>
      </c>
      <c r="GQ635">
        <v>27.836563011685925</v>
      </c>
      <c r="GR635">
        <v>21.454637251031432</v>
      </c>
      <c r="GS635">
        <v>14.783095500967869</v>
      </c>
      <c r="GT635">
        <v>35.140312923049642</v>
      </c>
      <c r="GU635"/>
      <c r="GV635"/>
      <c r="GW635"/>
      <c r="GX635"/>
      <c r="GY635"/>
      <c r="GZ635"/>
      <c r="HA635"/>
      <c r="HB635"/>
      <c r="HC635"/>
    </row>
    <row r="636" spans="1:211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47.05416666666666</v>
      </c>
      <c r="AO636">
        <v>34.682916765383233</v>
      </c>
      <c r="AP636">
        <v>9.4133292135236477</v>
      </c>
      <c r="AQ636">
        <v>246.88115592406069</v>
      </c>
      <c r="AR636">
        <v>33.361784012931096</v>
      </c>
      <c r="AS636">
        <v>337.63814602118845</v>
      </c>
      <c r="AT636">
        <v>27.137353780478126</v>
      </c>
      <c r="AU636">
        <v>31.830815704294881</v>
      </c>
      <c r="AV636"/>
      <c r="AW636"/>
      <c r="FY636" s="211">
        <v>631</v>
      </c>
      <c r="FZ636">
        <v>35.909362003092461</v>
      </c>
      <c r="GA636">
        <v>52.475441371276794</v>
      </c>
      <c r="GB636">
        <v>18.636986393820195</v>
      </c>
      <c r="GC636">
        <v>9.9487828591420975</v>
      </c>
      <c r="GD636">
        <v>8.1138281290303969</v>
      </c>
      <c r="GE636">
        <v>11.430620693228033</v>
      </c>
      <c r="GF636">
        <v>28.684227168213329</v>
      </c>
      <c r="GG636">
        <v>20.238608285970198</v>
      </c>
      <c r="GH636">
        <v>8.4282406351516155</v>
      </c>
      <c r="GI636">
        <v>21.819737433912533</v>
      </c>
      <c r="GJ636"/>
      <c r="GK636">
        <v>38.943714568611739</v>
      </c>
      <c r="GL636">
        <v>48.711968283899225</v>
      </c>
      <c r="GM636">
        <v>33.016697557671719</v>
      </c>
      <c r="GN636">
        <v>32.840057060309121</v>
      </c>
      <c r="GO636">
        <v>35.289634530450456</v>
      </c>
      <c r="GP636">
        <v>24.525830866691056</v>
      </c>
      <c r="GQ636">
        <v>38.646763789937417</v>
      </c>
      <c r="GR636">
        <v>30.441430669095926</v>
      </c>
      <c r="GS636">
        <v>10.126658790764434</v>
      </c>
      <c r="GT636">
        <v>31.204693847487153</v>
      </c>
      <c r="GU636"/>
      <c r="GV636"/>
      <c r="GW636"/>
      <c r="GX636"/>
      <c r="GY636"/>
      <c r="GZ636"/>
      <c r="HA636"/>
      <c r="HB636"/>
      <c r="HC636"/>
    </row>
    <row r="637" spans="1:211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44.537500000000009</v>
      </c>
      <c r="AO637">
        <v>36.320878930825629</v>
      </c>
      <c r="AP637">
        <v>48.080992672693995</v>
      </c>
      <c r="AQ637">
        <v>249.76838252369612</v>
      </c>
      <c r="AR637">
        <v>34.7471370099003</v>
      </c>
      <c r="AS637">
        <v>320.16334007726221</v>
      </c>
      <c r="AT637">
        <v>26.685965005097358</v>
      </c>
      <c r="AU637">
        <v>33.329462531099182</v>
      </c>
      <c r="AV637"/>
      <c r="AW637"/>
      <c r="FY637" s="211">
        <v>632</v>
      </c>
      <c r="FZ637">
        <v>41.874863571591021</v>
      </c>
      <c r="GA637">
        <v>54.774482518965627</v>
      </c>
      <c r="GB637">
        <v>31.298908833516212</v>
      </c>
      <c r="GC637">
        <v>17.751860162371834</v>
      </c>
      <c r="GD637">
        <v>9.1711000825544335</v>
      </c>
      <c r="GE637">
        <v>14.26492901054397</v>
      </c>
      <c r="GF637">
        <v>32.550973477653848</v>
      </c>
      <c r="GG637">
        <v>20.498380387657097</v>
      </c>
      <c r="GH637">
        <v>6.6278253474746389</v>
      </c>
      <c r="GI637">
        <v>26.981366152056729</v>
      </c>
      <c r="GJ637"/>
      <c r="GK637">
        <v>45.106031736729662</v>
      </c>
      <c r="GL637">
        <v>50.743765056679024</v>
      </c>
      <c r="GM637">
        <v>55.448160180231895</v>
      </c>
      <c r="GN637">
        <v>58.627748814020165</v>
      </c>
      <c r="GO637">
        <v>39.90822260326923</v>
      </c>
      <c r="GP637">
        <v>30.607194974567474</v>
      </c>
      <c r="GQ637">
        <v>43.856499104757411</v>
      </c>
      <c r="GR637">
        <v>30.832160817707425</v>
      </c>
      <c r="GS637">
        <v>7.4238728236184937</v>
      </c>
      <c r="GT637">
        <v>38.348557289721342</v>
      </c>
      <c r="GU637"/>
      <c r="GV637"/>
      <c r="GW637"/>
      <c r="GX637"/>
      <c r="GY637"/>
      <c r="GZ637"/>
      <c r="HA637"/>
      <c r="HB637"/>
      <c r="HC637"/>
    </row>
    <row r="638" spans="1:211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48.938247863247859</v>
      </c>
      <c r="AO638">
        <v>39.564913597432778</v>
      </c>
      <c r="AP638">
        <v>46.809676347023384</v>
      </c>
      <c r="AQ638">
        <v>265.81608719134709</v>
      </c>
      <c r="AR638">
        <v>37.888358781459019</v>
      </c>
      <c r="AS638">
        <v>347.55602207823046</v>
      </c>
      <c r="AT638">
        <v>29.229538288705161</v>
      </c>
      <c r="AU638">
        <v>36.966447133381578</v>
      </c>
      <c r="AV638"/>
      <c r="AW638"/>
      <c r="FY638" s="211">
        <v>633</v>
      </c>
      <c r="FZ638">
        <v>53.678064784709832</v>
      </c>
      <c r="GA638">
        <v>74.40475693384721</v>
      </c>
      <c r="GB638">
        <v>27.008091094648524</v>
      </c>
      <c r="GC638">
        <v>12.331064431633283</v>
      </c>
      <c r="GD638">
        <v>6.5282143722594101</v>
      </c>
      <c r="GE638">
        <v>9.0912657229227865</v>
      </c>
      <c r="GF638">
        <v>30.661540621904503</v>
      </c>
      <c r="GG638">
        <v>27.724767943674458</v>
      </c>
      <c r="GH638">
        <v>15.753731808676214</v>
      </c>
      <c r="GI638">
        <v>27.110731104308204</v>
      </c>
      <c r="GJ638"/>
      <c r="GK638">
        <v>57.30311241055233</v>
      </c>
      <c r="GL638">
        <v>68.092183655029601</v>
      </c>
      <c r="GM638">
        <v>47.846682743608184</v>
      </c>
      <c r="GN638">
        <v>40.700676402445211</v>
      </c>
      <c r="GO638">
        <v>28.380381017205686</v>
      </c>
      <c r="GP638">
        <v>19.506451265297176</v>
      </c>
      <c r="GQ638">
        <v>41.310832985015821</v>
      </c>
      <c r="GR638">
        <v>41.701563133627317</v>
      </c>
      <c r="GS638">
        <v>18.331991911605922</v>
      </c>
      <c r="GT638">
        <v>38.634600213597587</v>
      </c>
      <c r="GU638"/>
      <c r="GV638"/>
      <c r="GW638"/>
      <c r="GX638"/>
      <c r="GY638"/>
      <c r="GZ638"/>
      <c r="HA638"/>
      <c r="HB638"/>
      <c r="HC638"/>
    </row>
    <row r="639" spans="1:211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54.645940170940165</v>
      </c>
      <c r="AO639">
        <v>42.169521836093004</v>
      </c>
      <c r="AP639">
        <v>29.436168704206647</v>
      </c>
      <c r="AQ639">
        <v>285.97754974461708</v>
      </c>
      <c r="AR639">
        <v>39.578427672814605</v>
      </c>
      <c r="AS639">
        <v>379.89535478050141</v>
      </c>
      <c r="AT639">
        <v>31.745041140686649</v>
      </c>
      <c r="AU639">
        <v>35.976689003230561</v>
      </c>
      <c r="AV639"/>
      <c r="AW639"/>
      <c r="FY639" s="211">
        <v>634</v>
      </c>
      <c r="FZ639">
        <v>53.177529557105956</v>
      </c>
      <c r="GA639">
        <v>90.223582873695179</v>
      </c>
      <c r="GB639">
        <v>34.396718836577236</v>
      </c>
      <c r="GC639">
        <v>14.833727563159661</v>
      </c>
      <c r="GD639">
        <v>8.7486943734266553</v>
      </c>
      <c r="GE639">
        <v>8.1340446272888993</v>
      </c>
      <c r="GF639">
        <v>27.163892823819662</v>
      </c>
      <c r="GG639">
        <v>24.678349660255371</v>
      </c>
      <c r="GH639">
        <v>11.972820487953497</v>
      </c>
      <c r="GI639">
        <v>28.915382277684259</v>
      </c>
      <c r="GJ639"/>
      <c r="GK639">
        <v>60.398491066390903</v>
      </c>
      <c r="GL639">
        <v>86.744922262749725</v>
      </c>
      <c r="GM639">
        <v>60.936142722093415</v>
      </c>
      <c r="GN639">
        <v>48.966577250285923</v>
      </c>
      <c r="GO639">
        <v>38.043893550464453</v>
      </c>
      <c r="GP639">
        <v>17.452613304646981</v>
      </c>
      <c r="GQ639">
        <v>36.598390586610456</v>
      </c>
      <c r="GR639">
        <v>37.119364118092456</v>
      </c>
      <c r="GS639">
        <v>14.783095500967869</v>
      </c>
      <c r="GT639">
        <v>42.152002685305426</v>
      </c>
      <c r="GU639"/>
      <c r="GV639"/>
      <c r="GW639"/>
      <c r="GX639"/>
      <c r="GY639"/>
      <c r="GZ639"/>
      <c r="HA639"/>
      <c r="HB639"/>
      <c r="HC639"/>
    </row>
    <row r="640" spans="1:211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49.415705128205133</v>
      </c>
      <c r="AO640">
        <v>38.58400124658602</v>
      </c>
      <c r="AP640">
        <v>23.900283099482728</v>
      </c>
      <c r="AQ640">
        <v>268.50122574170769</v>
      </c>
      <c r="AR640">
        <v>36.683463431150592</v>
      </c>
      <c r="AS640">
        <v>339.10781235739114</v>
      </c>
      <c r="AT640">
        <v>29.229578601906208</v>
      </c>
      <c r="AU640">
        <v>22.91208993668192</v>
      </c>
      <c r="AV640"/>
      <c r="AW640"/>
      <c r="FY640" s="211">
        <v>635</v>
      </c>
      <c r="FZ640">
        <v>62.999112007401948</v>
      </c>
      <c r="GA640">
        <v>115.86673413637834</v>
      </c>
      <c r="GB640">
        <v>43.890654347576536</v>
      </c>
      <c r="GC640">
        <v>14.504631900854395</v>
      </c>
      <c r="GD640">
        <v>8.0385814438350049</v>
      </c>
      <c r="GE640">
        <v>9.5161785019602654</v>
      </c>
      <c r="GF640">
        <v>21.768024110191302</v>
      </c>
      <c r="GG640">
        <v>15.51547916439022</v>
      </c>
      <c r="GH640">
        <v>7.7305748091016531</v>
      </c>
      <c r="GI640">
        <v>30.585577022990318</v>
      </c>
      <c r="GJ640"/>
      <c r="GK640">
        <v>70.557474930289885</v>
      </c>
      <c r="GL640">
        <v>109.40727088221669</v>
      </c>
      <c r="GM640">
        <v>77.755299573688404</v>
      </c>
      <c r="GN640">
        <v>47.894986760283373</v>
      </c>
      <c r="GO640">
        <v>34.970835690826071</v>
      </c>
      <c r="GP640">
        <v>20.418154945390672</v>
      </c>
      <c r="GQ640">
        <v>29.328441760929834</v>
      </c>
      <c r="GR640">
        <v>23.337246148886841</v>
      </c>
      <c r="GS640">
        <v>9.3451984935414334</v>
      </c>
      <c r="GT640">
        <v>44.391450089855127</v>
      </c>
      <c r="GU640"/>
      <c r="GV640"/>
      <c r="GW640"/>
      <c r="GX640"/>
      <c r="GY640"/>
      <c r="GZ640"/>
      <c r="HA640"/>
      <c r="HB640"/>
      <c r="HC640"/>
    </row>
    <row r="641" spans="1:211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45.663862179487168</v>
      </c>
      <c r="AO641">
        <v>34.164717019370222</v>
      </c>
      <c r="AP641">
        <v>9.0324639749479232</v>
      </c>
      <c r="AQ641">
        <v>240.86611170490843</v>
      </c>
      <c r="AR641">
        <v>32.908780879961107</v>
      </c>
      <c r="AS641">
        <v>327.68806234670654</v>
      </c>
      <c r="AT641">
        <v>26.905924742112358</v>
      </c>
      <c r="AU641">
        <v>24.11310240135429</v>
      </c>
      <c r="AV641"/>
      <c r="AW641"/>
      <c r="FY641" s="211">
        <v>636</v>
      </c>
      <c r="FZ641">
        <v>49.063334893832049</v>
      </c>
      <c r="GA641">
        <v>59.412183086409335</v>
      </c>
      <c r="GB641">
        <v>25.02308662666767</v>
      </c>
      <c r="GC641">
        <v>17.290725984570205</v>
      </c>
      <c r="GD641">
        <v>9.310738432792613</v>
      </c>
      <c r="GE641">
        <v>10.01580122016917</v>
      </c>
      <c r="GF641">
        <v>37.674412337662538</v>
      </c>
      <c r="GG641">
        <v>27.252455031516462</v>
      </c>
      <c r="GH641">
        <v>10.17240520027652</v>
      </c>
      <c r="GI641">
        <v>28.058783450899739</v>
      </c>
      <c r="GJ641"/>
      <c r="GK641">
        <v>54.339885812351746</v>
      </c>
      <c r="GL641">
        <v>57.178731260813983</v>
      </c>
      <c r="GM641">
        <v>44.330111406104685</v>
      </c>
      <c r="GN641">
        <v>57.108535613608979</v>
      </c>
      <c r="GO641">
        <v>40.520264758920767</v>
      </c>
      <c r="GP641">
        <v>21.49015817363248</v>
      </c>
      <c r="GQ641">
        <v>50.7593983968939</v>
      </c>
      <c r="GR641">
        <v>40.991144681606414</v>
      </c>
      <c r="GS641">
        <v>12.080309533821932</v>
      </c>
      <c r="GT641">
        <v>40.405993981618607</v>
      </c>
      <c r="GU641"/>
      <c r="GV641"/>
      <c r="GW641"/>
      <c r="GX641"/>
      <c r="GY641"/>
      <c r="GZ641"/>
      <c r="HA641"/>
      <c r="HB641"/>
      <c r="HC641"/>
    </row>
    <row r="642" spans="1:211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52.006356837606837</v>
      </c>
      <c r="AO642">
        <v>40.304130797492547</v>
      </c>
      <c r="AP642">
        <v>17.401961903354586</v>
      </c>
      <c r="AQ642">
        <v>271.40406430075541</v>
      </c>
      <c r="AR642">
        <v>38.59956754361496</v>
      </c>
      <c r="AS642">
        <v>377.51668410938299</v>
      </c>
      <c r="AT642">
        <v>31.049651183519472</v>
      </c>
      <c r="AU642">
        <v>11.537239792728947</v>
      </c>
      <c r="AV642"/>
      <c r="AW642"/>
      <c r="FY642" s="211">
        <v>637</v>
      </c>
      <c r="FZ642">
        <v>44.202773626801729</v>
      </c>
      <c r="GA642">
        <v>67.64486453776766</v>
      </c>
      <c r="GB642">
        <v>32.090905565690392</v>
      </c>
      <c r="GC642">
        <v>14.062851644249479</v>
      </c>
      <c r="GD642">
        <v>6.4085999434026206</v>
      </c>
      <c r="GE642">
        <v>7.7091318482514222</v>
      </c>
      <c r="GF642">
        <v>27.620871933117183</v>
      </c>
      <c r="GG642">
        <v>21.277696692717786</v>
      </c>
      <c r="GH642">
        <v>5.9301595214246756</v>
      </c>
      <c r="GI642">
        <v>24.807828847725254</v>
      </c>
      <c r="GJ642"/>
      <c r="GK642">
        <v>45.707358226173632</v>
      </c>
      <c r="GL642">
        <v>59.781712737559445</v>
      </c>
      <c r="GM642">
        <v>56.851236622973197</v>
      </c>
      <c r="GN642">
        <v>46.428176144539812</v>
      </c>
      <c r="GO642">
        <v>27.868494085493584</v>
      </c>
      <c r="GP642">
        <v>16.540909624553485</v>
      </c>
      <c r="GQ642">
        <v>37.214086578361915</v>
      </c>
      <c r="GR642">
        <v>32.004351263541913</v>
      </c>
      <c r="GS642">
        <v>6.6424125263954927</v>
      </c>
      <c r="GT642">
        <v>34.856717607879567</v>
      </c>
      <c r="GU642"/>
      <c r="GV642"/>
      <c r="GW642"/>
      <c r="GX642"/>
      <c r="GY642"/>
      <c r="GZ642"/>
      <c r="HA642"/>
      <c r="HB642"/>
      <c r="HC642"/>
    </row>
    <row r="643" spans="1:211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60.422783119658121</v>
      </c>
      <c r="AO643">
        <v>44.669917396030129</v>
      </c>
      <c r="AP643">
        <v>18.410845991831049</v>
      </c>
      <c r="AQ643">
        <v>313.9419990710569</v>
      </c>
      <c r="AR643">
        <v>42.893177392267987</v>
      </c>
      <c r="AS643">
        <v>413.90454085680256</v>
      </c>
      <c r="AT643">
        <v>34.630987386844289</v>
      </c>
      <c r="AU643">
        <v>46.677026738510399</v>
      </c>
      <c r="AV643"/>
      <c r="AW643"/>
      <c r="FY643" s="211">
        <v>638</v>
      </c>
      <c r="FZ643">
        <v>34.252900650435166</v>
      </c>
      <c r="GA643">
        <v>58.930441516710822</v>
      </c>
      <c r="GB643">
        <v>25.123339377575796</v>
      </c>
      <c r="GC643">
        <v>11.163330823695752</v>
      </c>
      <c r="GD643">
        <v>8.114274326602871</v>
      </c>
      <c r="GE643">
        <v>11.458636920417316</v>
      </c>
      <c r="GF643">
        <v>19.140394231730586</v>
      </c>
      <c r="GG643">
        <v>12.728832982658036</v>
      </c>
      <c r="GH643">
        <v>7.6743240865495839</v>
      </c>
      <c r="GI643">
        <v>21.243568621648041</v>
      </c>
      <c r="GJ643"/>
      <c r="GK643">
        <v>37.216432753349309</v>
      </c>
      <c r="GL643">
        <v>54.416628453627112</v>
      </c>
      <c r="GM643">
        <v>44.507716019109914</v>
      </c>
      <c r="GN643">
        <v>36.870717659885145</v>
      </c>
      <c r="GO643">
        <v>35.313261822762385</v>
      </c>
      <c r="GP643">
        <v>24.585943197246667</v>
      </c>
      <c r="GQ643">
        <v>25.788189808358975</v>
      </c>
      <c r="GR643">
        <v>19.145777281963483</v>
      </c>
      <c r="GS643">
        <v>8.5960632694529941</v>
      </c>
      <c r="GT643">
        <v>30.284332734606718</v>
      </c>
      <c r="GU643"/>
      <c r="GV643"/>
      <c r="GW643"/>
      <c r="GX643"/>
      <c r="GY643"/>
      <c r="GZ643"/>
      <c r="HA643"/>
      <c r="HB643"/>
      <c r="HC643"/>
    </row>
    <row r="644" spans="1:211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56.523130341880346</v>
      </c>
      <c r="AO644">
        <v>45.383389385557734</v>
      </c>
      <c r="AP644">
        <v>34.286827075173626</v>
      </c>
      <c r="AQ644">
        <v>313.83409677417461</v>
      </c>
      <c r="AR644">
        <v>43.074991660542786</v>
      </c>
      <c r="AS644">
        <v>405.63304097103668</v>
      </c>
      <c r="AT644">
        <v>34.201343016292171</v>
      </c>
      <c r="AU644">
        <v>1.2504653919961193</v>
      </c>
      <c r="AV644"/>
      <c r="AW644"/>
      <c r="FY644" s="211">
        <v>639</v>
      </c>
      <c r="FZ644">
        <v>47.869172954309278</v>
      </c>
      <c r="GA644">
        <v>70.288416208168059</v>
      </c>
      <c r="GB644">
        <v>24.351393195583245</v>
      </c>
      <c r="GC644">
        <v>10.201417880791533</v>
      </c>
      <c r="GD644">
        <v>5.63464817709177</v>
      </c>
      <c r="GE644">
        <v>11.5193387459941</v>
      </c>
      <c r="GF644">
        <v>35.108298877761108</v>
      </c>
      <c r="GG644">
        <v>29.802944757169648</v>
      </c>
      <c r="GH644">
        <v>20.288559678000968</v>
      </c>
      <c r="GI644">
        <v>26.552845254657747</v>
      </c>
      <c r="GJ644"/>
      <c r="GK644">
        <v>53.115137715254384</v>
      </c>
      <c r="GL644">
        <v>66.790692916656866</v>
      </c>
      <c r="GM644">
        <v>43.140160498969664</v>
      </c>
      <c r="GN644">
        <v>33.655270017114191</v>
      </c>
      <c r="GO644">
        <v>24.478576282067177</v>
      </c>
      <c r="GP644">
        <v>24.716186580117171</v>
      </c>
      <c r="GQ644">
        <v>47.302028597058822</v>
      </c>
      <c r="GR644">
        <v>44.827404322519321</v>
      </c>
      <c r="GS644">
        <v>23.41148384355542</v>
      </c>
      <c r="GT644">
        <v>38.289477387381091</v>
      </c>
      <c r="GU644"/>
      <c r="GV644"/>
      <c r="GW644"/>
      <c r="GX644"/>
      <c r="GY644"/>
      <c r="GZ644"/>
      <c r="HA644"/>
      <c r="HB644"/>
      <c r="HC644"/>
    </row>
    <row r="645" spans="1:211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47.275881410256403</v>
      </c>
      <c r="AO645">
        <v>35.058276160440883</v>
      </c>
      <c r="AP645">
        <v>9.8167317080376542</v>
      </c>
      <c r="AQ645">
        <v>223.89688172221619</v>
      </c>
      <c r="AR645">
        <v>33.898711984848759</v>
      </c>
      <c r="AS645">
        <v>327.84135833621451</v>
      </c>
      <c r="AT645">
        <v>27.48990726945588</v>
      </c>
      <c r="AU645">
        <v>23.253792029705938</v>
      </c>
      <c r="AV645"/>
      <c r="AW645"/>
      <c r="FY645" s="211">
        <v>640</v>
      </c>
      <c r="FZ645">
        <v>40.988556769470158</v>
      </c>
      <c r="GA645">
        <v>93.416058732043354</v>
      </c>
      <c r="GB645">
        <v>34.065884758580424</v>
      </c>
      <c r="GC645">
        <v>9.6317091432430946</v>
      </c>
      <c r="GD645">
        <v>5.9231332771959737</v>
      </c>
      <c r="GE645">
        <v>7.5877281970978565</v>
      </c>
      <c r="GF645">
        <v>14.350901643900849</v>
      </c>
      <c r="GG645">
        <v>9.5643364711994519</v>
      </c>
      <c r="GH645">
        <v>9.125906461201577</v>
      </c>
      <c r="GI645">
        <v>22.462558781219577</v>
      </c>
      <c r="GJ645"/>
      <c r="GK645">
        <v>44.185798597149684</v>
      </c>
      <c r="GL645">
        <v>84.893580045324086</v>
      </c>
      <c r="GM645">
        <v>60.350047499176164</v>
      </c>
      <c r="GN645">
        <v>31.78129232258507</v>
      </c>
      <c r="GO645">
        <v>25.742735480407351</v>
      </c>
      <c r="GP645">
        <v>16.280422858812486</v>
      </c>
      <c r="GQ645">
        <v>19.335222202502393</v>
      </c>
      <c r="GR645">
        <v>14.385973653423395</v>
      </c>
      <c r="GS645">
        <v>10.908119087987433</v>
      </c>
      <c r="GT645">
        <v>32.104384573444605</v>
      </c>
      <c r="GU645"/>
      <c r="GV645"/>
      <c r="GW645"/>
      <c r="GX645"/>
      <c r="GY645"/>
      <c r="GZ645"/>
      <c r="HA645"/>
      <c r="HB645"/>
      <c r="HC645"/>
    </row>
    <row r="646" spans="1:211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45.654220085470079</v>
      </c>
      <c r="AO646">
        <v>35.834796793737397</v>
      </c>
      <c r="AP646">
        <v>28.339230991392952</v>
      </c>
      <c r="AQ646">
        <v>257.61866073008878</v>
      </c>
      <c r="AR646">
        <v>35.140312923049656</v>
      </c>
      <c r="AS646">
        <v>333.3677775126003</v>
      </c>
      <c r="AT646">
        <v>27.649406518689187</v>
      </c>
      <c r="AU646">
        <v>37.036551076208703</v>
      </c>
      <c r="AV646"/>
      <c r="AW646"/>
      <c r="FY646" s="211">
        <v>641</v>
      </c>
      <c r="FZ646">
        <v>38.379233588195206</v>
      </c>
      <c r="GA646">
        <v>66.71181155504226</v>
      </c>
      <c r="GB646">
        <v>31.298908833516212</v>
      </c>
      <c r="GC646">
        <v>15.252305416200091</v>
      </c>
      <c r="GD646">
        <v>8.4342662136702327</v>
      </c>
      <c r="GE646">
        <v>9.4554766763834799</v>
      </c>
      <c r="GF646">
        <v>29.87061524042803</v>
      </c>
      <c r="GG646">
        <v>21.820856541699492</v>
      </c>
      <c r="GH646">
        <v>9.125906461201577</v>
      </c>
      <c r="GI646">
        <v>25.915242861061756</v>
      </c>
      <c r="GJ646"/>
      <c r="GK646">
        <v>41.493795152416254</v>
      </c>
      <c r="GL646">
        <v>61.293479069189516</v>
      </c>
      <c r="GM646">
        <v>55.448160180231895</v>
      </c>
      <c r="GN646">
        <v>50.375954591380058</v>
      </c>
      <c r="GO646">
        <v>36.705864147300801</v>
      </c>
      <c r="GP646">
        <v>20.287911562520168</v>
      </c>
      <c r="GQ646">
        <v>40.24520530698446</v>
      </c>
      <c r="GR646">
        <v>32.821332483365971</v>
      </c>
      <c r="GS646">
        <v>10.908119087987433</v>
      </c>
      <c r="GT646">
        <v>36.960228774984174</v>
      </c>
      <c r="GU646"/>
      <c r="GV646"/>
      <c r="GW646"/>
      <c r="GX646"/>
      <c r="GY646"/>
      <c r="GZ646"/>
      <c r="HA646"/>
      <c r="HB646"/>
      <c r="HC646"/>
    </row>
    <row r="647" spans="1:211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41.119791666666671</v>
      </c>
      <c r="AO647">
        <v>32.374744996491827</v>
      </c>
      <c r="AP647">
        <v>18.993922102527726</v>
      </c>
      <c r="AQ647">
        <v>215.68583497283765</v>
      </c>
      <c r="AR647">
        <v>31.204693847487125</v>
      </c>
      <c r="AS647">
        <v>304.74663938719561</v>
      </c>
      <c r="AT647">
        <v>24.796003002242173</v>
      </c>
      <c r="AU647">
        <v>17.810798319804498</v>
      </c>
      <c r="AV647"/>
      <c r="AW647"/>
      <c r="FY647" s="211">
        <v>642</v>
      </c>
      <c r="FZ647">
        <v>48.35191730695729</v>
      </c>
      <c r="GA647">
        <v>79.268113207804362</v>
      </c>
      <c r="GB647">
        <v>34.727552914574048</v>
      </c>
      <c r="GC647">
        <v>15.624006053858873</v>
      </c>
      <c r="GD647">
        <v>8.9440964513564136</v>
      </c>
      <c r="GE647">
        <v>11.108434080551262</v>
      </c>
      <c r="GF647">
        <v>37.331678005689405</v>
      </c>
      <c r="GG647">
        <v>27.464995841987562</v>
      </c>
      <c r="GH647">
        <v>9.0696557386495051</v>
      </c>
      <c r="GI647">
        <v>29.963363545091205</v>
      </c>
      <c r="GJ647"/>
      <c r="GK647">
        <v>51.809071075759846</v>
      </c>
      <c r="GL647">
        <v>72.3902152897561</v>
      </c>
      <c r="GM647">
        <v>61.522237945010673</v>
      </c>
      <c r="GN647">
        <v>51.588262582455982</v>
      </c>
      <c r="GO647">
        <v>38.907293213882767</v>
      </c>
      <c r="GP647">
        <v>23.834539065301477</v>
      </c>
      <c r="GQ647">
        <v>50.297626403080315</v>
      </c>
      <c r="GR647">
        <v>41.310832985015828</v>
      </c>
      <c r="GS647">
        <v>10.158983863898991</v>
      </c>
      <c r="GT647">
        <v>42.539042500326502</v>
      </c>
      <c r="GU647"/>
      <c r="GV647"/>
      <c r="GW647"/>
      <c r="GX647"/>
      <c r="GY647"/>
      <c r="GZ647"/>
      <c r="HA647"/>
      <c r="HB647"/>
      <c r="HC647"/>
    </row>
    <row r="648" spans="1:211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51.692521367521373</v>
      </c>
      <c r="AO648">
        <v>40.090221340130199</v>
      </c>
      <c r="AP648">
        <v>21.283340516258292</v>
      </c>
      <c r="AQ648">
        <v>255.79468954438542</v>
      </c>
      <c r="AR648">
        <v>38.34855728972137</v>
      </c>
      <c r="AS648">
        <v>354.90690958626487</v>
      </c>
      <c r="AT648">
        <v>30.761758256746717</v>
      </c>
      <c r="AU648">
        <v>35.259803026128004</v>
      </c>
      <c r="AV648"/>
      <c r="AW648"/>
      <c r="FY648" s="211">
        <v>643</v>
      </c>
      <c r="FZ648">
        <v>47.401709542897287</v>
      </c>
      <c r="GA648">
        <v>72.370989764737857</v>
      </c>
      <c r="GB648">
        <v>24.040609667768059</v>
      </c>
      <c r="GC648">
        <v>10.679559971219403</v>
      </c>
      <c r="GD648">
        <v>6.6619256994732599</v>
      </c>
      <c r="GE648">
        <v>9.5161785019602654</v>
      </c>
      <c r="GF648">
        <v>25.327188326835422</v>
      </c>
      <c r="GG648">
        <v>21.301312338325694</v>
      </c>
      <c r="GH648">
        <v>10.116154477724445</v>
      </c>
      <c r="GI648">
        <v>23.580780042783442</v>
      </c>
      <c r="GJ648"/>
      <c r="GK648">
        <v>50.825061104973258</v>
      </c>
      <c r="GL648">
        <v>66.294824971416702</v>
      </c>
      <c r="GM648">
        <v>42.589586198653457</v>
      </c>
      <c r="GN648">
        <v>35.261378621844884</v>
      </c>
      <c r="GO648">
        <v>28.979640078783088</v>
      </c>
      <c r="GP648">
        <v>20.418154945390675</v>
      </c>
      <c r="GQ648">
        <v>34.12376631207097</v>
      </c>
      <c r="GR648">
        <v>32.039872186142972</v>
      </c>
      <c r="GS648">
        <v>11.331174309733488</v>
      </c>
      <c r="GT648">
        <v>33.569845600842847</v>
      </c>
      <c r="GU648"/>
      <c r="GV648"/>
      <c r="GW648"/>
      <c r="GX648"/>
      <c r="GY648"/>
      <c r="GZ648"/>
      <c r="HA648"/>
      <c r="HB648"/>
      <c r="HC648"/>
    </row>
    <row r="649" spans="1:211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52.711378205128199</v>
      </c>
      <c r="AO649">
        <v>40.180847573798481</v>
      </c>
      <c r="AP649">
        <v>39.878741886225136</v>
      </c>
      <c r="AQ649">
        <v>284.29222881858448</v>
      </c>
      <c r="AR649">
        <v>38.634600213597615</v>
      </c>
      <c r="AS649">
        <v>361.16547413265653</v>
      </c>
      <c r="AT649">
        <v>30.164685542993947</v>
      </c>
      <c r="AU649">
        <v>38.939387782544827</v>
      </c>
      <c r="AV649"/>
      <c r="AW649"/>
      <c r="FY649" s="211">
        <v>644</v>
      </c>
      <c r="FZ649">
        <v>30.606658000765499</v>
      </c>
      <c r="GA649">
        <v>80.289590850056229</v>
      </c>
      <c r="GB649">
        <v>36.471950780375401</v>
      </c>
      <c r="GC649">
        <v>14.680354107841211</v>
      </c>
      <c r="GD649">
        <v>9.4861363385404989</v>
      </c>
      <c r="GE649">
        <v>10.426705885612005</v>
      </c>
      <c r="GF649">
        <v>17.180656897627774</v>
      </c>
      <c r="GG649">
        <v>9.5879521168073492</v>
      </c>
      <c r="GH649">
        <v>8.3719899125995436</v>
      </c>
      <c r="GI649">
        <v>24.204614327936991</v>
      </c>
      <c r="GJ649"/>
      <c r="GK649">
        <v>31.652292056103398</v>
      </c>
      <c r="GL649">
        <v>70.95659498784832</v>
      </c>
      <c r="GM649">
        <v>64.612558211301618</v>
      </c>
      <c r="GN649">
        <v>48.471529322436041</v>
      </c>
      <c r="GO649">
        <v>41.266246791747058</v>
      </c>
      <c r="GP649">
        <v>22.37180568844817</v>
      </c>
      <c r="GQ649">
        <v>23.14780122834793</v>
      </c>
      <c r="GR649">
        <v>14.421494576024438</v>
      </c>
      <c r="GS649">
        <v>9.3775235666759915</v>
      </c>
      <c r="GT649">
        <v>34.011284370835192</v>
      </c>
      <c r="GU649"/>
      <c r="GV649"/>
      <c r="GW649"/>
      <c r="GX649"/>
      <c r="GY649"/>
      <c r="GZ649"/>
      <c r="HA649"/>
      <c r="HB649"/>
      <c r="HC649"/>
    </row>
    <row r="650" spans="1:211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52.839342948717942</v>
      </c>
      <c r="AO650">
        <v>44.319549304760763</v>
      </c>
      <c r="AP650">
        <v>65.21459958266982</v>
      </c>
      <c r="AQ650">
        <v>302.24474308096632</v>
      </c>
      <c r="AR650">
        <v>42.152002685305433</v>
      </c>
      <c r="AS650">
        <v>389.76785680665887</v>
      </c>
      <c r="AT650">
        <v>32.034142782543839</v>
      </c>
      <c r="AU650">
        <v>21.393222020232557</v>
      </c>
      <c r="AV650"/>
      <c r="AW650"/>
      <c r="FY650" s="211">
        <v>645</v>
      </c>
      <c r="FZ650">
        <v>21.22972821948597</v>
      </c>
      <c r="GA650">
        <v>54.91171356595256</v>
      </c>
      <c r="GB650">
        <v>31.750046212602772</v>
      </c>
      <c r="GC650">
        <v>12.040086557535522</v>
      </c>
      <c r="GD650">
        <v>6.6281839449552118</v>
      </c>
      <c r="GE650">
        <v>8.923168359787077</v>
      </c>
      <c r="GF650">
        <v>19.720406178146664</v>
      </c>
      <c r="GG650">
        <v>16.625414507961516</v>
      </c>
      <c r="GH650">
        <v>10.464987390749428</v>
      </c>
      <c r="GI650">
        <v>20.683988374166685</v>
      </c>
      <c r="GJ650"/>
      <c r="GK650">
        <v>21.959034351966277</v>
      </c>
      <c r="GL650">
        <v>48.528684457548252</v>
      </c>
      <c r="GM650">
        <v>56.24738093875542</v>
      </c>
      <c r="GN650">
        <v>39.751142823879398</v>
      </c>
      <c r="GO650">
        <v>28.828459124057929</v>
      </c>
      <c r="GP650">
        <v>19.145777281963479</v>
      </c>
      <c r="GQ650">
        <v>26.569650105581978</v>
      </c>
      <c r="GR650">
        <v>25.006729511135976</v>
      </c>
      <c r="GS650">
        <v>11.721904458344989</v>
      </c>
      <c r="GT650">
        <v>29.065285795741318</v>
      </c>
      <c r="GU650"/>
      <c r="GV650"/>
      <c r="GW650"/>
      <c r="GX650"/>
      <c r="GY650"/>
      <c r="GZ650"/>
      <c r="HA650"/>
      <c r="HB650"/>
      <c r="HC650"/>
    </row>
    <row r="651" spans="1:211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55.952991452991455</v>
      </c>
      <c r="AO651">
        <v>46.74063592759083</v>
      </c>
      <c r="AP651">
        <v>54.036905458602853</v>
      </c>
      <c r="AQ651">
        <v>330.41554744467999</v>
      </c>
      <c r="AR651">
        <v>44.391450089855162</v>
      </c>
      <c r="AS651">
        <v>390.35564209882574</v>
      </c>
      <c r="AT651">
        <v>34.190837281814659</v>
      </c>
      <c r="AU651">
        <v>22.751267130448969</v>
      </c>
      <c r="AV651"/>
      <c r="AW651"/>
      <c r="FY651" s="211">
        <v>646</v>
      </c>
      <c r="FZ651">
        <v>40.93379554610506</v>
      </c>
      <c r="GA651">
        <v>75.868357873731554</v>
      </c>
      <c r="GB651">
        <v>35.389221070567665</v>
      </c>
      <c r="GC651">
        <v>14.569599836049491</v>
      </c>
      <c r="GD651">
        <v>7.7854373356210651</v>
      </c>
      <c r="GE651">
        <v>8.8017647086335131</v>
      </c>
      <c r="GF651">
        <v>21.8207524689564</v>
      </c>
      <c r="GG651">
        <v>17.64088726910121</v>
      </c>
      <c r="GH651">
        <v>13.716985053078401</v>
      </c>
      <c r="GI651">
        <v>26.178520295204279</v>
      </c>
      <c r="GJ651"/>
      <c r="GK651">
        <v>42.329559731027118</v>
      </c>
      <c r="GL651">
        <v>67.049293501733331</v>
      </c>
      <c r="GM651">
        <v>62.694428390845175</v>
      </c>
      <c r="GN651">
        <v>48.082684746905478</v>
      </c>
      <c r="GO651">
        <v>33.838794783886264</v>
      </c>
      <c r="GP651">
        <v>18.885290516222483</v>
      </c>
      <c r="GQ651">
        <v>29.399483606131923</v>
      </c>
      <c r="GR651">
        <v>26.534129182980926</v>
      </c>
      <c r="GS651">
        <v>16.736746244025369</v>
      </c>
      <c r="GT651">
        <v>36.999802551183166</v>
      </c>
      <c r="GU651"/>
      <c r="GV651"/>
      <c r="GW651"/>
      <c r="GX651"/>
      <c r="GY651"/>
      <c r="GZ651"/>
      <c r="HA651"/>
      <c r="HB651"/>
      <c r="HC651"/>
    </row>
    <row r="652" spans="1:211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51.580662393162392</v>
      </c>
      <c r="AO652">
        <v>41.920453361937362</v>
      </c>
      <c r="AP652">
        <v>41.195747935939217</v>
      </c>
      <c r="AQ652">
        <v>273.27392626479633</v>
      </c>
      <c r="AR652">
        <v>40.405993981618607</v>
      </c>
      <c r="AS652">
        <v>370.10781765489776</v>
      </c>
      <c r="AT652">
        <v>31.643331060105833</v>
      </c>
      <c r="AU652">
        <v>34.520578289317186</v>
      </c>
      <c r="AV652"/>
      <c r="AW652"/>
      <c r="FY652" s="211">
        <v>647</v>
      </c>
      <c r="FZ652">
        <v>36.1360139057916</v>
      </c>
      <c r="GA652">
        <v>55.835578433283551</v>
      </c>
      <c r="GB652">
        <v>26.356448213745715</v>
      </c>
      <c r="GC652">
        <v>12.850710501506697</v>
      </c>
      <c r="GD652">
        <v>8.086127913041306</v>
      </c>
      <c r="GE652">
        <v>10.608811362342355</v>
      </c>
      <c r="GF652">
        <v>39.537481014029339</v>
      </c>
      <c r="GG652">
        <v>34.809461626044417</v>
      </c>
      <c r="GH652">
        <v>11.567736852376445</v>
      </c>
      <c r="GI652">
        <v>26.36140892420611</v>
      </c>
      <c r="GJ652"/>
      <c r="GK652">
        <v>39.178152657778639</v>
      </c>
      <c r="GL652">
        <v>51.681517413346626</v>
      </c>
      <c r="GM652">
        <v>46.692252759074201</v>
      </c>
      <c r="GN652">
        <v>42.401624777507308</v>
      </c>
      <c r="GO652">
        <v>35.143060862916755</v>
      </c>
      <c r="GP652">
        <v>22.762535837059669</v>
      </c>
      <c r="GQ652">
        <v>53.269543594034445</v>
      </c>
      <c r="GR652">
        <v>52.357839913940943</v>
      </c>
      <c r="GS652">
        <v>13.64323012826793</v>
      </c>
      <c r="GT652">
        <v>37.585248000414389</v>
      </c>
      <c r="GU652"/>
      <c r="GV652"/>
      <c r="GW652"/>
      <c r="GX652"/>
      <c r="GY652"/>
      <c r="GZ652"/>
      <c r="HA652"/>
      <c r="HB652"/>
      <c r="HC652"/>
    </row>
    <row r="653" spans="1:211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49.721287393162385</v>
      </c>
      <c r="AO653">
        <v>36.389545541747204</v>
      </c>
      <c r="AP653">
        <v>12.522861833026793</v>
      </c>
      <c r="AQ653">
        <v>251.7556841611482</v>
      </c>
      <c r="AR653">
        <v>34.856717607879588</v>
      </c>
      <c r="AS653">
        <v>339.28145906544006</v>
      </c>
      <c r="AT653">
        <v>28.105678522085043</v>
      </c>
      <c r="AU653">
        <v>40.194191280556673</v>
      </c>
      <c r="AV653"/>
      <c r="AW653"/>
      <c r="FY653" s="211">
        <v>648</v>
      </c>
      <c r="FZ653">
        <v>39.227592837522323</v>
      </c>
      <c r="GA653">
        <v>61.141058004873166</v>
      </c>
      <c r="GB653">
        <v>28.551983458633629</v>
      </c>
      <c r="GC653">
        <v>14.405019552751527</v>
      </c>
      <c r="GD653">
        <v>8.8198778226857026</v>
      </c>
      <c r="GE653">
        <v>11.640742397147665</v>
      </c>
      <c r="GF653">
        <v>22.040453963810975</v>
      </c>
      <c r="GG653">
        <v>11.42997247422354</v>
      </c>
      <c r="GH653">
        <v>6.6840760700267108</v>
      </c>
      <c r="GI653">
        <v>23.695160914804461</v>
      </c>
      <c r="GJ653"/>
      <c r="GK653">
        <v>42.35970151650541</v>
      </c>
      <c r="GL653">
        <v>56.370279196684621</v>
      </c>
      <c r="GM653">
        <v>50.581793783888678</v>
      </c>
      <c r="GN653">
        <v>47.569823034999636</v>
      </c>
      <c r="GO653">
        <v>38.375368838652115</v>
      </c>
      <c r="GP653">
        <v>24.97667334585817</v>
      </c>
      <c r="GQ653">
        <v>29.695491294473968</v>
      </c>
      <c r="GR653">
        <v>17.192126538905981</v>
      </c>
      <c r="GS653">
        <v>8.1730080477069347</v>
      </c>
      <c r="GT653">
        <v>33.837072696245428</v>
      </c>
      <c r="GU653"/>
      <c r="GV653"/>
      <c r="GW653"/>
      <c r="GX653"/>
      <c r="GY653"/>
      <c r="GZ653"/>
      <c r="HA653"/>
      <c r="HB653"/>
      <c r="HC653"/>
    </row>
    <row r="654" spans="1:211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40.653685897435899</v>
      </c>
      <c r="AO654">
        <v>31.672506300036268</v>
      </c>
      <c r="AP654">
        <v>24.923606970211647</v>
      </c>
      <c r="AQ654">
        <v>209.830043538024</v>
      </c>
      <c r="AR654">
        <v>30.2843327346067</v>
      </c>
      <c r="AS654">
        <v>289.77482649357006</v>
      </c>
      <c r="AT654">
        <v>23.992079477532471</v>
      </c>
      <c r="AU654">
        <v>26.417341475625797</v>
      </c>
      <c r="AV654"/>
      <c r="AW654"/>
      <c r="FY654" s="211">
        <v>649</v>
      </c>
      <c r="FZ654">
        <v>36.292767774727409</v>
      </c>
      <c r="GA654">
        <v>62.644277216823554</v>
      </c>
      <c r="GB654">
        <v>29.424182391534305</v>
      </c>
      <c r="GC654">
        <v>15.946232032503417</v>
      </c>
      <c r="GD654">
        <v>9.3584744346091107</v>
      </c>
      <c r="GE654">
        <v>10.959014202208413</v>
      </c>
      <c r="GF654">
        <v>25.010818174244836</v>
      </c>
      <c r="GG654">
        <v>17.381115167414311</v>
      </c>
      <c r="GH654">
        <v>13.368152140053422</v>
      </c>
      <c r="GI654">
        <v>25.471129178464491</v>
      </c>
      <c r="GJ654"/>
      <c r="GK654">
        <v>39.326375555851399</v>
      </c>
      <c r="GL654">
        <v>57.698761701963704</v>
      </c>
      <c r="GM654">
        <v>52.126953917034157</v>
      </c>
      <c r="GN654">
        <v>52.652524071156535</v>
      </c>
      <c r="GO654">
        <v>40.710663130551218</v>
      </c>
      <c r="GP654">
        <v>23.513939969004866</v>
      </c>
      <c r="GQ654">
        <v>33.697515240858429</v>
      </c>
      <c r="GR654">
        <v>26.14339903436943</v>
      </c>
      <c r="GS654">
        <v>16.346016095413869</v>
      </c>
      <c r="GT654">
        <v>36.441504787941817</v>
      </c>
      <c r="GU654"/>
      <c r="GV654"/>
      <c r="GW654"/>
      <c r="GX654"/>
      <c r="GY654"/>
      <c r="GZ654"/>
      <c r="HA654"/>
      <c r="HB654"/>
      <c r="HC654"/>
    </row>
    <row r="655" spans="1:211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49.520005341880342</v>
      </c>
      <c r="AO655">
        <v>39.972641816069412</v>
      </c>
      <c r="AP655">
        <v>33.062005523672681</v>
      </c>
      <c r="AQ655">
        <v>281.61703572952752</v>
      </c>
      <c r="AR655">
        <v>38.289477387381083</v>
      </c>
      <c r="AS655">
        <v>354.24907304933129</v>
      </c>
      <c r="AT655">
        <v>29.836349362530104</v>
      </c>
      <c r="AU655">
        <v>3.8215066337783732</v>
      </c>
      <c r="AV655"/>
      <c r="AW655"/>
      <c r="FY655" s="211">
        <v>650</v>
      </c>
      <c r="FZ655">
        <v>46.472291189705196</v>
      </c>
      <c r="GA655">
        <v>69.236508409244536</v>
      </c>
      <c r="GB655">
        <v>24.812555849760617</v>
      </c>
      <c r="GC655">
        <v>9.7986577148825571</v>
      </c>
      <c r="GD655">
        <v>6.8473414981348508</v>
      </c>
      <c r="GE655">
        <v>10.244600408881659</v>
      </c>
      <c r="GF655">
        <v>37.718352636633455</v>
      </c>
      <c r="GG655">
        <v>31.101805265604142</v>
      </c>
      <c r="GH655">
        <v>9.4747393742265587</v>
      </c>
      <c r="GI655">
        <v>26.096960234890165</v>
      </c>
      <c r="GJ655"/>
      <c r="GK655">
        <v>48.062958297786381</v>
      </c>
      <c r="GL655">
        <v>61.188341272560841</v>
      </c>
      <c r="GM655">
        <v>43.957141718793714</v>
      </c>
      <c r="GN655">
        <v>32.317336594910316</v>
      </c>
      <c r="GO655">
        <v>29.747534463657761</v>
      </c>
      <c r="GP655">
        <v>21.98107553983667</v>
      </c>
      <c r="GQ655">
        <v>50.818599934562315</v>
      </c>
      <c r="GR655">
        <v>46.781055065576815</v>
      </c>
      <c r="GS655">
        <v>11.298849236598933</v>
      </c>
      <c r="GT655">
        <v>36.777016730279819</v>
      </c>
      <c r="GU655"/>
      <c r="GV655"/>
      <c r="GW655"/>
      <c r="GX655"/>
      <c r="GY655"/>
      <c r="GZ655"/>
      <c r="HA655"/>
      <c r="HB655"/>
      <c r="HC655"/>
    </row>
    <row r="656" spans="1:211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44.171581196581201</v>
      </c>
      <c r="AO656">
        <v>33.99675763208127</v>
      </c>
      <c r="AP656">
        <v>38.287876958691605</v>
      </c>
      <c r="AQ656">
        <v>247.11677423515229</v>
      </c>
      <c r="AR656">
        <v>32.104384573444598</v>
      </c>
      <c r="AS656">
        <v>296.46735440507462</v>
      </c>
      <c r="AT656">
        <v>25.046603035430877</v>
      </c>
      <c r="AU656">
        <v>20.992330197179573</v>
      </c>
      <c r="AV656"/>
      <c r="AW656"/>
      <c r="FY656" s="211">
        <v>651</v>
      </c>
      <c r="FZ656">
        <v>55.944095209508959</v>
      </c>
      <c r="GA656">
        <v>85.143759008619</v>
      </c>
      <c r="GB656">
        <v>26.015588860658099</v>
      </c>
      <c r="GC656">
        <v>9.0885362588546048</v>
      </c>
      <c r="GD656">
        <v>6.8955039483243041</v>
      </c>
      <c r="GE656">
        <v>10.912320490226268</v>
      </c>
      <c r="GF656">
        <v>28.394221195005287</v>
      </c>
      <c r="GG656">
        <v>24.394961912960571</v>
      </c>
      <c r="GH656">
        <v>11.511486129824371</v>
      </c>
      <c r="GI656">
        <v>26.237165678769699</v>
      </c>
      <c r="GJ656"/>
      <c r="GK656">
        <v>61.4431053557092</v>
      </c>
      <c r="GL656">
        <v>79.919225910003263</v>
      </c>
      <c r="GM656">
        <v>46.088397074856438</v>
      </c>
      <c r="GN656">
        <v>29.991118238230015</v>
      </c>
      <c r="GO656">
        <v>29.978822534252732</v>
      </c>
      <c r="GP656">
        <v>23.413752751412169</v>
      </c>
      <c r="GQ656">
        <v>38.256033641325914</v>
      </c>
      <c r="GR656">
        <v>36.693113046879915</v>
      </c>
      <c r="GS656">
        <v>12.894094904179488</v>
      </c>
      <c r="GT656">
        <v>37.73209070206476</v>
      </c>
      <c r="GU656"/>
      <c r="GV656"/>
      <c r="GW656"/>
      <c r="GX656"/>
      <c r="GY656"/>
      <c r="GZ656"/>
      <c r="HA656"/>
      <c r="HB656"/>
      <c r="HC656"/>
    </row>
    <row r="657" spans="1:211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49.19332264957265</v>
      </c>
      <c r="AO657">
        <v>38.654005035636068</v>
      </c>
      <c r="AP657">
        <v>22.077957490449766</v>
      </c>
      <c r="AQ657">
        <v>256.26462338739839</v>
      </c>
      <c r="AR657">
        <v>36.960228774984181</v>
      </c>
      <c r="AS657">
        <v>352.58718826514547</v>
      </c>
      <c r="AT657">
        <v>29.667138724091334</v>
      </c>
      <c r="AU657">
        <v>26.015875891152636</v>
      </c>
      <c r="AV657"/>
      <c r="AW657"/>
      <c r="FY657" s="211">
        <v>652</v>
      </c>
      <c r="FZ657">
        <v>35.206595552599509</v>
      </c>
      <c r="GA657">
        <v>71.712398875986338</v>
      </c>
      <c r="GB657">
        <v>32.973129773681883</v>
      </c>
      <c r="GC657">
        <v>13.454485760425067</v>
      </c>
      <c r="GD657">
        <v>7.2930525052475206</v>
      </c>
      <c r="GE657">
        <v>11.472645034011959</v>
      </c>
      <c r="GF657">
        <v>17.690364365690389</v>
      </c>
      <c r="GG657">
        <v>9.351795660728353</v>
      </c>
      <c r="GH657">
        <v>15.224818150282474</v>
      </c>
      <c r="GI657">
        <v>23.914036575142948</v>
      </c>
      <c r="GJ657"/>
      <c r="GK657">
        <v>36.416049850591762</v>
      </c>
      <c r="GL657">
        <v>63.376430104785229</v>
      </c>
      <c r="GM657">
        <v>58.414157217419202</v>
      </c>
      <c r="GN657">
        <v>44.438040363238635</v>
      </c>
      <c r="GO657">
        <v>31.739310533364897</v>
      </c>
      <c r="GP657">
        <v>24.61599936252448</v>
      </c>
      <c r="GQ657">
        <v>23.834539065301477</v>
      </c>
      <c r="GR657">
        <v>14.066285350013986</v>
      </c>
      <c r="GS657">
        <v>19.797937286648253</v>
      </c>
      <c r="GT657">
        <v>34.040398790665115</v>
      </c>
      <c r="GU657"/>
      <c r="GV657"/>
      <c r="GW657"/>
      <c r="GX657"/>
      <c r="GY657"/>
      <c r="GZ657"/>
      <c r="HA657"/>
      <c r="HB657"/>
      <c r="HC657"/>
    </row>
    <row r="658" spans="1:211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57.62857905982905</v>
      </c>
      <c r="AO658">
        <v>44.435810492448852</v>
      </c>
      <c r="AP658">
        <v>19.961604571196826</v>
      </c>
      <c r="AQ658">
        <v>301.85381314651994</v>
      </c>
      <c r="AR658">
        <v>42.539042500326552</v>
      </c>
      <c r="AS658">
        <v>403.57366017836154</v>
      </c>
      <c r="AT658">
        <v>34.19523547928106</v>
      </c>
      <c r="AU658">
        <v>37.950604531035459</v>
      </c>
      <c r="AV658"/>
      <c r="AW658"/>
      <c r="FY658" s="211">
        <v>653</v>
      </c>
      <c r="FZ658">
        <v>35.796352418257918</v>
      </c>
      <c r="GA658">
        <v>58.80239858511829</v>
      </c>
      <c r="GB658">
        <v>32.862851747682946</v>
      </c>
      <c r="GC658">
        <v>15.999717379360717</v>
      </c>
      <c r="GD658">
        <v>8.8213625445532884</v>
      </c>
      <c r="GE658">
        <v>8.3768519295960306</v>
      </c>
      <c r="GF658">
        <v>22.857743524669996</v>
      </c>
      <c r="GG658">
        <v>17.617271623493316</v>
      </c>
      <c r="GH658">
        <v>8.7770735481765954</v>
      </c>
      <c r="GI658">
        <v>24.81962447250697</v>
      </c>
      <c r="GJ658"/>
      <c r="GK658">
        <v>37.015629709910719</v>
      </c>
      <c r="GL658">
        <v>51.967109765329454</v>
      </c>
      <c r="GM658">
        <v>58.218792143113447</v>
      </c>
      <c r="GN658">
        <v>52.821497480835461</v>
      </c>
      <c r="GO658">
        <v>38.364481982209973</v>
      </c>
      <c r="GP658">
        <v>17.97358683612898</v>
      </c>
      <c r="GQ658">
        <v>30.796639895106381</v>
      </c>
      <c r="GR658">
        <v>26.498608260379889</v>
      </c>
      <c r="GS658">
        <v>10.51738893937593</v>
      </c>
      <c r="GT658">
        <v>34.982586533943284</v>
      </c>
      <c r="GU658"/>
      <c r="GV658"/>
      <c r="GW658"/>
      <c r="GX658"/>
      <c r="GY658"/>
      <c r="GZ658"/>
      <c r="HA658"/>
      <c r="HB658"/>
      <c r="HC658"/>
    </row>
    <row r="659" spans="1:211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45.727297008547005</v>
      </c>
      <c r="AO659">
        <v>35.543330432985236</v>
      </c>
      <c r="AP659">
        <v>20.942585973316806</v>
      </c>
      <c r="AQ659">
        <v>250.99640833372513</v>
      </c>
      <c r="AR659">
        <v>33.569845600842847</v>
      </c>
      <c r="AS659">
        <v>330.88598907082138</v>
      </c>
      <c r="AT659">
        <v>26.771157896257947</v>
      </c>
      <c r="AU659">
        <v>23.05676395070736</v>
      </c>
      <c r="AV659"/>
      <c r="AW659"/>
      <c r="FY659" s="211">
        <v>654</v>
      </c>
      <c r="FZ659">
        <v>36.206056070392719</v>
      </c>
      <c r="GA659">
        <v>62.781508263810508</v>
      </c>
      <c r="GB659">
        <v>29.875319770620862</v>
      </c>
      <c r="GC659">
        <v>12.895270124664297</v>
      </c>
      <c r="GD659">
        <v>7.1290624479758247</v>
      </c>
      <c r="GE659">
        <v>15.87586207392782</v>
      </c>
      <c r="GF659">
        <v>37.507439201573064</v>
      </c>
      <c r="GG659">
        <v>28.315159083871961</v>
      </c>
      <c r="GH659">
        <v>14.650982347049203</v>
      </c>
      <c r="GI659">
        <v>26.803358388211475</v>
      </c>
      <c r="GJ659"/>
      <c r="GK659">
        <v>37.438248274125527</v>
      </c>
      <c r="GL659">
        <v>55.483681102832954</v>
      </c>
      <c r="GM659">
        <v>52.926174675557682</v>
      </c>
      <c r="GN659">
        <v>42.564158649669281</v>
      </c>
      <c r="GO659">
        <v>30.995267396374949</v>
      </c>
      <c r="GP659">
        <v>34.063653981515351</v>
      </c>
      <c r="GQ659">
        <v>50.534432553753952</v>
      </c>
      <c r="GR659">
        <v>42.589586198653464</v>
      </c>
      <c r="GS659">
        <v>16.410666241682986</v>
      </c>
      <c r="GT659">
        <v>37.660957828299019</v>
      </c>
      <c r="GU659"/>
      <c r="GV659"/>
      <c r="GW659"/>
      <c r="GX659"/>
      <c r="GY659"/>
      <c r="GZ659"/>
      <c r="HA659"/>
      <c r="HB659"/>
      <c r="HC659"/>
    </row>
    <row r="660" spans="1:211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48.733547008546992</v>
      </c>
      <c r="AO660">
        <v>36.028913079976817</v>
      </c>
      <c r="AP660">
        <v>7.2290371792624804</v>
      </c>
      <c r="AQ660">
        <v>241.30660921816249</v>
      </c>
      <c r="AR660">
        <v>34.011284370835241</v>
      </c>
      <c r="AS660">
        <v>324.32057507179292</v>
      </c>
      <c r="AT660">
        <v>27.786612039258653</v>
      </c>
      <c r="AU660">
        <v>21.014745760836945</v>
      </c>
      <c r="AV660"/>
      <c r="AW660"/>
      <c r="FY660" s="211">
        <v>655</v>
      </c>
      <c r="FZ660">
        <v>35.25535970414046</v>
      </c>
      <c r="GA660">
        <v>60.875784026293687</v>
      </c>
      <c r="GB660">
        <v>32.080880290599573</v>
      </c>
      <c r="GC660">
        <v>16.989847108395825</v>
      </c>
      <c r="GD660">
        <v>8.8894738990185562</v>
      </c>
      <c r="GE660">
        <v>10.351995946440583</v>
      </c>
      <c r="GF660">
        <v>22.884107704052543</v>
      </c>
      <c r="GG660">
        <v>14.263849947171529</v>
      </c>
      <c r="GH660">
        <v>9.8235722872515403</v>
      </c>
      <c r="GI660">
        <v>24.704721400482931</v>
      </c>
      <c r="GJ660"/>
      <c r="GK660">
        <v>38.249850356826826</v>
      </c>
      <c r="GL660">
        <v>56.13584110751772</v>
      </c>
      <c r="GM660">
        <v>56.833476161672664</v>
      </c>
      <c r="GN660">
        <v>56.099419752788741</v>
      </c>
      <c r="GO660">
        <v>38.669576270321919</v>
      </c>
      <c r="GP660">
        <v>22.211506140299864</v>
      </c>
      <c r="GQ660">
        <v>30.832160817707425</v>
      </c>
      <c r="GR660">
        <v>21.454637251031436</v>
      </c>
      <c r="GS660">
        <v>11.689579385210433</v>
      </c>
      <c r="GT660">
        <v>35.254928598347853</v>
      </c>
      <c r="GU660"/>
      <c r="GV660"/>
      <c r="GW660"/>
      <c r="GX660"/>
      <c r="GY660"/>
      <c r="GZ660"/>
      <c r="HA660"/>
      <c r="HB660"/>
      <c r="HC660"/>
    </row>
    <row r="661" spans="1:211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41.31979166666666</v>
      </c>
      <c r="AO661">
        <v>30.682404884897505</v>
      </c>
      <c r="AP661">
        <v>2.0525399129277506</v>
      </c>
      <c r="AQ661">
        <v>202.97772331134342</v>
      </c>
      <c r="AR661">
        <v>29.065285795741293</v>
      </c>
      <c r="AS661">
        <v>278.18291752057667</v>
      </c>
      <c r="AT661">
        <v>23.957181651453677</v>
      </c>
      <c r="AU661">
        <v>13.65981576928332</v>
      </c>
      <c r="AV661"/>
      <c r="AW661"/>
      <c r="FY661" s="211">
        <v>656</v>
      </c>
      <c r="FZ661">
        <v>45.394281501766855</v>
      </c>
      <c r="GA661">
        <v>71.181850918827394</v>
      </c>
      <c r="GB661">
        <v>28.231174655727632</v>
      </c>
      <c r="GC661">
        <v>11.346474235059839</v>
      </c>
      <c r="GD661">
        <v>7.9763299800420029</v>
      </c>
      <c r="GE661">
        <v>10.426705885612007</v>
      </c>
      <c r="GF661">
        <v>24.430806227828754</v>
      </c>
      <c r="GG661">
        <v>17.900659370788109</v>
      </c>
      <c r="GH661">
        <v>10.17240520027652</v>
      </c>
      <c r="GI661">
        <v>25.065603727942293</v>
      </c>
      <c r="GJ661"/>
      <c r="GK661">
        <v>46.951394664586559</v>
      </c>
      <c r="GL661">
        <v>62.907553926451442</v>
      </c>
      <c r="GM661">
        <v>50.013459022271952</v>
      </c>
      <c r="GN661">
        <v>37.456410809114224</v>
      </c>
      <c r="GO661">
        <v>34.691243603555925</v>
      </c>
      <c r="GP661">
        <v>22.371805688448173</v>
      </c>
      <c r="GQ661">
        <v>32.916054943635423</v>
      </c>
      <c r="GR661">
        <v>26.92485933159243</v>
      </c>
      <c r="GS661">
        <v>12.080309533821929</v>
      </c>
      <c r="GT661">
        <v>35.330492353574364</v>
      </c>
      <c r="GU661"/>
      <c r="GV661"/>
      <c r="GW661"/>
      <c r="GX661"/>
      <c r="GY661"/>
      <c r="GZ661"/>
      <c r="HA661"/>
      <c r="HB661"/>
      <c r="HC661"/>
    </row>
    <row r="662" spans="1:211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51.94722222222223</v>
      </c>
      <c r="AO662">
        <v>38.255021325494127</v>
      </c>
      <c r="AP662">
        <v>21.241649414702778</v>
      </c>
      <c r="AQ662">
        <v>262.70532145704863</v>
      </c>
      <c r="AR662">
        <v>36.999802551183215</v>
      </c>
      <c r="AS662">
        <v>358.90744044085153</v>
      </c>
      <c r="AT662">
        <v>29.420563574422001</v>
      </c>
      <c r="AU662">
        <v>30.801498659988894</v>
      </c>
      <c r="AV662"/>
      <c r="AW662"/>
      <c r="FY662" s="211">
        <v>657</v>
      </c>
      <c r="FZ662">
        <v>34.084497109205465</v>
      </c>
      <c r="GA662">
        <v>69.718249978943064</v>
      </c>
      <c r="GB662">
        <v>29.885345045711674</v>
      </c>
      <c r="GC662">
        <v>12.495115473985724</v>
      </c>
      <c r="GD662">
        <v>8.9821659915265801</v>
      </c>
      <c r="GE662">
        <v>9.2126693740763503</v>
      </c>
      <c r="GF662">
        <v>28.587558510477315</v>
      </c>
      <c r="GG662">
        <v>26.213366624768867</v>
      </c>
      <c r="GH662">
        <v>12.265402678426405</v>
      </c>
      <c r="GI662">
        <v>25.520349977616743</v>
      </c>
      <c r="GJ662"/>
      <c r="GK662">
        <v>37.053840656760855</v>
      </c>
      <c r="GL662">
        <v>63.950444079747712</v>
      </c>
      <c r="GM662">
        <v>52.943935136858201</v>
      </c>
      <c r="GN662">
        <v>41.26939190864794</v>
      </c>
      <c r="GO662">
        <v>39.090319926006877</v>
      </c>
      <c r="GP662">
        <v>19.766938031038173</v>
      </c>
      <c r="GQ662">
        <v>38.516520407066913</v>
      </c>
      <c r="GR662">
        <v>39.428224087160416</v>
      </c>
      <c r="GS662">
        <v>14.424690425490926</v>
      </c>
      <c r="GT662">
        <v>36.405861310436748</v>
      </c>
      <c r="GU662"/>
      <c r="GV662"/>
      <c r="GW662"/>
      <c r="GX662"/>
      <c r="GY662"/>
      <c r="GZ662"/>
      <c r="HA662"/>
      <c r="HB662"/>
      <c r="HC662"/>
    </row>
    <row r="663" spans="1:211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51.210977564102564</v>
      </c>
      <c r="AO663">
        <v>39.47150059443409</v>
      </c>
      <c r="AP663">
        <v>24.008452414708351</v>
      </c>
      <c r="AQ663">
        <v>262.14977874636753</v>
      </c>
      <c r="AR663">
        <v>37.58524800041441</v>
      </c>
      <c r="AS663">
        <v>370.76941995248137</v>
      </c>
      <c r="AT663">
        <v>29.829615135125405</v>
      </c>
      <c r="AU663">
        <v>16.332123748576031</v>
      </c>
      <c r="AV663"/>
      <c r="AW663"/>
      <c r="FY663" s="211">
        <v>658</v>
      </c>
      <c r="FZ663">
        <v>58.11413006056155</v>
      </c>
      <c r="GA663">
        <v>88.141009317125381</v>
      </c>
      <c r="GB663">
        <v>21.714745846699593</v>
      </c>
      <c r="GC663">
        <v>14.928475571523341</v>
      </c>
      <c r="GD663">
        <v>10.481109445118976</v>
      </c>
      <c r="GE663">
        <v>12.625979719970831</v>
      </c>
      <c r="GF663">
        <v>29.070901799157383</v>
      </c>
      <c r="GG663">
        <v>15.562710455606016</v>
      </c>
      <c r="GH663">
        <v>7.6743240865495794</v>
      </c>
      <c r="GI663">
        <v>27.105678189833743</v>
      </c>
      <c r="GJ663"/>
      <c r="GK663">
        <v>67.313552628803407</v>
      </c>
      <c r="GL663">
        <v>87.240790207989903</v>
      </c>
      <c r="GM663">
        <v>38.469159176932195</v>
      </c>
      <c r="GN663">
        <v>49.294875427919443</v>
      </c>
      <c r="GO663">
        <v>45.600699477410721</v>
      </c>
      <c r="GP663">
        <v>27.09062363706397</v>
      </c>
      <c r="GQ663">
        <v>39.167737321419416</v>
      </c>
      <c r="GR663">
        <v>23.408287994088926</v>
      </c>
      <c r="GS663">
        <v>8.5960632694529906</v>
      </c>
      <c r="GT663">
        <v>39.829442374803747</v>
      </c>
      <c r="GU663"/>
      <c r="GV663"/>
      <c r="GW663"/>
      <c r="GX663"/>
      <c r="GY663"/>
      <c r="GZ663"/>
      <c r="HA663"/>
      <c r="HB663"/>
      <c r="HC663"/>
    </row>
    <row r="664" spans="1:211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44.991292735042734</v>
      </c>
      <c r="AO664">
        <v>34.913133829392095</v>
      </c>
      <c r="AP664">
        <v>30.236002981990861</v>
      </c>
      <c r="AQ664">
        <v>227.6359374964797</v>
      </c>
      <c r="AR664">
        <v>33.837072696245421</v>
      </c>
      <c r="AS664">
        <v>327.85672340331047</v>
      </c>
      <c r="AT664">
        <v>26.498579693263732</v>
      </c>
      <c r="AU664">
        <v>35.911433927027304</v>
      </c>
      <c r="AV664"/>
      <c r="AW664"/>
      <c r="FY664" s="211">
        <v>659</v>
      </c>
      <c r="FZ664">
        <v>39.942008960309153</v>
      </c>
      <c r="GA664">
        <v>76.920265672655091</v>
      </c>
      <c r="GB664">
        <v>27.780037276641075</v>
      </c>
      <c r="GC664">
        <v>11.699459656300149</v>
      </c>
      <c r="GD664">
        <v>7.0878141822607565</v>
      </c>
      <c r="GE664">
        <v>5.3417606507568909</v>
      </c>
      <c r="GF664">
        <v>21.267104701922872</v>
      </c>
      <c r="GG664">
        <v>16.625414507961516</v>
      </c>
      <c r="GH664">
        <v>10.870071026326483</v>
      </c>
      <c r="GI664">
        <v>22.998204526705813</v>
      </c>
      <c r="GJ664"/>
      <c r="GK664">
        <v>44.901735433041068</v>
      </c>
      <c r="GL664">
        <v>72.651645145829377</v>
      </c>
      <c r="GM664">
        <v>49.214238263748427</v>
      </c>
      <c r="GN664">
        <v>38.629946115177361</v>
      </c>
      <c r="GO664">
        <v>30.833103604247889</v>
      </c>
      <c r="GP664">
        <v>11.461417692603989</v>
      </c>
      <c r="GQ664">
        <v>28.653544231509972</v>
      </c>
      <c r="GR664">
        <v>25.006729511135976</v>
      </c>
      <c r="GS664">
        <v>12.861769831044931</v>
      </c>
      <c r="GT664">
        <v>33.292878272718454</v>
      </c>
      <c r="GU664"/>
      <c r="GV664"/>
      <c r="GW664"/>
      <c r="GX664"/>
      <c r="GY664"/>
      <c r="GZ664"/>
      <c r="HA664"/>
      <c r="HB664"/>
      <c r="HC664"/>
    </row>
    <row r="665" spans="1:211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48.715411324786331</v>
      </c>
      <c r="AO665">
        <v>37.865765350414542</v>
      </c>
      <c r="AP665">
        <v>34.466288097753065</v>
      </c>
      <c r="AQ665">
        <v>245.85616271258326</v>
      </c>
      <c r="AR665">
        <v>36.441504787941838</v>
      </c>
      <c r="AS665">
        <v>335.24388705208213</v>
      </c>
      <c r="AT665">
        <v>28.506147186969915</v>
      </c>
      <c r="AU665">
        <v>25.223092309553373</v>
      </c>
      <c r="AV665"/>
      <c r="AW665"/>
      <c r="FY665" s="211">
        <v>660</v>
      </c>
      <c r="FZ665">
        <v>49.69969044866599</v>
      </c>
      <c r="GA665">
        <v>85.76273162530444</v>
      </c>
      <c r="GB665">
        <v>26.356448213745715</v>
      </c>
      <c r="GC665">
        <v>7.8136332637829256</v>
      </c>
      <c r="GD665">
        <v>6.2310815856044686</v>
      </c>
      <c r="GE665">
        <v>11.141119678938759</v>
      </c>
      <c r="GF665">
        <v>22.717134567963072</v>
      </c>
      <c r="GG665">
        <v>15.066781897840123</v>
      </c>
      <c r="GH665">
        <v>10.284906645380666</v>
      </c>
      <c r="GI665">
        <v>23.769057601834231</v>
      </c>
      <c r="GJ665"/>
      <c r="GK665">
        <v>54.996942465733447</v>
      </c>
      <c r="GL665">
        <v>80.466248118059355</v>
      </c>
      <c r="GM665">
        <v>46.692252759074201</v>
      </c>
      <c r="GN665">
        <v>25.784155227673057</v>
      </c>
      <c r="GO665">
        <v>27.091598417257696</v>
      </c>
      <c r="GP665">
        <v>23.904670117616362</v>
      </c>
      <c r="GQ665">
        <v>30.607194974567474</v>
      </c>
      <c r="GR665">
        <v>22.662348619466979</v>
      </c>
      <c r="GS665">
        <v>13.578579981998814</v>
      </c>
      <c r="GT665">
        <v>34.593313719726325</v>
      </c>
      <c r="GU665"/>
      <c r="GV665"/>
      <c r="GW665"/>
      <c r="GX665"/>
      <c r="GY665"/>
      <c r="GZ665"/>
      <c r="HA665"/>
      <c r="HB665"/>
      <c r="HC665"/>
    </row>
    <row r="666" spans="1:211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52.286030982905984</v>
      </c>
      <c r="AO666">
        <v>38.292990885456348</v>
      </c>
      <c r="AP666">
        <v>16.58739589965861</v>
      </c>
      <c r="AQ666">
        <v>271.80381258196371</v>
      </c>
      <c r="AR666">
        <v>36.77701673027984</v>
      </c>
      <c r="AS666">
        <v>333.5509124572016</v>
      </c>
      <c r="AT666">
        <v>29.577824724081839</v>
      </c>
      <c r="AU666">
        <v>28.186885020256014</v>
      </c>
      <c r="AV666"/>
      <c r="AW666"/>
      <c r="FY666" s="211">
        <v>661</v>
      </c>
      <c r="FZ666">
        <v>54.069977561888777</v>
      </c>
      <c r="GA666">
        <v>64.275539360366494</v>
      </c>
      <c r="GB666">
        <v>20.732268887799979</v>
      </c>
      <c r="GC666">
        <v>13.805642251392348</v>
      </c>
      <c r="GD666">
        <v>9.9254188571503068</v>
      </c>
      <c r="GE666">
        <v>13.326385399702941</v>
      </c>
      <c r="GF666">
        <v>23.297146514379151</v>
      </c>
      <c r="GG666">
        <v>14.547237694466329</v>
      </c>
      <c r="GH666">
        <v>9.0696557386495051</v>
      </c>
      <c r="GI666">
        <v>25.140153709525986</v>
      </c>
      <c r="GJ666"/>
      <c r="GK666">
        <v>59.515042991111159</v>
      </c>
      <c r="GL666">
        <v>61.476762895540482</v>
      </c>
      <c r="GM666">
        <v>36.72863396948096</v>
      </c>
      <c r="GN666">
        <v>45.582494284217681</v>
      </c>
      <c r="GO666">
        <v>43.178001061993072</v>
      </c>
      <c r="GP666">
        <v>28.593431900954357</v>
      </c>
      <c r="GQ666">
        <v>31.388655271790476</v>
      </c>
      <c r="GR666">
        <v>21.880888322243983</v>
      </c>
      <c r="GS666">
        <v>10.158983863898991</v>
      </c>
      <c r="GT666">
        <v>36.19386343165494</v>
      </c>
      <c r="GU666"/>
      <c r="GV666"/>
      <c r="GW666"/>
      <c r="GX666"/>
      <c r="GY666"/>
      <c r="GZ666"/>
      <c r="HA666"/>
      <c r="HB666"/>
      <c r="HC666"/>
    </row>
    <row r="667" spans="1:211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50.274919871794864</v>
      </c>
      <c r="AO667">
        <v>39.64097541589139</v>
      </c>
      <c r="AP667">
        <v>53.296629349505316</v>
      </c>
      <c r="AQ667">
        <v>284.53763869275122</v>
      </c>
      <c r="AR667">
        <v>37.732090702064781</v>
      </c>
      <c r="AS667">
        <v>356.3596046183539</v>
      </c>
      <c r="AT667">
        <v>28.810152222240401</v>
      </c>
      <c r="AU667">
        <v>44.522860130090997</v>
      </c>
      <c r="AV667"/>
      <c r="AW667"/>
      <c r="FY667" s="211">
        <v>662</v>
      </c>
      <c r="FZ667">
        <v>48.288016345018143</v>
      </c>
      <c r="GA667">
        <v>66.446537576462788</v>
      </c>
      <c r="GB667">
        <v>25.363945979755293</v>
      </c>
      <c r="GC667">
        <v>12.621377230131515</v>
      </c>
      <c r="GD667">
        <v>7.8666189285942911</v>
      </c>
      <c r="GE667">
        <v>8.9091602461924335</v>
      </c>
      <c r="GF667">
        <v>17.110352419274314</v>
      </c>
      <c r="GG667">
        <v>16.105870304587722</v>
      </c>
      <c r="GH667">
        <v>12.963068504476368</v>
      </c>
      <c r="GI667">
        <v>23.688239580192121</v>
      </c>
      <c r="GJ667"/>
      <c r="GK667">
        <v>51.745294244553236</v>
      </c>
      <c r="GL667">
        <v>61.059040980022615</v>
      </c>
      <c r="GM667">
        <v>44.933967090322454</v>
      </c>
      <c r="GN667">
        <v>41.663373819671172</v>
      </c>
      <c r="GO667">
        <v>34.209444830774871</v>
      </c>
      <c r="GP667">
        <v>19.11572111668567</v>
      </c>
      <c r="GQ667">
        <v>23.053078768078482</v>
      </c>
      <c r="GR667">
        <v>24.225269213912981</v>
      </c>
      <c r="GS667">
        <v>15.206150722713929</v>
      </c>
      <c r="GT667">
        <v>33.829587131288598</v>
      </c>
      <c r="GU667"/>
      <c r="GV667"/>
      <c r="GW667"/>
      <c r="GX667"/>
      <c r="GY667"/>
      <c r="GZ667"/>
      <c r="HA667"/>
      <c r="HB667"/>
      <c r="HC667"/>
    </row>
    <row r="668" spans="1:211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45.523317307692309</v>
      </c>
      <c r="AO668">
        <v>35.073914792455305</v>
      </c>
      <c r="AP668">
        <v>17.373137182760583</v>
      </c>
      <c r="AQ668">
        <v>238.29332225379639</v>
      </c>
      <c r="AR668">
        <v>34.040398790665108</v>
      </c>
      <c r="AS668">
        <v>297.52971383529729</v>
      </c>
      <c r="AT668">
        <v>27.774030307497181</v>
      </c>
      <c r="AU668">
        <v>20.641158781098369</v>
      </c>
      <c r="AV668"/>
      <c r="AW668"/>
      <c r="FY668" s="211">
        <v>663</v>
      </c>
      <c r="FZ668">
        <v>47.896103567839191</v>
      </c>
      <c r="GA668">
        <v>80.112741531003266</v>
      </c>
      <c r="GB668">
        <v>33.92553090730906</v>
      </c>
      <c r="GC668">
        <v>16.322807127024333</v>
      </c>
      <c r="GD668">
        <v>9.7037696714535073</v>
      </c>
      <c r="GE668">
        <v>8.9091602461924371</v>
      </c>
      <c r="GF668">
        <v>21.987725605045878</v>
      </c>
      <c r="GG668">
        <v>18.656360030240908</v>
      </c>
      <c r="GH668">
        <v>10.116154477724448</v>
      </c>
      <c r="GI668">
        <v>27.444140139304473</v>
      </c>
      <c r="GJ668"/>
      <c r="GK668">
        <v>49.5333636639944</v>
      </c>
      <c r="GL668">
        <v>70.800302928403738</v>
      </c>
      <c r="GM668">
        <v>60.101401040968859</v>
      </c>
      <c r="GN668">
        <v>53.9116525795149</v>
      </c>
      <c r="GO668">
        <v>42.230733801094182</v>
      </c>
      <c r="GP668">
        <v>19.115721116685677</v>
      </c>
      <c r="GQ668">
        <v>29.624449449271879</v>
      </c>
      <c r="GR668">
        <v>28.061528854825884</v>
      </c>
      <c r="GS668">
        <v>11.331174309733489</v>
      </c>
      <c r="GT668">
        <v>38.564224453012571</v>
      </c>
      <c r="GU668"/>
      <c r="GV668"/>
      <c r="GW668"/>
      <c r="GX668"/>
      <c r="GY668"/>
      <c r="GZ668"/>
      <c r="HA668"/>
      <c r="HB668"/>
      <c r="HC668"/>
    </row>
    <row r="669" spans="1:211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48.715277777777779</v>
      </c>
      <c r="AO669">
        <v>35.91563215463335</v>
      </c>
      <c r="AP669">
        <v>12.034328116680683</v>
      </c>
      <c r="AQ669">
        <v>234.73124777341607</v>
      </c>
      <c r="AR669">
        <v>34.982586533943291</v>
      </c>
      <c r="AS669">
        <v>345.62852497386029</v>
      </c>
      <c r="AT669">
        <v>28.075816437293668</v>
      </c>
      <c r="AU669">
        <v>32.897505790127681</v>
      </c>
      <c r="AV669"/>
      <c r="AW669"/>
      <c r="FY669" s="211">
        <v>664</v>
      </c>
      <c r="FZ669">
        <v>39.791884896227558</v>
      </c>
      <c r="GA669">
        <v>57.033905394588402</v>
      </c>
      <c r="GB669">
        <v>19.288629274723</v>
      </c>
      <c r="GC669">
        <v>10.437868179839286</v>
      </c>
      <c r="GD669">
        <v>7.3352800476591353</v>
      </c>
      <c r="GE669">
        <v>8.1807383392710413</v>
      </c>
      <c r="GF669">
        <v>21.434077838012353</v>
      </c>
      <c r="GG669">
        <v>20.238608285970198</v>
      </c>
      <c r="GH669">
        <v>13.311901417501348</v>
      </c>
      <c r="GI669">
        <v>21.516686607253536</v>
      </c>
      <c r="GJ669"/>
      <c r="GK669">
        <v>41.154219266620686</v>
      </c>
      <c r="GL669">
        <v>50.404189170883448</v>
      </c>
      <c r="GM669">
        <v>34.171127542205696</v>
      </c>
      <c r="GN669">
        <v>34.470789066647647</v>
      </c>
      <c r="GO669">
        <v>31.918747396695615</v>
      </c>
      <c r="GP669">
        <v>17.552800522239675</v>
      </c>
      <c r="GQ669">
        <v>28.878510074649931</v>
      </c>
      <c r="GR669">
        <v>30.441430669095926</v>
      </c>
      <c r="GS669">
        <v>15.596880871325425</v>
      </c>
      <c r="GT669">
        <v>30.343897030299466</v>
      </c>
      <c r="GU669"/>
      <c r="GV669"/>
      <c r="GW669"/>
      <c r="GX669"/>
      <c r="GY669"/>
      <c r="GZ669"/>
      <c r="HA669"/>
      <c r="HB669"/>
      <c r="HC669"/>
    </row>
    <row r="670" spans="1:211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54.71848290598291</v>
      </c>
      <c r="AO670">
        <v>40.066682690246509</v>
      </c>
      <c r="AP670">
        <v>15.972222046859706</v>
      </c>
      <c r="AQ670">
        <v>272.04001777209771</v>
      </c>
      <c r="AR670">
        <v>37.66095782829904</v>
      </c>
      <c r="AS670">
        <v>378.19083175226433</v>
      </c>
      <c r="AT670">
        <v>30.522477858156325</v>
      </c>
      <c r="AU670">
        <v>26.566723628154037</v>
      </c>
      <c r="AV670"/>
      <c r="AW670"/>
      <c r="FY670" s="211">
        <v>665</v>
      </c>
      <c r="FZ670">
        <v>27.715433091234054</v>
      </c>
      <c r="GA670">
        <v>54.027466970687627</v>
      </c>
      <c r="GB670">
        <v>31.619717636422205</v>
      </c>
      <c r="GC670">
        <v>15.566459323041046</v>
      </c>
      <c r="GD670">
        <v>7.9206412694560058</v>
      </c>
      <c r="GE670">
        <v>11.35124138285839</v>
      </c>
      <c r="GF670">
        <v>26.197206246459537</v>
      </c>
      <c r="GG670">
        <v>19.482907626517402</v>
      </c>
      <c r="GH670">
        <v>16.856481270303231</v>
      </c>
      <c r="GI670">
        <v>24.709157602704821</v>
      </c>
      <c r="GJ670"/>
      <c r="GK670">
        <v>28.665223709568387</v>
      </c>
      <c r="GL670">
        <v>47.747224160325253</v>
      </c>
      <c r="GM670">
        <v>56.01649494184862</v>
      </c>
      <c r="GN670">
        <v>51.40971518291029</v>
      </c>
      <c r="GO670">
        <v>34.46623510221162</v>
      </c>
      <c r="GP670">
        <v>24.355512596783477</v>
      </c>
      <c r="GQ670">
        <v>35.295956757905465</v>
      </c>
      <c r="GR670">
        <v>29.304761145862471</v>
      </c>
      <c r="GS670">
        <v>20.253317581528865</v>
      </c>
      <c r="GT670">
        <v>34.939445618612588</v>
      </c>
      <c r="GU670"/>
      <c r="GV670"/>
      <c r="GW670"/>
      <c r="GX670"/>
      <c r="GY670"/>
      <c r="GZ670"/>
      <c r="HA670"/>
      <c r="HB670"/>
      <c r="HC670"/>
    </row>
    <row r="671" spans="1:211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47.698450854700852</v>
      </c>
      <c r="AO671">
        <v>36.743097584172496</v>
      </c>
      <c r="AP671">
        <v>32.456106470107947</v>
      </c>
      <c r="AQ671">
        <v>236.11959231384725</v>
      </c>
      <c r="AR671">
        <v>35.254928598347867</v>
      </c>
      <c r="AS671">
        <v>349.63342251866692</v>
      </c>
      <c r="AT671">
        <v>27.589005823165806</v>
      </c>
      <c r="AU671">
        <v>27.363669479506758</v>
      </c>
      <c r="AV671"/>
      <c r="AW671"/>
      <c r="FY671" s="211">
        <v>666</v>
      </c>
      <c r="FZ671">
        <v>40.957094890692829</v>
      </c>
      <c r="GA671">
        <v>83.119179954904027</v>
      </c>
      <c r="GB671">
        <v>33.845328706582563</v>
      </c>
      <c r="GC671">
        <v>13.488542164672056</v>
      </c>
      <c r="GD671">
        <v>8.2967680646818387</v>
      </c>
      <c r="GE671">
        <v>9.8663813418263207</v>
      </c>
      <c r="GF671">
        <v>22.690770388580514</v>
      </c>
      <c r="GG671">
        <v>14.263849947171526</v>
      </c>
      <c r="GH671">
        <v>7.4379926186287442</v>
      </c>
      <c r="GI671">
        <v>25.279292058515502</v>
      </c>
      <c r="GJ671"/>
      <c r="GK671">
        <v>42.358298128058493</v>
      </c>
      <c r="GL671">
        <v>73.45726793896192</v>
      </c>
      <c r="GM671">
        <v>59.959317350564682</v>
      </c>
      <c r="GN671">
        <v>44.550523284808619</v>
      </c>
      <c r="GO671">
        <v>36.107473220406277</v>
      </c>
      <c r="GP671">
        <v>21.169559077335865</v>
      </c>
      <c r="GQ671">
        <v>30.571674051966422</v>
      </c>
      <c r="GR671">
        <v>21.454637251031432</v>
      </c>
      <c r="GS671">
        <v>9.7036035690183748</v>
      </c>
      <c r="GT671">
        <v>35.740073264002852</v>
      </c>
      <c r="GU671"/>
      <c r="GV671"/>
      <c r="GW671"/>
      <c r="GX671"/>
      <c r="GY671"/>
      <c r="GZ671"/>
      <c r="HA671"/>
      <c r="HB671"/>
      <c r="HC671"/>
    </row>
    <row r="672" spans="1:211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48.539797008547012</v>
      </c>
      <c r="AO672">
        <v>36.164358387705242</v>
      </c>
      <c r="AP672">
        <v>7.4585291989508686</v>
      </c>
      <c r="AQ672">
        <v>252.1262917038714</v>
      </c>
      <c r="AR672">
        <v>35.330492353574371</v>
      </c>
      <c r="AS672">
        <v>325.87405973679256</v>
      </c>
      <c r="AT672">
        <v>28.79980214039821</v>
      </c>
      <c r="AU672">
        <v>28.936019598832509</v>
      </c>
      <c r="AV672"/>
      <c r="AW672"/>
      <c r="FY672" s="211">
        <v>667</v>
      </c>
      <c r="FZ672">
        <v>48.025926823245101</v>
      </c>
      <c r="GA672">
        <v>66.928279146161302</v>
      </c>
      <c r="GB672">
        <v>21.263608467613036</v>
      </c>
      <c r="GC672">
        <v>13.165551763718206</v>
      </c>
      <c r="GD672">
        <v>9.4992539602010115</v>
      </c>
      <c r="GE672">
        <v>8.3628438160013925</v>
      </c>
      <c r="GF672">
        <v>27.234197302173136</v>
      </c>
      <c r="GG672">
        <v>20.758152489343995</v>
      </c>
      <c r="GH672">
        <v>8.4844913577036873</v>
      </c>
      <c r="GI672">
        <v>24.823871625908769</v>
      </c>
      <c r="GJ672"/>
      <c r="GK672">
        <v>53.263360613327173</v>
      </c>
      <c r="GL672">
        <v>63.821143787209479</v>
      </c>
      <c r="GM672">
        <v>37.66993841840867</v>
      </c>
      <c r="GN672">
        <v>43.479896910448687</v>
      </c>
      <c r="GO672">
        <v>41.336345850408684</v>
      </c>
      <c r="GP672">
        <v>17.943530670851178</v>
      </c>
      <c r="GQ672">
        <v>36.693113046879922</v>
      </c>
      <c r="GR672">
        <v>31.222890966318928</v>
      </c>
      <c r="GS672">
        <v>10.875794014852874</v>
      </c>
      <c r="GT672">
        <v>35.967710388775465</v>
      </c>
      <c r="GU672"/>
      <c r="GV672"/>
      <c r="GW672"/>
      <c r="GX672"/>
      <c r="GY672"/>
      <c r="GZ672"/>
      <c r="HA672"/>
      <c r="HB672"/>
      <c r="HC672"/>
    </row>
    <row r="673" spans="1:211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48.586672008547012</v>
      </c>
      <c r="AO673">
        <v>38.28501659692148</v>
      </c>
      <c r="AP673">
        <v>22.101582354144352</v>
      </c>
      <c r="AQ673">
        <v>256.96472076473816</v>
      </c>
      <c r="AR673">
        <v>36.405861310436755</v>
      </c>
      <c r="AS673">
        <v>347.46821795373944</v>
      </c>
      <c r="AT673">
        <v>29.330317797317125</v>
      </c>
      <c r="AU673">
        <v>19.741683777931648</v>
      </c>
      <c r="AV673"/>
      <c r="AW673"/>
      <c r="FY673" s="211">
        <v>668</v>
      </c>
      <c r="FZ673">
        <v>36.996511429604844</v>
      </c>
      <c r="GA673">
        <v>58.625549266065292</v>
      </c>
      <c r="GB673">
        <v>27.338925172645332</v>
      </c>
      <c r="GC673">
        <v>12.060028487393021</v>
      </c>
      <c r="GD673">
        <v>6.9951971068583072</v>
      </c>
      <c r="GE673">
        <v>10.366004060035223</v>
      </c>
      <c r="GF673">
        <v>27.234197302173136</v>
      </c>
      <c r="GG673">
        <v>18.679975675848809</v>
      </c>
      <c r="GH673">
        <v>6.9766582604996197</v>
      </c>
      <c r="GI673">
        <v>23.006259945069946</v>
      </c>
      <c r="GJ673"/>
      <c r="GK673">
        <v>38.26281616689559</v>
      </c>
      <c r="GL673">
        <v>51.810817705884851</v>
      </c>
      <c r="GM673">
        <v>48.432777966525435</v>
      </c>
      <c r="GN673">
        <v>39.828528225638664</v>
      </c>
      <c r="GO673">
        <v>30.438708954985387</v>
      </c>
      <c r="GP673">
        <v>22.24156230557767</v>
      </c>
      <c r="GQ673">
        <v>36.693113046879922</v>
      </c>
      <c r="GR673">
        <v>28.097049777426932</v>
      </c>
      <c r="GS673">
        <v>7.8146029722299932</v>
      </c>
      <c r="GT673">
        <v>32.328403821503265</v>
      </c>
      <c r="GU673"/>
      <c r="GV673"/>
      <c r="GW673"/>
      <c r="GX673"/>
      <c r="GY673"/>
      <c r="GZ673"/>
      <c r="HA673"/>
      <c r="HB673"/>
      <c r="HC673"/>
    </row>
    <row r="674" spans="1:211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48.086912393162393</v>
      </c>
      <c r="AO674">
        <v>42.601123151588467</v>
      </c>
      <c r="AP674">
        <v>48.85857085181577</v>
      </c>
      <c r="AQ674">
        <v>285.41906449214639</v>
      </c>
      <c r="AR674">
        <v>39.829442374803747</v>
      </c>
      <c r="AS674">
        <v>374.84252775127527</v>
      </c>
      <c r="AT674">
        <v>30.428240462742963</v>
      </c>
      <c r="AU674">
        <v>-2.6904818814106441</v>
      </c>
      <c r="AV674"/>
      <c r="AW674"/>
      <c r="FY674" s="211">
        <v>669</v>
      </c>
      <c r="FZ674">
        <v>41.311548717270284</v>
      </c>
      <c r="GA674">
        <v>68.352261813979609</v>
      </c>
      <c r="GB674">
        <v>32.852826472592135</v>
      </c>
      <c r="GC674">
        <v>17.350703862495056</v>
      </c>
      <c r="GD674">
        <v>10.747876620164476</v>
      </c>
      <c r="GE674">
        <v>10.44071399920665</v>
      </c>
      <c r="GF674">
        <v>19.527068862674636</v>
      </c>
      <c r="GG674">
        <v>20.521996033264998</v>
      </c>
      <c r="GH674">
        <v>18.836977303348974</v>
      </c>
      <c r="GI674">
        <v>27.769527488980348</v>
      </c>
      <c r="GJ674"/>
      <c r="GK674">
        <v>42.720289879638614</v>
      </c>
      <c r="GL674">
        <v>60.406880975337849</v>
      </c>
      <c r="GM674">
        <v>58.201031681812921</v>
      </c>
      <c r="GN674">
        <v>57.306633066576339</v>
      </c>
      <c r="GO674">
        <v>46.774679515366373</v>
      </c>
      <c r="GP674">
        <v>22.401861853725979</v>
      </c>
      <c r="GQ674">
        <v>26.309163339840975</v>
      </c>
      <c r="GR674">
        <v>30.867681740308477</v>
      </c>
      <c r="GS674">
        <v>21.09942802502098</v>
      </c>
      <c r="GT674">
        <v>39.020918488335973</v>
      </c>
      <c r="GU674"/>
      <c r="GV674"/>
      <c r="GW674"/>
      <c r="GX674"/>
      <c r="GY674"/>
      <c r="GZ674"/>
      <c r="HA674"/>
      <c r="HB674"/>
      <c r="HC674"/>
    </row>
    <row r="675" spans="1:211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42.51145833333333</v>
      </c>
      <c r="AO675">
        <v>34.750700810105741</v>
      </c>
      <c r="AP675">
        <v>46.610225129368075</v>
      </c>
      <c r="AQ675">
        <v>240.53214116183983</v>
      </c>
      <c r="AR675">
        <v>33.292878272718454</v>
      </c>
      <c r="AS675">
        <v>312.67344105978924</v>
      </c>
      <c r="AT675">
        <v>25.536597321432382</v>
      </c>
      <c r="AU675">
        <v>14.526356328540126</v>
      </c>
      <c r="AV675"/>
      <c r="AW675"/>
      <c r="FY675" s="211">
        <v>670</v>
      </c>
      <c r="FZ675">
        <v>33.468930965239451</v>
      </c>
      <c r="GA675">
        <v>69.678631706876999</v>
      </c>
      <c r="GB675">
        <v>32.642295695685071</v>
      </c>
      <c r="GC675">
        <v>13.40055028508611</v>
      </c>
      <c r="GD675">
        <v>7.20077897635894</v>
      </c>
      <c r="GE675">
        <v>11.762146048301227</v>
      </c>
      <c r="GF675">
        <v>36.681361580919862</v>
      </c>
      <c r="GG675">
        <v>25.929978877474067</v>
      </c>
      <c r="GH675">
        <v>9.4747393742265587</v>
      </c>
      <c r="GI675">
        <v>26.180097095939299</v>
      </c>
      <c r="GJ675"/>
      <c r="GK675">
        <v>34.618691166978863</v>
      </c>
      <c r="GL675">
        <v>61.579071421172337</v>
      </c>
      <c r="GM675">
        <v>57.828061994501944</v>
      </c>
      <c r="GN675">
        <v>44.244539532911638</v>
      </c>
      <c r="GO675">
        <v>31.320388463454332</v>
      </c>
      <c r="GP675">
        <v>25.237160111599163</v>
      </c>
      <c r="GQ675">
        <v>49.421443645587857</v>
      </c>
      <c r="GR675">
        <v>39.001973015947868</v>
      </c>
      <c r="GS675">
        <v>11.298849236598933</v>
      </c>
      <c r="GT675">
        <v>36.897486901424386</v>
      </c>
      <c r="GU675"/>
      <c r="GV675"/>
      <c r="GW675"/>
      <c r="GX675"/>
      <c r="GY675"/>
      <c r="GZ675"/>
      <c r="HA675"/>
      <c r="HB675"/>
      <c r="HC675"/>
    </row>
    <row r="676" spans="1:211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43.813274572649576</v>
      </c>
      <c r="AO676">
        <v>36.037730440117365</v>
      </c>
      <c r="AP676">
        <v>55.956089830402817</v>
      </c>
      <c r="AQ676">
        <v>258.84258552906039</v>
      </c>
      <c r="AR676">
        <v>34.593313719726304</v>
      </c>
      <c r="AS676">
        <v>305.51963844616063</v>
      </c>
      <c r="AT676">
        <v>26.19638784738871</v>
      </c>
      <c r="AU676">
        <v>30.600312697836642</v>
      </c>
      <c r="AV676"/>
      <c r="AW676"/>
      <c r="FY676" s="211">
        <v>671</v>
      </c>
      <c r="FZ676">
        <v>47.648173652079862</v>
      </c>
      <c r="GA676">
        <v>79.307731479870412</v>
      </c>
      <c r="GB676">
        <v>31.2086813576989</v>
      </c>
      <c r="GC676">
        <v>14.287320575885474</v>
      </c>
      <c r="GD676">
        <v>9.6246335134249641</v>
      </c>
      <c r="GE676">
        <v>12.611971606376191</v>
      </c>
      <c r="GF676">
        <v>16.337003157386206</v>
      </c>
      <c r="GG676">
        <v>8.8322514573545536</v>
      </c>
      <c r="GH676">
        <v>13.773235775630475</v>
      </c>
      <c r="GI676">
        <v>26.125550472467165</v>
      </c>
      <c r="GJ676"/>
      <c r="GK676">
        <v>52.872630464715662</v>
      </c>
      <c r="GL676">
        <v>74.761587948331467</v>
      </c>
      <c r="GM676">
        <v>55.288316028527191</v>
      </c>
      <c r="GN676">
        <v>47.169561554725732</v>
      </c>
      <c r="GO676">
        <v>41.86464838319268</v>
      </c>
      <c r="GP676">
        <v>27.060567471786168</v>
      </c>
      <c r="GQ676">
        <v>22.011131705114479</v>
      </c>
      <c r="GR676">
        <v>13.284825052790985</v>
      </c>
      <c r="GS676">
        <v>17.48588146811381</v>
      </c>
      <c r="GT676">
        <v>37.904521609932772</v>
      </c>
      <c r="GU676"/>
      <c r="GV676"/>
      <c r="GW676"/>
      <c r="GX676"/>
      <c r="GY676"/>
      <c r="GZ676"/>
      <c r="HA676"/>
      <c r="HB676"/>
      <c r="HC676"/>
    </row>
    <row r="677" spans="1:211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46.548344017094017</v>
      </c>
      <c r="AO677">
        <v>37.469675799288616</v>
      </c>
      <c r="AP677">
        <v>42.317205252833119</v>
      </c>
      <c r="AQ677">
        <v>248.18942597532183</v>
      </c>
      <c r="AR677">
        <v>36.19386343165494</v>
      </c>
      <c r="AS677">
        <v>328.37106063833647</v>
      </c>
      <c r="AT677">
        <v>27.895104009638739</v>
      </c>
      <c r="AU677">
        <v>39.136288117885698</v>
      </c>
      <c r="AV677"/>
      <c r="AW677"/>
      <c r="FY677" s="211">
        <v>672</v>
      </c>
      <c r="FZ677">
        <v>40.602152461923126</v>
      </c>
      <c r="GA677">
        <v>75.465852848165156</v>
      </c>
      <c r="GB677">
        <v>30.627215402431784</v>
      </c>
      <c r="GC677">
        <v>11.964803979726396</v>
      </c>
      <c r="GD677">
        <v>6.7518694945018494</v>
      </c>
      <c r="GE677">
        <v>10.062494932151312</v>
      </c>
      <c r="GF677">
        <v>24.404442048446207</v>
      </c>
      <c r="GG677">
        <v>19.175904233614705</v>
      </c>
      <c r="GH677">
        <v>11.972820487953499</v>
      </c>
      <c r="GI677">
        <v>24.455398839251249</v>
      </c>
      <c r="GJ677"/>
      <c r="GK677">
        <v>43.791918429966259</v>
      </c>
      <c r="GL677">
        <v>69.029936011697203</v>
      </c>
      <c r="GM677">
        <v>54.258209273096874</v>
      </c>
      <c r="GN677">
        <v>39.502496365672073</v>
      </c>
      <c r="GO677">
        <v>29.366737720396841</v>
      </c>
      <c r="GP677">
        <v>21.590345391225174</v>
      </c>
      <c r="GQ677">
        <v>32.880534021034379</v>
      </c>
      <c r="GR677">
        <v>28.842989152048887</v>
      </c>
      <c r="GS677">
        <v>14.783095500967871</v>
      </c>
      <c r="GT677">
        <v>35.016098989092441</v>
      </c>
      <c r="GU677"/>
      <c r="GV677"/>
      <c r="GW677"/>
      <c r="GX677"/>
      <c r="GY677"/>
      <c r="GZ677"/>
      <c r="HA677"/>
      <c r="HB677"/>
      <c r="HC677"/>
    </row>
    <row r="678" spans="1:211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44.711378205128213</v>
      </c>
      <c r="AO678">
        <v>34.904092791802398</v>
      </c>
      <c r="AP678">
        <v>21.732014310764068</v>
      </c>
      <c r="AQ678">
        <v>239.36318711468496</v>
      </c>
      <c r="AR678">
        <v>33.829587131288598</v>
      </c>
      <c r="AS678">
        <v>308.42030635255486</v>
      </c>
      <c r="AT678">
        <v>26.778313835697663</v>
      </c>
      <c r="AU678">
        <v>23.696055464787225</v>
      </c>
      <c r="AV678"/>
      <c r="AW678"/>
      <c r="FY678" s="211">
        <v>673</v>
      </c>
      <c r="FZ678">
        <v>36.961562412723183</v>
      </c>
      <c r="GA678">
        <v>74.718837299887156</v>
      </c>
      <c r="GB678">
        <v>32.622245145503442</v>
      </c>
      <c r="GC678">
        <v>12.145777796168522</v>
      </c>
      <c r="GD678">
        <v>8.2317485542098758</v>
      </c>
      <c r="GE678">
        <v>10.790916839072706</v>
      </c>
      <c r="GF678">
        <v>19.527068862674636</v>
      </c>
      <c r="GG678">
        <v>15.846098202900819</v>
      </c>
      <c r="GH678">
        <v>15.753731808676214</v>
      </c>
      <c r="GI678">
        <v>25.040105741359877</v>
      </c>
      <c r="GJ678"/>
      <c r="GK678">
        <v>38.219708571348527</v>
      </c>
      <c r="GL678">
        <v>66.033395115343438</v>
      </c>
      <c r="GM678">
        <v>57.792541071900892</v>
      </c>
      <c r="GN678">
        <v>40.104064403120738</v>
      </c>
      <c r="GO678">
        <v>35.811497525717478</v>
      </c>
      <c r="GP678">
        <v>23.153265985671172</v>
      </c>
      <c r="GQ678">
        <v>26.309163339840975</v>
      </c>
      <c r="GR678">
        <v>23.834539065301477</v>
      </c>
      <c r="GS678">
        <v>18.331991911605922</v>
      </c>
      <c r="GT678">
        <v>35.292980484082761</v>
      </c>
      <c r="GU678"/>
      <c r="GV678"/>
      <c r="GW678"/>
      <c r="GX678"/>
      <c r="GY678"/>
      <c r="GZ678"/>
      <c r="HA678"/>
      <c r="HB678"/>
      <c r="HC678"/>
    </row>
    <row r="679" spans="1:211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54.157264957264964</v>
      </c>
      <c r="AO679">
        <v>40.327455219750561</v>
      </c>
      <c r="AP679">
        <v>6.9663868729835992</v>
      </c>
      <c r="AQ679">
        <v>275.0744933031375</v>
      </c>
      <c r="AR679">
        <v>38.564224453012578</v>
      </c>
      <c r="AS679">
        <v>383.85714853281212</v>
      </c>
      <c r="AT679">
        <v>31.724864940642444</v>
      </c>
      <c r="AU679">
        <v>37.573739894093229</v>
      </c>
      <c r="AV679"/>
      <c r="AW679"/>
      <c r="FY679" s="211">
        <v>674</v>
      </c>
      <c r="FZ679">
        <v>33.306180024479467</v>
      </c>
      <c r="GA679">
        <v>57.033905394588402</v>
      </c>
      <c r="GB679">
        <v>29.22367688971806</v>
      </c>
      <c r="GC679">
        <v>15.02353787371467</v>
      </c>
      <c r="GD679">
        <v>9.292341382736458</v>
      </c>
      <c r="GE679">
        <v>11.108434080551262</v>
      </c>
      <c r="GF679">
        <v>19.720406178146664</v>
      </c>
      <c r="GG679">
        <v>16.105870304587722</v>
      </c>
      <c r="GH679">
        <v>14.009567243551309</v>
      </c>
      <c r="GI679">
        <v>24.060346654703391</v>
      </c>
      <c r="GJ679"/>
      <c r="GK679">
        <v>34.448029909018572</v>
      </c>
      <c r="GL679">
        <v>50.404189170883448</v>
      </c>
      <c r="GM679">
        <v>51.771744691023706</v>
      </c>
      <c r="GN679">
        <v>49.605011070564274</v>
      </c>
      <c r="GO679">
        <v>40.422852578194032</v>
      </c>
      <c r="GP679">
        <v>23.834539065301477</v>
      </c>
      <c r="GQ679">
        <v>26.569650105581978</v>
      </c>
      <c r="GR679">
        <v>24.225269213912981</v>
      </c>
      <c r="GS679">
        <v>16.378341168548427</v>
      </c>
      <c r="GT679">
        <v>33.918123690473344</v>
      </c>
      <c r="GU679"/>
      <c r="GV679"/>
      <c r="GW679"/>
      <c r="GX679"/>
      <c r="GY679"/>
      <c r="GZ679"/>
      <c r="HA679"/>
      <c r="HB679"/>
      <c r="HC679"/>
    </row>
    <row r="680" spans="1:211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42.007211538461533</v>
      </c>
      <c r="AO680">
        <v>31.493259161066351</v>
      </c>
      <c r="AP680">
        <v>9.9913893180449591</v>
      </c>
      <c r="AQ680">
        <v>218.56958028104586</v>
      </c>
      <c r="AR680">
        <v>30.343897030299456</v>
      </c>
      <c r="AS680">
        <v>290.56694043465535</v>
      </c>
      <c r="AT680">
        <v>24.793550991239986</v>
      </c>
      <c r="AU680">
        <v>24.252760276517357</v>
      </c>
      <c r="AV680"/>
      <c r="AW680"/>
      <c r="FY680" s="211">
        <v>675</v>
      </c>
      <c r="FZ680">
        <v>48.958343712349254</v>
      </c>
      <c r="GA680">
        <v>71.21228107549905</v>
      </c>
      <c r="GB680">
        <v>22.586944779600262</v>
      </c>
      <c r="GC680">
        <v>14.808319076728976</v>
      </c>
      <c r="GD680">
        <v>9.3095972574388988</v>
      </c>
      <c r="GE680">
        <v>10.548109536765574</v>
      </c>
      <c r="GF680">
        <v>41.734495962575082</v>
      </c>
      <c r="GG680">
        <v>35.045618082123411</v>
      </c>
      <c r="GH680">
        <v>14.470901601680435</v>
      </c>
      <c r="GI680">
        <v>28.878536133314022</v>
      </c>
      <c r="GJ680"/>
      <c r="GK680">
        <v>56.036682600457794</v>
      </c>
      <c r="GL680">
        <v>69.94352587245524</v>
      </c>
      <c r="GM680">
        <v>40.01431931007766</v>
      </c>
      <c r="GN680">
        <v>48.901857632538849</v>
      </c>
      <c r="GO680">
        <v>40.506624194714853</v>
      </c>
      <c r="GP680">
        <v>22.632292454189173</v>
      </c>
      <c r="GQ680">
        <v>56.229620477454887</v>
      </c>
      <c r="GR680">
        <v>52.713049139951394</v>
      </c>
      <c r="GS680">
        <v>18.267341765336809</v>
      </c>
      <c r="GT680">
        <v>42.210917669608406</v>
      </c>
      <c r="GU680"/>
      <c r="GV680"/>
      <c r="GW680"/>
      <c r="GX680"/>
      <c r="GY680"/>
      <c r="GZ680"/>
      <c r="HA680"/>
      <c r="HB680"/>
      <c r="HC680"/>
    </row>
    <row r="681" spans="1:211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47.919551282051287</v>
      </c>
      <c r="AO681">
        <v>36.245388679755706</v>
      </c>
      <c r="AP681">
        <v>11.866089351951112</v>
      </c>
      <c r="AQ681">
        <v>235.44671241968433</v>
      </c>
      <c r="AR681">
        <v>34.939445618612616</v>
      </c>
      <c r="AS681">
        <v>338.56781577574708</v>
      </c>
      <c r="AT681">
        <v>28.567477009021477</v>
      </c>
      <c r="AU681">
        <v>21.69825621968748</v>
      </c>
      <c r="AV681"/>
      <c r="AW681"/>
      <c r="FY681" s="211">
        <v>676</v>
      </c>
      <c r="FZ681">
        <v>30.08645469751599</v>
      </c>
      <c r="GA681">
        <v>58.71397392559178</v>
      </c>
      <c r="GB681">
        <v>26.797560317741461</v>
      </c>
      <c r="GC681">
        <v>12.587069390822418</v>
      </c>
      <c r="GD681">
        <v>8.7828349423646284</v>
      </c>
      <c r="GE681">
        <v>9.8803894554209624</v>
      </c>
      <c r="GF681">
        <v>22.137122621546993</v>
      </c>
      <c r="GG681">
        <v>15.58632610121392</v>
      </c>
      <c r="GH681">
        <v>6.2789924344496564</v>
      </c>
      <c r="GI681">
        <v>21.870948269229984</v>
      </c>
      <c r="GJ681"/>
      <c r="GK681">
        <v>31.108419866619236</v>
      </c>
      <c r="GL681">
        <v>51.888963735607142</v>
      </c>
      <c r="GM681">
        <v>47.473713056297207</v>
      </c>
      <c r="GN681">
        <v>41.565420926092159</v>
      </c>
      <c r="GO681">
        <v>38.214158497616602</v>
      </c>
      <c r="GP681">
        <v>21.199615242613675</v>
      </c>
      <c r="GQ681">
        <v>29.825734677344474</v>
      </c>
      <c r="GR681">
        <v>23.443808916689978</v>
      </c>
      <c r="GS681">
        <v>7.0331426750069932</v>
      </c>
      <c r="GT681">
        <v>30.731033754576902</v>
      </c>
      <c r="GU681"/>
      <c r="GV681"/>
      <c r="GW681"/>
      <c r="GX681"/>
      <c r="GY681"/>
      <c r="GZ681"/>
      <c r="HA681"/>
      <c r="HB681"/>
      <c r="HC681"/>
    </row>
    <row r="682" spans="1:211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49.668536324786324</v>
      </c>
      <c r="AO682">
        <v>37.50724271361549</v>
      </c>
      <c r="AP682">
        <v>13.234876347814097</v>
      </c>
      <c r="AQ682">
        <v>259.24520013625596</v>
      </c>
      <c r="AR682">
        <v>35.740073264002859</v>
      </c>
      <c r="AS682">
        <v>337.25785405972158</v>
      </c>
      <c r="AT682">
        <v>29.174747862563994</v>
      </c>
      <c r="AU682">
        <v>25.993908937772318</v>
      </c>
      <c r="AV682"/>
      <c r="AW682"/>
      <c r="FY682" s="211">
        <v>677</v>
      </c>
      <c r="FZ682">
        <v>38.634837435951837</v>
      </c>
      <c r="GA682">
        <v>68.922428043204619</v>
      </c>
      <c r="GB682">
        <v>28.892842811721248</v>
      </c>
      <c r="GC682">
        <v>14.819361653708057</v>
      </c>
      <c r="GD682">
        <v>10.873864269618073</v>
      </c>
      <c r="GE682">
        <v>12.780068969511897</v>
      </c>
      <c r="GF682">
        <v>25.538101761895813</v>
      </c>
      <c r="GG682">
        <v>24.867274825118571</v>
      </c>
      <c r="GH682">
        <v>15.461149618203306</v>
      </c>
      <c r="GI682">
        <v>27.056988631330686</v>
      </c>
      <c r="GJ682"/>
      <c r="GK682">
        <v>41.748902477242709</v>
      </c>
      <c r="GL682">
        <v>63.24712981224701</v>
      </c>
      <c r="GM682">
        <v>51.185649468106455</v>
      </c>
      <c r="GN682">
        <v>48.946009758466168</v>
      </c>
      <c r="GO682">
        <v>47.322976833464558</v>
      </c>
      <c r="GP682">
        <v>27.421241455119858</v>
      </c>
      <c r="GQ682">
        <v>34.407933692879332</v>
      </c>
      <c r="GR682">
        <v>37.403531498900826</v>
      </c>
      <c r="GS682">
        <v>18.690396987082867</v>
      </c>
      <c r="GT682">
        <v>38.671171891755179</v>
      </c>
      <c r="GU682"/>
      <c r="GV682"/>
      <c r="GW682"/>
      <c r="GX682"/>
      <c r="GY682"/>
      <c r="GZ682"/>
      <c r="HA682"/>
      <c r="HB682"/>
      <c r="HC682"/>
    </row>
    <row r="683" spans="1:211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45.295005341880348</v>
      </c>
      <c r="AO683">
        <v>37.227372466748108</v>
      </c>
      <c r="AP683">
        <v>48.252443291367022</v>
      </c>
      <c r="AQ683">
        <v>248.54617675206961</v>
      </c>
      <c r="AR683">
        <v>35.967710388775465</v>
      </c>
      <c r="AS683">
        <v>330.18328902613598</v>
      </c>
      <c r="AT683">
        <v>27.628122227267966</v>
      </c>
      <c r="AU683">
        <v>35.177820422677257</v>
      </c>
      <c r="AV683"/>
      <c r="AW683"/>
      <c r="FY683" s="211">
        <v>678</v>
      </c>
      <c r="FZ683">
        <v>46.044308060422281</v>
      </c>
      <c r="GA683">
        <v>69.404169612903132</v>
      </c>
      <c r="GB683">
        <v>25.905310834659165</v>
      </c>
      <c r="GC683">
        <v>16.910152364854302</v>
      </c>
      <c r="GD683">
        <v>10.997569568364236</v>
      </c>
      <c r="GE683">
        <v>13.415103452469008</v>
      </c>
      <c r="GF683">
        <v>34.387677974638102</v>
      </c>
      <c r="GG683">
        <v>21.27769669271779</v>
      </c>
      <c r="GH683">
        <v>8.4282406351516155</v>
      </c>
      <c r="GI683">
        <v>27.971383292027525</v>
      </c>
      <c r="GJ683"/>
      <c r="GK683">
        <v>51.2252638034035</v>
      </c>
      <c r="GL683">
        <v>66.009232619433874</v>
      </c>
      <c r="GM683">
        <v>45.89303200055069</v>
      </c>
      <c r="GN683">
        <v>55.836200608386129</v>
      </c>
      <c r="GO683">
        <v>47.843993023150908</v>
      </c>
      <c r="GP683">
        <v>28.783787614380472</v>
      </c>
      <c r="GQ683">
        <v>46.331123379296912</v>
      </c>
      <c r="GR683">
        <v>32.004351263541921</v>
      </c>
      <c r="GS683">
        <v>10.126658790764434</v>
      </c>
      <c r="GT683">
        <v>40.28401419943328</v>
      </c>
      <c r="GU683"/>
      <c r="GV683"/>
      <c r="GW683"/>
      <c r="GX683"/>
      <c r="GY683"/>
      <c r="GZ683"/>
      <c r="HA683"/>
      <c r="HB683"/>
      <c r="HC683"/>
    </row>
    <row r="684" spans="1:211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45.115892094017099</v>
      </c>
      <c r="AO684">
        <v>33.59483809435477</v>
      </c>
      <c r="AP684">
        <v>3.8589627152634032</v>
      </c>
      <c r="AQ684">
        <v>228.27930670619358</v>
      </c>
      <c r="AR684">
        <v>32.328403821503272</v>
      </c>
      <c r="AS684">
        <v>312.67059961796343</v>
      </c>
      <c r="AT684">
        <v>26.611127547262345</v>
      </c>
      <c r="AU684">
        <v>31.044034085619248</v>
      </c>
      <c r="AV684"/>
      <c r="AW684"/>
      <c r="FY684" s="211">
        <v>679</v>
      </c>
      <c r="FZ684">
        <v>32.687126742409134</v>
      </c>
      <c r="GA684">
        <v>63.046782242389995</v>
      </c>
      <c r="GB684">
        <v>31.198656082608093</v>
      </c>
      <c r="GC684">
        <v>11.704962700817569</v>
      </c>
      <c r="GD684">
        <v>8.0211162873228492</v>
      </c>
      <c r="GE684">
        <v>10.898312376631628</v>
      </c>
      <c r="GF684">
        <v>22.910471883435093</v>
      </c>
      <c r="GG684">
        <v>17.404730813022208</v>
      </c>
      <c r="GH684">
        <v>8.3719899125995436</v>
      </c>
      <c r="GI684">
        <v>23.372394481748206</v>
      </c>
      <c r="GJ684"/>
      <c r="GK684">
        <v>33.797273292780737</v>
      </c>
      <c r="GL684">
        <v>55.718119191999854</v>
      </c>
      <c r="GM684">
        <v>55.270555567226673</v>
      </c>
      <c r="GN684">
        <v>38.640441562482401</v>
      </c>
      <c r="GO684">
        <v>34.886153281418068</v>
      </c>
      <c r="GP684">
        <v>23.383696586134363</v>
      </c>
      <c r="GQ684">
        <v>30.867681740308466</v>
      </c>
      <c r="GR684">
        <v>26.178919956970471</v>
      </c>
      <c r="GS684">
        <v>9.3775235666759915</v>
      </c>
      <c r="GT684">
        <v>32.839837489681997</v>
      </c>
      <c r="GU684"/>
      <c r="GV684"/>
      <c r="GW684"/>
      <c r="GX684"/>
      <c r="GY684"/>
      <c r="GZ684"/>
      <c r="HA684"/>
      <c r="HB684"/>
      <c r="HC684"/>
    </row>
    <row r="685" spans="1:211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54.516533119658128</v>
      </c>
      <c r="AO685">
        <v>40.51085685659644</v>
      </c>
      <c r="AP685">
        <v>6.9570116720265442</v>
      </c>
      <c r="AQ685">
        <v>267.71150117397718</v>
      </c>
      <c r="AR685">
        <v>39.020918488336001</v>
      </c>
      <c r="AS685">
        <v>369.56868627596799</v>
      </c>
      <c r="AT685">
        <v>32.006490857511494</v>
      </c>
      <c r="AU685">
        <v>37.989249463401599</v>
      </c>
      <c r="AV685"/>
      <c r="AW685"/>
      <c r="FY685" s="211">
        <v>680</v>
      </c>
      <c r="FZ685">
        <v>43.458916956765158</v>
      </c>
      <c r="GA685">
        <v>101.77678311499419</v>
      </c>
      <c r="GB685">
        <v>43.339264217581864</v>
      </c>
      <c r="GC685">
        <v>15.873794242338731</v>
      </c>
      <c r="GD685">
        <v>9.2121193172602531</v>
      </c>
      <c r="GE685">
        <v>8.3021419904246088</v>
      </c>
      <c r="GF685">
        <v>27.084800285672017</v>
      </c>
      <c r="GG685">
        <v>23.048870113310279</v>
      </c>
      <c r="GH685">
        <v>11.916569765401425</v>
      </c>
      <c r="GI685">
        <v>30.144290546974656</v>
      </c>
      <c r="GJ685"/>
      <c r="GK685">
        <v>44.940267127466321</v>
      </c>
      <c r="GL685">
        <v>89.946080210367199</v>
      </c>
      <c r="GM685">
        <v>76.778474202159671</v>
      </c>
      <c r="GN685">
        <v>52.424793855701694</v>
      </c>
      <c r="GO685">
        <v>40.08673800916165</v>
      </c>
      <c r="GP685">
        <v>17.813287287980675</v>
      </c>
      <c r="GQ685">
        <v>36.491827818807323</v>
      </c>
      <c r="GR685">
        <v>34.668420458620325</v>
      </c>
      <c r="GS685">
        <v>14.03396027687943</v>
      </c>
      <c r="GT685">
        <v>42.466253486894878</v>
      </c>
      <c r="GU685"/>
      <c r="GV685"/>
      <c r="GW685"/>
      <c r="GX685"/>
      <c r="GY685"/>
      <c r="GZ685"/>
      <c r="HA685"/>
      <c r="HB685"/>
      <c r="HC685"/>
    </row>
    <row r="686" spans="1:211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52.292574786324778</v>
      </c>
      <c r="AO686">
        <v>39.144766549017731</v>
      </c>
      <c r="AP686">
        <v>5.7148224170985724</v>
      </c>
      <c r="AQ686">
        <v>266.41951060610756</v>
      </c>
      <c r="AR686">
        <v>36.897486901424401</v>
      </c>
      <c r="AS686">
        <v>350.76953205921745</v>
      </c>
      <c r="AT686">
        <v>30.305212929830009</v>
      </c>
      <c r="AU686">
        <v>8.7348038044919285</v>
      </c>
      <c r="AV686"/>
      <c r="AW686"/>
      <c r="FY686" s="211">
        <v>681</v>
      </c>
      <c r="FZ686">
        <v>42.65067072259717</v>
      </c>
      <c r="GA686">
        <v>63.086400514456017</v>
      </c>
      <c r="GB686">
        <v>23.820053615770188</v>
      </c>
      <c r="GC686">
        <v>12.743137590958087</v>
      </c>
      <c r="GD686">
        <v>9.3055261367490463</v>
      </c>
      <c r="GE686">
        <v>12.915480734260106</v>
      </c>
      <c r="GF686">
        <v>27.814209248589215</v>
      </c>
      <c r="GG686">
        <v>20.238608285970198</v>
      </c>
      <c r="GH686">
        <v>11.16265321679939</v>
      </c>
      <c r="GI686">
        <v>25.106647643945951</v>
      </c>
      <c r="GJ686"/>
      <c r="GK686">
        <v>45.905011251040293</v>
      </c>
      <c r="GL686">
        <v>58.0894918505752</v>
      </c>
      <c r="GM686">
        <v>42.198856050041961</v>
      </c>
      <c r="GN686">
        <v>42.073209289811835</v>
      </c>
      <c r="GO686">
        <v>40.480232530088031</v>
      </c>
      <c r="GP686">
        <v>27.711784386138671</v>
      </c>
      <c r="GQ686">
        <v>37.474573344102922</v>
      </c>
      <c r="GR686">
        <v>30.441430669095926</v>
      </c>
      <c r="GS686">
        <v>12.503364755567988</v>
      </c>
      <c r="GT686">
        <v>35.712407586168226</v>
      </c>
      <c r="GU686"/>
      <c r="GV686"/>
      <c r="GW686"/>
      <c r="GX686"/>
      <c r="GY686"/>
      <c r="GZ686"/>
      <c r="HA686"/>
      <c r="HB686"/>
      <c r="HC686"/>
    </row>
    <row r="687" spans="1:211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47.731971153846146</v>
      </c>
      <c r="AO687">
        <v>38.970367168723101</v>
      </c>
      <c r="AP687">
        <v>53.85008332139757</v>
      </c>
      <c r="AQ687">
        <v>259.75655304817417</v>
      </c>
      <c r="AR687">
        <v>37.904521609932772</v>
      </c>
      <c r="AS687">
        <v>331.29599048103455</v>
      </c>
      <c r="AT687">
        <v>28.819170889805019</v>
      </c>
      <c r="AU687">
        <v>27.928513639395533</v>
      </c>
      <c r="AV687"/>
      <c r="AW687"/>
      <c r="FY687" s="211">
        <v>682</v>
      </c>
      <c r="FZ687">
        <v>41.043806595027519</v>
      </c>
      <c r="GA687">
        <v>94.035031348728808</v>
      </c>
      <c r="GB687">
        <v>36.712557382554898</v>
      </c>
      <c r="GC687">
        <v>10.808741536423243</v>
      </c>
      <c r="GD687">
        <v>6.5398196380993072</v>
      </c>
      <c r="GE687">
        <v>10.548109536765571</v>
      </c>
      <c r="GF687">
        <v>31.294280927085676</v>
      </c>
      <c r="GG687">
        <v>24.13518981127368</v>
      </c>
      <c r="GH687">
        <v>13.953316520999239</v>
      </c>
      <c r="GI687">
        <v>27.519366113663001</v>
      </c>
      <c r="GJ687"/>
      <c r="GK687">
        <v>44.246425409784379</v>
      </c>
      <c r="GL687">
        <v>85.440602253380177</v>
      </c>
      <c r="GM687">
        <v>65.038809282514165</v>
      </c>
      <c r="GN687">
        <v>35.680364679061952</v>
      </c>
      <c r="GO687">
        <v>28.439561225771921</v>
      </c>
      <c r="GP687">
        <v>22.632292454189166</v>
      </c>
      <c r="GQ687">
        <v>42.163335127440909</v>
      </c>
      <c r="GR687">
        <v>36.302382898268419</v>
      </c>
      <c r="GS687">
        <v>15.629205944459986</v>
      </c>
      <c r="GT687">
        <v>39.103467397994258</v>
      </c>
      <c r="GU687"/>
      <c r="GV687"/>
      <c r="GW687"/>
      <c r="GX687"/>
      <c r="GY687"/>
      <c r="GZ687"/>
      <c r="HA687"/>
      <c r="HB687"/>
      <c r="HC687"/>
    </row>
    <row r="688" spans="1:211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47.034588675213669</v>
      </c>
      <c r="AO688">
        <v>36.906236085519794</v>
      </c>
      <c r="AP688">
        <v>31.498268322546501</v>
      </c>
      <c r="AQ688">
        <v>255.48295472816528</v>
      </c>
      <c r="AR688">
        <v>35.016098989092427</v>
      </c>
      <c r="AS688">
        <v>326.692197749667</v>
      </c>
      <c r="AT688">
        <v>27.608580072340448</v>
      </c>
      <c r="AU688">
        <v>21.40258363339353</v>
      </c>
      <c r="AV688"/>
      <c r="AW688"/>
      <c r="FY688" s="211">
        <v>683</v>
      </c>
      <c r="FZ688">
        <v>50.036842002479844</v>
      </c>
      <c r="GA688">
        <v>81.96047126566522</v>
      </c>
      <c r="GB688">
        <v>35.048361717480041</v>
      </c>
      <c r="GC688">
        <v>14.883125155235154</v>
      </c>
      <c r="GD688">
        <v>8.2439816654789446</v>
      </c>
      <c r="GE688">
        <v>8.1200365136942594</v>
      </c>
      <c r="GF688">
        <v>17.567331528571827</v>
      </c>
      <c r="GG688">
        <v>16.861570964040514</v>
      </c>
      <c r="GH688">
        <v>10.813820303774408</v>
      </c>
      <c r="GI688">
        <v>26.294857805720152</v>
      </c>
      <c r="GJ688"/>
      <c r="GK688">
        <v>55.352634180169716</v>
      </c>
      <c r="GL688">
        <v>77.105968840000457</v>
      </c>
      <c r="GM688">
        <v>62.090572706627398</v>
      </c>
      <c r="GN688">
        <v>49.15277040841309</v>
      </c>
      <c r="GO688">
        <v>35.873410112945344</v>
      </c>
      <c r="GP688">
        <v>17.422557139369175</v>
      </c>
      <c r="GQ688">
        <v>23.668774759829933</v>
      </c>
      <c r="GR688">
        <v>25.361938737146428</v>
      </c>
      <c r="GS688">
        <v>12.112634606956487</v>
      </c>
      <c r="GT688">
        <v>37.819605273305775</v>
      </c>
      <c r="GU688"/>
      <c r="GV688"/>
      <c r="GW688"/>
      <c r="GX688"/>
      <c r="GY688"/>
      <c r="GZ688"/>
      <c r="HA688"/>
      <c r="HB688"/>
      <c r="HC688"/>
    </row>
    <row r="689" spans="1:211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49.220352564102562</v>
      </c>
      <c r="AO689">
        <v>36.488314747393339</v>
      </c>
      <c r="AP689">
        <v>14.482550904383515</v>
      </c>
      <c r="AQ689">
        <v>251.63809266317639</v>
      </c>
      <c r="AR689">
        <v>35.292980484082776</v>
      </c>
      <c r="AS689">
        <v>337.38887334375573</v>
      </c>
      <c r="AT689">
        <v>28.504032633938248</v>
      </c>
      <c r="AU689">
        <v>32.803480418884391</v>
      </c>
      <c r="AV689"/>
      <c r="AW689"/>
      <c r="FY689" s="211">
        <v>684</v>
      </c>
      <c r="FZ689">
        <v>42.549310810056518</v>
      </c>
      <c r="GA689">
        <v>93.818563757609766</v>
      </c>
      <c r="GB689">
        <v>38.246424471449188</v>
      </c>
      <c r="GC689">
        <v>14.238448133705241</v>
      </c>
      <c r="GD689">
        <v>9.602497024746814</v>
      </c>
      <c r="GE689">
        <v>10.804924952667344</v>
      </c>
      <c r="GF689">
        <v>16.310638978003656</v>
      </c>
      <c r="GG689">
        <v>10.107496320181149</v>
      </c>
      <c r="GH689">
        <v>10.284906645380666</v>
      </c>
      <c r="GI689">
        <v>26.681546771961731</v>
      </c>
      <c r="GJ689"/>
      <c r="GK689">
        <v>43.991295590854968</v>
      </c>
      <c r="GL689">
        <v>82.912937535360214</v>
      </c>
      <c r="GM689">
        <v>67.75615986149414</v>
      </c>
      <c r="GN689">
        <v>47.011983720687965</v>
      </c>
      <c r="GO689">
        <v>41.772647637033764</v>
      </c>
      <c r="GP689">
        <v>23.183322150948975</v>
      </c>
      <c r="GQ689">
        <v>21.975610782513435</v>
      </c>
      <c r="GR689">
        <v>15.202954873247441</v>
      </c>
      <c r="GS689">
        <v>13.578579981998814</v>
      </c>
      <c r="GT689">
        <v>37.814858770779026</v>
      </c>
      <c r="GU689"/>
      <c r="GV689"/>
      <c r="GW689"/>
      <c r="GX689"/>
      <c r="GY689"/>
      <c r="GZ689"/>
      <c r="HA689"/>
      <c r="HB689"/>
      <c r="HC689"/>
    </row>
    <row r="690" spans="1:211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47.09281517094017</v>
      </c>
      <c r="AO690">
        <v>35.157775066350226</v>
      </c>
      <c r="AP690">
        <v>8.6633678449753244</v>
      </c>
      <c r="AQ690">
        <v>228.8842660267774</v>
      </c>
      <c r="AR690">
        <v>33.918123690473344</v>
      </c>
      <c r="AS690">
        <v>321.8784143893858</v>
      </c>
      <c r="AT690">
        <v>27.67748413385937</v>
      </c>
      <c r="AU690">
        <v>25.23677242924407</v>
      </c>
      <c r="AV690"/>
      <c r="AW690"/>
      <c r="FY690" s="211">
        <v>685</v>
      </c>
      <c r="FZ690">
        <v>67.008948222223125</v>
      </c>
      <c r="GA690">
        <v>86.951870471214903</v>
      </c>
      <c r="GB690">
        <v>23.028056883596012</v>
      </c>
      <c r="GC690">
        <v>11.852105177253534</v>
      </c>
      <c r="GD690">
        <v>8.4126628041161542</v>
      </c>
      <c r="GE690">
        <v>12.915480734260104</v>
      </c>
      <c r="GF690">
        <v>29.844251061045487</v>
      </c>
      <c r="GG690">
        <v>24.13518981127368</v>
      </c>
      <c r="GH690">
        <v>15.404898895651236</v>
      </c>
      <c r="GI690">
        <v>28.920709914873513</v>
      </c>
      <c r="GJ690"/>
      <c r="GK690">
        <v>74.691145344199953</v>
      </c>
      <c r="GL690">
        <v>83.853519163024629</v>
      </c>
      <c r="GM690">
        <v>40.795779607300666</v>
      </c>
      <c r="GN690">
        <v>39.141790388685116</v>
      </c>
      <c r="GO690">
        <v>36.60750918003361</v>
      </c>
      <c r="GP690">
        <v>27.711784386138664</v>
      </c>
      <c r="GQ690">
        <v>40.209684384383415</v>
      </c>
      <c r="GR690">
        <v>36.302382898268419</v>
      </c>
      <c r="GS690">
        <v>17.941261762994426</v>
      </c>
      <c r="GT690">
        <v>42.049076055782422</v>
      </c>
      <c r="GU690"/>
      <c r="GV690"/>
      <c r="GW690"/>
      <c r="GX690"/>
      <c r="GY690"/>
      <c r="GZ690"/>
      <c r="HA690"/>
      <c r="HB690"/>
      <c r="HC690"/>
    </row>
    <row r="691" spans="1:211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52.459001068376075</v>
      </c>
      <c r="AO691">
        <v>44.745623111678512</v>
      </c>
      <c r="AP691">
        <v>64.160303285055477</v>
      </c>
      <c r="AQ691">
        <v>297.55314721807491</v>
      </c>
      <c r="AR691">
        <v>42.210917669608421</v>
      </c>
      <c r="AS691">
        <v>387.60288113204308</v>
      </c>
      <c r="AT691">
        <v>32.340881338030769</v>
      </c>
      <c r="AU691">
        <v>14.735920545288611</v>
      </c>
      <c r="AV691"/>
      <c r="AW691"/>
      <c r="FY691" s="211">
        <v>686</v>
      </c>
      <c r="FZ691">
        <v>38.21697124962747</v>
      </c>
      <c r="GA691">
        <v>58.802398585118262</v>
      </c>
      <c r="GB691">
        <v>26.346422938654904</v>
      </c>
      <c r="GC691">
        <v>14.447975309876924</v>
      </c>
      <c r="GD691">
        <v>8.2238906117454817</v>
      </c>
      <c r="GE691">
        <v>11.458636920417318</v>
      </c>
      <c r="GF691">
        <v>38.254424284078624</v>
      </c>
      <c r="GG691">
        <v>25.434050319708174</v>
      </c>
      <c r="GH691">
        <v>5.288744417926786</v>
      </c>
      <c r="GI691">
        <v>25.561009242490755</v>
      </c>
      <c r="GJ691"/>
      <c r="GK691">
        <v>39.527521840968063</v>
      </c>
      <c r="GL691">
        <v>51.967109765329432</v>
      </c>
      <c r="GM691">
        <v>46.674492297773682</v>
      </c>
      <c r="GN691">
        <v>47.715539232401561</v>
      </c>
      <c r="GO691">
        <v>35.785973995773539</v>
      </c>
      <c r="GP691">
        <v>24.585943197246674</v>
      </c>
      <c r="GQ691">
        <v>51.540858694116913</v>
      </c>
      <c r="GR691">
        <v>38.256033641325921</v>
      </c>
      <c r="GS691">
        <v>6.6100874532609355</v>
      </c>
      <c r="GT691">
        <v>36.027786856378633</v>
      </c>
      <c r="GU691"/>
      <c r="GV691"/>
      <c r="GW691"/>
      <c r="GX691"/>
      <c r="GY691"/>
      <c r="GZ691"/>
      <c r="HA691"/>
      <c r="HB691"/>
      <c r="HC691"/>
    </row>
    <row r="692" spans="1:211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43.770753205128202</v>
      </c>
      <c r="AO692">
        <v>32.248401134846446</v>
      </c>
      <c r="AP692">
        <v>8.8805502720390113</v>
      </c>
      <c r="AQ692">
        <v>212.72167215589778</v>
      </c>
      <c r="AR692">
        <v>30.731033754576895</v>
      </c>
      <c r="AS692">
        <v>296.84256531177522</v>
      </c>
      <c r="AT692">
        <v>24.975923682781033</v>
      </c>
      <c r="AU692">
        <v>29.809797269693156</v>
      </c>
      <c r="AV692"/>
      <c r="AW692"/>
      <c r="FY692" s="211">
        <v>687</v>
      </c>
      <c r="FZ692">
        <v>55.353849741658323</v>
      </c>
      <c r="GA692">
        <v>69.443787884969169</v>
      </c>
      <c r="GB692">
        <v>23.599497563772317</v>
      </c>
      <c r="GC692">
        <v>13.662246865089257</v>
      </c>
      <c r="GD692">
        <v>9.1052434448435733</v>
      </c>
      <c r="GE692">
        <v>12.065655176185144</v>
      </c>
      <c r="GF692">
        <v>22.427128594755029</v>
      </c>
      <c r="GG692">
        <v>20.262223931578095</v>
      </c>
      <c r="GH692">
        <v>17.959230731930248</v>
      </c>
      <c r="GI692">
        <v>26.802138189147094</v>
      </c>
      <c r="GJ692"/>
      <c r="GK692">
        <v>62.639137549878157</v>
      </c>
      <c r="GL692">
        <v>68.380605278009256</v>
      </c>
      <c r="GM692">
        <v>41.808125901430465</v>
      </c>
      <c r="GN692">
        <v>45.108881982870415</v>
      </c>
      <c r="GO692">
        <v>39.608603737031608</v>
      </c>
      <c r="GP692">
        <v>25.888377025951669</v>
      </c>
      <c r="GQ692">
        <v>30.21646482595597</v>
      </c>
      <c r="GR692">
        <v>30.47695159169697</v>
      </c>
      <c r="GS692">
        <v>22.174643251451812</v>
      </c>
      <c r="GT692">
        <v>39.28939505314959</v>
      </c>
      <c r="GU692"/>
      <c r="GV692"/>
      <c r="GW692"/>
      <c r="GX692"/>
      <c r="GY692"/>
      <c r="GZ692"/>
      <c r="HA692"/>
      <c r="HB692"/>
      <c r="HC692"/>
    </row>
    <row r="693" spans="1:211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52.345032051282047</v>
      </c>
      <c r="AO693">
        <v>40.904494387526498</v>
      </c>
      <c r="AP693">
        <v>44.535645296765715</v>
      </c>
      <c r="AQ693">
        <v>267.84691802026407</v>
      </c>
      <c r="AR693">
        <v>38.671171891755215</v>
      </c>
      <c r="AS693">
        <v>377.94797190816865</v>
      </c>
      <c r="AT693">
        <v>30.727333416707193</v>
      </c>
      <c r="AU693">
        <v>40.387754439901236</v>
      </c>
      <c r="AV693"/>
      <c r="AW693"/>
      <c r="FY693" s="211">
        <v>688</v>
      </c>
      <c r="FZ693">
        <v>47.090855869583294</v>
      </c>
      <c r="GA693">
        <v>71.309893850419925</v>
      </c>
      <c r="GB693">
        <v>23.589472288681502</v>
      </c>
      <c r="GC693">
        <v>14.349390981793549</v>
      </c>
      <c r="GD693">
        <v>10.618074514983304</v>
      </c>
      <c r="GE693">
        <v>9.1519675484995666</v>
      </c>
      <c r="GF693">
        <v>27.330865959909143</v>
      </c>
      <c r="GG693">
        <v>22.316785099465385</v>
      </c>
      <c r="GH693">
        <v>7.6743240865495794</v>
      </c>
      <c r="GI693">
        <v>25.867262538734227</v>
      </c>
      <c r="GJ693"/>
      <c r="GK693">
        <v>50.509326967512123</v>
      </c>
      <c r="GL693">
        <v>65.3570726147491</v>
      </c>
      <c r="GM693">
        <v>41.790365440129932</v>
      </c>
      <c r="GN693">
        <v>47.389930775225316</v>
      </c>
      <c r="GO693">
        <v>46.205444625413527</v>
      </c>
      <c r="GP693">
        <v>19.636694648167673</v>
      </c>
      <c r="GQ693">
        <v>36.823356429750412</v>
      </c>
      <c r="GR693">
        <v>33.567271857987919</v>
      </c>
      <c r="GS693">
        <v>8.5960632694529906</v>
      </c>
      <c r="GT693">
        <v>36.7849113464518</v>
      </c>
      <c r="GU693"/>
      <c r="GV693"/>
      <c r="GW693"/>
      <c r="GX693"/>
      <c r="GY693"/>
      <c r="GZ693"/>
      <c r="HA693"/>
      <c r="HB693"/>
      <c r="HC693"/>
    </row>
    <row r="694" spans="1:211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52.28402777777778</v>
      </c>
      <c r="AO694">
        <v>42.433765730234214</v>
      </c>
      <c r="AP694">
        <v>34.909210357710528</v>
      </c>
      <c r="AQ694">
        <v>274.74161248820712</v>
      </c>
      <c r="AR694">
        <v>40.284014199433301</v>
      </c>
      <c r="AS694">
        <v>384.11095833251574</v>
      </c>
      <c r="AT694">
        <v>31.627315134032184</v>
      </c>
      <c r="AU694">
        <v>20.354382635511186</v>
      </c>
      <c r="AV694"/>
      <c r="AW694"/>
      <c r="FY694" s="211">
        <v>689</v>
      </c>
      <c r="FZ694">
        <v>39.558603188674198</v>
      </c>
      <c r="GA694">
        <v>75.15177248212521</v>
      </c>
      <c r="GB694">
        <v>35.8303331745634</v>
      </c>
      <c r="GC694">
        <v>17.421474927862008</v>
      </c>
      <c r="GD694">
        <v>8.8718468438492248</v>
      </c>
      <c r="GE694">
        <v>16.268089254577802</v>
      </c>
      <c r="GF694">
        <v>31.944597351855226</v>
      </c>
      <c r="GG694">
        <v>17.357499521806414</v>
      </c>
      <c r="GH694">
        <v>8.023156999574562</v>
      </c>
      <c r="GI694">
        <v>27.648595387526239</v>
      </c>
      <c r="GJ694"/>
      <c r="GK694">
        <v>44.519074445801394</v>
      </c>
      <c r="GL694">
        <v>71.088724551383365</v>
      </c>
      <c r="GM694">
        <v>63.475888688068153</v>
      </c>
      <c r="GN694">
        <v>57.521178114268849</v>
      </c>
      <c r="GO694">
        <v>38.588526367911648</v>
      </c>
      <c r="GP694">
        <v>34.905226609293969</v>
      </c>
      <c r="GQ694">
        <v>43.039517884933375</v>
      </c>
      <c r="GR694">
        <v>26.107878111768386</v>
      </c>
      <c r="GS694">
        <v>8.9867934180644919</v>
      </c>
      <c r="GT694">
        <v>39.72196016095581</v>
      </c>
      <c r="GU694"/>
      <c r="GV694"/>
      <c r="GW694"/>
      <c r="GX694"/>
      <c r="GY694"/>
      <c r="GZ694"/>
      <c r="HA694"/>
      <c r="HB694"/>
      <c r="HC694"/>
    </row>
    <row r="695" spans="1:211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46.606677350427347</v>
      </c>
      <c r="AO695">
        <v>34.096020223567905</v>
      </c>
      <c r="AP695">
        <v>9.87604824359987</v>
      </c>
      <c r="AQ695">
        <v>229.61654352298433</v>
      </c>
      <c r="AR695">
        <v>32.839837489681997</v>
      </c>
      <c r="AS695">
        <v>309.51086754021537</v>
      </c>
      <c r="AT695">
        <v>26.462991638062338</v>
      </c>
      <c r="AU695">
        <v>35.995740931153428</v>
      </c>
      <c r="AV695"/>
      <c r="AW695"/>
      <c r="FY695" s="211">
        <v>690</v>
      </c>
      <c r="FZ695">
        <v>38.527824922941456</v>
      </c>
      <c r="GA695">
        <v>69.590207047350489</v>
      </c>
      <c r="GB695">
        <v>32.08088029059958</v>
      </c>
      <c r="GC695">
        <v>13.06030053644391</v>
      </c>
      <c r="GD695">
        <v>7.8830100421048028</v>
      </c>
      <c r="GE695">
        <v>13.50849087643329</v>
      </c>
      <c r="GF695">
        <v>24.140800254620714</v>
      </c>
      <c r="GG695">
        <v>13.484533642110831</v>
      </c>
      <c r="GH695">
        <v>10.633739558405647</v>
      </c>
      <c r="GI695">
        <v>25.024607616423683</v>
      </c>
      <c r="GJ695"/>
      <c r="GK695">
        <v>39.843255978429198</v>
      </c>
      <c r="GL695">
        <v>61.500925391450032</v>
      </c>
      <c r="GM695">
        <v>56.833476161672678</v>
      </c>
      <c r="GN695">
        <v>43.101547782223165</v>
      </c>
      <c r="GO695">
        <v>34.267767569209326</v>
      </c>
      <c r="GP695">
        <v>28.984162049565857</v>
      </c>
      <c r="GQ695">
        <v>32.525324795023927</v>
      </c>
      <c r="GR695">
        <v>20.282446805196933</v>
      </c>
      <c r="GS695">
        <v>13.969310130610314</v>
      </c>
      <c r="GT695">
        <v>35.487826926989086</v>
      </c>
      <c r="GU695"/>
      <c r="GV695"/>
      <c r="GW695"/>
      <c r="GX695"/>
      <c r="GY695"/>
      <c r="GZ695"/>
      <c r="HA695"/>
      <c r="HB695"/>
      <c r="HC695"/>
    </row>
    <row r="696" spans="1:211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60.30910790598292</v>
      </c>
      <c r="AO696">
        <v>44.965010273403919</v>
      </c>
      <c r="AP696">
        <v>18.367241841710644</v>
      </c>
      <c r="AQ696">
        <v>314.15755055072322</v>
      </c>
      <c r="AR696">
        <v>42.466253486894935</v>
      </c>
      <c r="AS696">
        <v>402.4234850597004</v>
      </c>
      <c r="AT696">
        <v>34.68487595316433</v>
      </c>
      <c r="AU696">
        <v>32.372977371213139</v>
      </c>
      <c r="AV696"/>
      <c r="AW696"/>
      <c r="FY696" s="211">
        <v>691</v>
      </c>
      <c r="FZ696">
        <v>48.811362315017554</v>
      </c>
      <c r="GA696">
        <v>75.249385257046114</v>
      </c>
      <c r="GB696">
        <v>33.504469353494933</v>
      </c>
      <c r="GC696">
        <v>19.733474096937258</v>
      </c>
      <c r="GD696">
        <v>12.104603209449936</v>
      </c>
      <c r="GE696">
        <v>12.065655176185144</v>
      </c>
      <c r="GF696">
        <v>28.517254032123848</v>
      </c>
      <c r="GG696">
        <v>21.820856541699492</v>
      </c>
      <c r="GH696">
        <v>11.511486129824371</v>
      </c>
      <c r="GI696">
        <v>30.434005312992973</v>
      </c>
      <c r="GJ696"/>
      <c r="GK696">
        <v>50.474266039233932</v>
      </c>
      <c r="GL696">
        <v>66.502271293677239</v>
      </c>
      <c r="GM696">
        <v>59.355461666346898</v>
      </c>
      <c r="GN696">
        <v>65.172706501484569</v>
      </c>
      <c r="GO696">
        <v>52.674806503239836</v>
      </c>
      <c r="GP696">
        <v>25.888377025951669</v>
      </c>
      <c r="GQ696">
        <v>38.421797946797462</v>
      </c>
      <c r="GR696">
        <v>32.821332483365971</v>
      </c>
      <c r="GS696">
        <v>12.894094904179488</v>
      </c>
      <c r="GT696">
        <v>42.76408541195952</v>
      </c>
      <c r="GU696"/>
      <c r="GV696"/>
      <c r="GW696"/>
      <c r="GX696"/>
      <c r="GY696"/>
      <c r="GZ696"/>
      <c r="HA696"/>
      <c r="HB696"/>
      <c r="HC696"/>
    </row>
    <row r="697" spans="1:211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48.406517094017097</v>
      </c>
      <c r="AO697">
        <v>37.259036171263105</v>
      </c>
      <c r="AP697">
        <v>25.105400788189293</v>
      </c>
      <c r="AQ697">
        <v>248.84338771009539</v>
      </c>
      <c r="AR697">
        <v>35.712407586168247</v>
      </c>
      <c r="AS697">
        <v>331.9023921245298</v>
      </c>
      <c r="AT697">
        <v>28.255467124284824</v>
      </c>
      <c r="AU697">
        <v>31.6904012792345</v>
      </c>
      <c r="AV697"/>
      <c r="AW697"/>
      <c r="FY697" s="211">
        <v>692</v>
      </c>
      <c r="FZ697">
        <v>38.303682953962152</v>
      </c>
      <c r="GA697">
        <v>70.160373276575513</v>
      </c>
      <c r="GB697">
        <v>35.158639743478972</v>
      </c>
      <c r="GC697">
        <v>14.626805902218374</v>
      </c>
      <c r="GD697">
        <v>7.4727781966475293</v>
      </c>
      <c r="GE697">
        <v>8.9838701853638607</v>
      </c>
      <c r="GF697">
        <v>24.140800254620711</v>
      </c>
      <c r="GG697">
        <v>16.601798862353615</v>
      </c>
      <c r="GH697">
        <v>10.813820303774412</v>
      </c>
      <c r="GI697">
        <v>25.431433195987861</v>
      </c>
      <c r="GJ697"/>
      <c r="GK697">
        <v>41.415649122693949</v>
      </c>
      <c r="GL697">
        <v>64.341174228359208</v>
      </c>
      <c r="GM697">
        <v>62.285937780933139</v>
      </c>
      <c r="GN697">
        <v>48.306188419754832</v>
      </c>
      <c r="GO697">
        <v>32.517138323590146</v>
      </c>
      <c r="GP697">
        <v>19.276020664833979</v>
      </c>
      <c r="GQ697">
        <v>32.52532479502392</v>
      </c>
      <c r="GR697">
        <v>24.971208588534928</v>
      </c>
      <c r="GS697">
        <v>12.11263460695649</v>
      </c>
      <c r="GT697">
        <v>36.171336925839533</v>
      </c>
      <c r="GU697"/>
      <c r="GV697"/>
      <c r="GW697"/>
      <c r="GX697"/>
      <c r="GY697"/>
      <c r="GZ697"/>
      <c r="HA697"/>
      <c r="HB697"/>
      <c r="HC697"/>
    </row>
    <row r="698" spans="1:211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53.949519230769226</v>
      </c>
      <c r="AO698">
        <v>41.467644667286535</v>
      </c>
      <c r="AP698">
        <v>25.501845117560428</v>
      </c>
      <c r="AQ698">
        <v>296.59021941062099</v>
      </c>
      <c r="AR698">
        <v>39.103467397994272</v>
      </c>
      <c r="AS698">
        <v>379.74266644769102</v>
      </c>
      <c r="AT698">
        <v>31.219303856809479</v>
      </c>
      <c r="AU698">
        <v>14.990034630624994</v>
      </c>
      <c r="AV698"/>
      <c r="AW698"/>
      <c r="FY698" s="211">
        <v>693</v>
      </c>
      <c r="FZ698">
        <v>41.639560532510075</v>
      </c>
      <c r="GA698">
        <v>69.718249978943035</v>
      </c>
      <c r="GB698">
        <v>28.551983458633629</v>
      </c>
      <c r="GC698">
        <v>13.132699793139226</v>
      </c>
      <c r="GD698">
        <v>8.0275092571191795</v>
      </c>
      <c r="GE698">
        <v>11.808839760283373</v>
      </c>
      <c r="GF698">
        <v>28.0778510424147</v>
      </c>
      <c r="GG698">
        <v>20.214992640362297</v>
      </c>
      <c r="GH698">
        <v>10.633739558405647</v>
      </c>
      <c r="GI698">
        <v>25.384830663462168</v>
      </c>
      <c r="GJ698"/>
      <c r="GK698">
        <v>44.868443628990832</v>
      </c>
      <c r="GL698">
        <v>63.950444079747697</v>
      </c>
      <c r="GM698">
        <v>50.581793783888678</v>
      </c>
      <c r="GN698">
        <v>43.348351325553907</v>
      </c>
      <c r="GO698">
        <v>34.905301261151571</v>
      </c>
      <c r="GP698">
        <v>25.337347329191864</v>
      </c>
      <c r="GQ698">
        <v>37.829782570113373</v>
      </c>
      <c r="GR698">
        <v>30.405909746494881</v>
      </c>
      <c r="GS698">
        <v>13.969310130610314</v>
      </c>
      <c r="GT698">
        <v>36.430926274950949</v>
      </c>
      <c r="GU698"/>
      <c r="GV698"/>
      <c r="GW698"/>
      <c r="GX698"/>
      <c r="GY698"/>
      <c r="GZ698"/>
      <c r="HA698"/>
      <c r="HB698"/>
      <c r="HC698"/>
    </row>
    <row r="699" spans="1:211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48.607905982905976</v>
      </c>
      <c r="AO699">
        <v>39.596086676476389</v>
      </c>
      <c r="AP699">
        <v>32.542182134701811</v>
      </c>
      <c r="AQ699">
        <v>269.83039892214038</v>
      </c>
      <c r="AR699">
        <v>37.819605273305797</v>
      </c>
      <c r="AS699">
        <v>358.43645284945353</v>
      </c>
      <c r="AT699">
        <v>29.825205223333473</v>
      </c>
      <c r="AU699">
        <v>24.841680286344513</v>
      </c>
      <c r="AV699"/>
      <c r="AW699"/>
      <c r="FY699" s="211">
        <v>694</v>
      </c>
      <c r="FZ699">
        <v>40.050487279896281</v>
      </c>
      <c r="GA699">
        <v>84.268700528748468</v>
      </c>
      <c r="GB699">
        <v>40.241454214520857</v>
      </c>
      <c r="GC699">
        <v>11.92238758066947</v>
      </c>
      <c r="GD699">
        <v>6.9363139012204025</v>
      </c>
      <c r="GE699">
        <v>11.701444222724447</v>
      </c>
      <c r="GF699">
        <v>23.824430102030128</v>
      </c>
      <c r="GG699">
        <v>13.201145894816031</v>
      </c>
      <c r="GH699">
        <v>9.0696557386495034</v>
      </c>
      <c r="GI699">
        <v>26.349881235780266</v>
      </c>
      <c r="GJ699"/>
      <c r="GK699">
        <v>41.420545771390891</v>
      </c>
      <c r="GL699">
        <v>74.473166325351841</v>
      </c>
      <c r="GM699">
        <v>71.290491660298173</v>
      </c>
      <c r="GN699">
        <v>39.350881343605487</v>
      </c>
      <c r="GO699">
        <v>30.156427147257954</v>
      </c>
      <c r="GP699">
        <v>25.106916728728667</v>
      </c>
      <c r="GQ699">
        <v>32.099073723811379</v>
      </c>
      <c r="GR699">
        <v>19.856195733984389</v>
      </c>
      <c r="GS699">
        <v>10.158983863898989</v>
      </c>
      <c r="GT699">
        <v>37.025104433331471</v>
      </c>
      <c r="GU699"/>
      <c r="GV699"/>
      <c r="GW699"/>
      <c r="GX699"/>
      <c r="GY699"/>
      <c r="GZ699"/>
      <c r="HA699"/>
      <c r="HB699"/>
      <c r="HC699"/>
    </row>
    <row r="700" spans="1:211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53.15392628205128</v>
      </c>
      <c r="AO700">
        <v>39.520035090491874</v>
      </c>
      <c r="AP700">
        <v>33.464463955685595</v>
      </c>
      <c r="AQ700">
        <v>272.64475786576207</v>
      </c>
      <c r="AR700">
        <v>37.81485877077904</v>
      </c>
      <c r="AS700">
        <v>348.94508010576925</v>
      </c>
      <c r="AT700">
        <v>30.181610849826598</v>
      </c>
      <c r="AU700">
        <v>38.855795669815734</v>
      </c>
      <c r="AV700"/>
      <c r="AW700"/>
      <c r="FY700" s="211">
        <v>695</v>
      </c>
      <c r="FZ700">
        <v>35.215246688981317</v>
      </c>
      <c r="GA700">
        <v>72.419796152198316</v>
      </c>
      <c r="GB700">
        <v>25.915336109749969</v>
      </c>
      <c r="GC700">
        <v>12.663667911657384</v>
      </c>
      <c r="GD700">
        <v>9.9251424429885091</v>
      </c>
      <c r="GE700">
        <v>9.7729939178620384</v>
      </c>
      <c r="GF700">
        <v>28.587558510477315</v>
      </c>
      <c r="GG700">
        <v>19.7190640825964</v>
      </c>
      <c r="GH700">
        <v>11.623987574928517</v>
      </c>
      <c r="GI700">
        <v>25.240825415226613</v>
      </c>
      <c r="GJ700"/>
      <c r="GK700">
        <v>36.419199869163691</v>
      </c>
      <c r="GL700">
        <v>64.001598342563639</v>
      </c>
      <c r="GM700">
        <v>45.910792461851202</v>
      </c>
      <c r="GN700">
        <v>41.822253855733237</v>
      </c>
      <c r="GO700">
        <v>43.189809375873487</v>
      </c>
      <c r="GP700">
        <v>20.969184642150481</v>
      </c>
      <c r="GQ700">
        <v>38.516520407066913</v>
      </c>
      <c r="GR700">
        <v>29.659970371872927</v>
      </c>
      <c r="GS700">
        <v>14.39236535235637</v>
      </c>
      <c r="GT700">
        <v>35.685737493262337</v>
      </c>
      <c r="GU700"/>
      <c r="GV700"/>
      <c r="GW700"/>
      <c r="GX700"/>
      <c r="GY700"/>
      <c r="GZ700"/>
      <c r="HA700"/>
      <c r="HB700"/>
      <c r="HC700"/>
    </row>
    <row r="701" spans="1:211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52.685336538461534</v>
      </c>
      <c r="AO701">
        <v>43.930393317081133</v>
      </c>
      <c r="AP701">
        <v>69.785351477742267</v>
      </c>
      <c r="AQ701">
        <v>308.47417397550777</v>
      </c>
      <c r="AR701">
        <v>42.049076055782436</v>
      </c>
      <c r="AS701">
        <v>386.79739681113449</v>
      </c>
      <c r="AT701">
        <v>31.972698227024225</v>
      </c>
      <c r="AU701">
        <v>45.751977670097858</v>
      </c>
      <c r="AV701"/>
      <c r="AW701"/>
      <c r="FY701" s="211">
        <v>696</v>
      </c>
      <c r="FZ701">
        <v>29.406498989418573</v>
      </c>
      <c r="GA701">
        <v>55.707535501691005</v>
      </c>
      <c r="GB701">
        <v>26.566978990652775</v>
      </c>
      <c r="GC701">
        <v>12.610245423565612</v>
      </c>
      <c r="GD701">
        <v>8.0791149825693083</v>
      </c>
      <c r="GE701">
        <v>10.412697772017363</v>
      </c>
      <c r="GF701">
        <v>31.364585405439144</v>
      </c>
      <c r="GG701">
        <v>28.008155690969261</v>
      </c>
      <c r="GH701">
        <v>18.308063644955229</v>
      </c>
      <c r="GI701">
        <v>25.025528487745699</v>
      </c>
      <c r="GJ701"/>
      <c r="GK701">
        <v>30.405105599118535</v>
      </c>
      <c r="GL701">
        <v>49.231998725048953</v>
      </c>
      <c r="GM701">
        <v>47.065222446385178</v>
      </c>
      <c r="GN701">
        <v>41.649647939056571</v>
      </c>
      <c r="GO701">
        <v>35.16024861771173</v>
      </c>
      <c r="GP701">
        <v>22.34174952317036</v>
      </c>
      <c r="GQ701">
        <v>42.258057587710368</v>
      </c>
      <c r="GR701">
        <v>42.127814204839872</v>
      </c>
      <c r="GS701">
        <v>22.565373400063308</v>
      </c>
      <c r="GT701">
        <v>35.490801530197828</v>
      </c>
      <c r="GU701"/>
      <c r="GV701"/>
      <c r="GW701"/>
      <c r="GX701"/>
      <c r="GY701"/>
      <c r="GZ701"/>
      <c r="HA701"/>
      <c r="HB701"/>
      <c r="HC701"/>
    </row>
    <row r="702" spans="1:211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50.39129273504274</v>
      </c>
      <c r="AO702">
        <v>37.869134697457532</v>
      </c>
      <c r="AP702">
        <v>5.8519147599367383</v>
      </c>
      <c r="AQ702">
        <v>252.03452387964472</v>
      </c>
      <c r="AR702">
        <v>36.02778685637864</v>
      </c>
      <c r="AS702">
        <v>354.5943530019058</v>
      </c>
      <c r="AT702">
        <v>29.644361161611453</v>
      </c>
      <c r="AU702">
        <v>25.108546875686784</v>
      </c>
      <c r="AV702"/>
      <c r="AW702"/>
      <c r="FY702" s="211">
        <v>697</v>
      </c>
      <c r="FZ702">
        <v>47.648173652079862</v>
      </c>
      <c r="GA702">
        <v>73.118005313015857</v>
      </c>
      <c r="GB702">
        <v>22.045579924696398</v>
      </c>
      <c r="GC702">
        <v>10.075758341479739</v>
      </c>
      <c r="GD702">
        <v>7.2786989419281882</v>
      </c>
      <c r="GE702">
        <v>9.6235740395191876</v>
      </c>
      <c r="GF702">
        <v>25.151427130951756</v>
      </c>
      <c r="GG702">
        <v>22.789098011623381</v>
      </c>
      <c r="GH702">
        <v>12.265402678426405</v>
      </c>
      <c r="GI702">
        <v>23.770620391460305</v>
      </c>
      <c r="GJ702"/>
      <c r="GK702">
        <v>52.872630464715662</v>
      </c>
      <c r="GL702">
        <v>69.291365867770466</v>
      </c>
      <c r="GM702">
        <v>39.055254399849439</v>
      </c>
      <c r="GN702">
        <v>33.251756774428543</v>
      </c>
      <c r="GO702">
        <v>31.646484310727448</v>
      </c>
      <c r="GP702">
        <v>20.648585545853862</v>
      </c>
      <c r="GQ702">
        <v>33.886960161397326</v>
      </c>
      <c r="GR702">
        <v>34.277690310008822</v>
      </c>
      <c r="GS702">
        <v>14.424690425490926</v>
      </c>
      <c r="GT702">
        <v>34.377203952436155</v>
      </c>
      <c r="GU702"/>
      <c r="GV702"/>
      <c r="GW702"/>
      <c r="GX702"/>
      <c r="GY702"/>
      <c r="GZ702"/>
      <c r="HA702"/>
      <c r="HB702"/>
      <c r="HC702"/>
    </row>
    <row r="703" spans="1:211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47.720352564102562</v>
      </c>
      <c r="AO703">
        <v>40.559118619742591</v>
      </c>
      <c r="AP703">
        <v>79.225342262415751</v>
      </c>
      <c r="AQ703">
        <v>270.68100212392829</v>
      </c>
      <c r="AR703">
        <v>39.289395053149605</v>
      </c>
      <c r="AS703">
        <v>373.0909398550711</v>
      </c>
      <c r="AT703">
        <v>29.343532500786509</v>
      </c>
      <c r="AU703">
        <v>41.945431021728787</v>
      </c>
      <c r="AV703"/>
      <c r="AW703"/>
      <c r="FY703" s="211">
        <v>698</v>
      </c>
      <c r="FZ703">
        <v>45.89069685823636</v>
      </c>
      <c r="GA703">
        <v>94.919277943993734</v>
      </c>
      <c r="GB703">
        <v>41.123678422512334</v>
      </c>
      <c r="GC703">
        <v>17.64505371965765</v>
      </c>
      <c r="GD703">
        <v>8.9447242967855818</v>
      </c>
      <c r="GE703">
        <v>8.1807383392710395</v>
      </c>
      <c r="GF703">
        <v>24.624143543300779</v>
      </c>
      <c r="GG703">
        <v>17.900659370788109</v>
      </c>
      <c r="GH703">
        <v>11.567736852376445</v>
      </c>
      <c r="GI703">
        <v>29.195943800931914</v>
      </c>
      <c r="GJ703"/>
      <c r="GK703">
        <v>49.26214051052726</v>
      </c>
      <c r="GL703">
        <v>86.222062550603169</v>
      </c>
      <c r="GM703">
        <v>72.853412254744157</v>
      </c>
      <c r="GN703">
        <v>58.263463652790897</v>
      </c>
      <c r="GO703">
        <v>38.910025592544379</v>
      </c>
      <c r="GP703">
        <v>17.552800522239671</v>
      </c>
      <c r="GQ703">
        <v>33.176541709376423</v>
      </c>
      <c r="GR703">
        <v>26.92485933159243</v>
      </c>
      <c r="GS703">
        <v>13.64323012826793</v>
      </c>
      <c r="GT703">
        <v>41.569070039092033</v>
      </c>
      <c r="GU703"/>
      <c r="GV703"/>
      <c r="GW703"/>
      <c r="GX703"/>
      <c r="GY703"/>
      <c r="GZ703"/>
      <c r="HA703"/>
      <c r="HB703"/>
      <c r="HC703"/>
    </row>
    <row r="704" spans="1:211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49.392334401709398</v>
      </c>
      <c r="AO704">
        <v>38.666043797484079</v>
      </c>
      <c r="AP704">
        <v>11.787081181852033</v>
      </c>
      <c r="AQ704">
        <v>259.29889273861949</v>
      </c>
      <c r="AR704">
        <v>36.784911346451821</v>
      </c>
      <c r="AS704">
        <v>352.29710784268565</v>
      </c>
      <c r="AT704">
        <v>29.860975890048753</v>
      </c>
      <c r="AU704">
        <v>16.70906589443041</v>
      </c>
      <c r="AV704"/>
      <c r="AW704"/>
      <c r="FY704" s="211">
        <v>699</v>
      </c>
      <c r="FZ704">
        <v>43.138923544877109</v>
      </c>
      <c r="GA704">
        <v>55.481879795177569</v>
      </c>
      <c r="GB704">
        <v>18.175823739642823</v>
      </c>
      <c r="GC704">
        <v>12.060091346158551</v>
      </c>
      <c r="GD704">
        <v>11.609395064491379</v>
      </c>
      <c r="GE704">
        <v>14.405010146490389</v>
      </c>
      <c r="GF704">
        <v>31.891868993090121</v>
      </c>
      <c r="GG704">
        <v>29.000012806501051</v>
      </c>
      <c r="GH704">
        <v>14.302149434024217</v>
      </c>
      <c r="GI704">
        <v>26.465428383431551</v>
      </c>
      <c r="GJ704"/>
      <c r="GK704">
        <v>46.41699502492115</v>
      </c>
      <c r="GL704">
        <v>51.36893329445742</v>
      </c>
      <c r="GM704">
        <v>32.199716337847676</v>
      </c>
      <c r="GN704">
        <v>39.824895718640931</v>
      </c>
      <c r="GO704">
        <v>50.515327232224784</v>
      </c>
      <c r="GP704">
        <v>30.907756627345545</v>
      </c>
      <c r="GQ704">
        <v>42.968476039731271</v>
      </c>
      <c r="GR704">
        <v>43.619692954083774</v>
      </c>
      <c r="GS704">
        <v>16.019936093071482</v>
      </c>
      <c r="GT704">
        <v>37.624090145559265</v>
      </c>
      <c r="GU704"/>
      <c r="GV704"/>
      <c r="GW704"/>
      <c r="GX704"/>
      <c r="GY704"/>
      <c r="GZ704"/>
      <c r="HA704"/>
      <c r="HB704"/>
      <c r="HC704"/>
    </row>
    <row r="705" spans="1:211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53.063942307692308</v>
      </c>
      <c r="AO705">
        <v>42.795476835244948</v>
      </c>
      <c r="AP705">
        <v>24.837888557807133</v>
      </c>
      <c r="AQ705">
        <v>278.07596913241429</v>
      </c>
      <c r="AR705">
        <v>39.721960160955838</v>
      </c>
      <c r="AS705">
        <v>388.31417061370757</v>
      </c>
      <c r="AT705">
        <v>31.410717314801275</v>
      </c>
      <c r="AU705">
        <v>-3.250424522037985</v>
      </c>
      <c r="AV705"/>
      <c r="AW705"/>
      <c r="FY705" s="211">
        <v>700</v>
      </c>
      <c r="FZ705">
        <v>27.05577819181233</v>
      </c>
      <c r="GA705">
        <v>61.985686328072056</v>
      </c>
      <c r="GB705">
        <v>30.867822004611281</v>
      </c>
      <c r="GC705">
        <v>12.524621832321166</v>
      </c>
      <c r="GD705">
        <v>8.1557121249281419</v>
      </c>
      <c r="GE705">
        <v>9.0912657229227865</v>
      </c>
      <c r="GF705">
        <v>25.494161462924897</v>
      </c>
      <c r="GG705">
        <v>20.758152489343992</v>
      </c>
      <c r="GH705">
        <v>9.4747393742265587</v>
      </c>
      <c r="GI705">
        <v>23.236734684915945</v>
      </c>
      <c r="GJ705"/>
      <c r="GK705">
        <v>27.979428659155303</v>
      </c>
      <c r="GL705">
        <v>54.780366835332245</v>
      </c>
      <c r="GM705">
        <v>54.684460344309421</v>
      </c>
      <c r="GN705">
        <v>41.366846747579011</v>
      </c>
      <c r="GO705">
        <v>35.493598814429234</v>
      </c>
      <c r="GP705">
        <v>19.506451265297176</v>
      </c>
      <c r="GQ705">
        <v>34.348732155210925</v>
      </c>
      <c r="GR705">
        <v>31.222890966318921</v>
      </c>
      <c r="GS705">
        <v>11.298849236598933</v>
      </c>
      <c r="GT705">
        <v>32.761013841940759</v>
      </c>
      <c r="GU705"/>
      <c r="GV705"/>
      <c r="GW705"/>
      <c r="GX705"/>
      <c r="GY705"/>
      <c r="GZ705"/>
      <c r="HA705"/>
      <c r="HB705"/>
      <c r="HC705"/>
    </row>
    <row r="706" spans="1:211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49.319871794871794</v>
      </c>
      <c r="AO706">
        <v>36.679604359037057</v>
      </c>
      <c r="AP706">
        <v>24.008831927779639</v>
      </c>
      <c r="AQ706">
        <v>247.93439478743437</v>
      </c>
      <c r="AR706">
        <v>35.487826926989129</v>
      </c>
      <c r="AS706">
        <v>335.12477477173815</v>
      </c>
      <c r="AT706">
        <v>28.207667975214104</v>
      </c>
      <c r="AU706">
        <v>32.93502469134939</v>
      </c>
      <c r="AV706"/>
      <c r="AW706"/>
      <c r="FY706" s="211">
        <v>701</v>
      </c>
      <c r="FZ706">
        <v>40.267999444021356</v>
      </c>
      <c r="GA706">
        <v>86.165236650870867</v>
      </c>
      <c r="GB706">
        <v>42.547267485407687</v>
      </c>
      <c r="GC706">
        <v>12.271311617949262</v>
      </c>
      <c r="GD706">
        <v>6.7179658413266283</v>
      </c>
      <c r="GE706">
        <v>7.8305354994049852</v>
      </c>
      <c r="GF706">
        <v>35.538913807676067</v>
      </c>
      <c r="GG706">
        <v>32.872978686196632</v>
      </c>
      <c r="GH706">
        <v>12.963068504476368</v>
      </c>
      <c r="GI706">
        <v>29.663278512992022</v>
      </c>
      <c r="GJ706"/>
      <c r="GK706">
        <v>43.447445895473749</v>
      </c>
      <c r="GL706">
        <v>78.485605608095483</v>
      </c>
      <c r="GM706">
        <v>75.375397759418377</v>
      </c>
      <c r="GN706">
        <v>40.514842659801879</v>
      </c>
      <c r="GO706">
        <v>29.219189272669418</v>
      </c>
      <c r="GP706">
        <v>16.801396390294482</v>
      </c>
      <c r="GQ706">
        <v>47.882203666209215</v>
      </c>
      <c r="GR706">
        <v>49.44512426065522</v>
      </c>
      <c r="GS706">
        <v>15.206150722713929</v>
      </c>
      <c r="GT706">
        <v>42.226077463296932</v>
      </c>
      <c r="GU706"/>
      <c r="GV706"/>
      <c r="GW706"/>
      <c r="GX706"/>
      <c r="GY706"/>
      <c r="GZ706"/>
      <c r="HA706"/>
      <c r="HB706"/>
      <c r="HC706"/>
    </row>
    <row r="707" spans="1:211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60.373878205128207</v>
      </c>
      <c r="AO707">
        <v>44.696919977623665</v>
      </c>
      <c r="AP707">
        <v>10.900008173212061</v>
      </c>
      <c r="AQ707">
        <v>293.75255142477164</v>
      </c>
      <c r="AR707">
        <v>42.764085411959556</v>
      </c>
      <c r="AS707">
        <v>402.94771494804422</v>
      </c>
      <c r="AT707">
        <v>34.928736097860082</v>
      </c>
      <c r="AU707">
        <v>44.227069739882168</v>
      </c>
      <c r="AV707"/>
      <c r="AW707"/>
      <c r="FY707" s="211">
        <v>702</v>
      </c>
      <c r="FZ707">
        <v>38.885277285431002</v>
      </c>
      <c r="GA707">
        <v>72.773494790304269</v>
      </c>
      <c r="GB707">
        <v>33.965632007672305</v>
      </c>
      <c r="GC707">
        <v>15.978333788946312</v>
      </c>
      <c r="GD707">
        <v>9.6064931283310848</v>
      </c>
      <c r="GE707">
        <v>9.6375821531138293</v>
      </c>
      <c r="GF707">
        <v>15.080310606818033</v>
      </c>
      <c r="GG707">
        <v>17.664502914709114</v>
      </c>
      <c r="GH707">
        <v>16.158815444253271</v>
      </c>
      <c r="GI707">
        <v>25.743385416177333</v>
      </c>
      <c r="GJ707"/>
      <c r="GK707">
        <v>40.216466909953091</v>
      </c>
      <c r="GL707">
        <v>64.31418246145283</v>
      </c>
      <c r="GM707">
        <v>60.172442886170941</v>
      </c>
      <c r="GN707">
        <v>52.743190621637893</v>
      </c>
      <c r="GO707">
        <v>41.7726902952381</v>
      </c>
      <c r="GP707">
        <v>20.678641711131672</v>
      </c>
      <c r="GQ707">
        <v>20.317967727797978</v>
      </c>
      <c r="GR707">
        <v>26.569650105581978</v>
      </c>
      <c r="GS707">
        <v>19.471857284305869</v>
      </c>
      <c r="GT707">
        <v>36.390285020693199</v>
      </c>
      <c r="GU707"/>
      <c r="GV707"/>
      <c r="GW707"/>
      <c r="GX707"/>
      <c r="GY707"/>
      <c r="GZ707"/>
      <c r="HA707"/>
      <c r="HB707"/>
      <c r="HC707"/>
    </row>
    <row r="708" spans="1:211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47.924011752136742</v>
      </c>
      <c r="AO708">
        <v>37.392261345652017</v>
      </c>
      <c r="AP708">
        <v>18.653627667833611</v>
      </c>
      <c r="AQ708">
        <v>251.69400287498297</v>
      </c>
      <c r="AR708">
        <v>36.17133692583954</v>
      </c>
      <c r="AS708">
        <v>345.36976219448979</v>
      </c>
      <c r="AT708">
        <v>29.110900964150456</v>
      </c>
      <c r="AU708">
        <v>20.719392484931184</v>
      </c>
      <c r="AV708"/>
      <c r="AW708"/>
      <c r="FY708" s="211">
        <v>703</v>
      </c>
      <c r="FZ708">
        <v>45.40293263814867</v>
      </c>
      <c r="GA708">
        <v>79.405344254791316</v>
      </c>
      <c r="GB708">
        <v>31.740020937511964</v>
      </c>
      <c r="GC708">
        <v>13.794887597419615</v>
      </c>
      <c r="GD708">
        <v>9.9392314565920614</v>
      </c>
      <c r="GE708">
        <v>14.447034487274315</v>
      </c>
      <c r="GF708">
        <v>16.020633004795616</v>
      </c>
      <c r="GG708">
        <v>8.8086358117466546</v>
      </c>
      <c r="GH708">
        <v>10.17240520027652</v>
      </c>
      <c r="GI708">
        <v>25.555279066293952</v>
      </c>
      <c r="GJ708"/>
      <c r="GK708">
        <v>46.954544683158502</v>
      </c>
      <c r="GL708">
        <v>70.175134690625342</v>
      </c>
      <c r="GM708">
        <v>56.229620477454908</v>
      </c>
      <c r="GN708">
        <v>45.546973361616637</v>
      </c>
      <c r="GO708">
        <v>43.238113392548684</v>
      </c>
      <c r="GP708">
        <v>30.99792512317897</v>
      </c>
      <c r="GQ708">
        <v>21.584880633901932</v>
      </c>
      <c r="GR708">
        <v>13.249304130189941</v>
      </c>
      <c r="GS708">
        <v>12.080309533821929</v>
      </c>
      <c r="GT708">
        <v>36.017493744177195</v>
      </c>
      <c r="GU708"/>
      <c r="GV708"/>
      <c r="GW708"/>
      <c r="GX708"/>
      <c r="GY708"/>
      <c r="GZ708"/>
      <c r="HA708"/>
      <c r="HB708"/>
      <c r="HC708"/>
    </row>
    <row r="709" spans="1:211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48.54567307692308</v>
      </c>
      <c r="AO709">
        <v>38.162761013069407</v>
      </c>
      <c r="AP709">
        <v>30.10465247343307</v>
      </c>
      <c r="AQ709">
        <v>257.19025668527331</v>
      </c>
      <c r="AR709">
        <v>36.43092627495097</v>
      </c>
      <c r="AS709">
        <v>344.50763080874208</v>
      </c>
      <c r="AT709">
        <v>28.629185088422194</v>
      </c>
      <c r="AU709">
        <v>16.802991787103789</v>
      </c>
      <c r="AV709"/>
      <c r="AW709"/>
      <c r="FY709" s="211">
        <v>704</v>
      </c>
      <c r="FZ709">
        <v>56.349123465558563</v>
      </c>
      <c r="GA709">
        <v>75.603083895152068</v>
      </c>
      <c r="GB709">
        <v>19.95029743071661</v>
      </c>
      <c r="GC709">
        <v>13.402756367952312</v>
      </c>
      <c r="GD709">
        <v>10.56644904033365</v>
      </c>
      <c r="GE709">
        <v>11.869541585860153</v>
      </c>
      <c r="GF709">
        <v>18.63068676366797</v>
      </c>
      <c r="GG709">
        <v>15.043166252232224</v>
      </c>
      <c r="GH709">
        <v>10.464987390749428</v>
      </c>
      <c r="GI709">
        <v>25.109268908046197</v>
      </c>
      <c r="GJ709"/>
      <c r="GK709">
        <v>58.282568974320057</v>
      </c>
      <c r="GL709">
        <v>66.81485541256643</v>
      </c>
      <c r="GM709">
        <v>35.343317988040191</v>
      </c>
      <c r="GN709">
        <v>44.251825876009285</v>
      </c>
      <c r="GO709">
        <v>45.967759675505945</v>
      </c>
      <c r="GP709">
        <v>25.467590712062361</v>
      </c>
      <c r="GQ709">
        <v>25.101451971405428</v>
      </c>
      <c r="GR709">
        <v>22.626827696865934</v>
      </c>
      <c r="GS709">
        <v>11.721904458344989</v>
      </c>
      <c r="GT709">
        <v>35.283400613523327</v>
      </c>
      <c r="GU709"/>
      <c r="GV709"/>
      <c r="GW709"/>
      <c r="GX709"/>
      <c r="GY709"/>
      <c r="GZ709"/>
      <c r="HA709"/>
      <c r="HB709"/>
      <c r="HC709"/>
    </row>
    <row r="710" spans="1:211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51.801655982905991</v>
      </c>
      <c r="AO710">
        <v>38.093778673165929</v>
      </c>
      <c r="AP710">
        <v>7.3169891404777285</v>
      </c>
      <c r="AQ710">
        <v>267.56590069905587</v>
      </c>
      <c r="AR710">
        <v>37.025104433331492</v>
      </c>
      <c r="AS710">
        <v>383.21558929989175</v>
      </c>
      <c r="AT710">
        <v>30.107434409932534</v>
      </c>
      <c r="AU710">
        <v>32.244833165883456</v>
      </c>
      <c r="AV710"/>
      <c r="AW710"/>
      <c r="FY710" s="211">
        <v>705</v>
      </c>
      <c r="FZ710">
        <v>43.536977524718026</v>
      </c>
      <c r="GA710">
        <v>97.39516841073555</v>
      </c>
      <c r="GB710">
        <v>45.635052213377904</v>
      </c>
      <c r="GC710">
        <v>17.386879165546553</v>
      </c>
      <c r="GD710">
        <v>9.5987773353243373</v>
      </c>
      <c r="GE710">
        <v>14.419018260085032</v>
      </c>
      <c r="GF710">
        <v>28.754531646566797</v>
      </c>
      <c r="GG710">
        <v>16.83795531843262</v>
      </c>
      <c r="GH710">
        <v>10.228655922828594</v>
      </c>
      <c r="GI710">
        <v>30.991336453345742</v>
      </c>
      <c r="GJ710"/>
      <c r="GK710">
        <v>46.825244390620256</v>
      </c>
      <c r="GL710">
        <v>88.410151382827578</v>
      </c>
      <c r="GM710">
        <v>80.845619839979378</v>
      </c>
      <c r="GN710">
        <v>57.414594017363534</v>
      </c>
      <c r="GO710">
        <v>41.760796664948984</v>
      </c>
      <c r="GP710">
        <v>30.937812792623355</v>
      </c>
      <c r="GQ710">
        <v>38.741486250206876</v>
      </c>
      <c r="GR710">
        <v>25.32641781454539</v>
      </c>
      <c r="GS710">
        <v>12.829444757910373</v>
      </c>
      <c r="GT710">
        <v>44.200518380733172</v>
      </c>
      <c r="GU710"/>
      <c r="GV710"/>
      <c r="GW710"/>
      <c r="GX710"/>
      <c r="GY710"/>
      <c r="GZ710"/>
      <c r="HA710"/>
      <c r="HB710"/>
      <c r="HC710"/>
    </row>
    <row r="711" spans="1:211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49.17326388888889</v>
      </c>
      <c r="AO711">
        <v>37.056743217189435</v>
      </c>
      <c r="AP711">
        <v>12.050600065448609</v>
      </c>
      <c r="AQ711">
        <v>251.08361880666641</v>
      </c>
      <c r="AR711">
        <v>35.68573749326233</v>
      </c>
      <c r="AS711">
        <v>347.48219508624271</v>
      </c>
      <c r="AT711">
        <v>29.032193115909426</v>
      </c>
      <c r="AU711">
        <v>21.103911051473645</v>
      </c>
      <c r="AV711"/>
      <c r="AW711"/>
      <c r="FY711" s="211">
        <v>706</v>
      </c>
      <c r="FZ711">
        <v>52.730366954369643</v>
      </c>
      <c r="GA711">
        <v>82.491019222824193</v>
      </c>
      <c r="GB711">
        <v>36.271445278559156</v>
      </c>
      <c r="GC711">
        <v>16.61500159743817</v>
      </c>
      <c r="GD711">
        <v>8.2531150480012023</v>
      </c>
      <c r="GE711">
        <v>10.244600408881661</v>
      </c>
      <c r="GF711">
        <v>17.207021077010328</v>
      </c>
      <c r="GG711">
        <v>12.988605084344938</v>
      </c>
      <c r="GH711">
        <v>8.023156999574562</v>
      </c>
      <c r="GI711">
        <v>26.489314962993483</v>
      </c>
      <c r="GJ711"/>
      <c r="GK711">
        <v>58.125933673197373</v>
      </c>
      <c r="GL711">
        <v>77.574845018334258</v>
      </c>
      <c r="GM711">
        <v>64.257348985291173</v>
      </c>
      <c r="GN711">
        <v>54.849843905194966</v>
      </c>
      <c r="GO711">
        <v>35.887135993559944</v>
      </c>
      <c r="GP711">
        <v>21.981075539836674</v>
      </c>
      <c r="GQ711">
        <v>23.183322150948982</v>
      </c>
      <c r="GR711">
        <v>19.536507430574986</v>
      </c>
      <c r="GS711">
        <v>8.9867934180644919</v>
      </c>
      <c r="GT711">
        <v>38.088106844212398</v>
      </c>
      <c r="GU711"/>
      <c r="GV711"/>
      <c r="GW711"/>
      <c r="GX711"/>
      <c r="GY711"/>
      <c r="GZ711"/>
      <c r="HA711"/>
      <c r="HB711"/>
      <c r="HC711"/>
    </row>
    <row r="712" spans="1:211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48.744925213675216</v>
      </c>
      <c r="AO712">
        <v>36.829601957330269</v>
      </c>
      <c r="AP712">
        <v>24.913661584736609</v>
      </c>
      <c r="AQ712">
        <v>245.48940488902397</v>
      </c>
      <c r="AR712">
        <v>35.490801530197842</v>
      </c>
      <c r="AS712">
        <v>348.997785613948</v>
      </c>
      <c r="AT712">
        <v>28.632749514735679</v>
      </c>
      <c r="AU712">
        <v>31.713847489051879</v>
      </c>
      <c r="AV712"/>
      <c r="AW712"/>
      <c r="FY712" s="211">
        <v>707</v>
      </c>
      <c r="FZ712">
        <v>36.737420443743886</v>
      </c>
      <c r="GA712">
        <v>57.604071623813411</v>
      </c>
      <c r="GB712">
        <v>23.228562385412253</v>
      </c>
      <c r="GC712">
        <v>12.11901687876775</v>
      </c>
      <c r="GD712">
        <v>7.5464651428697564</v>
      </c>
      <c r="GE712">
        <v>9.2126693740763503</v>
      </c>
      <c r="GF712">
        <v>30.327594349725548</v>
      </c>
      <c r="GG712">
        <v>22.836329302839186</v>
      </c>
      <c r="GH712">
        <v>7.3254911735246013</v>
      </c>
      <c r="GI712">
        <v>22.867200779844811</v>
      </c>
      <c r="GJ712"/>
      <c r="GK712">
        <v>39.792101715613278</v>
      </c>
      <c r="GL712">
        <v>53.24443800779261</v>
      </c>
      <c r="GM712">
        <v>41.150988833311111</v>
      </c>
      <c r="GN712">
        <v>40.007997082622651</v>
      </c>
      <c r="GO712">
        <v>32.820475013234194</v>
      </c>
      <c r="GP712">
        <v>19.766938031038173</v>
      </c>
      <c r="GQ712">
        <v>40.860901298735911</v>
      </c>
      <c r="GR712">
        <v>34.348732155210925</v>
      </c>
      <c r="GS712">
        <v>8.2053331208414928</v>
      </c>
      <c r="GT712">
        <v>32.565959996347196</v>
      </c>
      <c r="GU712"/>
      <c r="GV712"/>
      <c r="GW712"/>
      <c r="GX712"/>
      <c r="GY712"/>
      <c r="GZ712"/>
      <c r="HA712"/>
      <c r="HB712"/>
      <c r="HC712"/>
    </row>
    <row r="713" spans="1:211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45.095219017094017</v>
      </c>
      <c r="AO713">
        <v>36.373262221267872</v>
      </c>
      <c r="AP713">
        <v>54.523186566928274</v>
      </c>
      <c r="AQ713">
        <v>253.76633842518106</v>
      </c>
      <c r="AR713">
        <v>34.377203952436133</v>
      </c>
      <c r="AS713">
        <v>318.55234068246716</v>
      </c>
      <c r="AT713">
        <v>26.171688911447074</v>
      </c>
      <c r="AU713">
        <v>33.636507059976417</v>
      </c>
      <c r="AV713"/>
      <c r="AW713"/>
      <c r="FY713" s="211">
        <v>708</v>
      </c>
      <c r="FZ713">
        <v>44.516137233835558</v>
      </c>
      <c r="GA713">
        <v>71.30989385041994</v>
      </c>
      <c r="GB713">
        <v>28.090820804456261</v>
      </c>
      <c r="GC713">
        <v>14.237845916871242</v>
      </c>
      <c r="GD713">
        <v>9.3364327122360624</v>
      </c>
      <c r="GE713">
        <v>12.80808519670118</v>
      </c>
      <c r="GF713">
        <v>41.514794467720513</v>
      </c>
      <c r="GG713">
        <v>28.267927792656156</v>
      </c>
      <c r="GH713">
        <v>8.4282406351516155</v>
      </c>
      <c r="GI713">
        <v>28.690103207234905</v>
      </c>
      <c r="GJ713"/>
      <c r="GK713">
        <v>47.829923597066411</v>
      </c>
      <c r="GL713">
        <v>65.357072614749114</v>
      </c>
      <c r="GM713">
        <v>49.764812564064641</v>
      </c>
      <c r="GN713">
        <v>47.021515052350374</v>
      </c>
      <c r="GO713">
        <v>40.627748984162189</v>
      </c>
      <c r="GP713">
        <v>27.481353785675473</v>
      </c>
      <c r="GQ713">
        <v>55.93361278911285</v>
      </c>
      <c r="GR713">
        <v>42.518544353451368</v>
      </c>
      <c r="GS713">
        <v>10.126658790764433</v>
      </c>
      <c r="GT713">
        <v>40.856551345034106</v>
      </c>
      <c r="GU713"/>
      <c r="GV713"/>
      <c r="GW713"/>
      <c r="GX713"/>
      <c r="GY713"/>
      <c r="GZ713"/>
      <c r="HA713"/>
      <c r="HB713"/>
      <c r="HC713"/>
    </row>
    <row r="714" spans="1:211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56.581463675213669</v>
      </c>
      <c r="AO714">
        <v>43.837760629177836</v>
      </c>
      <c r="AP714">
        <v>24.866510217675579</v>
      </c>
      <c r="AQ714">
        <v>299.99265314785401</v>
      </c>
      <c r="AR714">
        <v>41.569070039092033</v>
      </c>
      <c r="AS714">
        <v>407.95805807583355</v>
      </c>
      <c r="AT714">
        <v>33.200262170468868</v>
      </c>
      <c r="AU714">
        <v>13.056940078149752</v>
      </c>
      <c r="AV714"/>
      <c r="AW714"/>
      <c r="FY714" s="211">
        <v>709</v>
      </c>
      <c r="FZ714">
        <v>29.926702292668086</v>
      </c>
      <c r="GA714">
        <v>69.324933068771017</v>
      </c>
      <c r="GB714">
        <v>37.133618936369018</v>
      </c>
      <c r="GC714">
        <v>13.308296282594981</v>
      </c>
      <c r="GD714">
        <v>7.6370367833275168</v>
      </c>
      <c r="GE714">
        <v>10.305302234458441</v>
      </c>
      <c r="GF714">
        <v>15.247283742907515</v>
      </c>
      <c r="GG714">
        <v>10.367268421868049</v>
      </c>
      <c r="GH714">
        <v>11.218903939351463</v>
      </c>
      <c r="GI714">
        <v>23.228593637855518</v>
      </c>
      <c r="GJ714"/>
      <c r="GK714">
        <v>30.948977788602701</v>
      </c>
      <c r="GL714">
        <v>61.266487302283132</v>
      </c>
      <c r="GM714">
        <v>65.78474865713612</v>
      </c>
      <c r="GN714">
        <v>43.932158901702046</v>
      </c>
      <c r="GO714">
        <v>33.21030503350957</v>
      </c>
      <c r="GP714">
        <v>22.11131892270717</v>
      </c>
      <c r="GQ714">
        <v>20.542933570937937</v>
      </c>
      <c r="GR714">
        <v>15.593685021858942</v>
      </c>
      <c r="GS714">
        <v>13.252499979656431</v>
      </c>
      <c r="GT714">
        <v>32.74789300596855</v>
      </c>
      <c r="GU714"/>
      <c r="GV714"/>
      <c r="GW714"/>
      <c r="GX714"/>
      <c r="GY714"/>
      <c r="GZ714"/>
      <c r="HA714"/>
      <c r="HB714"/>
      <c r="HC714"/>
    </row>
    <row r="715" spans="1:211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50.367708333333333</v>
      </c>
      <c r="AO715">
        <v>39.146581946788324</v>
      </c>
      <c r="AP715">
        <v>18.704540581461501</v>
      </c>
      <c r="AQ715">
        <v>256.53058325388474</v>
      </c>
      <c r="AR715">
        <v>37.624090145559286</v>
      </c>
      <c r="AS715">
        <v>369.21970333252926</v>
      </c>
      <c r="AT715">
        <v>30.24212633932402</v>
      </c>
      <c r="AU715">
        <v>28.79943134732823</v>
      </c>
      <c r="AV715"/>
      <c r="AW715"/>
      <c r="FY715" s="211">
        <v>710</v>
      </c>
      <c r="FZ715">
        <v>43.624177831244971</v>
      </c>
      <c r="GA715">
        <v>85.192565396079431</v>
      </c>
      <c r="GB715">
        <v>27.790062551731886</v>
      </c>
      <c r="GC715">
        <v>13.803010365340652</v>
      </c>
      <c r="GD715">
        <v>11.539723971052949</v>
      </c>
      <c r="GE715">
        <v>11.748137934706589</v>
      </c>
      <c r="GF715">
        <v>34.914961562289079</v>
      </c>
      <c r="GG715">
        <v>24.867274825118571</v>
      </c>
      <c r="GH715">
        <v>7.6743240865495812</v>
      </c>
      <c r="GI715">
        <v>28.439251589420902</v>
      </c>
      <c r="GJ715"/>
      <c r="GK715">
        <v>46.917759618858256</v>
      </c>
      <c r="GL715">
        <v>77.625999281150186</v>
      </c>
      <c r="GM715">
        <v>49.231998725048953</v>
      </c>
      <c r="GN715">
        <v>45.56612134135014</v>
      </c>
      <c r="GO715">
        <v>50.194770794132523</v>
      </c>
      <c r="GP715">
        <v>25.207103946321361</v>
      </c>
      <c r="GQ715">
        <v>47.041541831317815</v>
      </c>
      <c r="GR715">
        <v>37.403531498900826</v>
      </c>
      <c r="GS715">
        <v>8.5960632694529924</v>
      </c>
      <c r="GT715">
        <v>40.3964268477621</v>
      </c>
      <c r="GU715"/>
      <c r="GV715"/>
      <c r="GW715"/>
      <c r="GX715"/>
      <c r="GY715"/>
      <c r="GZ715"/>
      <c r="HA715"/>
      <c r="HB715"/>
      <c r="HC715"/>
    </row>
    <row r="716" spans="1:211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45.759695512820514</v>
      </c>
      <c r="AO716">
        <v>34.344263886617199</v>
      </c>
      <c r="AP716">
        <v>8.7110859418142805</v>
      </c>
      <c r="AQ716">
        <v>228.64467421607915</v>
      </c>
      <c r="AR716">
        <v>32.761013841940759</v>
      </c>
      <c r="AS716">
        <v>322.7498240828026</v>
      </c>
      <c r="AT716">
        <v>26.836998182828136</v>
      </c>
      <c r="AU716">
        <v>24.201905762194233</v>
      </c>
      <c r="AV716"/>
      <c r="AW716"/>
      <c r="FY716" s="211">
        <v>711</v>
      </c>
      <c r="FZ716">
        <v>56.316195780204481</v>
      </c>
      <c r="GA716">
        <v>78.95403284176443</v>
      </c>
      <c r="GB716">
        <v>26.887787793558775</v>
      </c>
      <c r="GC716">
        <v>12.51137317247588</v>
      </c>
      <c r="GD716">
        <v>7.4317115787891588</v>
      </c>
      <c r="GE716">
        <v>5.8740689673532946</v>
      </c>
      <c r="GF716">
        <v>34.581015290110123</v>
      </c>
      <c r="GG716">
        <v>34.00652967537583</v>
      </c>
      <c r="GH716">
        <v>16.158815444253271</v>
      </c>
      <c r="GI716">
        <v>28.813401293737908</v>
      </c>
      <c r="GJ716"/>
      <c r="GK716">
        <v>61.841904665692532</v>
      </c>
      <c r="GL716">
        <v>74.449003829442262</v>
      </c>
      <c r="GM716">
        <v>47.633557208001911</v>
      </c>
      <c r="GN716">
        <v>41.315408278554024</v>
      </c>
      <c r="GO716">
        <v>32.334079617812776</v>
      </c>
      <c r="GP716">
        <v>12.60355197316068</v>
      </c>
      <c r="GQ716">
        <v>46.591610145037912</v>
      </c>
      <c r="GR716">
        <v>51.15012854550541</v>
      </c>
      <c r="GS716">
        <v>19.471857284305869</v>
      </c>
      <c r="GT716">
        <v>41.574601784170191</v>
      </c>
      <c r="GU716"/>
      <c r="GV716"/>
      <c r="GW716"/>
      <c r="GX716"/>
      <c r="GY716"/>
      <c r="GZ716"/>
      <c r="HA716"/>
      <c r="HB716"/>
      <c r="HC716"/>
    </row>
    <row r="717" spans="1:211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56.55416666666666</v>
      </c>
      <c r="AO717">
        <v>43.860343369862861</v>
      </c>
      <c r="AP717">
        <v>25.126509232993136</v>
      </c>
      <c r="AQ717">
        <v>306.83855605032187</v>
      </c>
      <c r="AR717">
        <v>42.226077463296967</v>
      </c>
      <c r="AS717">
        <v>405.98183584261926</v>
      </c>
      <c r="AT717">
        <v>33.785015899274306</v>
      </c>
      <c r="AU717">
        <v>24.609095563949861</v>
      </c>
      <c r="AV717"/>
      <c r="AW717"/>
      <c r="FY717" s="211">
        <v>712</v>
      </c>
      <c r="FZ717">
        <v>44.788899223518001</v>
      </c>
      <c r="GA717">
        <v>62.330196850783651</v>
      </c>
      <c r="GB717">
        <v>23.37894151177445</v>
      </c>
      <c r="GC717">
        <v>13.962061233299902</v>
      </c>
      <c r="GD717">
        <v>9.4157702673208252</v>
      </c>
      <c r="GE717">
        <v>10.95901420220841</v>
      </c>
      <c r="GF717">
        <v>18.947056916258557</v>
      </c>
      <c r="GG717">
        <v>14.287465592779425</v>
      </c>
      <c r="GH717">
        <v>13.716985053078401</v>
      </c>
      <c r="GI717">
        <v>24.072299117955779</v>
      </c>
      <c r="GJ717"/>
      <c r="GK717">
        <v>49.917450533783963</v>
      </c>
      <c r="GL717">
        <v>59.757550241649895</v>
      </c>
      <c r="GM717">
        <v>41.417395752818969</v>
      </c>
      <c r="GN717">
        <v>46.095281344265914</v>
      </c>
      <c r="GO717">
        <v>40.955677081760804</v>
      </c>
      <c r="GP717">
        <v>23.513939969004863</v>
      </c>
      <c r="GQ717">
        <v>25.527703042617972</v>
      </c>
      <c r="GR717">
        <v>21.490158173632476</v>
      </c>
      <c r="GS717">
        <v>16.736746244025369</v>
      </c>
      <c r="GT717">
        <v>34.910994531001407</v>
      </c>
      <c r="GU717"/>
      <c r="GV717"/>
      <c r="GW717"/>
      <c r="GX717"/>
      <c r="GY717"/>
      <c r="GZ717"/>
      <c r="HA717"/>
      <c r="HB717"/>
      <c r="HC717"/>
    </row>
    <row r="718" spans="1:211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51.462713675213671</v>
      </c>
      <c r="AO718">
        <v>38.264737502396351</v>
      </c>
      <c r="AP718">
        <v>23.860058339878609</v>
      </c>
      <c r="AQ718">
        <v>255.49382753575657</v>
      </c>
      <c r="AR718">
        <v>36.390285020693206</v>
      </c>
      <c r="AS718">
        <v>367.42982787899632</v>
      </c>
      <c r="AT718">
        <v>29.26866521910166</v>
      </c>
      <c r="AU718">
        <v>28.947945007986473</v>
      </c>
      <c r="AV718"/>
      <c r="AW718"/>
      <c r="FY718" s="211">
        <v>713</v>
      </c>
      <c r="FZ718">
        <v>34.096146781499343</v>
      </c>
      <c r="GA718">
        <v>59.637838792922771</v>
      </c>
      <c r="GB718">
        <v>29.775067019712736</v>
      </c>
      <c r="GC718">
        <v>11.626346673412989</v>
      </c>
      <c r="GD718">
        <v>6.4902395983943411</v>
      </c>
      <c r="GE718">
        <v>8.1947464528656848</v>
      </c>
      <c r="GF718">
        <v>39.99446012332686</v>
      </c>
      <c r="GG718">
        <v>35.045618082123418</v>
      </c>
      <c r="GH718">
        <v>8.7208228256245235</v>
      </c>
      <c r="GI718">
        <v>25.548938937165843</v>
      </c>
      <c r="GJ718"/>
      <c r="GK718">
        <v>37.068209855276535</v>
      </c>
      <c r="GL718">
        <v>55.041796691405509</v>
      </c>
      <c r="GM718">
        <v>52.748570062552446</v>
      </c>
      <c r="GN718">
        <v>38.365424768750451</v>
      </c>
      <c r="GO718">
        <v>28.206440904851458</v>
      </c>
      <c r="GP718">
        <v>17.582856687517484</v>
      </c>
      <c r="GQ718">
        <v>53.885239585785904</v>
      </c>
      <c r="GR718">
        <v>52.713049139951401</v>
      </c>
      <c r="GS718">
        <v>9.7682537152874911</v>
      </c>
      <c r="GT718">
        <v>36.335342824750754</v>
      </c>
      <c r="GU718"/>
      <c r="GV718"/>
      <c r="GW718"/>
      <c r="GX718"/>
      <c r="GY718"/>
      <c r="GZ718"/>
      <c r="HA718"/>
      <c r="HB718"/>
      <c r="HC718"/>
    </row>
    <row r="719" spans="1:211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50.645138888888894</v>
      </c>
      <c r="AO719">
        <v>37.607429977067412</v>
      </c>
      <c r="AP719">
        <v>15.21764325102211</v>
      </c>
      <c r="AQ719">
        <v>255.28640445485073</v>
      </c>
      <c r="AR719">
        <v>36.017493744177216</v>
      </c>
      <c r="AS719">
        <v>351.71610360822979</v>
      </c>
      <c r="AT719">
        <v>29.16775528955019</v>
      </c>
      <c r="AU719">
        <v>37.823565554051953</v>
      </c>
      <c r="AV719"/>
      <c r="AW719"/>
      <c r="FY719" s="211">
        <v>714</v>
      </c>
      <c r="FZ719">
        <v>36.510768541044747</v>
      </c>
      <c r="GA719">
        <v>77.676469336327472</v>
      </c>
      <c r="GB719">
        <v>39.25897725562124</v>
      </c>
      <c r="GC719">
        <v>15.281235928522822</v>
      </c>
      <c r="GD719">
        <v>9.8781211681527772</v>
      </c>
      <c r="GE719">
        <v>13.204981748549372</v>
      </c>
      <c r="GF719">
        <v>18.173707654370453</v>
      </c>
      <c r="GG719">
        <v>14.027693491092529</v>
      </c>
      <c r="GH719">
        <v>10.870071026326483</v>
      </c>
      <c r="GI719">
        <v>26.575045757859389</v>
      </c>
      <c r="GJ719"/>
      <c r="GK719">
        <v>39.557663626446377</v>
      </c>
      <c r="GL719">
        <v>70.983586754754697</v>
      </c>
      <c r="GM719">
        <v>69.549966452846931</v>
      </c>
      <c r="GN719">
        <v>50.456147023658552</v>
      </c>
      <c r="GO719">
        <v>42.972161869484452</v>
      </c>
      <c r="GP719">
        <v>28.33294513521335</v>
      </c>
      <c r="GQ719">
        <v>24.485755979653973</v>
      </c>
      <c r="GR719">
        <v>21.09942802502098</v>
      </c>
      <c r="GS719">
        <v>12.861769831044931</v>
      </c>
      <c r="GT719">
        <v>37.885463551895327</v>
      </c>
      <c r="GU719"/>
      <c r="GV719"/>
      <c r="GW719"/>
      <c r="GX719"/>
      <c r="GY719"/>
      <c r="GZ719"/>
      <c r="HA719"/>
      <c r="HB719"/>
      <c r="HC719"/>
    </row>
    <row r="720" spans="1:211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49.970619658119659</v>
      </c>
      <c r="AO720">
        <v>37.086150337864396</v>
      </c>
      <c r="AP720">
        <v>5.2626327494511393</v>
      </c>
      <c r="AQ720">
        <v>256.98936110026921</v>
      </c>
      <c r="AR720">
        <v>35.283400613523355</v>
      </c>
      <c r="AS720">
        <v>334.30502516475536</v>
      </c>
      <c r="AT720">
        <v>28.99189424826179</v>
      </c>
      <c r="AU720">
        <v>26.766000404000742</v>
      </c>
      <c r="AV720"/>
      <c r="AW720"/>
      <c r="FY720" s="211">
        <v>715</v>
      </c>
      <c r="FZ720">
        <v>49.194623955814698</v>
      </c>
      <c r="GA720">
        <v>79.00283922922489</v>
      </c>
      <c r="GB720">
        <v>25.454173455572608</v>
      </c>
      <c r="GC720">
        <v>12.50115787657162</v>
      </c>
      <c r="GD720">
        <v>8.090645231303629</v>
      </c>
      <c r="GE720">
        <v>10.959014202208413</v>
      </c>
      <c r="GF720">
        <v>23.850794281412679</v>
      </c>
      <c r="GG720">
        <v>16.082254658979817</v>
      </c>
      <c r="GH720">
        <v>8.4844913577036873</v>
      </c>
      <c r="GI720">
        <v>24.58286696231804</v>
      </c>
      <c r="GJ720"/>
      <c r="GK720">
        <v>52.683046601220823</v>
      </c>
      <c r="GL720">
        <v>72.155777200589199</v>
      </c>
      <c r="GM720">
        <v>45.093811242027165</v>
      </c>
      <c r="GN720">
        <v>41.273988531288317</v>
      </c>
      <c r="GO720">
        <v>35.193079819855505</v>
      </c>
      <c r="GP720">
        <v>23.513939969004866</v>
      </c>
      <c r="GQ720">
        <v>32.134594646412424</v>
      </c>
      <c r="GR720">
        <v>24.189748291311929</v>
      </c>
      <c r="GS720">
        <v>10.875794014852874</v>
      </c>
      <c r="GT720">
        <v>35.196065264873745</v>
      </c>
      <c r="GU720"/>
      <c r="GV720"/>
      <c r="GW720"/>
      <c r="GX720"/>
      <c r="GY720"/>
      <c r="GZ720"/>
      <c r="HA720"/>
      <c r="HB720"/>
      <c r="HC720"/>
    </row>
    <row r="721" spans="1:211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60.137927350427347</v>
      </c>
      <c r="AO721">
        <v>46.729208629175886</v>
      </c>
      <c r="AP721">
        <v>30.253659994024389</v>
      </c>
      <c r="AQ721">
        <v>314.78435225096121</v>
      </c>
      <c r="AR721">
        <v>44.200518380733229</v>
      </c>
      <c r="AS721">
        <v>429.82232517399768</v>
      </c>
      <c r="AT721">
        <v>35.211681306205534</v>
      </c>
      <c r="AU721">
        <v>21.792031255096557</v>
      </c>
      <c r="AV721"/>
      <c r="AW721"/>
      <c r="FY721" s="211">
        <v>716</v>
      </c>
      <c r="FZ721">
        <v>29.842011919860987</v>
      </c>
      <c r="GA721">
        <v>65.562290981197862</v>
      </c>
      <c r="GB721">
        <v>31.980627539691461</v>
      </c>
      <c r="GC721">
        <v>12.142957333820245</v>
      </c>
      <c r="GD721">
        <v>7.5928585722763202</v>
      </c>
      <c r="GE721">
        <v>12.551269780799407</v>
      </c>
      <c r="GF721">
        <v>32.770674972508431</v>
      </c>
      <c r="GG721">
        <v>23.899033355194678</v>
      </c>
      <c r="GH721">
        <v>12.670486314003458</v>
      </c>
      <c r="GI721">
        <v>25.449793592856086</v>
      </c>
      <c r="GJ721"/>
      <c r="GK721">
        <v>32.663293793796356</v>
      </c>
      <c r="GL721">
        <v>60.277580682799623</v>
      </c>
      <c r="GM721">
        <v>56.655871548667456</v>
      </c>
      <c r="GN721">
        <v>40.098588981246422</v>
      </c>
      <c r="GO721">
        <v>33.035390140961624</v>
      </c>
      <c r="GP721">
        <v>26.930324088915668</v>
      </c>
      <c r="GQ721">
        <v>44.152506793099462</v>
      </c>
      <c r="GR721">
        <v>35.947173672257968</v>
      </c>
      <c r="GS721">
        <v>15.564555798190868</v>
      </c>
      <c r="GT721">
        <v>36.41432361494315</v>
      </c>
      <c r="GU721"/>
      <c r="GV721"/>
      <c r="GW721"/>
      <c r="GX721"/>
      <c r="GY721"/>
      <c r="GZ721"/>
      <c r="HA721"/>
      <c r="HB721"/>
      <c r="HC721"/>
    </row>
    <row r="722" spans="1:211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50.73846153846155</v>
      </c>
      <c r="AO722">
        <v>40.247091295921528</v>
      </c>
      <c r="AP722">
        <v>49.173871139295059</v>
      </c>
      <c r="AQ722">
        <v>271.31364663399734</v>
      </c>
      <c r="AR722">
        <v>38.088106844212405</v>
      </c>
      <c r="AS722">
        <v>340.04276443918388</v>
      </c>
      <c r="AT722">
        <v>29.307006973149331</v>
      </c>
      <c r="AU722">
        <v>29.746586702167512</v>
      </c>
      <c r="AV722"/>
      <c r="AW722"/>
      <c r="FY722" s="211">
        <v>717</v>
      </c>
      <c r="FZ722">
        <v>50.455196790996453</v>
      </c>
      <c r="GA722">
        <v>95.931567470851235</v>
      </c>
      <c r="GB722">
        <v>37.584756315455571</v>
      </c>
      <c r="GC722">
        <v>16.667369694689164</v>
      </c>
      <c r="GD722">
        <v>10.091778146681033</v>
      </c>
      <c r="GE722">
        <v>9.7589858042673967</v>
      </c>
      <c r="GF722">
        <v>30.643964502316134</v>
      </c>
      <c r="GG722">
        <v>21.561084440012589</v>
      </c>
      <c r="GH722">
        <v>7.3817418960766732</v>
      </c>
      <c r="GI722">
        <v>30.121712012828958</v>
      </c>
      <c r="GJ722"/>
      <c r="GK722">
        <v>55.778402762956446</v>
      </c>
      <c r="GL722">
        <v>89.453041536123862</v>
      </c>
      <c r="GM722">
        <v>66.583969415659638</v>
      </c>
      <c r="GN722">
        <v>55.049688292079146</v>
      </c>
      <c r="GO722">
        <v>43.919343813974642</v>
      </c>
      <c r="GP722">
        <v>20.939128476872675</v>
      </c>
      <c r="GQ722">
        <v>41.287152369948458</v>
      </c>
      <c r="GR722">
        <v>32.430602334754468</v>
      </c>
      <c r="GS722">
        <v>8.9544683449299356</v>
      </c>
      <c r="GT722">
        <v>43.304667341493818</v>
      </c>
      <c r="GU722"/>
      <c r="GV722"/>
      <c r="GW722"/>
      <c r="GX722"/>
      <c r="GY722"/>
      <c r="GZ722"/>
      <c r="HA722"/>
      <c r="HB722"/>
      <c r="HC722"/>
    </row>
    <row r="723" spans="1:211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44.363755341880342</v>
      </c>
      <c r="AO723">
        <v>34.276386525474756</v>
      </c>
      <c r="AP723">
        <v>22.931683517608086</v>
      </c>
      <c r="AQ723">
        <v>229.80482145461752</v>
      </c>
      <c r="AR723">
        <v>32.565959996347182</v>
      </c>
      <c r="AS723">
        <v>324.42318715520446</v>
      </c>
      <c r="AT723">
        <v>25.728745302655195</v>
      </c>
      <c r="AU723">
        <v>22.710701456063944</v>
      </c>
      <c r="AV723"/>
      <c r="AW723"/>
      <c r="FY723" s="211">
        <v>718</v>
      </c>
      <c r="FZ723">
        <v>29.136246933455965</v>
      </c>
      <c r="GA723">
        <v>50.490480589627893</v>
      </c>
      <c r="GB723">
        <v>38.376753047629748</v>
      </c>
      <c r="GC723">
        <v>18.638192487337623</v>
      </c>
      <c r="GD723">
        <v>9.2836660622326921</v>
      </c>
      <c r="GE723">
        <v>11.201821504515541</v>
      </c>
      <c r="GF723">
        <v>24.237468912356725</v>
      </c>
      <c r="GG723">
        <v>21.277696692717793</v>
      </c>
      <c r="GH723">
        <v>14.358400156576293</v>
      </c>
      <c r="GI723">
        <v>26.670154042748564</v>
      </c>
      <c r="GJ723"/>
      <c r="GK723">
        <v>30.124409895832642</v>
      </c>
      <c r="GL723">
        <v>44.621382971433263</v>
      </c>
      <c r="GM723">
        <v>67.987045858400933</v>
      </c>
      <c r="GN723">
        <v>61.535963825625288</v>
      </c>
      <c r="GO723">
        <v>40.376423470048685</v>
      </c>
      <c r="GP723">
        <v>24.034913500486862</v>
      </c>
      <c r="GQ723">
        <v>32.655568177894423</v>
      </c>
      <c r="GR723">
        <v>32.004351263541928</v>
      </c>
      <c r="GS723">
        <v>16.769071317159927</v>
      </c>
      <c r="GT723">
        <v>37.582503743867328</v>
      </c>
      <c r="GU723"/>
      <c r="GV723"/>
      <c r="GW723"/>
      <c r="GX723"/>
      <c r="GY723"/>
      <c r="GZ723"/>
      <c r="HA723"/>
      <c r="HB723"/>
      <c r="HC723"/>
    </row>
    <row r="724" spans="1:211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55.334775641025644</v>
      </c>
      <c r="AO724">
        <v>42.751779387643097</v>
      </c>
      <c r="AP724">
        <v>30.306307586157455</v>
      </c>
      <c r="AQ724">
        <v>287.2002818172835</v>
      </c>
      <c r="AR724">
        <v>40.856551345034127</v>
      </c>
      <c r="AS724">
        <v>386.84479486580136</v>
      </c>
      <c r="AT724">
        <v>32.445989647736297</v>
      </c>
      <c r="AU724">
        <v>34.140380421601314</v>
      </c>
      <c r="AV724"/>
      <c r="AW724"/>
      <c r="FY724" s="211">
        <v>719</v>
      </c>
      <c r="FZ724">
        <v>43.568439403495368</v>
      </c>
      <c r="GA724">
        <v>71.437936782012486</v>
      </c>
      <c r="GB724">
        <v>32.511967119504511</v>
      </c>
      <c r="GC724">
        <v>12.755621828494077</v>
      </c>
      <c r="GD724">
        <v>7.8347409611642336</v>
      </c>
      <c r="GE724">
        <v>11.626734283553022</v>
      </c>
      <c r="GF724">
        <v>22.620465910227054</v>
      </c>
      <c r="GG724">
        <v>17.664502914709107</v>
      </c>
      <c r="GH724">
        <v>8.3719899125995436</v>
      </c>
      <c r="GI724">
        <v>25.028772540362244</v>
      </c>
      <c r="GJ724"/>
      <c r="GK724">
        <v>48.652744859711468</v>
      </c>
      <c r="GL724">
        <v>67.806591303046787</v>
      </c>
      <c r="GM724">
        <v>57.597175997595151</v>
      </c>
      <c r="GN724">
        <v>42.118282873177456</v>
      </c>
      <c r="GO724">
        <v>34.083723418687143</v>
      </c>
      <c r="GP724">
        <v>24.946617180580361</v>
      </c>
      <c r="GQ724">
        <v>30.47695159169697</v>
      </c>
      <c r="GR724">
        <v>26.569650105581971</v>
      </c>
      <c r="GS724">
        <v>9.3775235666759915</v>
      </c>
      <c r="GT724">
        <v>36.037623886873348</v>
      </c>
      <c r="GU724"/>
      <c r="GV724"/>
      <c r="GW724"/>
      <c r="GX724"/>
      <c r="GY724"/>
      <c r="GZ724"/>
      <c r="HA724"/>
      <c r="HB724"/>
      <c r="HC724"/>
    </row>
    <row r="725" spans="1:211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45.851014957264965</v>
      </c>
      <c r="AO725">
        <v>33.939100818436259</v>
      </c>
      <c r="AP725">
        <v>10.979297957699192</v>
      </c>
      <c r="AQ725">
        <v>227.69793934017162</v>
      </c>
      <c r="AR725">
        <v>32.74789300596855</v>
      </c>
      <c r="AS725">
        <v>317.60676455570865</v>
      </c>
      <c r="AT725">
        <v>26.429298555329513</v>
      </c>
      <c r="AU725">
        <v>24.481282156144211</v>
      </c>
      <c r="AV725"/>
      <c r="AW725"/>
      <c r="FY725" s="211">
        <v>720</v>
      </c>
      <c r="FZ725">
        <v>49.002432467804965</v>
      </c>
      <c r="GA725">
        <v>81.783621946612229</v>
      </c>
      <c r="GB725">
        <v>33.073382524590002</v>
      </c>
      <c r="GC725">
        <v>17.864145324307277</v>
      </c>
      <c r="GD725">
        <v>12.5606954051897</v>
      </c>
      <c r="GE725">
        <v>12.112348888167284</v>
      </c>
      <c r="GF725">
        <v>14.113624029457906</v>
      </c>
      <c r="GG725">
        <v>14.287465592779428</v>
      </c>
      <c r="GH725">
        <v>13.311901417501348</v>
      </c>
      <c r="GI725">
        <v>28.073191833976985</v>
      </c>
      <c r="GJ725"/>
      <c r="GK725">
        <v>54.287328161088887</v>
      </c>
      <c r="GL725">
        <v>76.949676780555848</v>
      </c>
      <c r="GM725">
        <v>58.591761830424417</v>
      </c>
      <c r="GN725">
        <v>58.987088601676291</v>
      </c>
      <c r="GO725">
        <v>54.646705097694714</v>
      </c>
      <c r="GP725">
        <v>25.98856424354436</v>
      </c>
      <c r="GQ725">
        <v>19.015533899092983</v>
      </c>
      <c r="GR725">
        <v>21.49015817363248</v>
      </c>
      <c r="GS725">
        <v>15.596880871325425</v>
      </c>
      <c r="GT725">
        <v>40.427641971925283</v>
      </c>
      <c r="GU725"/>
      <c r="GV725"/>
      <c r="GW725"/>
      <c r="GX725"/>
      <c r="GY725"/>
      <c r="GZ725"/>
      <c r="HA725"/>
      <c r="HB725"/>
      <c r="HC725"/>
    </row>
    <row r="726" spans="1:211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55.740117521367516</v>
      </c>
      <c r="AO726">
        <v>42.818131715429516</v>
      </c>
      <c r="AP726">
        <v>21.009586976555781</v>
      </c>
      <c r="AQ726">
        <v>289.59349011353459</v>
      </c>
      <c r="AR726">
        <v>40.396426847762143</v>
      </c>
      <c r="AS726">
        <v>388.71061936340453</v>
      </c>
      <c r="AT726">
        <v>32.246970247414019</v>
      </c>
      <c r="AU726">
        <v>22.740605235877592</v>
      </c>
      <c r="AV726"/>
      <c r="AW726"/>
      <c r="FY726" s="211">
        <v>721</v>
      </c>
      <c r="FZ726">
        <v>62.025604898754153</v>
      </c>
      <c r="GA726">
        <v>85.360226599738013</v>
      </c>
      <c r="GB726">
        <v>28.892842811721252</v>
      </c>
      <c r="GC726">
        <v>13.358107515207895</v>
      </c>
      <c r="GD726">
        <v>8.2385877215786838</v>
      </c>
      <c r="GE726">
        <v>9.9877849929798845</v>
      </c>
      <c r="GF726">
        <v>34.774352605582152</v>
      </c>
      <c r="GG726">
        <v>30.369720251759247</v>
      </c>
      <c r="GH726">
        <v>11.567736852376445</v>
      </c>
      <c r="GI726">
        <v>29.891830734012352</v>
      </c>
      <c r="GJ726"/>
      <c r="GK726">
        <v>69.544726562471908</v>
      </c>
      <c r="GL726">
        <v>82.446890628023226</v>
      </c>
      <c r="GM726">
        <v>51.185649468106462</v>
      </c>
      <c r="GN726">
        <v>44.119718249160037</v>
      </c>
      <c r="GO726">
        <v>35.854272797762931</v>
      </c>
      <c r="GP726">
        <v>21.430045843076865</v>
      </c>
      <c r="GQ726">
        <v>46.852096910778911</v>
      </c>
      <c r="GR726">
        <v>45.679906464944409</v>
      </c>
      <c r="GS726">
        <v>13.64323012826793</v>
      </c>
      <c r="GT726">
        <v>43.415995173477626</v>
      </c>
      <c r="GU726"/>
      <c r="GV726"/>
      <c r="GW726"/>
      <c r="GX726"/>
      <c r="GY726"/>
      <c r="GZ726"/>
      <c r="HA726"/>
      <c r="HB726"/>
      <c r="HC726"/>
    </row>
    <row r="727" spans="1:211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52.784935897435901</v>
      </c>
      <c r="AO727">
        <v>42.896570333168356</v>
      </c>
      <c r="AP727">
        <v>48.467294428515821</v>
      </c>
      <c r="AQ727">
        <v>301.53493183762311</v>
      </c>
      <c r="AR727">
        <v>41.574601784170234</v>
      </c>
      <c r="AS727">
        <v>377.98212475619516</v>
      </c>
      <c r="AT727">
        <v>32.273595708755714</v>
      </c>
      <c r="AU727">
        <v>40.95106076368446</v>
      </c>
      <c r="AV727"/>
      <c r="AW727"/>
      <c r="FY727" s="211">
        <v>722</v>
      </c>
      <c r="FZ727">
        <v>36.237517949170055</v>
      </c>
      <c r="GA727">
        <v>75.289003529112136</v>
      </c>
      <c r="GB727">
        <v>29.755016469531107</v>
      </c>
      <c r="GC727">
        <v>12.226725623970365</v>
      </c>
      <c r="GD727">
        <v>9.1907725726684468</v>
      </c>
      <c r="GE727">
        <v>12.187058827338712</v>
      </c>
      <c r="GF727">
        <v>22.304095757636468</v>
      </c>
      <c r="GG727">
        <v>11.406356828615642</v>
      </c>
      <c r="GH727">
        <v>10.228655922828594</v>
      </c>
      <c r="GI727">
        <v>24.424385172983293</v>
      </c>
      <c r="GJ727"/>
      <c r="GK727">
        <v>39.265748743216726</v>
      </c>
      <c r="GL727">
        <v>68.873643952252593</v>
      </c>
      <c r="GM727">
        <v>52.713049139951394</v>
      </c>
      <c r="GN727">
        <v>40.37910252595487</v>
      </c>
      <c r="GO727">
        <v>39.993837134666613</v>
      </c>
      <c r="GP727">
        <v>26.148863791692669</v>
      </c>
      <c r="GQ727">
        <v>30.05070052048443</v>
      </c>
      <c r="GR727">
        <v>17.15660561630494</v>
      </c>
      <c r="GS727">
        <v>12.829444757910373</v>
      </c>
      <c r="GT727">
        <v>34.970556059245908</v>
      </c>
      <c r="GU727"/>
      <c r="GV727"/>
      <c r="GW727"/>
      <c r="GX727"/>
      <c r="GY727"/>
      <c r="GZ727"/>
      <c r="HA727"/>
      <c r="HB727"/>
      <c r="HC727"/>
    </row>
    <row r="728" spans="1:211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44.008119658119661</v>
      </c>
      <c r="AO728">
        <v>36.032289691456164</v>
      </c>
      <c r="AP728">
        <v>49.711989124104342</v>
      </c>
      <c r="AQ728">
        <v>235.85868996897739</v>
      </c>
      <c r="AR728">
        <v>34.910994531001393</v>
      </c>
      <c r="AS728">
        <v>317.72796581852589</v>
      </c>
      <c r="AT728">
        <v>26.569335138500431</v>
      </c>
      <c r="AU728">
        <v>28.643177821472015</v>
      </c>
      <c r="AV728"/>
      <c r="AW728"/>
      <c r="FY728" s="211">
        <v>723</v>
      </c>
      <c r="FZ728">
        <v>48.825521921031267</v>
      </c>
      <c r="GA728">
        <v>85.899962672291394</v>
      </c>
      <c r="GB728">
        <v>30.436735175706353</v>
      </c>
      <c r="GC728">
        <v>13.730296814817693</v>
      </c>
      <c r="GD728">
        <v>9.9648112205308905</v>
      </c>
      <c r="GE728">
        <v>11.094425966956619</v>
      </c>
      <c r="GF728">
        <v>35.934376498414302</v>
      </c>
      <c r="GG728">
        <v>28.291543438264053</v>
      </c>
      <c r="GH728">
        <v>12.377904123530552</v>
      </c>
      <c r="GI728">
        <v>29.904239303145417</v>
      </c>
      <c r="GJ728"/>
      <c r="GK728">
        <v>52.295466471181271</v>
      </c>
      <c r="GL728">
        <v>78.251167518928597</v>
      </c>
      <c r="GM728">
        <v>53.920760508386948</v>
      </c>
      <c r="GN728">
        <v>45.337480333008095</v>
      </c>
      <c r="GO728">
        <v>43.353773424672795</v>
      </c>
      <c r="GP728">
        <v>23.804482900023672</v>
      </c>
      <c r="GQ728">
        <v>48.415017505224903</v>
      </c>
      <c r="GR728">
        <v>42.554065276052413</v>
      </c>
      <c r="GS728">
        <v>15.922960873667813</v>
      </c>
      <c r="GT728">
        <v>42.781595756626743</v>
      </c>
      <c r="GU728"/>
      <c r="GV728"/>
      <c r="GW728"/>
      <c r="GX728"/>
      <c r="GY728"/>
      <c r="GZ728"/>
      <c r="HA728"/>
      <c r="HB728"/>
      <c r="HC728"/>
    </row>
    <row r="729" spans="1:211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49.574999999999996</v>
      </c>
      <c r="AO729">
        <v>38.171518423612937</v>
      </c>
      <c r="AP729">
        <v>20.285909786540394</v>
      </c>
      <c r="AQ729">
        <v>259.13022528704846</v>
      </c>
      <c r="AR729">
        <v>36.335342824750789</v>
      </c>
      <c r="AS729">
        <v>348.22272314747187</v>
      </c>
      <c r="AT729">
        <v>29.075403733069773</v>
      </c>
      <c r="AU729">
        <v>19.244921672960594</v>
      </c>
      <c r="AV729"/>
      <c r="AW729"/>
      <c r="FY729" s="211">
        <v>724</v>
      </c>
      <c r="FZ729">
        <v>35.290797323214363</v>
      </c>
      <c r="GA729">
        <v>59.686645180383223</v>
      </c>
      <c r="GB729">
        <v>23.378941511774443</v>
      </c>
      <c r="GC729">
        <v>8.723103088022544</v>
      </c>
      <c r="GD729">
        <v>8.1469420381192741</v>
      </c>
      <c r="GE729">
        <v>13.293699801315446</v>
      </c>
      <c r="GF729">
        <v>14.790304633609997</v>
      </c>
      <c r="GG729">
        <v>7.7931630506069602</v>
      </c>
      <c r="GH729">
        <v>7.3817418960766723</v>
      </c>
      <c r="GI729">
        <v>20.167563365358149</v>
      </c>
      <c r="GJ729"/>
      <c r="GK729">
        <v>36.497345898885996</v>
      </c>
      <c r="GL729">
        <v>52.748570062552446</v>
      </c>
      <c r="GM729">
        <v>41.417395752818955</v>
      </c>
      <c r="GN729">
        <v>28.795670580118497</v>
      </c>
      <c r="GO729">
        <v>35.438083106514</v>
      </c>
      <c r="GP729">
        <v>28.523300848639479</v>
      </c>
      <c r="GQ729">
        <v>19.927237579186482</v>
      </c>
      <c r="GR729">
        <v>11.721904458344989</v>
      </c>
      <c r="GS729">
        <v>8.954468344929932</v>
      </c>
      <c r="GT729">
        <v>28.446906136467078</v>
      </c>
      <c r="GU729"/>
      <c r="GV729"/>
      <c r="GW729"/>
      <c r="GX729"/>
      <c r="GY729"/>
      <c r="GZ729"/>
      <c r="HA729"/>
      <c r="HB729"/>
      <c r="HC729"/>
    </row>
    <row r="730" spans="1:211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51.338675213675209</v>
      </c>
      <c r="AO730">
        <v>39.818488825001957</v>
      </c>
      <c r="AP730">
        <v>29.061066456354638</v>
      </c>
      <c r="AQ730">
        <v>261.45707190786726</v>
      </c>
      <c r="AR730">
        <v>37.885463551895349</v>
      </c>
      <c r="AS730">
        <v>356.30604495826725</v>
      </c>
      <c r="AT730">
        <v>30.033228036592433</v>
      </c>
      <c r="AU730">
        <v>25.57113506684858</v>
      </c>
      <c r="AV730"/>
      <c r="AW730"/>
      <c r="FY730" s="211">
        <v>725</v>
      </c>
      <c r="FZ730">
        <v>39.280332729359856</v>
      </c>
      <c r="GA730">
        <v>53.40849435400218</v>
      </c>
      <c r="GB730">
        <v>26.44667568956303</v>
      </c>
      <c r="GC730">
        <v>17.996183839803635</v>
      </c>
      <c r="GD730">
        <v>11.317912886698972</v>
      </c>
      <c r="GE730">
        <v>11.62673428355302</v>
      </c>
      <c r="GF730">
        <v>21.75044799060294</v>
      </c>
      <c r="GG730">
        <v>15.066781897840123</v>
      </c>
      <c r="GH730">
        <v>13.716985053078405</v>
      </c>
      <c r="GI730">
        <v>25.858810745509977</v>
      </c>
      <c r="GJ730"/>
      <c r="GK730">
        <v>40.613497095708453</v>
      </c>
      <c r="GL730">
        <v>47.200201952269161</v>
      </c>
      <c r="GM730">
        <v>46.852096910778911</v>
      </c>
      <c r="GN730">
        <v>59.434711312084922</v>
      </c>
      <c r="GO730">
        <v>49.251136040231358</v>
      </c>
      <c r="GP730">
        <v>24.946617180580358</v>
      </c>
      <c r="GQ730">
        <v>29.304761145862471</v>
      </c>
      <c r="GR730">
        <v>22.662348619466979</v>
      </c>
      <c r="GS730">
        <v>16.736746244025369</v>
      </c>
      <c r="GT730">
        <v>36.551647487321318</v>
      </c>
      <c r="GU730"/>
      <c r="GV730"/>
      <c r="GW730"/>
      <c r="GX730"/>
      <c r="GY730"/>
      <c r="GZ730"/>
      <c r="HA730"/>
      <c r="HB730"/>
      <c r="HC730"/>
    </row>
    <row r="731" spans="1:211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47.295272435897438</v>
      </c>
      <c r="AO731">
        <v>37.230984558143696</v>
      </c>
      <c r="AP731">
        <v>24.403432628566993</v>
      </c>
      <c r="AQ731">
        <v>258.20286121111008</v>
      </c>
      <c r="AR731">
        <v>35.196065264873774</v>
      </c>
      <c r="AS731">
        <v>313.7609565268416</v>
      </c>
      <c r="AT731">
        <v>27.889078936059732</v>
      </c>
      <c r="AU731">
        <v>16.524080554324772</v>
      </c>
      <c r="AV731"/>
      <c r="AW731"/>
      <c r="FY731" s="211">
        <v>726</v>
      </c>
      <c r="FZ731">
        <v>32.085720204456848</v>
      </c>
      <c r="GA731">
        <v>77.636851064261435</v>
      </c>
      <c r="GB731">
        <v>41.013400396513397</v>
      </c>
      <c r="GC731">
        <v>11.16393304052975</v>
      </c>
      <c r="GD731">
        <v>6.1357912298281656</v>
      </c>
      <c r="GE731">
        <v>11.33723326926375</v>
      </c>
      <c r="GF731">
        <v>29.940919718781497</v>
      </c>
      <c r="GG731">
        <v>23.096101404526085</v>
      </c>
      <c r="GH731">
        <v>15.461149618203306</v>
      </c>
      <c r="GI731">
        <v>27.110131418799007</v>
      </c>
      <c r="GJ731"/>
      <c r="GK731">
        <v>33.183324234946099</v>
      </c>
      <c r="GL731">
        <v>68.612214096179329</v>
      </c>
      <c r="GM731">
        <v>72.658047180438402</v>
      </c>
      <c r="GN731">
        <v>36.861186328222736</v>
      </c>
      <c r="GO731">
        <v>26.689906760346467</v>
      </c>
      <c r="GP731">
        <v>24.325456431505671</v>
      </c>
      <c r="GQ731">
        <v>40.339927767253911</v>
      </c>
      <c r="GR731">
        <v>34.739462303822421</v>
      </c>
      <c r="GS731">
        <v>18.690396987082867</v>
      </c>
      <c r="GT731">
        <v>38.312320586013556</v>
      </c>
      <c r="GU731"/>
      <c r="GV731"/>
      <c r="GW731"/>
      <c r="GX731"/>
      <c r="GY731"/>
      <c r="GZ731"/>
      <c r="HA731"/>
      <c r="HB731"/>
      <c r="HC731"/>
    </row>
    <row r="732" spans="1:211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48.45657051282052</v>
      </c>
      <c r="AO732">
        <v>38.173960911487868</v>
      </c>
      <c r="AP732">
        <v>28.419180263698998</v>
      </c>
      <c r="AQ732">
        <v>254.46200436220894</v>
      </c>
      <c r="AR732">
        <v>36.414323614943171</v>
      </c>
      <c r="AS732">
        <v>354.37492050007768</v>
      </c>
      <c r="AT732">
        <v>28.942451078520133</v>
      </c>
      <c r="AU732">
        <v>15.482006225538658</v>
      </c>
      <c r="AV732"/>
      <c r="AW732"/>
      <c r="FY732" s="211">
        <v>727</v>
      </c>
      <c r="FZ732">
        <v>27.651532129294896</v>
      </c>
      <c r="GA732">
        <v>46.953494208568138</v>
      </c>
      <c r="GB732">
        <v>21.383911768702784</v>
      </c>
      <c r="GC732">
        <v>13.79511266166044</v>
      </c>
      <c r="GD732">
        <v>9.0371597243313353</v>
      </c>
      <c r="GE732">
        <v>11.351241382858396</v>
      </c>
      <c r="GF732">
        <v>28.780895825949344</v>
      </c>
      <c r="GG732">
        <v>18.679975675848805</v>
      </c>
      <c r="GH732">
        <v>13.075569949580514</v>
      </c>
      <c r="GI732">
        <v>22.723414481902548</v>
      </c>
      <c r="GJ732"/>
      <c r="GK732">
        <v>28.601446878361774</v>
      </c>
      <c r="GL732">
        <v>41.49554178254126</v>
      </c>
      <c r="GM732">
        <v>37.883063954014943</v>
      </c>
      <c r="GN732">
        <v>45.559237071940665</v>
      </c>
      <c r="GO732">
        <v>39.32531515545719</v>
      </c>
      <c r="GP732">
        <v>24.355512596783484</v>
      </c>
      <c r="GQ732">
        <v>38.77700717280792</v>
      </c>
      <c r="GR732">
        <v>28.097049777426928</v>
      </c>
      <c r="GS732">
        <v>16.704421170890811</v>
      </c>
      <c r="GT732">
        <v>32.258250866306525</v>
      </c>
      <c r="GU732"/>
      <c r="GV732"/>
      <c r="GW732"/>
      <c r="GX732"/>
      <c r="GY732"/>
      <c r="GZ732"/>
      <c r="HA732"/>
      <c r="HB732"/>
      <c r="HC732"/>
    </row>
    <row r="733" spans="1:211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56.769471153846141</v>
      </c>
      <c r="AO733">
        <v>45.770046468879308</v>
      </c>
      <c r="AP733">
        <v>41.733978155851752</v>
      </c>
      <c r="AQ733">
        <v>310.19815707417519</v>
      </c>
      <c r="AR733">
        <v>43.304667341493854</v>
      </c>
      <c r="AS733">
        <v>389.31328782436213</v>
      </c>
      <c r="AT733">
        <v>34.048245973114099</v>
      </c>
      <c r="AU733">
        <v>24.062725782213345</v>
      </c>
      <c r="AV733"/>
      <c r="AW733"/>
      <c r="FY733" s="211">
        <v>728</v>
      </c>
      <c r="FZ733">
        <v>51.089042412110572</v>
      </c>
      <c r="GA733">
        <v>95.80352453925866</v>
      </c>
      <c r="GB733">
        <v>44.532271953388538</v>
      </c>
      <c r="GC733">
        <v>17.110354384962079</v>
      </c>
      <c r="GD733">
        <v>9.2232783855276743</v>
      </c>
      <c r="GE733">
        <v>10.987030429397695</v>
      </c>
      <c r="GF733">
        <v>18.367044969842478</v>
      </c>
      <c r="GG733">
        <v>15.32655399952702</v>
      </c>
      <c r="GH733">
        <v>14.009567243551309</v>
      </c>
      <c r="GI733">
        <v>30.18290992545958</v>
      </c>
      <c r="GJ733"/>
      <c r="GK733">
        <v>54.628628182906496</v>
      </c>
      <c r="GL733">
        <v>87.003522847826162</v>
      </c>
      <c r="GM733">
        <v>78.891969096921869</v>
      </c>
      <c r="GN733">
        <v>56.497436244497891</v>
      </c>
      <c r="GO733">
        <v>40.122290925415953</v>
      </c>
      <c r="GP733">
        <v>23.574052299560478</v>
      </c>
      <c r="GQ733">
        <v>24.746242745394973</v>
      </c>
      <c r="GR733">
        <v>23.053078768078475</v>
      </c>
      <c r="GS733">
        <v>16.378341168548427</v>
      </c>
      <c r="GT733">
        <v>42.95349442383754</v>
      </c>
      <c r="GU733"/>
      <c r="GV733"/>
      <c r="GW733"/>
      <c r="GX733"/>
      <c r="GY733"/>
      <c r="GZ733"/>
      <c r="HA733"/>
      <c r="HB733"/>
      <c r="HC733"/>
    </row>
    <row r="734" spans="1:211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52.633760683760691</v>
      </c>
      <c r="AO734">
        <v>38.769163402429129</v>
      </c>
      <c r="AP734">
        <v>13.962227572396282</v>
      </c>
      <c r="AQ734">
        <v>243.67088042919886</v>
      </c>
      <c r="AR734">
        <v>37.582503743867349</v>
      </c>
      <c r="AS734">
        <v>355.39906655622389</v>
      </c>
      <c r="AT734">
        <v>30.161091680729456</v>
      </c>
      <c r="AU734">
        <v>32.513647181874418</v>
      </c>
      <c r="AV734"/>
      <c r="AW734"/>
      <c r="FY734" s="211">
        <v>729</v>
      </c>
      <c r="FZ734">
        <v>44.228582905109342</v>
      </c>
      <c r="GA734">
        <v>73.078387040949821</v>
      </c>
      <c r="GB734">
        <v>28.521907633361195</v>
      </c>
      <c r="GC734">
        <v>14.902842020851828</v>
      </c>
      <c r="GD734">
        <v>10.915673248410242</v>
      </c>
      <c r="GE734">
        <v>9.637582153113831</v>
      </c>
      <c r="GF734">
        <v>17.690364365690389</v>
      </c>
      <c r="GG734">
        <v>15.846098202900819</v>
      </c>
      <c r="GH734">
        <v>13.773235775630475</v>
      </c>
      <c r="GI734">
        <v>26.058530358236716</v>
      </c>
      <c r="GJ734"/>
      <c r="GK734">
        <v>47.542927856636652</v>
      </c>
      <c r="GL734">
        <v>66.919993209195098</v>
      </c>
      <c r="GM734">
        <v>50.528512399987115</v>
      </c>
      <c r="GN734">
        <v>49.217892099848335</v>
      </c>
      <c r="GO734">
        <v>47.500592111020872</v>
      </c>
      <c r="GP734">
        <v>20.678641711131675</v>
      </c>
      <c r="GQ734">
        <v>23.834539065301477</v>
      </c>
      <c r="GR734">
        <v>23.834539065301477</v>
      </c>
      <c r="GS734">
        <v>17.48588146811381</v>
      </c>
      <c r="GT734">
        <v>37.378490580211988</v>
      </c>
      <c r="GU734"/>
      <c r="GV734"/>
      <c r="GW734"/>
      <c r="GX734"/>
      <c r="GY734"/>
      <c r="GZ734"/>
      <c r="HA734"/>
      <c r="HB734"/>
      <c r="HC734"/>
    </row>
    <row r="735" spans="1:211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46.839022435897434</v>
      </c>
      <c r="AO735">
        <v>37.766688478362667</v>
      </c>
      <c r="AP735">
        <v>43.814830097130383</v>
      </c>
      <c r="AQ735">
        <v>253.42117165612163</v>
      </c>
      <c r="AR735">
        <v>36.037623886873348</v>
      </c>
      <c r="AS735">
        <v>351.06771704563738</v>
      </c>
      <c r="AT735">
        <v>27.921897144607811</v>
      </c>
      <c r="AU735">
        <v>27.150738173296187</v>
      </c>
      <c r="AV735"/>
      <c r="AW735"/>
      <c r="FY735" s="211">
        <v>730</v>
      </c>
      <c r="FZ735">
        <v>65.201730072454183</v>
      </c>
      <c r="GA735">
        <v>94.202692552387404</v>
      </c>
      <c r="GB735">
        <v>32.301436342597455</v>
      </c>
      <c r="GC735">
        <v>17.33098699687838</v>
      </c>
      <c r="GD735">
        <v>9.6037329664056319</v>
      </c>
      <c r="GE735">
        <v>10.912320490226268</v>
      </c>
      <c r="GF735">
        <v>23.727761444294114</v>
      </c>
      <c r="GG735">
        <v>17.357499521806414</v>
      </c>
      <c r="GH735">
        <v>12.963068504476368</v>
      </c>
      <c r="GI735">
        <v>30.168343338000071</v>
      </c>
      <c r="GJ735"/>
      <c r="GK735">
        <v>72.83807899075228</v>
      </c>
      <c r="GL735">
        <v>90.261493600253232</v>
      </c>
      <c r="GM735">
        <v>57.224206310284174</v>
      </c>
      <c r="GN735">
        <v>57.241511375141087</v>
      </c>
      <c r="GO735">
        <v>41.795374801009572</v>
      </c>
      <c r="GP735">
        <v>23.413752751412169</v>
      </c>
      <c r="GQ735">
        <v>31.96883034094088</v>
      </c>
      <c r="GR735">
        <v>26.107878111768386</v>
      </c>
      <c r="GS735">
        <v>15.206150722713929</v>
      </c>
      <c r="GT735">
        <v>43.806528233140163</v>
      </c>
      <c r="GU735"/>
      <c r="GV735"/>
      <c r="GW735"/>
      <c r="GX735"/>
      <c r="GY735"/>
      <c r="GZ735"/>
      <c r="HA735"/>
      <c r="HB735"/>
      <c r="HC735"/>
    </row>
    <row r="736" spans="1:211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52.388327991452989</v>
      </c>
      <c r="AO736">
        <v>42.598133963096075</v>
      </c>
      <c r="AP736">
        <v>31.535300808358976</v>
      </c>
      <c r="AQ736">
        <v>276.18280943038712</v>
      </c>
      <c r="AR736">
        <v>40.42764197192534</v>
      </c>
      <c r="AS736">
        <v>360.9943475563918</v>
      </c>
      <c r="AT736">
        <v>31.858884739288438</v>
      </c>
      <c r="AU736">
        <v>13.520615130098157</v>
      </c>
      <c r="AV736"/>
      <c r="AW736"/>
      <c r="FY736" s="211">
        <v>731</v>
      </c>
      <c r="FZ736">
        <v>43.615038092670922</v>
      </c>
      <c r="GA736">
        <v>53.22245691955478</v>
      </c>
      <c r="GB736">
        <v>18.396379791640694</v>
      </c>
      <c r="GC736">
        <v>11.664500949564728</v>
      </c>
      <c r="GD736">
        <v>6.4818959599584227</v>
      </c>
      <c r="GE736">
        <v>6.1915862088318496</v>
      </c>
      <c r="GF736">
        <v>37.621683978897451</v>
      </c>
      <c r="GG736">
        <v>32.140893672351744</v>
      </c>
      <c r="GH736">
        <v>10.116154477724448</v>
      </c>
      <c r="GI736">
        <v>23.792574070163322</v>
      </c>
      <c r="GJ736"/>
      <c r="GK736">
        <v>48.710221653774219</v>
      </c>
      <c r="GL736">
        <v>51.708509180252989</v>
      </c>
      <c r="GM736">
        <v>32.590446486459172</v>
      </c>
      <c r="GN736">
        <v>38.510642911504419</v>
      </c>
      <c r="GO736">
        <v>28.19181489590072</v>
      </c>
      <c r="GP736">
        <v>13.284825052790985</v>
      </c>
      <c r="GQ736">
        <v>50.688356551691825</v>
      </c>
      <c r="GR736">
        <v>48.343975660022828</v>
      </c>
      <c r="GS736">
        <v>11.331174309733489</v>
      </c>
      <c r="GT736">
        <v>34.30240277951188</v>
      </c>
      <c r="GU736"/>
      <c r="GV736"/>
      <c r="GW736"/>
      <c r="GX736"/>
      <c r="GY736"/>
      <c r="GZ736"/>
      <c r="HA736"/>
      <c r="HB736"/>
      <c r="HC736"/>
    </row>
    <row r="737" spans="1:211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54.160256410256409</v>
      </c>
      <c r="AO737">
        <v>45.41725322260703</v>
      </c>
      <c r="AP737">
        <v>60.956565123773714</v>
      </c>
      <c r="AQ737">
        <v>314.46679498371014</v>
      </c>
      <c r="AR737">
        <v>43.415995173477661</v>
      </c>
      <c r="AS737">
        <v>401.48512417613875</v>
      </c>
      <c r="AT737">
        <v>33.393774893303778</v>
      </c>
      <c r="AU737">
        <v>39.845438089740355</v>
      </c>
      <c r="AV737"/>
      <c r="AW737"/>
      <c r="FY737" s="211">
        <v>732</v>
      </c>
      <c r="FZ737">
        <v>46.213688806036473</v>
      </c>
      <c r="GA737">
        <v>82.677056657271578</v>
      </c>
      <c r="GB737">
        <v>30.536987926614472</v>
      </c>
      <c r="GC737">
        <v>11.149818566140269</v>
      </c>
      <c r="GD737">
        <v>6.8947892213435367</v>
      </c>
      <c r="GE737">
        <v>9.651590266708471</v>
      </c>
      <c r="GF737">
        <v>39.440812356293328</v>
      </c>
      <c r="GG737">
        <v>27.79561488049816</v>
      </c>
      <c r="GH737">
        <v>10.870071026326483</v>
      </c>
      <c r="GI737">
        <v>28.089308592902853</v>
      </c>
      <c r="GJ737"/>
      <c r="GK737">
        <v>47.796631793016182</v>
      </c>
      <c r="GL737">
        <v>73.066537790350424</v>
      </c>
      <c r="GM737">
        <v>54.09836512139217</v>
      </c>
      <c r="GN737">
        <v>36.826088808412045</v>
      </c>
      <c r="GO737">
        <v>30.00607166901132</v>
      </c>
      <c r="GP737">
        <v>20.708697876409477</v>
      </c>
      <c r="GQ737">
        <v>53.139300211163956</v>
      </c>
      <c r="GR737">
        <v>41.808125901430465</v>
      </c>
      <c r="GS737">
        <v>12.861769831044931</v>
      </c>
      <c r="GT737">
        <v>39.580427725125709</v>
      </c>
      <c r="GU737"/>
      <c r="GV737"/>
      <c r="GW737"/>
      <c r="GX737"/>
      <c r="GY737"/>
      <c r="GZ737"/>
      <c r="HA737"/>
      <c r="HB737"/>
      <c r="HC737"/>
    </row>
    <row r="738" spans="1:211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46.402350427350427</v>
      </c>
      <c r="AO738">
        <v>36.238155224168054</v>
      </c>
      <c r="AP738">
        <v>34.104496904218323</v>
      </c>
      <c r="AQ738">
        <v>243.2495886538548</v>
      </c>
      <c r="AR738">
        <v>34.970556059245901</v>
      </c>
      <c r="AS738">
        <v>335.94207043606764</v>
      </c>
      <c r="AT738">
        <v>27.444680066316845</v>
      </c>
      <c r="AU738">
        <v>22.518591344989936</v>
      </c>
      <c r="AV738"/>
      <c r="AW738"/>
      <c r="FY738" s="211">
        <v>733</v>
      </c>
      <c r="FZ738">
        <v>41.866212435209221</v>
      </c>
      <c r="GA738">
        <v>68.215030766992655</v>
      </c>
      <c r="GB738">
        <v>35.068412267661671</v>
      </c>
      <c r="GC738">
        <v>13.524831022606529</v>
      </c>
      <c r="GD738">
        <v>6.763656408198444</v>
      </c>
      <c r="GE738">
        <v>9.8943975690156041</v>
      </c>
      <c r="GF738">
        <v>19.500704683292085</v>
      </c>
      <c r="GG738">
        <v>15.562710455606021</v>
      </c>
      <c r="GH738">
        <v>16.620149802382393</v>
      </c>
      <c r="GI738">
        <v>25.60830559199983</v>
      </c>
      <c r="GJ738"/>
      <c r="GK738">
        <v>45.102881718157732</v>
      </c>
      <c r="GL738">
        <v>62.6219615744686</v>
      </c>
      <c r="GM738">
        <v>62.126093629228443</v>
      </c>
      <c r="GN738">
        <v>44.643498811161251</v>
      </c>
      <c r="GO738">
        <v>29.405023015312764</v>
      </c>
      <c r="GP738">
        <v>21.22967140789148</v>
      </c>
      <c r="GQ738">
        <v>26.273642417239927</v>
      </c>
      <c r="GR738">
        <v>23.408287994088933</v>
      </c>
      <c r="GS738">
        <v>21.360857881094248</v>
      </c>
      <c r="GT738">
        <v>36.853699732206614</v>
      </c>
      <c r="GU738"/>
      <c r="GV738"/>
      <c r="GW738"/>
      <c r="GX738"/>
      <c r="GY738"/>
      <c r="GZ738"/>
      <c r="HA738"/>
      <c r="HB738"/>
      <c r="HC738"/>
    </row>
    <row r="739" spans="1:211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57.077297008546999</v>
      </c>
      <c r="AO739">
        <v>44.663677056777331</v>
      </c>
      <c r="AP739">
        <v>32.997508866249859</v>
      </c>
      <c r="AQ739">
        <v>306.45981713468854</v>
      </c>
      <c r="AR739">
        <v>42.781595756626764</v>
      </c>
      <c r="AS739">
        <v>402.6657411769026</v>
      </c>
      <c r="AT739">
        <v>33.852896765391819</v>
      </c>
      <c r="AU739">
        <v>27.91146878204016</v>
      </c>
      <c r="AV739"/>
      <c r="AW739"/>
      <c r="FY739" s="211">
        <v>734</v>
      </c>
      <c r="FZ739">
        <v>32.268771953892518</v>
      </c>
      <c r="GA739">
        <v>56.149658799323475</v>
      </c>
      <c r="GB739">
        <v>24.020559117586433</v>
      </c>
      <c r="GC739">
        <v>12.031250063422636</v>
      </c>
      <c r="GD739">
        <v>8.4145187064506395</v>
      </c>
      <c r="GE739">
        <v>12.733375257529756</v>
      </c>
      <c r="GF739">
        <v>20.880430070978818</v>
      </c>
      <c r="GG739">
        <v>12.209288779284241</v>
      </c>
      <c r="GH739">
        <v>9.7673215646994684</v>
      </c>
      <c r="GI739">
        <v>21.577183127643352</v>
      </c>
      <c r="GJ739"/>
      <c r="GK739">
        <v>33.371504709993999</v>
      </c>
      <c r="GL739">
        <v>49.622728873660449</v>
      </c>
      <c r="GM739">
        <v>42.554065276052413</v>
      </c>
      <c r="GN739">
        <v>39.714277041049712</v>
      </c>
      <c r="GO739">
        <v>36.593900609480947</v>
      </c>
      <c r="GP739">
        <v>27.321054237527168</v>
      </c>
      <c r="GQ739">
        <v>28.132570700027973</v>
      </c>
      <c r="GR739">
        <v>18.364316984740487</v>
      </c>
      <c r="GS739">
        <v>10.940444161121992</v>
      </c>
      <c r="GT739">
        <v>30.318497091335463</v>
      </c>
      <c r="GU739"/>
      <c r="GV739"/>
      <c r="GW739"/>
      <c r="GX739"/>
      <c r="GY739"/>
      <c r="GZ739"/>
      <c r="HA739"/>
      <c r="HB739"/>
      <c r="HC739"/>
    </row>
    <row r="740" spans="1:211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39.386217948717956</v>
      </c>
      <c r="AO740">
        <v>29.247088276845783</v>
      </c>
      <c r="AP740">
        <v>10.890307764405719</v>
      </c>
      <c r="AQ740">
        <v>198.65290188848107</v>
      </c>
      <c r="AR740">
        <v>28.446906136467046</v>
      </c>
      <c r="AS740">
        <v>283.78409846794227</v>
      </c>
      <c r="AT740">
        <v>22.962525684392784</v>
      </c>
      <c r="AU740">
        <v>34.187760051580483</v>
      </c>
      <c r="AV740"/>
      <c r="AW740"/>
      <c r="FY740" s="211">
        <v>735</v>
      </c>
      <c r="FZ740">
        <v>50.714287776857425</v>
      </c>
      <c r="GA740">
        <v>77.941743314906972</v>
      </c>
      <c r="GB740">
        <v>23.9102810915875</v>
      </c>
      <c r="GC740">
        <v>12.173554570940706</v>
      </c>
      <c r="GD740">
        <v>9.9898776545451717</v>
      </c>
      <c r="GE740">
        <v>13.008868158224383</v>
      </c>
      <c r="GF740">
        <v>30.591236143551033</v>
      </c>
      <c r="GG740">
        <v>21.773625250483686</v>
      </c>
      <c r="GH740">
        <v>8.7770735481765971</v>
      </c>
      <c r="GI740">
        <v>26.912708877805642</v>
      </c>
      <c r="GJ740"/>
      <c r="GK740">
        <v>54.249117214238765</v>
      </c>
      <c r="GL740">
        <v>71.218024843921611</v>
      </c>
      <c r="GM740">
        <v>42.358700201746665</v>
      </c>
      <c r="GN740">
        <v>40.19196658128724</v>
      </c>
      <c r="GO740">
        <v>43.458525271252611</v>
      </c>
      <c r="GP740">
        <v>27.912158821324049</v>
      </c>
      <c r="GQ740">
        <v>41.216110524746362</v>
      </c>
      <c r="GR740">
        <v>32.750290638163875</v>
      </c>
      <c r="GS740">
        <v>10.517388939375934</v>
      </c>
      <c r="GT740">
        <v>38.359968430272069</v>
      </c>
      <c r="GU740"/>
      <c r="GV740"/>
      <c r="GW740"/>
      <c r="GX740"/>
      <c r="GY740"/>
      <c r="GZ740"/>
      <c r="HA740"/>
      <c r="HB740"/>
      <c r="HC740"/>
    </row>
    <row r="741" spans="1:211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50.08792735042735</v>
      </c>
      <c r="AO741">
        <v>37.355376398832924</v>
      </c>
      <c r="AP741">
        <v>18.802644077560466</v>
      </c>
      <c r="AQ741">
        <v>236.46935947001211</v>
      </c>
      <c r="AR741">
        <v>36.551647487321333</v>
      </c>
      <c r="AS741">
        <v>359.4440250781476</v>
      </c>
      <c r="AT741">
        <v>29.338899666584492</v>
      </c>
      <c r="AU741">
        <v>44.16455593489539</v>
      </c>
      <c r="AV741"/>
      <c r="AW741"/>
      <c r="FY741" s="211">
        <v>736</v>
      </c>
      <c r="FZ741">
        <v>45.489644342483359</v>
      </c>
      <c r="GA741">
        <v>59.814688111975762</v>
      </c>
      <c r="GB741">
        <v>21.494189794701715</v>
      </c>
      <c r="GC741">
        <v>10.99540697367938</v>
      </c>
      <c r="GD741">
        <v>8.7400190529228912</v>
      </c>
      <c r="GE741">
        <v>13.994105481047553</v>
      </c>
      <c r="GF741">
        <v>22.910471883435097</v>
      </c>
      <c r="GG741">
        <v>16.885186609648418</v>
      </c>
      <c r="GH741">
        <v>10.870071026326483</v>
      </c>
      <c r="GI741">
        <v>23.619083160719921</v>
      </c>
      <c r="GJ741"/>
      <c r="GK741">
        <v>48.842671964884389</v>
      </c>
      <c r="GL741">
        <v>55.198088750850118</v>
      </c>
      <c r="GM741">
        <v>38.078429028320684</v>
      </c>
      <c r="GN741">
        <v>36.281530642822446</v>
      </c>
      <c r="GO741">
        <v>37.997464442319107</v>
      </c>
      <c r="GP741">
        <v>30.026109112529859</v>
      </c>
      <c r="GQ741">
        <v>30.867681740308473</v>
      </c>
      <c r="GR741">
        <v>25.397459659747479</v>
      </c>
      <c r="GS741">
        <v>12.861769831044931</v>
      </c>
      <c r="GT741">
        <v>33.72960340137552</v>
      </c>
      <c r="GU741"/>
      <c r="GV741"/>
      <c r="GW741"/>
      <c r="GX741"/>
      <c r="GY741"/>
      <c r="GZ741"/>
      <c r="HA741"/>
      <c r="HB741"/>
      <c r="HC741"/>
    </row>
    <row r="742" spans="1:211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52.504780982905991</v>
      </c>
      <c r="AO742">
        <v>39.441224267581148</v>
      </c>
      <c r="AP742">
        <v>13.013768976715021</v>
      </c>
      <c r="AQ742">
        <v>274.98123136516324</v>
      </c>
      <c r="AR742">
        <v>38.31232058601357</v>
      </c>
      <c r="AS742">
        <v>371.8194249396073</v>
      </c>
      <c r="AT742">
        <v>31.12475119959548</v>
      </c>
      <c r="AU742">
        <v>29.942794517453095</v>
      </c>
      <c r="AV742"/>
      <c r="AW742"/>
      <c r="FY742" s="211">
        <v>737</v>
      </c>
      <c r="FZ742">
        <v>47.468609040748518</v>
      </c>
      <c r="GA742">
        <v>74.846880231479673</v>
      </c>
      <c r="GB742">
        <v>24.591999797762742</v>
      </c>
      <c r="GC742">
        <v>11.420791651615</v>
      </c>
      <c r="GD742">
        <v>7.4560554010691682</v>
      </c>
      <c r="GE742">
        <v>8.2554482784424685</v>
      </c>
      <c r="GF742">
        <v>19.764346477117581</v>
      </c>
      <c r="GG742">
        <v>14.24023430156363</v>
      </c>
      <c r="GH742">
        <v>7.7305748091016557</v>
      </c>
      <c r="GI742">
        <v>22.79380006530879</v>
      </c>
      <c r="GJ742"/>
      <c r="GK742">
        <v>50.900057116123619</v>
      </c>
      <c r="GL742">
        <v>68.482913803641097</v>
      </c>
      <c r="GM742">
        <v>43.566411570182211</v>
      </c>
      <c r="GN742">
        <v>37.701869492216318</v>
      </c>
      <c r="GO742">
        <v>32.427012485961079</v>
      </c>
      <c r="GP742">
        <v>17.713100070387984</v>
      </c>
      <c r="GQ742">
        <v>26.628851643250385</v>
      </c>
      <c r="GR742">
        <v>21.419116328430391</v>
      </c>
      <c r="GS742">
        <v>9.3451984935414352</v>
      </c>
      <c r="GT742">
        <v>32.573506261811744</v>
      </c>
      <c r="GU742"/>
      <c r="GV742"/>
      <c r="GW742"/>
      <c r="GX742"/>
      <c r="GY742"/>
      <c r="GZ742"/>
      <c r="HA742"/>
      <c r="HB742"/>
      <c r="HC742"/>
    </row>
    <row r="743" spans="1:211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43.578872863247867</v>
      </c>
      <c r="AO743">
        <v>33.305684642653148</v>
      </c>
      <c r="AP743">
        <v>10.079156571955053</v>
      </c>
      <c r="AQ743">
        <v>213.43230780869717</v>
      </c>
      <c r="AR743">
        <v>32.258250866306511</v>
      </c>
      <c r="AS743">
        <v>300.12652900461597</v>
      </c>
      <c r="AT743">
        <v>26.309900435087002</v>
      </c>
      <c r="AU743">
        <v>10.911890900575846</v>
      </c>
      <c r="AV743"/>
      <c r="AW743"/>
      <c r="FY743" s="211">
        <v>738</v>
      </c>
      <c r="FZ743">
        <v>33.50039284401678</v>
      </c>
      <c r="GA743">
        <v>75.9964008053241</v>
      </c>
      <c r="GB743">
        <v>34.065884758580424</v>
      </c>
      <c r="GC743">
        <v>12.40094331163475</v>
      </c>
      <c r="GD743">
        <v>7.8373944923385661</v>
      </c>
      <c r="GE743">
        <v>9.5768803275370491</v>
      </c>
      <c r="GF743">
        <v>20.493755440034768</v>
      </c>
      <c r="GG743">
        <v>16.365642406274617</v>
      </c>
      <c r="GH743">
        <v>11.567736852376445</v>
      </c>
      <c r="GI743">
        <v>24.116232935430354</v>
      </c>
      <c r="GJ743"/>
      <c r="GK743">
        <v>36.446191636070068</v>
      </c>
      <c r="GL743">
        <v>69.498812190031003</v>
      </c>
      <c r="GM743">
        <v>60.350047499176164</v>
      </c>
      <c r="GN743">
        <v>40.958356137666989</v>
      </c>
      <c r="GO743">
        <v>34.108282832988458</v>
      </c>
      <c r="GP743">
        <v>20.548398328261175</v>
      </c>
      <c r="GQ743">
        <v>27.611597168545973</v>
      </c>
      <c r="GR743">
        <v>24.615999362524477</v>
      </c>
      <c r="GS743">
        <v>13.64323012826793</v>
      </c>
      <c r="GT743">
        <v>34.431869853009715</v>
      </c>
      <c r="GU743"/>
      <c r="GV743"/>
      <c r="GW743"/>
      <c r="GX743"/>
      <c r="GY743"/>
      <c r="GZ743"/>
      <c r="HA743"/>
      <c r="HB743"/>
      <c r="HC743"/>
    </row>
    <row r="744" spans="1:211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58.36057692307692</v>
      </c>
      <c r="AO744">
        <v>44.784905670298826</v>
      </c>
      <c r="AP744">
        <v>33.701071069188664</v>
      </c>
      <c r="AQ744">
        <v>306.63157824302561</v>
      </c>
      <c r="AR744">
        <v>42.953494423837576</v>
      </c>
      <c r="AS744">
        <v>413.4527876295333</v>
      </c>
      <c r="AT744">
        <v>33.935122988542112</v>
      </c>
      <c r="AU744">
        <v>39.6412442907423</v>
      </c>
      <c r="AV744"/>
      <c r="AW744"/>
      <c r="FY744" s="211">
        <v>739</v>
      </c>
      <c r="FZ744">
        <v>53.314471219558328</v>
      </c>
      <c r="GA744">
        <v>84.17108775382755</v>
      </c>
      <c r="GB744">
        <v>24.371443745764868</v>
      </c>
      <c r="GC744">
        <v>10.659843105602727</v>
      </c>
      <c r="GD744">
        <v>9.0330886036414846</v>
      </c>
      <c r="GE744">
        <v>8.6196592319031637</v>
      </c>
      <c r="GF744">
        <v>16.917015103802285</v>
      </c>
      <c r="GG744">
        <v>13.248377186031833</v>
      </c>
      <c r="GH744">
        <v>10.577488835853572</v>
      </c>
      <c r="GI744">
        <v>24.45172777870847</v>
      </c>
      <c r="GJ744"/>
      <c r="GK744">
        <v>58.73358269388816</v>
      </c>
      <c r="GL744">
        <v>79.059619583057952</v>
      </c>
      <c r="GM744">
        <v>43.175681421570708</v>
      </c>
      <c r="GN744">
        <v>35.196256930409632</v>
      </c>
      <c r="GO744">
        <v>39.298923490830376</v>
      </c>
      <c r="GP744">
        <v>18.494560367610983</v>
      </c>
      <c r="GQ744">
        <v>22.792592002337479</v>
      </c>
      <c r="GR744">
        <v>19.927237579186482</v>
      </c>
      <c r="GS744">
        <v>13.220174906521871</v>
      </c>
      <c r="GT744">
        <v>35.444190903029714</v>
      </c>
      <c r="GU744"/>
      <c r="GV744"/>
      <c r="GW744"/>
      <c r="GX744"/>
      <c r="GY744"/>
      <c r="GZ744"/>
      <c r="HA744"/>
      <c r="HB744"/>
      <c r="HC744"/>
    </row>
    <row r="745" spans="1:211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48.525614316239313</v>
      </c>
      <c r="AO745">
        <v>38.49220095667485</v>
      </c>
      <c r="AP745">
        <v>28.700340630941486</v>
      </c>
      <c r="AQ745">
        <v>254.65320370425462</v>
      </c>
      <c r="AR745">
        <v>37.378490580211988</v>
      </c>
      <c r="AS745">
        <v>362.45030758258952</v>
      </c>
      <c r="AT745">
        <v>29.560126915875383</v>
      </c>
      <c r="AU745">
        <v>24.504455885950346</v>
      </c>
      <c r="AV745"/>
      <c r="AW745"/>
      <c r="FY745" s="211">
        <v>740</v>
      </c>
      <c r="FZ745">
        <v>37.347966720270222</v>
      </c>
      <c r="GA745">
        <v>74.984111278466614</v>
      </c>
      <c r="GB745">
        <v>35.058386992570846</v>
      </c>
      <c r="GC745">
        <v>11.954237902050254</v>
      </c>
      <c r="GD745">
        <v>7.0053768984291871</v>
      </c>
      <c r="GE745">
        <v>11.5193387459941</v>
      </c>
      <c r="GF745">
        <v>24.378077869063656</v>
      </c>
      <c r="GG745">
        <v>20.710921198128197</v>
      </c>
      <c r="GH745">
        <v>10.17240520027652</v>
      </c>
      <c r="GI745">
        <v>24.990568325098181</v>
      </c>
      <c r="GJ745"/>
      <c r="GK745">
        <v>38.613588738531952</v>
      </c>
      <c r="GL745">
        <v>66.267833204510325</v>
      </c>
      <c r="GM745">
        <v>62.10833316792791</v>
      </c>
      <c r="GN745">
        <v>39.45607792207781</v>
      </c>
      <c r="GO745">
        <v>30.456988800036036</v>
      </c>
      <c r="GP745">
        <v>24.716186580117171</v>
      </c>
      <c r="GQ745">
        <v>32.845013098433334</v>
      </c>
      <c r="GR745">
        <v>31.15184912111684</v>
      </c>
      <c r="GS745">
        <v>12.080309533821929</v>
      </c>
      <c r="GT745">
        <v>35.22084666775023</v>
      </c>
      <c r="GU745"/>
      <c r="GV745"/>
      <c r="GW745"/>
      <c r="GX745"/>
      <c r="GY745"/>
      <c r="GZ745"/>
      <c r="HA745"/>
      <c r="HB745"/>
      <c r="HC745"/>
    </row>
    <row r="746" spans="1:211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54.517094017094017</v>
      </c>
      <c r="AO746">
        <v>45.986380523741595</v>
      </c>
      <c r="AP746">
        <v>48.775215564831448</v>
      </c>
      <c r="AQ746">
        <v>313.76957222952632</v>
      </c>
      <c r="AR746">
        <v>43.806528233140185</v>
      </c>
      <c r="AS746">
        <v>395.02370830216523</v>
      </c>
      <c r="AT746">
        <v>33.982228733380403</v>
      </c>
      <c r="AU746">
        <v>25.026763202948196</v>
      </c>
      <c r="AV746"/>
      <c r="AW746"/>
      <c r="FY746" s="211">
        <v>741</v>
      </c>
      <c r="FZ746">
        <v>34.857794326491785</v>
      </c>
      <c r="GA746">
        <v>65.257398730552325</v>
      </c>
      <c r="GB746">
        <v>31.318959383697841</v>
      </c>
      <c r="GC746">
        <v>13.406152676313303</v>
      </c>
      <c r="GD746">
        <v>7.6605039799695867</v>
      </c>
      <c r="GE746">
        <v>8.5589574063263836</v>
      </c>
      <c r="GF746">
        <v>24.070495776267254</v>
      </c>
      <c r="GG746">
        <v>20.781768134951893</v>
      </c>
      <c r="GH746">
        <v>15.517400340755378</v>
      </c>
      <c r="GI746">
        <v>24.922845232263239</v>
      </c>
      <c r="GJ746"/>
      <c r="GK746">
        <v>36.045988937639812</v>
      </c>
      <c r="GL746">
        <v>57.671769935057341</v>
      </c>
      <c r="GM746">
        <v>55.483681102832954</v>
      </c>
      <c r="GN746">
        <v>44.274563704536192</v>
      </c>
      <c r="GO746">
        <v>33.334119543414197</v>
      </c>
      <c r="GP746">
        <v>18.364316984740487</v>
      </c>
      <c r="GQ746">
        <v>32.430602334754475</v>
      </c>
      <c r="GR746">
        <v>31.258411888919969</v>
      </c>
      <c r="GS746">
        <v>19.439532211171308</v>
      </c>
      <c r="GT746">
        <v>35.346784825962544</v>
      </c>
      <c r="GU746"/>
      <c r="GV746"/>
      <c r="GW746"/>
      <c r="GX746"/>
      <c r="GY746"/>
      <c r="GZ746"/>
      <c r="HA746"/>
      <c r="HB746"/>
      <c r="HC746"/>
    </row>
    <row r="747" spans="1:211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43.818509615384613</v>
      </c>
      <c r="AO747">
        <v>35.766236948164249</v>
      </c>
      <c r="AP747">
        <v>35.098487474899599</v>
      </c>
      <c r="AQ747">
        <v>243.24316412135838</v>
      </c>
      <c r="AR747">
        <v>34.302402779511866</v>
      </c>
      <c r="AS747">
        <v>333.39321423775021</v>
      </c>
      <c r="AT747">
        <v>26.738142581231156</v>
      </c>
      <c r="AU747">
        <v>24.566117153631723</v>
      </c>
      <c r="AV747"/>
      <c r="AW747"/>
      <c r="FY747" s="211">
        <v>742</v>
      </c>
      <c r="FZ747">
        <v>38.248433128404798</v>
      </c>
      <c r="GA747">
        <v>99.605784898897895</v>
      </c>
      <c r="GB747">
        <v>42.096130106321134</v>
      </c>
      <c r="GC747">
        <v>10.4090897558689</v>
      </c>
      <c r="GD747">
        <v>6.1032103998633573</v>
      </c>
      <c r="GE747">
        <v>7.6811156210621361</v>
      </c>
      <c r="GF747">
        <v>14.860609111963459</v>
      </c>
      <c r="GG747">
        <v>15.043166252232224</v>
      </c>
      <c r="GH747">
        <v>17.902980009378176</v>
      </c>
      <c r="GI747">
        <v>25.71336828176101</v>
      </c>
      <c r="GJ747"/>
      <c r="GK747">
        <v>41.355022310059269</v>
      </c>
      <c r="GL747">
        <v>90.363802125885073</v>
      </c>
      <c r="GM747">
        <v>74.576177000894859</v>
      </c>
      <c r="GN747">
        <v>34.356537882058689</v>
      </c>
      <c r="GO747">
        <v>26.535103963174649</v>
      </c>
      <c r="GP747">
        <v>16.480797293997867</v>
      </c>
      <c r="GQ747">
        <v>20.021960039455934</v>
      </c>
      <c r="GR747">
        <v>22.626827696865934</v>
      </c>
      <c r="GS747">
        <v>21.425508027363364</v>
      </c>
      <c r="GT747">
        <v>36.782754268189613</v>
      </c>
      <c r="GU747"/>
      <c r="GV747"/>
      <c r="GW747"/>
      <c r="GX747"/>
      <c r="GY747"/>
      <c r="GZ747"/>
      <c r="HA747"/>
      <c r="HB747"/>
      <c r="HC747"/>
    </row>
    <row r="748" spans="1:211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54.559829059829056</v>
      </c>
      <c r="AO748">
        <v>40.989201672735668</v>
      </c>
      <c r="AP748">
        <v>7.084438535011869</v>
      </c>
      <c r="AQ748">
        <v>293.31973830013561</v>
      </c>
      <c r="AR748">
        <v>39.580427725125723</v>
      </c>
      <c r="AS748">
        <v>367.36615484502443</v>
      </c>
      <c r="AT748">
        <v>32.545541519426088</v>
      </c>
      <c r="AU748">
        <v>31.591325333200135</v>
      </c>
      <c r="AV748"/>
      <c r="AW748"/>
      <c r="FY748" s="211">
        <v>743</v>
      </c>
      <c r="FZ748">
        <v>49.816819904634919</v>
      </c>
      <c r="GA748">
        <v>56.680206756482441</v>
      </c>
      <c r="GB748">
        <v>20.942799664707035</v>
      </c>
      <c r="GC748">
        <v>12.888199702058913</v>
      </c>
      <c r="GD748">
        <v>7.9000842689505424</v>
      </c>
      <c r="GE748">
        <v>9.5301866155549071</v>
      </c>
      <c r="GF748">
        <v>17.787033023426407</v>
      </c>
      <c r="GG748">
        <v>12.209288779284238</v>
      </c>
      <c r="GH748">
        <v>9.0696557386495034</v>
      </c>
      <c r="GI748">
        <v>22.363203693436006</v>
      </c>
      <c r="GJ748"/>
      <c r="GK748">
        <v>51.518902822655193</v>
      </c>
      <c r="GL748">
        <v>50.09160505199425</v>
      </c>
      <c r="GM748">
        <v>37.101603656791937</v>
      </c>
      <c r="GN748">
        <v>42.560006758921432</v>
      </c>
      <c r="GO748">
        <v>34.372434099380456</v>
      </c>
      <c r="GP748">
        <v>20.448211110668481</v>
      </c>
      <c r="GQ748">
        <v>23.964782448171981</v>
      </c>
      <c r="GR748">
        <v>18.364316984740483</v>
      </c>
      <c r="GS748">
        <v>10.158983863898989</v>
      </c>
      <c r="GT748">
        <v>31.423341378179721</v>
      </c>
      <c r="GU748"/>
      <c r="GV748"/>
      <c r="GW748"/>
      <c r="GX748"/>
      <c r="GY748"/>
      <c r="GZ748"/>
      <c r="HA748"/>
      <c r="HB748"/>
      <c r="HC748"/>
    </row>
    <row r="749" spans="1:211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47.091720085470087</v>
      </c>
      <c r="AO749">
        <v>37.302561818085003</v>
      </c>
      <c r="AP749">
        <v>42.272673799904993</v>
      </c>
      <c r="AQ749">
        <v>252.62441100296442</v>
      </c>
      <c r="AR749">
        <v>36.85369973220665</v>
      </c>
      <c r="AS749">
        <v>358.01190984957429</v>
      </c>
      <c r="AT749">
        <v>28.879226057715311</v>
      </c>
      <c r="AU749">
        <v>37.942176445500976</v>
      </c>
      <c r="AV749"/>
      <c r="AW749"/>
      <c r="FY749" s="211">
        <v>744</v>
      </c>
      <c r="FZ749">
        <v>58.042699297462896</v>
      </c>
      <c r="GA749">
        <v>76.350099443430082</v>
      </c>
      <c r="GB749">
        <v>25.243642678665545</v>
      </c>
      <c r="GC749">
        <v>12.943828273016885</v>
      </c>
      <c r="GD749">
        <v>6.461015162138616</v>
      </c>
      <c r="GE749">
        <v>6.9807099413300264</v>
      </c>
      <c r="GF749">
        <v>22.690770388580514</v>
      </c>
      <c r="GG749">
        <v>21.797240896091594</v>
      </c>
      <c r="GH749">
        <v>14.707233069601275</v>
      </c>
      <c r="GI749">
        <v>25.57283489880097</v>
      </c>
      <c r="GJ749"/>
      <c r="GK749">
        <v>61.829282097301856</v>
      </c>
      <c r="GL749">
        <v>69.811396308920209</v>
      </c>
      <c r="GM749">
        <v>44.720841554716188</v>
      </c>
      <c r="GN749">
        <v>42.739899018695752</v>
      </c>
      <c r="GO749">
        <v>28.105278907065042</v>
      </c>
      <c r="GP749">
        <v>14.977989030107485</v>
      </c>
      <c r="GQ749">
        <v>30.571674051966422</v>
      </c>
      <c r="GR749">
        <v>32.785811560764927</v>
      </c>
      <c r="GS749">
        <v>17.159801465771427</v>
      </c>
      <c r="GT749">
        <v>36.477375615364174</v>
      </c>
      <c r="GU749"/>
      <c r="GV749"/>
      <c r="GW749"/>
      <c r="GX749"/>
      <c r="GY749"/>
      <c r="GZ749"/>
      <c r="HA749"/>
      <c r="HB749"/>
      <c r="HC749"/>
    </row>
    <row r="750" spans="1:211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43.164797008547005</v>
      </c>
      <c r="AO750">
        <v>31.693335968499063</v>
      </c>
      <c r="AP750">
        <v>7.6829268978949568</v>
      </c>
      <c r="AQ750">
        <v>210.05235744081131</v>
      </c>
      <c r="AR750">
        <v>30.318497091335448</v>
      </c>
      <c r="AS750">
        <v>302.6102698537029</v>
      </c>
      <c r="AT750">
        <v>24.582129327603639</v>
      </c>
      <c r="AU750">
        <v>24.186415358563536</v>
      </c>
      <c r="AV750"/>
      <c r="AW750"/>
      <c r="FY750" s="211">
        <v>745</v>
      </c>
      <c r="FZ750">
        <v>55.297067186765638</v>
      </c>
      <c r="GA750">
        <v>78.786371638105848</v>
      </c>
      <c r="GB750">
        <v>25.02308662666767</v>
      </c>
      <c r="GC750">
        <v>10.996297113519734</v>
      </c>
      <c r="GD750">
        <v>7.4907685475302541</v>
      </c>
      <c r="GE750">
        <v>13.401095338874367</v>
      </c>
      <c r="GF750">
        <v>41.901469098664563</v>
      </c>
      <c r="GG750">
        <v>29.307016199403748</v>
      </c>
      <c r="GH750">
        <v>12.614235591451385</v>
      </c>
      <c r="GI750">
        <v>29.151437468111876</v>
      </c>
      <c r="GJ750"/>
      <c r="GK750">
        <v>57.180455396836031</v>
      </c>
      <c r="GL750">
        <v>69.628112482569236</v>
      </c>
      <c r="GM750">
        <v>44.330111406104685</v>
      </c>
      <c r="GN750">
        <v>36.280630514486333</v>
      </c>
      <c r="GO750">
        <v>32.556398398699798</v>
      </c>
      <c r="GP750">
        <v>28.753731449102666</v>
      </c>
      <c r="GQ750">
        <v>56.454586320594849</v>
      </c>
      <c r="GR750">
        <v>44.081464947897359</v>
      </c>
      <c r="GS750">
        <v>14.815420574102426</v>
      </c>
      <c r="GT750">
        <v>41.067394419267565</v>
      </c>
      <c r="GU750"/>
      <c r="GV750"/>
      <c r="GW750"/>
      <c r="GX750"/>
      <c r="GY750"/>
      <c r="GZ750"/>
      <c r="HA750"/>
      <c r="HB750"/>
      <c r="HC750"/>
    </row>
    <row r="751" spans="1:211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51.878178418803415</v>
      </c>
      <c r="AO751">
        <v>40.223225146632913</v>
      </c>
      <c r="AP751">
        <v>26.458336693407176</v>
      </c>
      <c r="AQ751">
        <v>275.79325638707911</v>
      </c>
      <c r="AR751">
        <v>38.359968430272083</v>
      </c>
      <c r="AS751">
        <v>376.72450097991236</v>
      </c>
      <c r="AT751">
        <v>30.407930316266768</v>
      </c>
      <c r="AU751">
        <v>30.803913287280633</v>
      </c>
      <c r="AV751"/>
      <c r="AW751"/>
      <c r="FY751" s="211">
        <v>746</v>
      </c>
      <c r="FZ751">
        <v>48.116758398714168</v>
      </c>
      <c r="GA751">
        <v>69.678631706877013</v>
      </c>
      <c r="GB751">
        <v>27.649708700460515</v>
      </c>
      <c r="GC751">
        <v>13.517284100698198</v>
      </c>
      <c r="GD751">
        <v>10.032713293186433</v>
      </c>
      <c r="GE751">
        <v>13.812000004317202</v>
      </c>
      <c r="GF751">
        <v>25.230519669099408</v>
      </c>
      <c r="GG751">
        <v>14.807009796153226</v>
      </c>
      <c r="GH751">
        <v>6.33524315700173</v>
      </c>
      <c r="GI751">
        <v>26.137435557515733</v>
      </c>
      <c r="GJ751"/>
      <c r="GK751">
        <v>49.745363393273784</v>
      </c>
      <c r="GL751">
        <v>61.579071421172351</v>
      </c>
      <c r="GM751">
        <v>48.983352266841635</v>
      </c>
      <c r="GN751">
        <v>44.641613238080318</v>
      </c>
      <c r="GO751">
        <v>43.657956919897522</v>
      </c>
      <c r="GP751">
        <v>29.635378963918352</v>
      </c>
      <c r="GQ751">
        <v>33.993522929200466</v>
      </c>
      <c r="GR751">
        <v>22.271618470855479</v>
      </c>
      <c r="GS751">
        <v>7.7822778990954351</v>
      </c>
      <c r="GT751">
        <v>36.832494681661778</v>
      </c>
      <c r="GU751"/>
      <c r="GV751"/>
      <c r="GW751"/>
      <c r="GX751"/>
      <c r="GY751"/>
      <c r="GZ751"/>
      <c r="HA751"/>
      <c r="HB751"/>
      <c r="HC751"/>
    </row>
    <row r="752" spans="1:211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45.460844017094018</v>
      </c>
      <c r="AO752">
        <v>34.928080857420298</v>
      </c>
      <c r="AP752">
        <v>33.518475756196892</v>
      </c>
      <c r="AQ752">
        <v>234.81286643694057</v>
      </c>
      <c r="AR752">
        <v>33.72960340137552</v>
      </c>
      <c r="AS752">
        <v>346.14588699027212</v>
      </c>
      <c r="AT752">
        <v>26.194946994410738</v>
      </c>
      <c r="AU752">
        <v>40.401298958196293</v>
      </c>
      <c r="AV752"/>
      <c r="AW752"/>
      <c r="FY752" s="211">
        <v>747</v>
      </c>
      <c r="FZ752">
        <v>57.396715401862664</v>
      </c>
      <c r="GA752">
        <v>100.39241871924195</v>
      </c>
      <c r="GB752">
        <v>35.609777122565539</v>
      </c>
      <c r="GC752">
        <v>13.667912115081974</v>
      </c>
      <c r="GD752">
        <v>10.235669265465763</v>
      </c>
      <c r="GE752">
        <v>12.854778908683322</v>
      </c>
      <c r="GF752">
        <v>28.903928663067902</v>
      </c>
      <c r="GG752">
        <v>22.340400745073289</v>
      </c>
      <c r="GH752">
        <v>12.963068504476368</v>
      </c>
      <c r="GI752">
        <v>31.236760307548963</v>
      </c>
      <c r="GJ752"/>
      <c r="GK752">
        <v>64.760299532324012</v>
      </c>
      <c r="GL752">
        <v>95.731715680814219</v>
      </c>
      <c r="GM752">
        <v>63.085158539456671</v>
      </c>
      <c r="GN752">
        <v>45.135273647497215</v>
      </c>
      <c r="GO752">
        <v>44.536882720602684</v>
      </c>
      <c r="GP752">
        <v>27.581541003268168</v>
      </c>
      <c r="GQ752">
        <v>38.942771478279461</v>
      </c>
      <c r="GR752">
        <v>33.60279278058897</v>
      </c>
      <c r="GS752">
        <v>15.206150722713929</v>
      </c>
      <c r="GT752">
        <v>45.30625259867535</v>
      </c>
      <c r="GU752"/>
      <c r="GV752"/>
      <c r="GW752"/>
      <c r="GX752"/>
      <c r="GY752"/>
      <c r="GZ752"/>
      <c r="HA752"/>
      <c r="HB752"/>
      <c r="HC752"/>
    </row>
    <row r="753" spans="1:211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43.387259615384622</v>
      </c>
      <c r="AO753">
        <v>34.075803726554625</v>
      </c>
      <c r="AP753">
        <v>17.24362356084055</v>
      </c>
      <c r="AQ753">
        <v>238.5687400542092</v>
      </c>
      <c r="AR753">
        <v>32.57350626181173</v>
      </c>
      <c r="AS753">
        <v>305.4997624935487</v>
      </c>
      <c r="AT753">
        <v>25.921433850133109</v>
      </c>
      <c r="AU753">
        <v>17.663063277869764</v>
      </c>
      <c r="AV753"/>
      <c r="AW753"/>
      <c r="FY753" s="211">
        <v>748</v>
      </c>
      <c r="FZ753">
        <v>44.510484633365834</v>
      </c>
      <c r="GA753">
        <v>53.624961945121207</v>
      </c>
      <c r="GB753">
        <v>21.173380991795725</v>
      </c>
      <c r="GC753">
        <v>17.324431607045305</v>
      </c>
      <c r="GD753">
        <v>12.070699556274713</v>
      </c>
      <c r="GE753">
        <v>9.1052738365174264</v>
      </c>
      <c r="GF753">
        <v>16.79398226668372</v>
      </c>
      <c r="GG753">
        <v>16.601798862353615</v>
      </c>
      <c r="GH753">
        <v>16.968982715407375</v>
      </c>
      <c r="GI753">
        <v>25.32036758333097</v>
      </c>
      <c r="GJ753"/>
      <c r="GK753">
        <v>47.837992758438233</v>
      </c>
      <c r="GL753">
        <v>49.727866670289117</v>
      </c>
      <c r="GM753">
        <v>37.510094266703966</v>
      </c>
      <c r="GN753">
        <v>57.2160198388504</v>
      </c>
      <c r="GO753">
        <v>52.527258055512405</v>
      </c>
      <c r="GP753">
        <v>19.536507430574982</v>
      </c>
      <c r="GQ753">
        <v>22.626827696865931</v>
      </c>
      <c r="GR753">
        <v>24.971208588534928</v>
      </c>
      <c r="GS753">
        <v>21.751588029705751</v>
      </c>
      <c r="GT753">
        <v>36.450752161445251</v>
      </c>
      <c r="GU753"/>
      <c r="GV753"/>
      <c r="GW753"/>
      <c r="GX753"/>
      <c r="GY753"/>
      <c r="GZ753"/>
      <c r="HA753"/>
      <c r="HB753"/>
      <c r="HC753"/>
    </row>
    <row r="754" spans="1:211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46.007959401709392</v>
      </c>
      <c r="AO754">
        <v>36.221278513654191</v>
      </c>
      <c r="AP754">
        <v>23.580045777089239</v>
      </c>
      <c r="AQ754">
        <v>245.92126417354785</v>
      </c>
      <c r="AR754">
        <v>34.431869853009708</v>
      </c>
      <c r="AS754">
        <v>324.22876200848424</v>
      </c>
      <c r="AT754">
        <v>27.529675486067347</v>
      </c>
      <c r="AU754">
        <v>17.390363018707752</v>
      </c>
      <c r="AV754"/>
      <c r="AW754"/>
      <c r="FY754" s="211">
        <v>749</v>
      </c>
      <c r="FZ754">
        <v>47.328668842384062</v>
      </c>
      <c r="GA754">
        <v>83.286841158562638</v>
      </c>
      <c r="GB754">
        <v>28.451730707725503</v>
      </c>
      <c r="GC754">
        <v>12.261258527520294</v>
      </c>
      <c r="GD754">
        <v>8.67024132873334</v>
      </c>
      <c r="GE754">
        <v>11.822847873878009</v>
      </c>
      <c r="GF754">
        <v>18.24401213272392</v>
      </c>
      <c r="GG754">
        <v>14.52362204885843</v>
      </c>
      <c r="GH754">
        <v>14.414650879128365</v>
      </c>
      <c r="GI754">
        <v>25.240821360177165</v>
      </c>
      <c r="GJ754"/>
      <c r="GK754">
        <v>52.553746308682591</v>
      </c>
      <c r="GL754">
        <v>78.27815928583496</v>
      </c>
      <c r="GM754">
        <v>50.404189170883448</v>
      </c>
      <c r="GN754">
        <v>40.489319129857918</v>
      </c>
      <c r="GO754">
        <v>37.724151924299612</v>
      </c>
      <c r="GP754">
        <v>25.367403494469659</v>
      </c>
      <c r="GQ754">
        <v>24.580478439923432</v>
      </c>
      <c r="GR754">
        <v>21.845367399642939</v>
      </c>
      <c r="GS754">
        <v>17.518206541248368</v>
      </c>
      <c r="GT754">
        <v>36.556154477007496</v>
      </c>
      <c r="GU754"/>
      <c r="GV754"/>
      <c r="GW754"/>
      <c r="GX754"/>
      <c r="GY754"/>
      <c r="GZ754"/>
      <c r="HA754"/>
      <c r="HB754"/>
      <c r="HC754"/>
    </row>
    <row r="755" spans="1:211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44.581597222222221</v>
      </c>
      <c r="AO755">
        <v>36.534281987844331</v>
      </c>
      <c r="AP755">
        <v>48.065199213124032</v>
      </c>
      <c r="AQ755">
        <v>255.36420256469432</v>
      </c>
      <c r="AR755">
        <v>35.4441909030297</v>
      </c>
      <c r="AS755">
        <v>327.33499428053273</v>
      </c>
      <c r="AT755">
        <v>27.023659393611823</v>
      </c>
      <c r="AU755">
        <v>31.933317137204405</v>
      </c>
      <c r="AV755"/>
      <c r="AW755"/>
      <c r="FY755" s="211">
        <v>750</v>
      </c>
      <c r="FZ755">
        <v>43.819367855166774</v>
      </c>
      <c r="GA755">
        <v>78.255823680946889</v>
      </c>
      <c r="GB755">
        <v>35.288968319659539</v>
      </c>
      <c r="GC755">
        <v>15.421109288933868</v>
      </c>
      <c r="GD755">
        <v>8.0022809244477262</v>
      </c>
      <c r="GE755">
        <v>9.8523732282316772</v>
      </c>
      <c r="GF755">
        <v>13.700585219131307</v>
      </c>
      <c r="GG755">
        <v>9.8477242184942515</v>
      </c>
      <c r="GH755">
        <v>10.17240520027652</v>
      </c>
      <c r="GI755">
        <v>24.571715364938388</v>
      </c>
      <c r="GJ755"/>
      <c r="GK755">
        <v>45.324697238933958</v>
      </c>
      <c r="GL755">
        <v>69.159236304235435</v>
      </c>
      <c r="GM755">
        <v>62.516823777839946</v>
      </c>
      <c r="GN755">
        <v>50.914286510474412</v>
      </c>
      <c r="GO755">
        <v>34.804181921569501</v>
      </c>
      <c r="GP755">
        <v>21.139502912058056</v>
      </c>
      <c r="GQ755">
        <v>18.459039445009939</v>
      </c>
      <c r="GR755">
        <v>14.812224724635941</v>
      </c>
      <c r="GS755">
        <v>12.080309533821932</v>
      </c>
      <c r="GT755">
        <v>34.637010383435054</v>
      </c>
      <c r="GU755"/>
      <c r="GV755"/>
      <c r="GW755"/>
      <c r="GX755"/>
      <c r="GY755"/>
      <c r="GZ755"/>
      <c r="HA755"/>
      <c r="HB755"/>
      <c r="HC755"/>
    </row>
    <row r="756" spans="1:211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50.999172008547006</v>
      </c>
      <c r="AO756">
        <v>37.291702683432348</v>
      </c>
      <c r="AP756">
        <v>28.011294070529942</v>
      </c>
      <c r="AQ756">
        <v>258.12139113034777</v>
      </c>
      <c r="AR756">
        <v>35.220846667750266</v>
      </c>
      <c r="AS756">
        <v>334.60803744892246</v>
      </c>
      <c r="AT756">
        <v>28.225780749527697</v>
      </c>
      <c r="AU756">
        <v>35.393302304771453</v>
      </c>
      <c r="AV756"/>
      <c r="AW756"/>
      <c r="FY756" s="211">
        <v>751</v>
      </c>
      <c r="FZ756">
        <v>51.147290773580004</v>
      </c>
      <c r="GA756">
        <v>90.055921670036582</v>
      </c>
      <c r="GB756">
        <v>30.416684625524727</v>
      </c>
      <c r="GC756">
        <v>9.8337157683277425</v>
      </c>
      <c r="GD756">
        <v>7.9139166175918234</v>
      </c>
      <c r="GE756">
        <v>9.1519675484995666</v>
      </c>
      <c r="GF756">
        <v>38.95746906761326</v>
      </c>
      <c r="GG756">
        <v>35.848550032792019</v>
      </c>
      <c r="GH756">
        <v>9.418488651674485</v>
      </c>
      <c r="GI756">
        <v>29.016405563340779</v>
      </c>
      <c r="GJ756"/>
      <c r="GK756">
        <v>54.700474175484942</v>
      </c>
      <c r="GL756">
        <v>81.924030915876685</v>
      </c>
      <c r="GM756">
        <v>53.885239585785904</v>
      </c>
      <c r="GN756">
        <v>32.456168522902765</v>
      </c>
      <c r="GO756">
        <v>34.415284023283505</v>
      </c>
      <c r="GP756">
        <v>19.636694648167673</v>
      </c>
      <c r="GQ756">
        <v>52.488083296811453</v>
      </c>
      <c r="GR756">
        <v>53.920760508386955</v>
      </c>
      <c r="GS756">
        <v>10.549714012510488</v>
      </c>
      <c r="GT756">
        <v>41.207759018775256</v>
      </c>
      <c r="GU756"/>
      <c r="GV756"/>
      <c r="GW756"/>
      <c r="GX756"/>
      <c r="GY756"/>
      <c r="GZ756"/>
      <c r="HA756"/>
      <c r="HB756"/>
      <c r="HC756"/>
    </row>
    <row r="757" spans="1:211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48.116025641025651</v>
      </c>
      <c r="AO757">
        <v>36.364977146902923</v>
      </c>
      <c r="AP757">
        <v>22.482522456898757</v>
      </c>
      <c r="AQ757">
        <v>246.35227598758897</v>
      </c>
      <c r="AR757">
        <v>35.346784825962558</v>
      </c>
      <c r="AS757">
        <v>334.80532302655337</v>
      </c>
      <c r="AT757">
        <v>28.479494895280045</v>
      </c>
      <c r="AU757">
        <v>37.066536524814637</v>
      </c>
      <c r="AV757"/>
      <c r="AW757"/>
      <c r="FY757" s="211">
        <v>752</v>
      </c>
      <c r="FZ757">
        <v>49.882742198101667</v>
      </c>
      <c r="GA757">
        <v>96.550540087536646</v>
      </c>
      <c r="GB757">
        <v>41.133703697603146</v>
      </c>
      <c r="GC757">
        <v>11.91663310108993</v>
      </c>
      <c r="GD757">
        <v>6.0362678547048372</v>
      </c>
      <c r="GE757">
        <v>9.5301866155549071</v>
      </c>
      <c r="GF757">
        <v>23.824430102030128</v>
      </c>
      <c r="GG757">
        <v>18.136815826867107</v>
      </c>
      <c r="GH757">
        <v>14.707233069601273</v>
      </c>
      <c r="GI757">
        <v>28.280074444964256</v>
      </c>
      <c r="GJ757"/>
      <c r="GK757">
        <v>55.185122940781355</v>
      </c>
      <c r="GL757">
        <v>90.000063744179926</v>
      </c>
      <c r="GM757">
        <v>72.871172716044669</v>
      </c>
      <c r="GN757">
        <v>39.354915924291397</v>
      </c>
      <c r="GO757">
        <v>26.26545594580616</v>
      </c>
      <c r="GP757">
        <v>20.448211110668481</v>
      </c>
      <c r="GQ757">
        <v>32.099073723811379</v>
      </c>
      <c r="GR757">
        <v>27.280068557602881</v>
      </c>
      <c r="GS757">
        <v>17.159801465771423</v>
      </c>
      <c r="GT757">
        <v>40.716125358442987</v>
      </c>
      <c r="GU757"/>
      <c r="GV757"/>
      <c r="GW757"/>
      <c r="GX757"/>
      <c r="GY757"/>
      <c r="GZ757"/>
      <c r="HA757"/>
      <c r="HB757"/>
      <c r="HC757"/>
    </row>
    <row r="758" spans="1:211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49.420913461538461</v>
      </c>
      <c r="AO758">
        <v>38.452449060794521</v>
      </c>
      <c r="AP758">
        <v>33.474626314657399</v>
      </c>
      <c r="AQ758">
        <v>277.6638875657531</v>
      </c>
      <c r="AR758">
        <v>36.782754268189635</v>
      </c>
      <c r="AS758">
        <v>358.57223873522486</v>
      </c>
      <c r="AT758">
        <v>28.883369746267402</v>
      </c>
      <c r="AU758">
        <v>14.194086311122522</v>
      </c>
      <c r="AV758"/>
      <c r="AW758"/>
      <c r="FY758" s="211">
        <v>753</v>
      </c>
      <c r="FZ758">
        <v>40.492141413000674</v>
      </c>
      <c r="GA758">
        <v>53.320069694475684</v>
      </c>
      <c r="GB758">
        <v>26.907838343740398</v>
      </c>
      <c r="GC758">
        <v>18.389969631420591</v>
      </c>
      <c r="GD758">
        <v>10.275689474275518</v>
      </c>
      <c r="GE758">
        <v>11.169135906128044</v>
      </c>
      <c r="GF758">
        <v>25.590830120660907</v>
      </c>
      <c r="GG758">
        <v>21.017924591030891</v>
      </c>
      <c r="GH758">
        <v>11.567736852376445</v>
      </c>
      <c r="GI758">
        <v>25.881204802565744</v>
      </c>
      <c r="GJ758"/>
      <c r="GK758">
        <v>41.875052751209012</v>
      </c>
      <c r="GL758">
        <v>47.122055922546863</v>
      </c>
      <c r="GM758">
        <v>47.669078130602955</v>
      </c>
      <c r="GN758">
        <v>60.735323555015512</v>
      </c>
      <c r="GO758">
        <v>44.71538746194404</v>
      </c>
      <c r="GP758">
        <v>23.964782448171977</v>
      </c>
      <c r="GQ758">
        <v>34.478975538081421</v>
      </c>
      <c r="GR758">
        <v>31.613621114930424</v>
      </c>
      <c r="GS758">
        <v>13.64323012826793</v>
      </c>
      <c r="GT758">
        <v>36.476344802021075</v>
      </c>
      <c r="GU758"/>
      <c r="GV758"/>
      <c r="GW758"/>
      <c r="GX758"/>
      <c r="GY758"/>
      <c r="GZ758"/>
      <c r="HA758"/>
      <c r="HB758"/>
      <c r="HC758"/>
    </row>
    <row r="759" spans="1:211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43.325400641025652</v>
      </c>
      <c r="AO759">
        <v>32.000418817540293</v>
      </c>
      <c r="AP759">
        <v>7.332312828681137</v>
      </c>
      <c r="AQ759">
        <v>219.18747814718489</v>
      </c>
      <c r="AR759">
        <v>31.42334137817971</v>
      </c>
      <c r="AS759">
        <v>307.88468357991309</v>
      </c>
      <c r="AT759">
        <v>25.560365241652686</v>
      </c>
      <c r="AU759">
        <v>46.049405698883533</v>
      </c>
      <c r="AV759"/>
      <c r="AW759"/>
      <c r="FY759" s="211">
        <v>754</v>
      </c>
      <c r="FZ759">
        <v>42.003154097661579</v>
      </c>
      <c r="GA759">
        <v>63.488905540022451</v>
      </c>
      <c r="GB759">
        <v>28.993095562629371</v>
      </c>
      <c r="GC759">
        <v>13.153957666022572</v>
      </c>
      <c r="GD759">
        <v>6.979615486633663</v>
      </c>
      <c r="GE759">
        <v>9.4087829644013414</v>
      </c>
      <c r="GF759">
        <v>21.943785306074968</v>
      </c>
      <c r="GG759">
        <v>15.846098202900819</v>
      </c>
      <c r="GH759">
        <v>12.614235591451385</v>
      </c>
      <c r="GI759">
        <v>24.054526090719246</v>
      </c>
      <c r="GJ759"/>
      <c r="GK759">
        <v>43.437973345654996</v>
      </c>
      <c r="GL759">
        <v>56.10884934061135</v>
      </c>
      <c r="GM759">
        <v>51.363254081111677</v>
      </c>
      <c r="GN759">
        <v>43.433923198746946</v>
      </c>
      <c r="GO759">
        <v>30.362223681562238</v>
      </c>
      <c r="GP759">
        <v>20.187724344927481</v>
      </c>
      <c r="GQ759">
        <v>29.565247911603475</v>
      </c>
      <c r="GR759">
        <v>23.834539065301477</v>
      </c>
      <c r="GS759">
        <v>14.815420574102426</v>
      </c>
      <c r="GT759">
        <v>33.908823918806966</v>
      </c>
      <c r="GU759"/>
      <c r="GV759"/>
      <c r="GW759"/>
      <c r="GX759"/>
      <c r="GY759"/>
      <c r="GZ759"/>
      <c r="HA759"/>
      <c r="HB759"/>
      <c r="HC759"/>
    </row>
    <row r="760" spans="1:211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48.700053418803414</v>
      </c>
      <c r="AO760">
        <v>37.917934961067346</v>
      </c>
      <c r="AP760">
        <v>27.538816406601974</v>
      </c>
      <c r="AQ760">
        <v>270.7900740491184</v>
      </c>
      <c r="AR760">
        <v>36.477375615364188</v>
      </c>
      <c r="AS760">
        <v>353.97972106944684</v>
      </c>
      <c r="AT760">
        <v>28.887447123309041</v>
      </c>
      <c r="AU760">
        <v>35.841561255110236</v>
      </c>
      <c r="AV760"/>
      <c r="AW760"/>
      <c r="FY760" s="211">
        <v>755</v>
      </c>
      <c r="FZ760">
        <v>45.617934868553917</v>
      </c>
      <c r="GA760">
        <v>65.434248049605301</v>
      </c>
      <c r="GB760">
        <v>27.679784525732948</v>
      </c>
      <c r="GC760">
        <v>11.990725453404263</v>
      </c>
      <c r="GD760">
        <v>8.2337939891545613</v>
      </c>
      <c r="GE760">
        <v>11.444628806822672</v>
      </c>
      <c r="GF760">
        <v>30.160621213636073</v>
      </c>
      <c r="GG760">
        <v>22.340400745073289</v>
      </c>
      <c r="GH760">
        <v>9.7673215646994649</v>
      </c>
      <c r="GI760">
        <v>26.133489759124178</v>
      </c>
      <c r="GJ760"/>
      <c r="GK760">
        <v>47.174613573809708</v>
      </c>
      <c r="GL760">
        <v>57.828061994501944</v>
      </c>
      <c r="GM760">
        <v>49.036633650743198</v>
      </c>
      <c r="GN760">
        <v>39.588110897069463</v>
      </c>
      <c r="GO760">
        <v>35.816062154704603</v>
      </c>
      <c r="GP760">
        <v>24.555887031968862</v>
      </c>
      <c r="GQ760">
        <v>40.635935455595963</v>
      </c>
      <c r="GR760">
        <v>33.60279278058897</v>
      </c>
      <c r="GS760">
        <v>10.940444161121988</v>
      </c>
      <c r="GT760">
        <v>36.720737799195092</v>
      </c>
      <c r="GU760"/>
      <c r="GV760"/>
      <c r="GW760"/>
      <c r="GX760"/>
      <c r="GY760"/>
      <c r="GZ760"/>
      <c r="HA760"/>
      <c r="HB760"/>
      <c r="HC760"/>
    </row>
    <row r="761" spans="1:211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58.219764957264957</v>
      </c>
      <c r="AO761">
        <v>42.514830590966092</v>
      </c>
      <c r="AP761">
        <v>22.515494775712838</v>
      </c>
      <c r="AQ761">
        <v>303.96884480909506</v>
      </c>
      <c r="AR761">
        <v>41.067394419267593</v>
      </c>
      <c r="AS761">
        <v>395.04065601546125</v>
      </c>
      <c r="AT761">
        <v>32.759791378565616</v>
      </c>
      <c r="AU761">
        <v>46.569128296047737</v>
      </c>
      <c r="AV761"/>
      <c r="AW761"/>
      <c r="FY761" s="211">
        <v>756</v>
      </c>
      <c r="FZ761">
        <v>46.751194382049604</v>
      </c>
      <c r="GA761">
        <v>63.223631561442964</v>
      </c>
      <c r="GB761">
        <v>29.775067019712736</v>
      </c>
      <c r="GC761">
        <v>15.248783390308038</v>
      </c>
      <c r="GD761">
        <v>8.3337635618503612</v>
      </c>
      <c r="GE761">
        <v>9.2126693740763503</v>
      </c>
      <c r="GF761">
        <v>21.073767386450839</v>
      </c>
      <c r="GG761">
        <v>16.885186609648411</v>
      </c>
      <c r="GH761">
        <v>12.614235591451386</v>
      </c>
      <c r="GI761">
        <v>25.62346898241622</v>
      </c>
      <c r="GJ761"/>
      <c r="GK761">
        <v>48.346804019644203</v>
      </c>
      <c r="GL761">
        <v>55.874411251444442</v>
      </c>
      <c r="GM761">
        <v>52.748570062552446</v>
      </c>
      <c r="GN761">
        <v>50.36048177684863</v>
      </c>
      <c r="GO761">
        <v>36.264140261556832</v>
      </c>
      <c r="GP761">
        <v>19.766938031038173</v>
      </c>
      <c r="GQ761">
        <v>28.393057465768965</v>
      </c>
      <c r="GR761">
        <v>25.397459659747469</v>
      </c>
      <c r="GS761">
        <v>14.815420574102429</v>
      </c>
      <c r="GT761">
        <v>36.113598476724981</v>
      </c>
      <c r="GU761"/>
      <c r="GV761"/>
      <c r="GW761"/>
      <c r="GX761"/>
      <c r="GY761"/>
      <c r="GZ761"/>
      <c r="HA761"/>
      <c r="HB761"/>
      <c r="HC761"/>
    </row>
    <row r="762" spans="1:211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51.539369658119668</v>
      </c>
      <c r="AO762">
        <v>37.912265018399708</v>
      </c>
      <c r="AP762">
        <v>19.478321218199202</v>
      </c>
      <c r="AQ762">
        <v>255.31730438402366</v>
      </c>
      <c r="AR762">
        <v>36.832494681661792</v>
      </c>
      <c r="AS762">
        <v>358.88213846916301</v>
      </c>
      <c r="AT762">
        <v>29.520440891243805</v>
      </c>
      <c r="AU762">
        <v>51.926651008962551</v>
      </c>
      <c r="AV762"/>
      <c r="AW762"/>
      <c r="FY762" s="211">
        <v>757</v>
      </c>
      <c r="FZ762">
        <v>42.362627791678705</v>
      </c>
      <c r="GA762">
        <v>63.214443446048577</v>
      </c>
      <c r="GB762">
        <v>22.6972228055992</v>
      </c>
      <c r="GC762">
        <v>12.738048186978077</v>
      </c>
      <c r="GD762">
        <v>8.5913420864675469</v>
      </c>
      <c r="GE762">
        <v>10.06249493215131</v>
      </c>
      <c r="GF762">
        <v>24.140800254620711</v>
      </c>
      <c r="GG762">
        <v>17.381115167414311</v>
      </c>
      <c r="GH762">
        <v>5.5813266083996949</v>
      </c>
      <c r="GI762">
        <v>22.692093637903923</v>
      </c>
      <c r="GJ762"/>
      <c r="GK762">
        <v>47.413627564098419</v>
      </c>
      <c r="GL762">
        <v>60.539010538872887</v>
      </c>
      <c r="GM762">
        <v>40.209684384383415</v>
      </c>
      <c r="GN762">
        <v>42.064080031837598</v>
      </c>
      <c r="GO762">
        <v>37.380783005822835</v>
      </c>
      <c r="GP762">
        <v>21.590345391225171</v>
      </c>
      <c r="GQ762">
        <v>32.52532479502392</v>
      </c>
      <c r="GR762">
        <v>26.143399034369427</v>
      </c>
      <c r="GS762">
        <v>6.251682377783994</v>
      </c>
      <c r="GT762">
        <v>32.756220425422519</v>
      </c>
      <c r="GU762"/>
      <c r="GV762"/>
      <c r="GW762"/>
      <c r="GX762"/>
      <c r="GY762"/>
      <c r="GZ762"/>
      <c r="HA762"/>
      <c r="HB762"/>
      <c r="HC762"/>
    </row>
    <row r="763" spans="1:211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56.826655982905983</v>
      </c>
      <c r="AO763">
        <v>47.38888387042207</v>
      </c>
      <c r="AP763">
        <v>58.281997181488968</v>
      </c>
      <c r="AQ763">
        <v>325.60142975306769</v>
      </c>
      <c r="AR763">
        <v>45.306252598675378</v>
      </c>
      <c r="AS763">
        <v>423.33347420143656</v>
      </c>
      <c r="AT763">
        <v>34.982526767794788</v>
      </c>
      <c r="AU763">
        <v>22.445299672533398</v>
      </c>
      <c r="AV763"/>
      <c r="AW763"/>
      <c r="FY763" s="211">
        <v>758</v>
      </c>
      <c r="FZ763">
        <v>45.69348550278697</v>
      </c>
      <c r="GA763">
        <v>70.828152280721426</v>
      </c>
      <c r="GB763">
        <v>31.539515435695712</v>
      </c>
      <c r="GC763">
        <v>12.358301848336996</v>
      </c>
      <c r="GD763">
        <v>7.3907120932828567</v>
      </c>
      <c r="GE763">
        <v>11.56603245797624</v>
      </c>
      <c r="GF763">
        <v>24.211104732974182</v>
      </c>
      <c r="GG763">
        <v>21.773625250483686</v>
      </c>
      <c r="GH763">
        <v>15.753731808676216</v>
      </c>
      <c r="GI763">
        <v>26.428518139115628</v>
      </c>
      <c r="GJ763"/>
      <c r="GK763">
        <v>47.252759603532013</v>
      </c>
      <c r="GL763">
        <v>62.594969807562236</v>
      </c>
      <c r="GM763">
        <v>55.87441125144445</v>
      </c>
      <c r="GN763">
        <v>40.794477405276375</v>
      </c>
      <c r="GO763">
        <v>32.138301805267758</v>
      </c>
      <c r="GP763">
        <v>24.816373797709861</v>
      </c>
      <c r="GQ763">
        <v>32.620047255293379</v>
      </c>
      <c r="GR763">
        <v>32.750290638163875</v>
      </c>
      <c r="GS763">
        <v>18.331991911605925</v>
      </c>
      <c r="GT763">
        <v>37.243502365428704</v>
      </c>
      <c r="GU763"/>
      <c r="GV763"/>
      <c r="GW763"/>
      <c r="GX763"/>
      <c r="GY763"/>
      <c r="GZ763"/>
      <c r="HA763"/>
      <c r="HB763"/>
      <c r="HC763"/>
    </row>
    <row r="764" spans="1:211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46.077831196581201</v>
      </c>
      <c r="AO764">
        <v>37.015611549692096</v>
      </c>
      <c r="AP764">
        <v>40.823545390776687</v>
      </c>
      <c r="AQ764">
        <v>233.49436399789587</v>
      </c>
      <c r="AR764">
        <v>36.450752161445266</v>
      </c>
      <c r="AS764">
        <v>344.02832234820858</v>
      </c>
      <c r="AT764">
        <v>28.933441914852523</v>
      </c>
      <c r="AU764">
        <v>47.602513134364088</v>
      </c>
      <c r="AV764"/>
      <c r="AW764"/>
      <c r="FY764" s="211">
        <v>759</v>
      </c>
      <c r="FZ764">
        <v>42.740380962843943</v>
      </c>
      <c r="GA764">
        <v>96.815814066116161</v>
      </c>
      <c r="GB764">
        <v>37.935640943634006</v>
      </c>
      <c r="GC764">
        <v>9.8574940179049371</v>
      </c>
      <c r="GD764">
        <v>7.3023477864269539</v>
      </c>
      <c r="GE764">
        <v>9.1052738365174264</v>
      </c>
      <c r="GF764">
        <v>20.247689765797642</v>
      </c>
      <c r="GG764">
        <v>19.435676335301601</v>
      </c>
      <c r="GH764">
        <v>19.647144574503081</v>
      </c>
      <c r="GI764">
        <v>27.325701494738215</v>
      </c>
      <c r="GJ764"/>
      <c r="GK764">
        <v>47.80435771270993</v>
      </c>
      <c r="GL764">
        <v>90.234501833346854</v>
      </c>
      <c r="GM764">
        <v>67.205585561177941</v>
      </c>
      <c r="GN764">
        <v>32.530864204204761</v>
      </c>
      <c r="GO764">
        <v>31.749403906981762</v>
      </c>
      <c r="GP764">
        <v>19.536507430574982</v>
      </c>
      <c r="GQ764">
        <v>27.280068557602881</v>
      </c>
      <c r="GR764">
        <v>29.233719300660383</v>
      </c>
      <c r="GS764">
        <v>23.379158770420865</v>
      </c>
      <c r="GT764">
        <v>39.483714901778676</v>
      </c>
      <c r="GU764"/>
      <c r="GV764"/>
      <c r="GW764"/>
      <c r="GX764"/>
      <c r="GY764"/>
      <c r="GZ764"/>
      <c r="HA764"/>
      <c r="HB764"/>
      <c r="HC764"/>
    </row>
    <row r="765" spans="1:211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46.564903846153847</v>
      </c>
      <c r="AO765">
        <v>38.531717617185045</v>
      </c>
      <c r="AP765">
        <v>38.372367470475389</v>
      </c>
      <c r="AQ765">
        <v>264.24469485969178</v>
      </c>
      <c r="AR765">
        <v>36.556154477007496</v>
      </c>
      <c r="AS765">
        <v>332.20064940668692</v>
      </c>
      <c r="AT765">
        <v>28.478996352601921</v>
      </c>
      <c r="AU765">
        <v>13.871942419146251</v>
      </c>
      <c r="AV765"/>
      <c r="AW765"/>
      <c r="FY765" s="211">
        <v>760</v>
      </c>
      <c r="FZ765">
        <v>36.606619983953479</v>
      </c>
      <c r="GA765">
        <v>85.192565396079431</v>
      </c>
      <c r="GB765">
        <v>38.92814317762442</v>
      </c>
      <c r="GC765">
        <v>15.012783219741939</v>
      </c>
      <c r="GD765">
        <v>8.8352699103001466</v>
      </c>
      <c r="GE765">
        <v>13.900718057083271</v>
      </c>
      <c r="GF765">
        <v>32.524609298271301</v>
      </c>
      <c r="GG765">
        <v>18.656360030240904</v>
      </c>
      <c r="GH765">
        <v>7.3817418960766732</v>
      </c>
      <c r="GI765">
        <v>28.055654656748608</v>
      </c>
      <c r="GJ765"/>
      <c r="GK765">
        <v>39.653328873256292</v>
      </c>
      <c r="GL765">
        <v>77.625999281150172</v>
      </c>
      <c r="GM765">
        <v>68.963871229929666</v>
      </c>
      <c r="GN765">
        <v>49.569490147963229</v>
      </c>
      <c r="GO765">
        <v>38.433680912535493</v>
      </c>
      <c r="GP765">
        <v>29.825734677344471</v>
      </c>
      <c r="GQ765">
        <v>43.820978182156367</v>
      </c>
      <c r="GR765">
        <v>28.061528854825877</v>
      </c>
      <c r="GS765">
        <v>8.9544683449299356</v>
      </c>
      <c r="GT765">
        <v>39.965265508561551</v>
      </c>
      <c r="GU765"/>
      <c r="GV765"/>
      <c r="GW765"/>
      <c r="GX765"/>
      <c r="GY765"/>
      <c r="GZ765"/>
      <c r="HA765"/>
      <c r="HB765"/>
      <c r="HC765"/>
    </row>
    <row r="766" spans="1:211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48.718750000000007</v>
      </c>
      <c r="AO766">
        <v>36.384731275201418</v>
      </c>
      <c r="AP766">
        <v>6.3649990235591858</v>
      </c>
      <c r="AQ766">
        <v>248.93235330022696</v>
      </c>
      <c r="AR766">
        <v>34.637010383435083</v>
      </c>
      <c r="AS766">
        <v>330.52457147722595</v>
      </c>
      <c r="AT766">
        <v>28.360710456710439</v>
      </c>
      <c r="AU766">
        <v>12.261313483677242</v>
      </c>
      <c r="AV766"/>
      <c r="AW766"/>
      <c r="FY766" s="211">
        <v>761</v>
      </c>
      <c r="FZ766">
        <v>55.447047120009429</v>
      </c>
      <c r="GA766">
        <v>79.877897709095436</v>
      </c>
      <c r="GB766">
        <v>22.27616125178508</v>
      </c>
      <c r="GC766">
        <v>12.173266647934351</v>
      </c>
      <c r="GD766">
        <v>7.8856635732791389</v>
      </c>
      <c r="GE766">
        <v>8.1200365136942594</v>
      </c>
      <c r="GF766">
        <v>14.983641949082022</v>
      </c>
      <c r="GG766">
        <v>16.885186609648418</v>
      </c>
      <c r="GH766">
        <v>16.046313999149124</v>
      </c>
      <c r="GI766">
        <v>23.932335029388661</v>
      </c>
      <c r="GJ766"/>
      <c r="GK766">
        <v>62.754091138003659</v>
      </c>
      <c r="GL766">
        <v>77.601836785240636</v>
      </c>
      <c r="GM766">
        <v>39.46374500976146</v>
      </c>
      <c r="GN766">
        <v>40.183335377960951</v>
      </c>
      <c r="GO766">
        <v>34.292326983510648</v>
      </c>
      <c r="GP766">
        <v>17.422557139369175</v>
      </c>
      <c r="GQ766">
        <v>20.187724344927481</v>
      </c>
      <c r="GR766">
        <v>25.397459659747479</v>
      </c>
      <c r="GS766">
        <v>17.973586836128984</v>
      </c>
      <c r="GT766">
        <v>34.934294862466444</v>
      </c>
      <c r="GU766"/>
      <c r="GV766"/>
      <c r="GW766"/>
      <c r="GX766"/>
      <c r="GY766"/>
      <c r="GZ766"/>
      <c r="HA766"/>
      <c r="HB766"/>
      <c r="HC766"/>
    </row>
    <row r="767" spans="1:211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56.616185897435898</v>
      </c>
      <c r="AO767">
        <v>43.518420870798572</v>
      </c>
      <c r="AP767">
        <v>20.224347827013212</v>
      </c>
      <c r="AQ767">
        <v>311.76041031898092</v>
      </c>
      <c r="AR767">
        <v>41.207759018775292</v>
      </c>
      <c r="AS767">
        <v>391.79776970793472</v>
      </c>
      <c r="AT767">
        <v>32.987016954292763</v>
      </c>
      <c r="AU767">
        <v>29.270766413726953</v>
      </c>
      <c r="AV767"/>
      <c r="AW767"/>
      <c r="FY767" s="211">
        <v>762</v>
      </c>
      <c r="FZ767">
        <v>44.574385595304982</v>
      </c>
      <c r="GA767">
        <v>74.846880231479673</v>
      </c>
      <c r="GB767">
        <v>27.018116369739332</v>
      </c>
      <c r="GC767">
        <v>16.412015602926349</v>
      </c>
      <c r="GD767">
        <v>10.525200774618579</v>
      </c>
      <c r="GE767">
        <v>8.7410628830567312</v>
      </c>
      <c r="GF767">
        <v>19.984047971972153</v>
      </c>
      <c r="GG767">
        <v>15.562710455606021</v>
      </c>
      <c r="GH767">
        <v>12.265402678426408</v>
      </c>
      <c r="GI767">
        <v>25.647707480334244</v>
      </c>
      <c r="GJ767"/>
      <c r="GK767">
        <v>47.901769589644843</v>
      </c>
      <c r="GL767">
        <v>68.482913803641082</v>
      </c>
      <c r="GM767">
        <v>47.864443204908703</v>
      </c>
      <c r="GN767">
        <v>54.20629407852612</v>
      </c>
      <c r="GO767">
        <v>45.805595883378878</v>
      </c>
      <c r="GP767">
        <v>18.755047133351983</v>
      </c>
      <c r="GQ767">
        <v>26.92485933159243</v>
      </c>
      <c r="GR767">
        <v>23.408287994088933</v>
      </c>
      <c r="GS767">
        <v>14.42469042549093</v>
      </c>
      <c r="GT767">
        <v>36.584271687003145</v>
      </c>
      <c r="GU767"/>
      <c r="GV767"/>
      <c r="GW767"/>
      <c r="GX767"/>
      <c r="GY767"/>
      <c r="GZ767"/>
      <c r="HA767"/>
      <c r="HB767"/>
      <c r="HC767"/>
    </row>
    <row r="768" spans="1:211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52.090678418803421</v>
      </c>
      <c r="AO768">
        <v>42.138001148740059</v>
      </c>
      <c r="AP768">
        <v>44.457457977750018</v>
      </c>
      <c r="AQ768">
        <v>299.99862699805391</v>
      </c>
      <c r="AR768">
        <v>40.716125358443037</v>
      </c>
      <c r="AS768">
        <v>370.69469894097637</v>
      </c>
      <c r="AT768">
        <v>31.744516331944695</v>
      </c>
      <c r="AU768">
        <v>25.777879098752102</v>
      </c>
      <c r="AV768"/>
      <c r="AW768"/>
      <c r="FY768" s="211">
        <v>763</v>
      </c>
      <c r="FZ768">
        <v>52.994966409862528</v>
      </c>
      <c r="GA768">
        <v>93.45567700410939</v>
      </c>
      <c r="GB768">
        <v>40.251479489611661</v>
      </c>
      <c r="GC768">
        <v>16.51478703250131</v>
      </c>
      <c r="GD768">
        <v>8.4280548917306</v>
      </c>
      <c r="GE768">
        <v>10.762900611883421</v>
      </c>
      <c r="GF768">
        <v>29.940919718781497</v>
      </c>
      <c r="GG768">
        <v>27.512227133203357</v>
      </c>
      <c r="GH768">
        <v>13.953316520999238</v>
      </c>
      <c r="GI768">
        <v>31.028480202985786</v>
      </c>
      <c r="GJ768"/>
      <c r="GK768">
        <v>58.414698537855088</v>
      </c>
      <c r="GL768">
        <v>87.264952703899439</v>
      </c>
      <c r="GM768">
        <v>71.308252121598684</v>
      </c>
      <c r="GN768">
        <v>54.534211511573652</v>
      </c>
      <c r="GO768">
        <v>36.665821253916988</v>
      </c>
      <c r="GP768">
        <v>23.093153655115557</v>
      </c>
      <c r="GQ768">
        <v>40.339927767253911</v>
      </c>
      <c r="GR768">
        <v>41.38187483021791</v>
      </c>
      <c r="GS768">
        <v>15.629205944459985</v>
      </c>
      <c r="GT768">
        <v>44.471581125016939</v>
      </c>
      <c r="GU768"/>
      <c r="GV768"/>
      <c r="GW768"/>
      <c r="GX768"/>
      <c r="GY768"/>
      <c r="GZ768"/>
      <c r="HA768"/>
      <c r="HB768"/>
      <c r="HC768"/>
    </row>
    <row r="769" spans="1:211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51.158493589743593</v>
      </c>
      <c r="AO769">
        <v>38.229385185279128</v>
      </c>
      <c r="AP769">
        <v>12.878338762292971</v>
      </c>
      <c r="AQ769">
        <v>244.61254082967488</v>
      </c>
      <c r="AR769">
        <v>36.476344802021067</v>
      </c>
      <c r="AS769">
        <v>345.87312829378288</v>
      </c>
      <c r="AT769">
        <v>29.77029076473298</v>
      </c>
      <c r="AU769">
        <v>28.730592439323939</v>
      </c>
      <c r="AV769"/>
      <c r="AW769"/>
      <c r="FY769" s="211">
        <v>764</v>
      </c>
      <c r="FZ769">
        <v>49.98159217692249</v>
      </c>
      <c r="GA769">
        <v>64.540813338945966</v>
      </c>
      <c r="GB769">
        <v>22.48669202869214</v>
      </c>
      <c r="GC769">
        <v>9.8140617614765961</v>
      </c>
      <c r="GD769">
        <v>4.8493556946568042</v>
      </c>
      <c r="GE769">
        <v>9.1052738365174282</v>
      </c>
      <c r="GF769">
        <v>19.087665872965491</v>
      </c>
      <c r="GG769">
        <v>15.019550606624325</v>
      </c>
      <c r="GH769">
        <v>16.158815444253271</v>
      </c>
      <c r="GI769">
        <v>22.198676564076585</v>
      </c>
      <c r="GJ769"/>
      <c r="GK769">
        <v>55.292007367535028</v>
      </c>
      <c r="GL769">
        <v>61.711200984707375</v>
      </c>
      <c r="GM769">
        <v>39.836714697072431</v>
      </c>
      <c r="GN769">
        <v>32.387414324469773</v>
      </c>
      <c r="GO769">
        <v>21.074000476036801</v>
      </c>
      <c r="GP769">
        <v>19.536507430574986</v>
      </c>
      <c r="GQ769">
        <v>25.717147963156886</v>
      </c>
      <c r="GR769">
        <v>22.59130677426489</v>
      </c>
      <c r="GS769">
        <v>19.471857284305869</v>
      </c>
      <c r="GT769">
        <v>32.278345557621407</v>
      </c>
      <c r="GU769"/>
      <c r="GV769"/>
      <c r="GW769"/>
      <c r="GX769"/>
      <c r="GY769"/>
      <c r="GZ769"/>
      <c r="HA769"/>
      <c r="HB769"/>
      <c r="HC769"/>
    </row>
    <row r="770" spans="1:211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46.666773504273507</v>
      </c>
      <c r="AO770">
        <v>34.701797946242905</v>
      </c>
      <c r="AP770">
        <v>11.057154441661204</v>
      </c>
      <c r="AQ770">
        <v>238.48615650851741</v>
      </c>
      <c r="AR770">
        <v>33.908823918806974</v>
      </c>
      <c r="AS770">
        <v>340.76980512453054</v>
      </c>
      <c r="AT770">
        <v>27.456406393548988</v>
      </c>
      <c r="AU770">
        <v>34.240163670952114</v>
      </c>
      <c r="AV770"/>
      <c r="AW770"/>
      <c r="FY770" s="211">
        <v>765</v>
      </c>
      <c r="FZ770">
        <v>37.534017005617969</v>
      </c>
      <c r="GA770">
        <v>65.699522028184802</v>
      </c>
      <c r="GB770">
        <v>24.581974522671931</v>
      </c>
      <c r="GC770">
        <v>9.9589981550463627</v>
      </c>
      <c r="GD770">
        <v>7.0618632378550314</v>
      </c>
      <c r="GE770">
        <v>7.9986328625406928</v>
      </c>
      <c r="GF770">
        <v>18.797659899757445</v>
      </c>
      <c r="GG770">
        <v>15.539094809998119</v>
      </c>
      <c r="GH770">
        <v>10.813820303774412</v>
      </c>
      <c r="GI770">
        <v>21.424865849685649</v>
      </c>
      <c r="GJ770"/>
      <c r="GK770">
        <v>38.812988393523611</v>
      </c>
      <c r="GL770">
        <v>58.062500083668851</v>
      </c>
      <c r="GM770">
        <v>43.548651108881693</v>
      </c>
      <c r="GN770">
        <v>32.881476807574842</v>
      </c>
      <c r="GO770">
        <v>30.720165286234309</v>
      </c>
      <c r="GP770">
        <v>17.162070373628175</v>
      </c>
      <c r="GQ770">
        <v>25.326417814545383</v>
      </c>
      <c r="GR770">
        <v>23.372767071487885</v>
      </c>
      <c r="GS770">
        <v>12.11263460695649</v>
      </c>
      <c r="GT770">
        <v>30.104171442028299</v>
      </c>
      <c r="GU770"/>
      <c r="GV770"/>
      <c r="GW770"/>
      <c r="GX770"/>
      <c r="GY770"/>
      <c r="GZ770"/>
      <c r="HA770"/>
      <c r="HB770"/>
      <c r="HC770"/>
    </row>
    <row r="771" spans="1:211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51.043936965811959</v>
      </c>
      <c r="AO771">
        <v>37.589927949929987</v>
      </c>
      <c r="AP771">
        <v>8.6933216007618697</v>
      </c>
      <c r="AQ771">
        <v>258.8029489758066</v>
      </c>
      <c r="AR771">
        <v>36.720737799195106</v>
      </c>
      <c r="AS771">
        <v>364.86921319784614</v>
      </c>
      <c r="AT771">
        <v>29.800289178839268</v>
      </c>
      <c r="AU771">
        <v>43.391398960278366</v>
      </c>
      <c r="AV771"/>
      <c r="AW771"/>
      <c r="FY771" s="211">
        <v>766</v>
      </c>
      <c r="FZ771">
        <v>40.759394933051183</v>
      </c>
      <c r="GA771">
        <v>55.176987544532039</v>
      </c>
      <c r="GB771">
        <v>21.283659017794662</v>
      </c>
      <c r="GC771">
        <v>11.328963452309367</v>
      </c>
      <c r="GD771">
        <v>8.0977134296816811</v>
      </c>
      <c r="GE771">
        <v>10.730215013495922</v>
      </c>
      <c r="GF771">
        <v>26.100537588723526</v>
      </c>
      <c r="GG771">
        <v>19.482907626517402</v>
      </c>
      <c r="GH771">
        <v>13.311901417501348</v>
      </c>
      <c r="GI771">
        <v>23.527815513978847</v>
      </c>
      <c r="GJ771"/>
      <c r="GK771">
        <v>42.14452927455114</v>
      </c>
      <c r="GL771">
        <v>48.763122546715152</v>
      </c>
      <c r="GM771">
        <v>37.705459341009714</v>
      </c>
      <c r="GN771">
        <v>37.398575460776627</v>
      </c>
      <c r="GO771">
        <v>35.219503478135572</v>
      </c>
      <c r="GP771">
        <v>23.023022602800669</v>
      </c>
      <c r="GQ771">
        <v>35.165713375034969</v>
      </c>
      <c r="GR771">
        <v>29.304761145862471</v>
      </c>
      <c r="GS771">
        <v>15.596880871325425</v>
      </c>
      <c r="GT771">
        <v>33.166417268011358</v>
      </c>
      <c r="GU771"/>
      <c r="GV771"/>
      <c r="GW771"/>
      <c r="GX771"/>
      <c r="GY771"/>
      <c r="GZ771"/>
      <c r="HA771"/>
      <c r="HB771"/>
      <c r="HC771"/>
    </row>
    <row r="772" spans="1:211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49.378739316239304</v>
      </c>
      <c r="AO772">
        <v>36.808088157942855</v>
      </c>
      <c r="AP772">
        <v>11.224562099103158</v>
      </c>
      <c r="AQ772">
        <v>248.74176785940688</v>
      </c>
      <c r="AR772">
        <v>36.113598476724988</v>
      </c>
      <c r="AS772">
        <v>371.49187129834269</v>
      </c>
      <c r="AT772">
        <v>29.321362033880011</v>
      </c>
      <c r="AU772">
        <v>40.368811473892691</v>
      </c>
      <c r="AV772"/>
      <c r="AW772"/>
      <c r="FY772" s="211">
        <v>767</v>
      </c>
      <c r="FZ772">
        <v>33.06989978101403</v>
      </c>
      <c r="GA772">
        <v>74.886498503545738</v>
      </c>
      <c r="GB772">
        <v>34.627300163665922</v>
      </c>
      <c r="GC772">
        <v>11.249870925601838</v>
      </c>
      <c r="GD772">
        <v>6.8190687046226444</v>
      </c>
      <c r="GE772">
        <v>10.351995946440583</v>
      </c>
      <c r="GF772">
        <v>18.850388258522543</v>
      </c>
      <c r="GG772">
        <v>12.988605084344933</v>
      </c>
      <c r="GH772">
        <v>9.2384079063057225</v>
      </c>
      <c r="GI772">
        <v>22.861214744556779</v>
      </c>
      <c r="GJ772"/>
      <c r="GK772">
        <v>37.801665908255536</v>
      </c>
      <c r="GL772">
        <v>70.854286462216464</v>
      </c>
      <c r="GM772">
        <v>61.344633332005436</v>
      </c>
      <c r="GN772">
        <v>37.125824984711592</v>
      </c>
      <c r="GO772">
        <v>29.641839830537489</v>
      </c>
      <c r="GP772">
        <v>22.211506140299864</v>
      </c>
      <c r="GQ772">
        <v>25.397459659747472</v>
      </c>
      <c r="GR772">
        <v>19.536507430574979</v>
      </c>
      <c r="GS772">
        <v>12.406389536164316</v>
      </c>
      <c r="GT772">
        <v>33.318397653342046</v>
      </c>
      <c r="GU772"/>
      <c r="GV772"/>
      <c r="GW772"/>
      <c r="GX772"/>
      <c r="GY772"/>
      <c r="GZ772"/>
      <c r="HA772"/>
      <c r="HB772"/>
      <c r="HC772"/>
    </row>
    <row r="773" spans="1:211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42.227403846153841</v>
      </c>
      <c r="AO773">
        <v>34.687415754884022</v>
      </c>
      <c r="AP773">
        <v>34.21474139317457</v>
      </c>
      <c r="AQ773">
        <v>229.46151491726206</v>
      </c>
      <c r="AR773">
        <v>32.756220425422498</v>
      </c>
      <c r="AS773">
        <v>302.27138825826995</v>
      </c>
      <c r="AT773">
        <v>25.524616726698529</v>
      </c>
      <c r="AU773">
        <v>21.410110324194253</v>
      </c>
      <c r="AV773"/>
      <c r="AW773"/>
      <c r="FY773" s="211">
        <v>768</v>
      </c>
      <c r="FZ773">
        <v>37.760668908317115</v>
      </c>
      <c r="GA773">
        <v>56.680206756482441</v>
      </c>
      <c r="GB773">
        <v>31.088378056609159</v>
      </c>
      <c r="GC773">
        <v>14.366676700303199</v>
      </c>
      <c r="GD773">
        <v>8.2074244811293919</v>
      </c>
      <c r="GE773">
        <v>14.979342803870722</v>
      </c>
      <c r="GF773">
        <v>47.631284084471886</v>
      </c>
      <c r="GG773">
        <v>33.227213370315134</v>
      </c>
      <c r="GH773">
        <v>10.870071026326483</v>
      </c>
      <c r="GI773">
        <v>29.366028017755252</v>
      </c>
      <c r="GJ773"/>
      <c r="GK773">
        <v>39.047426482690518</v>
      </c>
      <c r="GL773">
        <v>50.091605051994257</v>
      </c>
      <c r="GM773">
        <v>55.075190492920932</v>
      </c>
      <c r="GN773">
        <v>47.435502413238886</v>
      </c>
      <c r="GO773">
        <v>35.701302250916619</v>
      </c>
      <c r="GP773">
        <v>32.140059403735663</v>
      </c>
      <c r="GQ773">
        <v>64.174466832555396</v>
      </c>
      <c r="GR773">
        <v>49.977938099670908</v>
      </c>
      <c r="GS773">
        <v>12.861769831044931</v>
      </c>
      <c r="GT773">
        <v>41.372031178025686</v>
      </c>
      <c r="GU773"/>
      <c r="GV773"/>
      <c r="GW773"/>
      <c r="GX773"/>
      <c r="GY773"/>
      <c r="GZ773"/>
      <c r="HA773"/>
      <c r="HB773"/>
      <c r="HC773"/>
    </row>
    <row r="774" spans="1:211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52.08247863247864</v>
      </c>
      <c r="AO774">
        <v>38.44171258412846</v>
      </c>
      <c r="AP774">
        <v>19.00021411797244</v>
      </c>
      <c r="AQ774">
        <v>267.5431795500499</v>
      </c>
      <c r="AR774">
        <v>37.243502365428746</v>
      </c>
      <c r="AS774">
        <v>343.88667016253873</v>
      </c>
      <c r="AT774">
        <v>29.96487562117747</v>
      </c>
      <c r="AU774">
        <v>46.860651256187069</v>
      </c>
      <c r="AV774"/>
      <c r="AW774"/>
      <c r="FY774" s="211">
        <v>769</v>
      </c>
      <c r="FZ774">
        <v>36.026002856869141</v>
      </c>
      <c r="GA774">
        <v>84.091851209695477</v>
      </c>
      <c r="GB774">
        <v>34.075910033671242</v>
      </c>
      <c r="GC774">
        <v>10.411107262438517</v>
      </c>
      <c r="GD774">
        <v>6.9588965874710267</v>
      </c>
      <c r="GE774">
        <v>8.6196592319031637</v>
      </c>
      <c r="GF774">
        <v>21.267104701922872</v>
      </c>
      <c r="GG774">
        <v>16.625414507961516</v>
      </c>
      <c r="GH774">
        <v>11.218903939351465</v>
      </c>
      <c r="GI774">
        <v>24.090970916804228</v>
      </c>
      <c r="GJ774"/>
      <c r="GK774">
        <v>37.261286979021378</v>
      </c>
      <c r="GL774">
        <v>74.316874265907231</v>
      </c>
      <c r="GM774">
        <v>60.367807960476689</v>
      </c>
      <c r="GN774">
        <v>34.374721746149561</v>
      </c>
      <c r="GO774">
        <v>30.272055185728814</v>
      </c>
      <c r="GP774">
        <v>18.49456036761098</v>
      </c>
      <c r="GQ774">
        <v>28.653544231509972</v>
      </c>
      <c r="GR774">
        <v>25.006729511135976</v>
      </c>
      <c r="GS774">
        <v>13.252499979656431</v>
      </c>
      <c r="GT774">
        <v>33.961438867278652</v>
      </c>
      <c r="GU774"/>
      <c r="GV774"/>
      <c r="GW774"/>
      <c r="GX774"/>
      <c r="GY774"/>
      <c r="GZ774"/>
      <c r="HA774"/>
      <c r="HB774"/>
      <c r="HC774"/>
    </row>
    <row r="775" spans="1:211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50.345192307692315</v>
      </c>
      <c r="AO775">
        <v>40.843788217945907</v>
      </c>
      <c r="AP775">
        <v>44.739356110623866</v>
      </c>
      <c r="AQ775">
        <v>290.413163783784</v>
      </c>
      <c r="AR775">
        <v>39.483714901778669</v>
      </c>
      <c r="AS775">
        <v>359.38452245970461</v>
      </c>
      <c r="AT775">
        <v>30.492016132647098</v>
      </c>
      <c r="AU775">
        <v>5.8654788482141793</v>
      </c>
      <c r="AV775"/>
      <c r="AW775"/>
      <c r="FY775" s="211">
        <v>770</v>
      </c>
      <c r="FZ775">
        <v>38.873139010944868</v>
      </c>
      <c r="GA775">
        <v>67.507633490780705</v>
      </c>
      <c r="GB775">
        <v>30.657291227704224</v>
      </c>
      <c r="GC775">
        <v>15.072761097666792</v>
      </c>
      <c r="GD775">
        <v>9.0085552487512786</v>
      </c>
      <c r="GE775">
        <v>9.8196876298441786</v>
      </c>
      <c r="GF775">
        <v>29.817886881662936</v>
      </c>
      <c r="GG775">
        <v>23.592029962291974</v>
      </c>
      <c r="GH775">
        <v>11.567736852376445</v>
      </c>
      <c r="GI775">
        <v>26.559574615726049</v>
      </c>
      <c r="GJ775"/>
      <c r="GK775">
        <v>41.997709764925304</v>
      </c>
      <c r="GL775">
        <v>61.996793336690203</v>
      </c>
      <c r="GM775">
        <v>54.311490656998444</v>
      </c>
      <c r="GN775">
        <v>49.767587600930604</v>
      </c>
      <c r="GO775">
        <v>39.187817423142306</v>
      </c>
      <c r="GP775">
        <v>21.069371859743171</v>
      </c>
      <c r="GQ775">
        <v>40.174163461782371</v>
      </c>
      <c r="GR775">
        <v>35.485401678444369</v>
      </c>
      <c r="GS775">
        <v>13.64323012826793</v>
      </c>
      <c r="GT775">
        <v>37.862882287023261</v>
      </c>
      <c r="GU775"/>
      <c r="GV775"/>
      <c r="GW775"/>
      <c r="GX775"/>
      <c r="GY775"/>
      <c r="GZ775"/>
      <c r="HA775"/>
      <c r="HB775"/>
      <c r="HC775"/>
    </row>
    <row r="776" spans="1:211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55.068509615384606</v>
      </c>
      <c r="AO776">
        <v>42.487434601265306</v>
      </c>
      <c r="AP776">
        <v>30.359360214668744</v>
      </c>
      <c r="AQ776">
        <v>285.09446562612021</v>
      </c>
      <c r="AR776">
        <v>39.965265508561586</v>
      </c>
      <c r="AS776">
        <v>371.97617144855201</v>
      </c>
      <c r="AT776">
        <v>31.715737254389072</v>
      </c>
      <c r="AU776">
        <v>20.730394843623408</v>
      </c>
      <c r="AV776"/>
      <c r="AW776"/>
      <c r="FY776" s="211">
        <v>771</v>
      </c>
      <c r="FZ776">
        <v>39.762444348977809</v>
      </c>
      <c r="GA776">
        <v>58.753592197657838</v>
      </c>
      <c r="GB776">
        <v>25.363945979755297</v>
      </c>
      <c r="GC776">
        <v>12.329685629841906</v>
      </c>
      <c r="GD776">
        <v>8.0942701544210003</v>
      </c>
      <c r="GE776">
        <v>9.4554766763834799</v>
      </c>
      <c r="GF776">
        <v>13.313910588187252</v>
      </c>
      <c r="GG776">
        <v>9.8477242184942497</v>
      </c>
      <c r="GH776">
        <v>10.5212381133015</v>
      </c>
      <c r="GI776">
        <v>21.456447051755937</v>
      </c>
      <c r="GJ776"/>
      <c r="GK776">
        <v>42.929162084449032</v>
      </c>
      <c r="GL776">
        <v>54.260336394182517</v>
      </c>
      <c r="GM776">
        <v>44.933967090322462</v>
      </c>
      <c r="GN776">
        <v>40.696122438009176</v>
      </c>
      <c r="GO776">
        <v>35.19584419217037</v>
      </c>
      <c r="GP776">
        <v>20.287911562520168</v>
      </c>
      <c r="GQ776">
        <v>17.938065913527936</v>
      </c>
      <c r="GR776">
        <v>14.812224724635939</v>
      </c>
      <c r="GS776">
        <v>12.471039682433428</v>
      </c>
      <c r="GT776">
        <v>30.693615792580648</v>
      </c>
      <c r="GU776"/>
      <c r="GV776"/>
      <c r="GW776"/>
      <c r="GX776"/>
      <c r="GY776"/>
      <c r="GZ776"/>
      <c r="HA776"/>
      <c r="HB776"/>
      <c r="HC776"/>
    </row>
    <row r="777" spans="1:211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43.218322649572649</v>
      </c>
      <c r="AO777">
        <v>37.021095813711689</v>
      </c>
      <c r="AP777">
        <v>37.446090069183022</v>
      </c>
      <c r="AQ777">
        <v>257.62755040306598</v>
      </c>
      <c r="AR777">
        <v>34.93429486246643</v>
      </c>
      <c r="AS777">
        <v>310.97231573092097</v>
      </c>
      <c r="AT777">
        <v>26.715071004028687</v>
      </c>
      <c r="AU777">
        <v>4.3532654626746847</v>
      </c>
      <c r="AV777"/>
      <c r="AW777"/>
      <c r="FY777" s="211">
        <v>772</v>
      </c>
      <c r="FZ777">
        <v>43.246424660079747</v>
      </c>
      <c r="GA777">
        <v>76.792222741062545</v>
      </c>
      <c r="GB777">
        <v>33.273888026406254</v>
      </c>
      <c r="GC777">
        <v>11.686450268868896</v>
      </c>
      <c r="GD777">
        <v>6.7278889679352352</v>
      </c>
      <c r="GE777">
        <v>10.076503045745953</v>
      </c>
      <c r="GF777">
        <v>39.168382502673651</v>
      </c>
      <c r="GG777">
        <v>31.621349468977936</v>
      </c>
      <c r="GH777">
        <v>11.16265321679939</v>
      </c>
      <c r="GI777">
        <v>28.155531947562</v>
      </c>
      <c r="GJ777"/>
      <c r="GK777">
        <v>46.52702947024676</v>
      </c>
      <c r="GL777">
        <v>70.202126457531705</v>
      </c>
      <c r="GM777">
        <v>58.946971056434876</v>
      </c>
      <c r="GN777">
        <v>38.556257207722346</v>
      </c>
      <c r="GO777">
        <v>29.232015024947916</v>
      </c>
      <c r="GP777">
        <v>21.620401556502983</v>
      </c>
      <c r="GQ777">
        <v>52.772250677619816</v>
      </c>
      <c r="GR777">
        <v>47.562515362799815</v>
      </c>
      <c r="GS777">
        <v>12.503364755567988</v>
      </c>
      <c r="GT777">
        <v>39.996326196963473</v>
      </c>
      <c r="GU777"/>
      <c r="GV777"/>
      <c r="GW777"/>
      <c r="GX777"/>
      <c r="GY777"/>
      <c r="GZ777"/>
      <c r="HA777"/>
      <c r="HB777"/>
      <c r="HC777"/>
    </row>
    <row r="778" spans="1:211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48.902483974358972</v>
      </c>
      <c r="AO778">
        <v>38.435817313162701</v>
      </c>
      <c r="AP778">
        <v>21.9523349992429</v>
      </c>
      <c r="AQ778">
        <v>255.57753004346446</v>
      </c>
      <c r="AR778">
        <v>36.584271687003174</v>
      </c>
      <c r="AS778">
        <v>352.13703827274634</v>
      </c>
      <c r="AT778">
        <v>29.348114555647694</v>
      </c>
      <c r="AU778">
        <v>23.863811825006053</v>
      </c>
      <c r="AV778"/>
      <c r="AW778"/>
      <c r="FY778" s="211">
        <v>773</v>
      </c>
      <c r="FZ778">
        <v>39.599693408217831</v>
      </c>
      <c r="GA778">
        <v>65.562290981197847</v>
      </c>
      <c r="GB778">
        <v>26.436650414472211</v>
      </c>
      <c r="GC778">
        <v>12.979263479055247</v>
      </c>
      <c r="GD778">
        <v>7.514749074096871</v>
      </c>
      <c r="GE778">
        <v>10.534101423170929</v>
      </c>
      <c r="GF778">
        <v>33.350686918924502</v>
      </c>
      <c r="GG778">
        <v>23.899033355194675</v>
      </c>
      <c r="GH778">
        <v>8.8895749932807426</v>
      </c>
      <c r="GI778">
        <v>24.968303353282678</v>
      </c>
      <c r="GJ778"/>
      <c r="GK778">
        <v>42.758500826488742</v>
      </c>
      <c r="GL778">
        <v>60.277580682799609</v>
      </c>
      <c r="GM778">
        <v>46.834336449478378</v>
      </c>
      <c r="GN778">
        <v>42.856935904701757</v>
      </c>
      <c r="GO778">
        <v>32.69112109414872</v>
      </c>
      <c r="GP778">
        <v>22.602236288911364</v>
      </c>
      <c r="GQ778">
        <v>44.933967090322454</v>
      </c>
      <c r="GR778">
        <v>35.947173672257961</v>
      </c>
      <c r="GS778">
        <v>12.015659387552816</v>
      </c>
      <c r="GT778">
        <v>35.846716969598226</v>
      </c>
      <c r="GU778"/>
      <c r="GV778"/>
      <c r="GW778"/>
      <c r="GX778"/>
      <c r="GY778"/>
      <c r="GZ778"/>
      <c r="HA778"/>
      <c r="HB778"/>
      <c r="HC778"/>
    </row>
    <row r="779" spans="1:211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58.986511752136764</v>
      </c>
      <c r="AO779">
        <v>47.310367945090817</v>
      </c>
      <c r="AP779">
        <v>28.43303357058074</v>
      </c>
      <c r="AQ779">
        <v>324.84280901566882</v>
      </c>
      <c r="AR779">
        <v>44.471581125016975</v>
      </c>
      <c r="AS779">
        <v>415.87031275931224</v>
      </c>
      <c r="AT779">
        <v>35.326485540769653</v>
      </c>
      <c r="AU779">
        <v>15.015888378157896</v>
      </c>
      <c r="AV779"/>
      <c r="AW779"/>
      <c r="FY779" s="211">
        <v>774</v>
      </c>
      <c r="FZ779">
        <v>42.113165146584045</v>
      </c>
      <c r="GA779">
        <v>68.834003383678123</v>
      </c>
      <c r="GB779">
        <v>29.534460417533239</v>
      </c>
      <c r="GC779">
        <v>15.552119784410737</v>
      </c>
      <c r="GD779">
        <v>9.4768608065605893</v>
      </c>
      <c r="GE779">
        <v>13.050892499008313</v>
      </c>
      <c r="GF779">
        <v>25.344764446423788</v>
      </c>
      <c r="GG779">
        <v>19.412060689693696</v>
      </c>
      <c r="GH779">
        <v>9.0696557386495034</v>
      </c>
      <c r="GI779">
        <v>25.768337915415525</v>
      </c>
      <c r="GJ779"/>
      <c r="GK779">
        <v>45.354839024412257</v>
      </c>
      <c r="GL779">
        <v>63.168983782524705</v>
      </c>
      <c r="GM779">
        <v>52.322318991339905</v>
      </c>
      <c r="GN779">
        <v>51.362353952775557</v>
      </c>
      <c r="GO779">
        <v>41.238891011477612</v>
      </c>
      <c r="GP779">
        <v>28.002327317157476</v>
      </c>
      <c r="GQ779">
        <v>34.147446927138333</v>
      </c>
      <c r="GR779">
        <v>29.198198378059331</v>
      </c>
      <c r="GS779">
        <v>10.158983863898989</v>
      </c>
      <c r="GT779">
        <v>36.644495963653412</v>
      </c>
      <c r="GU779"/>
      <c r="GV779"/>
      <c r="GW779"/>
      <c r="GX779"/>
      <c r="GY779"/>
      <c r="GZ779"/>
      <c r="HA779"/>
      <c r="HB779"/>
      <c r="HC779"/>
    </row>
    <row r="780" spans="1:211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39.990625000000001</v>
      </c>
      <c r="AO780">
        <v>32.989650285974548</v>
      </c>
      <c r="AP780">
        <v>48.48300503235977</v>
      </c>
      <c r="AQ780">
        <v>233.2424973251311</v>
      </c>
      <c r="AR780">
        <v>32.278345557621378</v>
      </c>
      <c r="AS780">
        <v>295.59001977785039</v>
      </c>
      <c r="AT780">
        <v>24.392113000949255</v>
      </c>
      <c r="AU780">
        <v>30.457588452599797</v>
      </c>
      <c r="AV780"/>
      <c r="AW780"/>
      <c r="FY780" s="211">
        <v>775</v>
      </c>
      <c r="FZ780">
        <v>59.899514672319469</v>
      </c>
      <c r="GA780">
        <v>98.014141027421033</v>
      </c>
      <c r="GB780">
        <v>34.286440810578306</v>
      </c>
      <c r="GC780">
        <v>15.21532920289506</v>
      </c>
      <c r="GD780">
        <v>9.0828502912031492</v>
      </c>
      <c r="GE780">
        <v>11.411943208435176</v>
      </c>
      <c r="GF780">
        <v>34.387677974638102</v>
      </c>
      <c r="GG780">
        <v>26.213366624768867</v>
      </c>
      <c r="GH780">
        <v>15.753731808676214</v>
      </c>
      <c r="GI780">
        <v>32.159398087679214</v>
      </c>
      <c r="GJ780"/>
      <c r="GK780">
        <v>63.751044424756046</v>
      </c>
      <c r="GL780">
        <v>88.957173590883684</v>
      </c>
      <c r="GM780">
        <v>60.740777647787674</v>
      </c>
      <c r="GN780">
        <v>50.238467523616258</v>
      </c>
      <c r="GO780">
        <v>39.511148898100537</v>
      </c>
      <c r="GP780">
        <v>24.48575597965398</v>
      </c>
      <c r="GQ780">
        <v>46.331123379296912</v>
      </c>
      <c r="GR780">
        <v>39.428224087160416</v>
      </c>
      <c r="GS780">
        <v>18.331991911605922</v>
      </c>
      <c r="GT780">
        <v>45.733217252309416</v>
      </c>
      <c r="GU780"/>
      <c r="GV780"/>
      <c r="GW780"/>
      <c r="GX780"/>
      <c r="GY780"/>
      <c r="GZ780"/>
      <c r="HA780"/>
      <c r="HB780"/>
      <c r="HC780"/>
    </row>
    <row r="781" spans="1:211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42.434935897435899</v>
      </c>
      <c r="AO781">
        <v>31.210384298852951</v>
      </c>
      <c r="AP781">
        <v>9.7429009684101988</v>
      </c>
      <c r="AQ781">
        <v>219.41044867513239</v>
      </c>
      <c r="AR781">
        <v>30.104171442028282</v>
      </c>
      <c r="AS781">
        <v>297.78006747377816</v>
      </c>
      <c r="AT781">
        <v>24.409910916474725</v>
      </c>
      <c r="AU781">
        <v>30.959325840217293</v>
      </c>
      <c r="AV781"/>
      <c r="AW781"/>
      <c r="FY781" s="211">
        <v>776</v>
      </c>
      <c r="FZ781">
        <v>36.455518715487386</v>
      </c>
      <c r="GA781">
        <v>54.50920854038614</v>
      </c>
      <c r="GB781">
        <v>27.44920319864427</v>
      </c>
      <c r="GC781">
        <v>14.769913365515114</v>
      </c>
      <c r="GD781">
        <v>8.8206675667720447</v>
      </c>
      <c r="GE781">
        <v>10.898312376631628</v>
      </c>
      <c r="GF781">
        <v>35.380728731380778</v>
      </c>
      <c r="GG781">
        <v>30.393335897367145</v>
      </c>
      <c r="GH781">
        <v>10.521238113301502</v>
      </c>
      <c r="GI781">
        <v>26.178713673804712</v>
      </c>
      <c r="GJ781"/>
      <c r="GK781">
        <v>39.49703681381169</v>
      </c>
      <c r="GL781">
        <v>50.509326967512123</v>
      </c>
      <c r="GM781">
        <v>48.628143040831183</v>
      </c>
      <c r="GN781">
        <v>48.771169517775824</v>
      </c>
      <c r="GO781">
        <v>38.374468710315988</v>
      </c>
      <c r="GP781">
        <v>23.383696586134363</v>
      </c>
      <c r="GQ781">
        <v>47.669078130602955</v>
      </c>
      <c r="GR781">
        <v>45.715427387545454</v>
      </c>
      <c r="GS781">
        <v>12.471039682433432</v>
      </c>
      <c r="GT781">
        <v>37.32795327559905</v>
      </c>
      <c r="GU781"/>
      <c r="GV781"/>
      <c r="GW781"/>
      <c r="GX781"/>
      <c r="GY781"/>
      <c r="GZ781"/>
      <c r="HA781"/>
      <c r="HB781"/>
      <c r="HC781"/>
    </row>
    <row r="782" spans="1:211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45.951308760683766</v>
      </c>
      <c r="AO782">
        <v>33.748798536422314</v>
      </c>
      <c r="AP782">
        <v>15.79818934537383</v>
      </c>
      <c r="AQ782">
        <v>229.80009553758597</v>
      </c>
      <c r="AR782">
        <v>33.166417268011379</v>
      </c>
      <c r="AS782">
        <v>318.16700276633759</v>
      </c>
      <c r="AT782">
        <v>26.448571390799355</v>
      </c>
      <c r="AU782">
        <v>42.835884381149484</v>
      </c>
      <c r="AV782"/>
      <c r="AW782"/>
      <c r="FY782" s="211">
        <v>777</v>
      </c>
      <c r="FZ782">
        <v>35.822161696565523</v>
      </c>
      <c r="GA782">
        <v>77.499620017274481</v>
      </c>
      <c r="GB782">
        <v>30.326457149707409</v>
      </c>
      <c r="GC782">
        <v>10.267223214184403</v>
      </c>
      <c r="GD782">
        <v>9.2739245834807829</v>
      </c>
      <c r="GE782">
        <v>11.290539557281612</v>
      </c>
      <c r="GF782">
        <v>25.78416743613294</v>
      </c>
      <c r="GG782">
        <v>23.615645607899879</v>
      </c>
      <c r="GH782">
        <v>19.298311661478095</v>
      </c>
      <c r="GI782">
        <v>26.670288470146545</v>
      </c>
      <c r="GJ782"/>
      <c r="GK782">
        <v>38.851199340373746</v>
      </c>
      <c r="GL782">
        <v>70.827294695310087</v>
      </c>
      <c r="GM782">
        <v>53.725395434081186</v>
      </c>
      <c r="GN782">
        <v>33.89565535203014</v>
      </c>
      <c r="GO782">
        <v>40.342702804119881</v>
      </c>
      <c r="GP782">
        <v>24.225269213912981</v>
      </c>
      <c r="GQ782">
        <v>34.739462303822428</v>
      </c>
      <c r="GR782">
        <v>35.52092260104542</v>
      </c>
      <c r="GS782">
        <v>22.988428621809362</v>
      </c>
      <c r="GT782">
        <v>38.129437700841315</v>
      </c>
      <c r="GU782"/>
      <c r="GV782"/>
      <c r="GW782"/>
      <c r="GX782"/>
      <c r="GY782"/>
      <c r="GZ782"/>
      <c r="HA782"/>
      <c r="HB782"/>
      <c r="HC782"/>
    </row>
    <row r="783" spans="1:211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42.305288461538467</v>
      </c>
      <c r="AO783">
        <v>34.963851093785522</v>
      </c>
      <c r="AP783">
        <v>50.287278719666659</v>
      </c>
      <c r="AQ783">
        <v>234.94325001862072</v>
      </c>
      <c r="AR783">
        <v>33.318397653342046</v>
      </c>
      <c r="AS783">
        <v>307.15152958131614</v>
      </c>
      <c r="AT783">
        <v>25.326497154187091</v>
      </c>
      <c r="AU783">
        <v>-0.29826458644279441</v>
      </c>
      <c r="AV783"/>
      <c r="AW783"/>
      <c r="FY783" s="211">
        <v>778</v>
      </c>
      <c r="FZ783">
        <v>58.132409537709663</v>
      </c>
      <c r="GA783">
        <v>96.815814066116147</v>
      </c>
      <c r="GB783">
        <v>34.296466085669117</v>
      </c>
      <c r="GC783">
        <v>18.885586016654699</v>
      </c>
      <c r="GD783">
        <v>12.036424722632596</v>
      </c>
      <c r="GE783">
        <v>12.004953350608361</v>
      </c>
      <c r="GF783">
        <v>22.040453963810975</v>
      </c>
      <c r="GG783">
        <v>17.664502914709107</v>
      </c>
      <c r="GH783">
        <v>12.209151955874331</v>
      </c>
      <c r="GI783">
        <v>30.726548790126461</v>
      </c>
      <c r="GJ783"/>
      <c r="GK783">
        <v>63.728628558971486</v>
      </c>
      <c r="GL783">
        <v>90.234501833346854</v>
      </c>
      <c r="GM783">
        <v>60.7585381090882</v>
      </c>
      <c r="GN783">
        <v>62.376106276766571</v>
      </c>
      <c r="GO783">
        <v>52.382431321895524</v>
      </c>
      <c r="GP783">
        <v>25.758133643081166</v>
      </c>
      <c r="GQ783">
        <v>29.695491294473968</v>
      </c>
      <c r="GR783">
        <v>26.569650105581971</v>
      </c>
      <c r="GS783">
        <v>13.675555201402485</v>
      </c>
      <c r="GT783">
        <v>44.048128897166343</v>
      </c>
      <c r="GU783"/>
      <c r="GV783"/>
      <c r="GW783"/>
      <c r="GX783"/>
      <c r="GY783"/>
      <c r="GZ783"/>
      <c r="HA783"/>
      <c r="HB783"/>
      <c r="HC783"/>
    </row>
    <row r="784" spans="1:211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57.665144230769236</v>
      </c>
      <c r="AO784">
        <v>42.787729203679376</v>
      </c>
      <c r="AP784">
        <v>12.175528577751106</v>
      </c>
      <c r="AQ784">
        <v>284.17729420558072</v>
      </c>
      <c r="AR784">
        <v>41.372031178025701</v>
      </c>
      <c r="AS784">
        <v>390.43902492942721</v>
      </c>
      <c r="AT784">
        <v>33.505498579966499</v>
      </c>
      <c r="AU784">
        <v>41.281703260242566</v>
      </c>
      <c r="AV784"/>
      <c r="AW784"/>
      <c r="FY784" s="211">
        <v>779</v>
      </c>
      <c r="FZ784">
        <v>43.760630891505102</v>
      </c>
      <c r="GA784">
        <v>64.678044385932907</v>
      </c>
      <c r="GB784">
        <v>23.479194262682569</v>
      </c>
      <c r="GC784">
        <v>12.01307420507263</v>
      </c>
      <c r="GD784">
        <v>7.90929266857838</v>
      </c>
      <c r="GE784">
        <v>9.1659756620942101</v>
      </c>
      <c r="GF784">
        <v>23.244418155614049</v>
      </c>
      <c r="GG784">
        <v>20.474764742049196</v>
      </c>
      <c r="GH784">
        <v>12.906817781924296</v>
      </c>
      <c r="GI784">
        <v>23.722045904061794</v>
      </c>
      <c r="GJ784"/>
      <c r="GK784">
        <v>47.048463299843419</v>
      </c>
      <c r="GL784">
        <v>59.496120385576603</v>
      </c>
      <c r="GM784">
        <v>41.595000365824184</v>
      </c>
      <c r="GN784">
        <v>39.669605531372248</v>
      </c>
      <c r="GO784">
        <v>34.412508986417528</v>
      </c>
      <c r="GP784">
        <v>19.666750813445482</v>
      </c>
      <c r="GQ784">
        <v>31.31761342658838</v>
      </c>
      <c r="GR784">
        <v>30.796639895106381</v>
      </c>
      <c r="GS784">
        <v>14.457015498625488</v>
      </c>
      <c r="GT784">
        <v>33.766120315459794</v>
      </c>
      <c r="GU784"/>
      <c r="GV784"/>
      <c r="GW784"/>
      <c r="GX784"/>
      <c r="GY784"/>
      <c r="GZ784"/>
      <c r="HA784"/>
      <c r="HB784"/>
      <c r="HC784"/>
    </row>
    <row r="785" spans="1:211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47.571928418803424</v>
      </c>
      <c r="AO785">
        <v>35.59615190944757</v>
      </c>
      <c r="AP785">
        <v>7.9035765608175321</v>
      </c>
      <c r="AQ785">
        <v>253.38582124808866</v>
      </c>
      <c r="AR785">
        <v>33.961438867278645</v>
      </c>
      <c r="AS785">
        <v>333.5191847713163</v>
      </c>
      <c r="AT785">
        <v>27.786037946519247</v>
      </c>
      <c r="AU785">
        <v>18.020213997910098</v>
      </c>
      <c r="AV785"/>
      <c r="AW785"/>
      <c r="FY785" s="211">
        <v>780</v>
      </c>
      <c r="FZ785">
        <v>44.219443166535285</v>
      </c>
      <c r="GA785">
        <v>64.098690041313503</v>
      </c>
      <c r="GB785">
        <v>24.140862418676178</v>
      </c>
      <c r="GC785">
        <v>13.875961142752518</v>
      </c>
      <c r="GD785">
        <v>9.219720594762375</v>
      </c>
      <c r="GE785">
        <v>13.326385399702941</v>
      </c>
      <c r="GF785">
        <v>33.710997370486005</v>
      </c>
      <c r="GG785">
        <v>24.135189811273673</v>
      </c>
      <c r="GH785">
        <v>7.3254911735246013</v>
      </c>
      <c r="GI785">
        <v>25.830932085765767</v>
      </c>
      <c r="GJ785"/>
      <c r="GK785">
        <v>49.335389891552616</v>
      </c>
      <c r="GL785">
        <v>61.320470836095879</v>
      </c>
      <c r="GM785">
        <v>42.767190811658679</v>
      </c>
      <c r="GN785">
        <v>45.814746470455283</v>
      </c>
      <c r="GO785">
        <v>40.106807446333455</v>
      </c>
      <c r="GP785">
        <v>28.593431900954357</v>
      </c>
      <c r="GQ785">
        <v>45.419419699203409</v>
      </c>
      <c r="GR785">
        <v>36.302382898268412</v>
      </c>
      <c r="GS785">
        <v>8.2053331208414928</v>
      </c>
      <c r="GT785">
        <v>37.166828193917929</v>
      </c>
      <c r="GU785"/>
      <c r="GV785"/>
      <c r="GW785"/>
      <c r="GX785"/>
      <c r="GY785"/>
      <c r="GZ785"/>
      <c r="HA785"/>
      <c r="HB785"/>
      <c r="HC785"/>
    </row>
    <row r="786" spans="1:211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51.152510683760696</v>
      </c>
      <c r="AO786">
        <v>39.549644819794793</v>
      </c>
      <c r="AP786">
        <v>29.578573612030752</v>
      </c>
      <c r="AQ786">
        <v>262.47629601774941</v>
      </c>
      <c r="AR786">
        <v>37.862882287023282</v>
      </c>
      <c r="AS786">
        <v>370.40657216721104</v>
      </c>
      <c r="AT786">
        <v>29.879351628407189</v>
      </c>
      <c r="AU786">
        <v>29.401550949281138</v>
      </c>
      <c r="AV786"/>
      <c r="AW786"/>
      <c r="FY786" s="211">
        <v>781</v>
      </c>
      <c r="FZ786">
        <v>38.37672365447537</v>
      </c>
      <c r="GA786">
        <v>72.950344109357275</v>
      </c>
      <c r="GB786">
        <v>34.396718836577236</v>
      </c>
      <c r="GC786">
        <v>11.018960159015744</v>
      </c>
      <c r="GD786">
        <v>5.1359967568725393</v>
      </c>
      <c r="GE786">
        <v>11.35124138285839</v>
      </c>
      <c r="GF786">
        <v>14.306961344929929</v>
      </c>
      <c r="GG786">
        <v>7.5333909489200614</v>
      </c>
      <c r="GH786">
        <v>12.209151955874333</v>
      </c>
      <c r="GI786">
        <v>22.187779768212351</v>
      </c>
      <c r="GJ786"/>
      <c r="GK786">
        <v>39.686963918984603</v>
      </c>
      <c r="GL786">
        <v>64.47047452089744</v>
      </c>
      <c r="GM786">
        <v>60.936142722093415</v>
      </c>
      <c r="GN786">
        <v>36.343962613800414</v>
      </c>
      <c r="GO786">
        <v>22.295437725086956</v>
      </c>
      <c r="GP786">
        <v>24.355512596783477</v>
      </c>
      <c r="GQ786">
        <v>19.276020664833979</v>
      </c>
      <c r="GR786">
        <v>11.331174309733489</v>
      </c>
      <c r="GS786">
        <v>13.675555201402489</v>
      </c>
      <c r="GT786">
        <v>31.17402404648028</v>
      </c>
      <c r="GU786"/>
      <c r="GV786"/>
      <c r="GW786"/>
      <c r="GX786"/>
      <c r="GY786"/>
      <c r="GZ786"/>
      <c r="HA786"/>
      <c r="HB786"/>
      <c r="HC786"/>
    </row>
    <row r="787" spans="1:211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40.060042735042742</v>
      </c>
      <c r="AO787">
        <v>31.421828987483174</v>
      </c>
      <c r="AP787">
        <v>20.109990617315809</v>
      </c>
      <c r="AQ787">
        <v>208.89873495877626</v>
      </c>
      <c r="AR787">
        <v>30.693615792580637</v>
      </c>
      <c r="AS787">
        <v>285.70055828258302</v>
      </c>
      <c r="AT787">
        <v>24.257685295887743</v>
      </c>
      <c r="AU787">
        <v>18.041730628469466</v>
      </c>
      <c r="AV787"/>
      <c r="AW787"/>
      <c r="FY787" s="211">
        <v>782</v>
      </c>
      <c r="FZ787">
        <v>29.2610503214222</v>
      </c>
      <c r="GA787">
        <v>55.530686182638021</v>
      </c>
      <c r="GB787">
        <v>27.128394395738269</v>
      </c>
      <c r="GC787">
        <v>11.188739310126438</v>
      </c>
      <c r="GD787">
        <v>8.2986239670163222</v>
      </c>
      <c r="GE787">
        <v>13.144279922972592</v>
      </c>
      <c r="GF787">
        <v>20.977098728714836</v>
      </c>
      <c r="GG787">
        <v>14.547237694466325</v>
      </c>
      <c r="GH787">
        <v>11.218903939351463</v>
      </c>
      <c r="GI787">
        <v>22.117437003694455</v>
      </c>
      <c r="GJ787"/>
      <c r="GK787">
        <v>30.240744378302107</v>
      </c>
      <c r="GL787">
        <v>49.075706665604358</v>
      </c>
      <c r="GM787">
        <v>48.059808279214451</v>
      </c>
      <c r="GN787">
        <v>36.935437277632225</v>
      </c>
      <c r="GO787">
        <v>36.093864649853607</v>
      </c>
      <c r="GP787">
        <v>28.202701752342854</v>
      </c>
      <c r="GQ787">
        <v>28.262814082898476</v>
      </c>
      <c r="GR787">
        <v>21.88088832224398</v>
      </c>
      <c r="GS787">
        <v>13.252499979656431</v>
      </c>
      <c r="GT787">
        <v>31.181946273985016</v>
      </c>
      <c r="GU787"/>
      <c r="GV787"/>
      <c r="GW787"/>
      <c r="GX787"/>
      <c r="GY787"/>
      <c r="GZ787"/>
      <c r="HA787"/>
      <c r="HB787"/>
      <c r="HC787"/>
    </row>
    <row r="788" spans="1:211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54.898370726495727</v>
      </c>
      <c r="AO788">
        <v>41.791925776633768</v>
      </c>
      <c r="AP788">
        <v>23.969789795723106</v>
      </c>
      <c r="AQ788">
        <v>291.91129484611162</v>
      </c>
      <c r="AR788">
        <v>39.996326196963494</v>
      </c>
      <c r="AS788">
        <v>381.51140589841077</v>
      </c>
      <c r="AT788">
        <v>31.716838322839028</v>
      </c>
      <c r="AU788">
        <v>21.820154831355804</v>
      </c>
      <c r="AV788"/>
      <c r="AW788"/>
      <c r="FY788" s="211">
        <v>783</v>
      </c>
      <c r="FZ788">
        <v>46.007337712013033</v>
      </c>
      <c r="GA788">
        <v>77.017878447575981</v>
      </c>
      <c r="GB788">
        <v>29.103373588628312</v>
      </c>
      <c r="GC788">
        <v>13.940714130829733</v>
      </c>
      <c r="GD788">
        <v>9.8659156908367347</v>
      </c>
      <c r="GE788">
        <v>13.415103452469008</v>
      </c>
      <c r="GF788">
        <v>31.777624215765744</v>
      </c>
      <c r="GG788">
        <v>20.498380387657086</v>
      </c>
      <c r="GH788">
        <v>8.0794077221266338</v>
      </c>
      <c r="GI788">
        <v>27.623107846646398</v>
      </c>
      <c r="GJ788"/>
      <c r="GK788">
        <v>47.579712920936899</v>
      </c>
      <c r="GL788">
        <v>68.065191888123238</v>
      </c>
      <c r="GM788">
        <v>51.558619155417432</v>
      </c>
      <c r="GN788">
        <v>46.040135716385578</v>
      </c>
      <c r="GO788">
        <v>42.932054988794107</v>
      </c>
      <c r="GP788">
        <v>28.783787614380472</v>
      </c>
      <c r="GQ788">
        <v>42.814552041793412</v>
      </c>
      <c r="GR788">
        <v>30.832160817707415</v>
      </c>
      <c r="GS788">
        <v>9.7359286421529312</v>
      </c>
      <c r="GT788">
        <v>38.924173549818946</v>
      </c>
      <c r="GU788"/>
      <c r="GV788"/>
      <c r="GW788"/>
      <c r="GX788"/>
      <c r="GY788"/>
      <c r="GZ788"/>
      <c r="HA788"/>
      <c r="HB788"/>
      <c r="HC788"/>
    </row>
    <row r="789" spans="1:211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47.476469017094011</v>
      </c>
      <c r="AO789">
        <v>37.676422836626003</v>
      </c>
      <c r="AP789">
        <v>26.862949575950672</v>
      </c>
      <c r="AQ789">
        <v>253.73434740089357</v>
      </c>
      <c r="AR789">
        <v>35.846716969598248</v>
      </c>
      <c r="AS789">
        <v>340.21971373244958</v>
      </c>
      <c r="AT789">
        <v>28.383225752356665</v>
      </c>
      <c r="AU789">
        <v>15.252713044463484</v>
      </c>
      <c r="AV789"/>
      <c r="AW789"/>
      <c r="FY789" s="211">
        <v>784</v>
      </c>
      <c r="FZ789">
        <v>53.204460170635869</v>
      </c>
      <c r="GA789">
        <v>77.057496719642018</v>
      </c>
      <c r="GB789">
        <v>32.301436342597455</v>
      </c>
      <c r="GC789">
        <v>15.038653997302356</v>
      </c>
      <c r="GD789">
        <v>7.7812595841800976</v>
      </c>
      <c r="GE789">
        <v>8.2554482784424685</v>
      </c>
      <c r="GF789">
        <v>26.170842067076986</v>
      </c>
      <c r="GG789">
        <v>20.238608285970198</v>
      </c>
      <c r="GH789">
        <v>8.4282406351516155</v>
      </c>
      <c r="GI789">
        <v>27.125256501414661</v>
      </c>
      <c r="GJ789"/>
      <c r="GK789">
        <v>56.816717015130905</v>
      </c>
      <c r="GL789">
        <v>70.436564546698605</v>
      </c>
      <c r="GM789">
        <v>57.224206310284174</v>
      </c>
      <c r="GN789">
        <v>49.666457596797443</v>
      </c>
      <c r="GO789">
        <v>33.859647039332231</v>
      </c>
      <c r="GP789">
        <v>17.713100070387984</v>
      </c>
      <c r="GQ789">
        <v>35.26043583530442</v>
      </c>
      <c r="GR789">
        <v>30.441430669095926</v>
      </c>
      <c r="GS789">
        <v>10.126658790764433</v>
      </c>
      <c r="GT789">
        <v>38.657532998163227</v>
      </c>
      <c r="GU789"/>
      <c r="GV789"/>
      <c r="GW789"/>
      <c r="GX789"/>
      <c r="GY789"/>
      <c r="GZ789"/>
      <c r="HA789"/>
      <c r="HB789"/>
      <c r="HC789"/>
    </row>
    <row r="790" spans="1:211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50.337606837606849</v>
      </c>
      <c r="AO790">
        <v>39.159883921243754</v>
      </c>
      <c r="AP790">
        <v>20.91084387216322</v>
      </c>
      <c r="AQ790">
        <v>258.15632082795759</v>
      </c>
      <c r="AR790">
        <v>36.644495963653426</v>
      </c>
      <c r="AS790">
        <v>363.2462115126786</v>
      </c>
      <c r="AT790">
        <v>29.486794704119987</v>
      </c>
      <c r="AU790">
        <v>19.566988183212715</v>
      </c>
      <c r="AV790"/>
      <c r="AW790"/>
      <c r="FY790" s="211">
        <v>785</v>
      </c>
      <c r="FZ790">
        <v>46.541844752114073</v>
      </c>
      <c r="GA790">
        <v>79.84746755242378</v>
      </c>
      <c r="GB790">
        <v>31.41921213460596</v>
      </c>
      <c r="GC790">
        <v>13.555339030140173</v>
      </c>
      <c r="GD790">
        <v>8.9898620353338057</v>
      </c>
      <c r="GE790">
        <v>10.44071399920665</v>
      </c>
      <c r="GF790">
        <v>25.010818174244825</v>
      </c>
      <c r="GG790">
        <v>16.082254658979817</v>
      </c>
      <c r="GH790">
        <v>9.5309900967786323</v>
      </c>
      <c r="GI790">
        <v>26.697614547851824</v>
      </c>
      <c r="GJ790"/>
      <c r="GK790">
        <v>48.118665967621169</v>
      </c>
      <c r="GL790">
        <v>70.565864839236838</v>
      </c>
      <c r="GM790">
        <v>55.661285715838169</v>
      </c>
      <c r="GN790">
        <v>44.767302656514794</v>
      </c>
      <c r="GO790">
        <v>39.11947596294857</v>
      </c>
      <c r="GP790">
        <v>22.401861853725979</v>
      </c>
      <c r="GQ790">
        <v>33.697515240858415</v>
      </c>
      <c r="GR790">
        <v>24.189748291311929</v>
      </c>
      <c r="GS790">
        <v>12.047984460687374</v>
      </c>
      <c r="GT790">
        <v>37.728985469590747</v>
      </c>
      <c r="GU790"/>
      <c r="GV790"/>
      <c r="GW790"/>
      <c r="GX790"/>
      <c r="GY790"/>
      <c r="GZ790"/>
      <c r="HA790"/>
      <c r="HB790"/>
      <c r="HC790"/>
    </row>
    <row r="791" spans="1:211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61.854967948717956</v>
      </c>
      <c r="AO791">
        <v>47.750892469517083</v>
      </c>
      <c r="AP791">
        <v>25.065638065910285</v>
      </c>
      <c r="AQ791">
        <v>336.42439370861462</v>
      </c>
      <c r="AR791">
        <v>45.733217252309437</v>
      </c>
      <c r="AS791">
        <v>433.64266016539278</v>
      </c>
      <c r="AT791">
        <v>36.570533462108806</v>
      </c>
      <c r="AU791">
        <v>30.509126421418863</v>
      </c>
      <c r="AV791"/>
      <c r="AW791"/>
      <c r="FY791" s="211">
        <v>786</v>
      </c>
      <c r="FZ791">
        <v>38.161721424070123</v>
      </c>
      <c r="GA791">
        <v>67.910138516347146</v>
      </c>
      <c r="GB791">
        <v>25.584502031753168</v>
      </c>
      <c r="GC791">
        <v>11.126354610390717</v>
      </c>
      <c r="GD791">
        <v>6.9182485332320987</v>
      </c>
      <c r="GE791">
        <v>9.1052738365174264</v>
      </c>
      <c r="GF791">
        <v>32.717946613743322</v>
      </c>
      <c r="GG791">
        <v>25.670206775787165</v>
      </c>
      <c r="GH791">
        <v>10.464987390749428</v>
      </c>
      <c r="GI791">
        <v>24.294185987456693</v>
      </c>
      <c r="GJ791"/>
      <c r="GK791">
        <v>39.46689502833339</v>
      </c>
      <c r="GL791">
        <v>60.016150826726346</v>
      </c>
      <c r="GM791">
        <v>45.324697238933958</v>
      </c>
      <c r="GN791">
        <v>36.733230592121338</v>
      </c>
      <c r="GO791">
        <v>30.090818065725838</v>
      </c>
      <c r="GP791">
        <v>19.536507430574982</v>
      </c>
      <c r="GQ791">
        <v>44.081464947897366</v>
      </c>
      <c r="GR791">
        <v>38.611242867336365</v>
      </c>
      <c r="GS791">
        <v>11.721904458344989</v>
      </c>
      <c r="GT791">
        <v>34.137155947847106</v>
      </c>
      <c r="GU791"/>
      <c r="GV791"/>
      <c r="GW791"/>
      <c r="GX791"/>
      <c r="GY791"/>
      <c r="GZ791"/>
      <c r="HA791"/>
      <c r="HB791"/>
      <c r="HC791"/>
    </row>
    <row r="792" spans="1:211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50.62751068376069</v>
      </c>
      <c r="AO792">
        <v>39.234734011256208</v>
      </c>
      <c r="AP792">
        <v>29.908975252122797</v>
      </c>
      <c r="AQ792">
        <v>255.3768401792907</v>
      </c>
      <c r="AR792">
        <v>37.327953275599072</v>
      </c>
      <c r="AS792">
        <v>347.55769326027558</v>
      </c>
      <c r="AT792">
        <v>29.529362261394269</v>
      </c>
      <c r="AU792">
        <v>28.695732240193799</v>
      </c>
      <c r="AV792"/>
      <c r="AW792"/>
      <c r="FY792" s="211">
        <v>787</v>
      </c>
      <c r="FZ792">
        <v>41.819613746033667</v>
      </c>
      <c r="GA792">
        <v>86.87263392708283</v>
      </c>
      <c r="GB792">
        <v>38.366727772538944</v>
      </c>
      <c r="GC792">
        <v>12.242920463694993</v>
      </c>
      <c r="GD792">
        <v>7.58302232721931</v>
      </c>
      <c r="GE792">
        <v>9.637582153113831</v>
      </c>
      <c r="GF792">
        <v>31.874292873501755</v>
      </c>
      <c r="GG792">
        <v>25.43405031970817</v>
      </c>
      <c r="GH792">
        <v>10.172405200276522</v>
      </c>
      <c r="GI792">
        <v>28.226903919399518</v>
      </c>
      <c r="GJ792"/>
      <c r="GK792">
        <v>45.045404924094996</v>
      </c>
      <c r="GL792">
        <v>79.110773845873894</v>
      </c>
      <c r="GM792">
        <v>67.969285397100421</v>
      </c>
      <c r="GN792">
        <v>40.428751402858701</v>
      </c>
      <c r="GO792">
        <v>32.992582875262919</v>
      </c>
      <c r="GP792">
        <v>20.678641711131675</v>
      </c>
      <c r="GQ792">
        <v>42.944795424663909</v>
      </c>
      <c r="GR792">
        <v>38.256033641325914</v>
      </c>
      <c r="GS792">
        <v>12.080309533821932</v>
      </c>
      <c r="GT792">
        <v>40.206475630988834</v>
      </c>
      <c r="GU792"/>
      <c r="GV792"/>
      <c r="GW792"/>
      <c r="GX792"/>
      <c r="GY792"/>
      <c r="GZ792"/>
      <c r="HA792"/>
      <c r="HB792"/>
      <c r="HC792"/>
    </row>
    <row r="793" spans="1:211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50.085977564102564</v>
      </c>
      <c r="AO793">
        <v>39.324576806734655</v>
      </c>
      <c r="AP793">
        <v>25.498686576814674</v>
      </c>
      <c r="AQ793">
        <v>269.84833939415171</v>
      </c>
      <c r="AR793">
        <v>38.129437700841322</v>
      </c>
      <c r="AS793">
        <v>362.13268176759044</v>
      </c>
      <c r="AT793">
        <v>30.311957033596812</v>
      </c>
      <c r="AU793">
        <v>14.004302879401044</v>
      </c>
      <c r="AV793"/>
      <c r="AW793"/>
      <c r="FY793" s="211">
        <v>788</v>
      </c>
      <c r="FZ793">
        <v>54.869572659674958</v>
      </c>
      <c r="GA793">
        <v>104.02701787522258</v>
      </c>
      <c r="GB793">
        <v>43.108682890493192</v>
      </c>
      <c r="GC793">
        <v>11.776786111500174</v>
      </c>
      <c r="GD793">
        <v>4.8575176852360249</v>
      </c>
      <c r="GE793">
        <v>6.7379026390228951</v>
      </c>
      <c r="GF793">
        <v>32.454304819917837</v>
      </c>
      <c r="GG793">
        <v>27.512227133203357</v>
      </c>
      <c r="GH793">
        <v>11.218903939351462</v>
      </c>
      <c r="GI793">
        <v>29.931331872499793</v>
      </c>
      <c r="GJ793"/>
      <c r="GK793">
        <v>58.54714884896525</v>
      </c>
      <c r="GL793">
        <v>94.271103612000076</v>
      </c>
      <c r="GM793">
        <v>76.369983592247664</v>
      </c>
      <c r="GN793">
        <v>38.869982699160559</v>
      </c>
      <c r="GO793">
        <v>21.109521398637852</v>
      </c>
      <c r="GP793">
        <v>14.457015498625486</v>
      </c>
      <c r="GQ793">
        <v>43.726255721886908</v>
      </c>
      <c r="GR793">
        <v>41.38187483021791</v>
      </c>
      <c r="GS793">
        <v>13.252499979656427</v>
      </c>
      <c r="GT793">
        <v>42.601081908278815</v>
      </c>
      <c r="GU793"/>
      <c r="GV793"/>
      <c r="GW793"/>
      <c r="GX793"/>
      <c r="GY793"/>
      <c r="GZ793"/>
      <c r="HA793"/>
      <c r="HB793"/>
      <c r="HC793"/>
    </row>
    <row r="794" spans="1:211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58.154086538461534</v>
      </c>
      <c r="AO794">
        <v>46.92271652417746</v>
      </c>
      <c r="AP794">
        <v>25.882202314952135</v>
      </c>
      <c r="AQ794">
        <v>314.81231140391145</v>
      </c>
      <c r="AR794">
        <v>44.048128897166364</v>
      </c>
      <c r="AS794">
        <v>399.93273386098792</v>
      </c>
      <c r="AT794">
        <v>35.16397518844763</v>
      </c>
      <c r="AU794">
        <v>14.147848176355975</v>
      </c>
      <c r="AV794"/>
      <c r="AW794"/>
      <c r="FY794" s="211">
        <v>789</v>
      </c>
      <c r="FZ794">
        <v>35.389158699842937</v>
      </c>
      <c r="GA794">
        <v>82.186126972178641</v>
      </c>
      <c r="GB794">
        <v>34.065884758580424</v>
      </c>
      <c r="GC794">
        <v>10.894590191908513</v>
      </c>
      <c r="GD794">
        <v>7.150227544710936</v>
      </c>
      <c r="GE794">
        <v>12.201066940933352</v>
      </c>
      <c r="GF794">
        <v>25.204155489716857</v>
      </c>
      <c r="GG794">
        <v>13.74430574379773</v>
      </c>
      <c r="GH794">
        <v>4.8836607823497333</v>
      </c>
      <c r="GI794">
        <v>23.785232952374759</v>
      </c>
      <c r="GJ794"/>
      <c r="GK794">
        <v>38.399842379127563</v>
      </c>
      <c r="GL794">
        <v>74.96903427059199</v>
      </c>
      <c r="GM794">
        <v>60.350047499176164</v>
      </c>
      <c r="GN794">
        <v>35.975429580863533</v>
      </c>
      <c r="GO794">
        <v>31.109063184520316</v>
      </c>
      <c r="GP794">
        <v>26.178919956970475</v>
      </c>
      <c r="GQ794">
        <v>33.958002006599422</v>
      </c>
      <c r="GR794">
        <v>20.673176953808436</v>
      </c>
      <c r="GS794">
        <v>5.4702220805609949</v>
      </c>
      <c r="GT794">
        <v>33.85743542999689</v>
      </c>
      <c r="GU794"/>
      <c r="GV794"/>
      <c r="GW794"/>
      <c r="GX794"/>
      <c r="GY794"/>
      <c r="GZ794"/>
      <c r="HA794"/>
      <c r="HB794"/>
      <c r="HC794"/>
    </row>
    <row r="795" spans="1:211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45.711111111111109</v>
      </c>
      <c r="AO795">
        <v>35.222583851825945</v>
      </c>
      <c r="AP795">
        <v>28.745422902411811</v>
      </c>
      <c r="AQ795">
        <v>241.35425865951515</v>
      </c>
      <c r="AR795">
        <v>33.766120315459787</v>
      </c>
      <c r="AS795">
        <v>319.46226362197399</v>
      </c>
      <c r="AT795">
        <v>26.677199455480203</v>
      </c>
      <c r="AU795">
        <v>31.773521915962739</v>
      </c>
      <c r="AV795"/>
      <c r="AW795"/>
      <c r="FY795" s="211">
        <v>790</v>
      </c>
      <c r="FZ795">
        <v>44.519135769747635</v>
      </c>
      <c r="GA795">
        <v>68.480304745572141</v>
      </c>
      <c r="GB795">
        <v>26.897813068649587</v>
      </c>
      <c r="GC795">
        <v>12.153549782317679</v>
      </c>
      <c r="GD795">
        <v>6.5349587733231145</v>
      </c>
      <c r="GE795">
        <v>7.5270263715210737</v>
      </c>
      <c r="GF795">
        <v>22.717134567963072</v>
      </c>
      <c r="GG795">
        <v>20.262223931578095</v>
      </c>
      <c r="GH795">
        <v>11.511486129824371</v>
      </c>
      <c r="GI795">
        <v>23.518954419398952</v>
      </c>
      <c r="GJ795"/>
      <c r="GK795">
        <v>47.841142777010162</v>
      </c>
      <c r="GL795">
        <v>62.856399663635514</v>
      </c>
      <c r="GM795">
        <v>47.651317669302436</v>
      </c>
      <c r="GN795">
        <v>40.118213686525706</v>
      </c>
      <c r="GO795">
        <v>28.414069689481231</v>
      </c>
      <c r="GP795">
        <v>16.150179475941986</v>
      </c>
      <c r="GQ795">
        <v>30.607194974567474</v>
      </c>
      <c r="GR795">
        <v>30.47695159169697</v>
      </c>
      <c r="GS795">
        <v>12.894094904179488</v>
      </c>
      <c r="GT795">
        <v>33.481564002908158</v>
      </c>
      <c r="GU795"/>
      <c r="GV795"/>
      <c r="GW795"/>
      <c r="GX795"/>
      <c r="GY795"/>
      <c r="GZ795"/>
      <c r="HA795"/>
      <c r="HB795"/>
      <c r="HC795"/>
    </row>
    <row r="796" spans="1:211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48.799786324786318</v>
      </c>
      <c r="AO796">
        <v>39.503200126928149</v>
      </c>
      <c r="AP796">
        <v>33.501791913392154</v>
      </c>
      <c r="AQ796">
        <v>259.88367320479284</v>
      </c>
      <c r="AR796">
        <v>37.166828193917951</v>
      </c>
      <c r="AS796">
        <v>345.41011548958261</v>
      </c>
      <c r="AT796">
        <v>29.104117920233872</v>
      </c>
      <c r="AU796">
        <v>20.700236573589695</v>
      </c>
      <c r="AV796"/>
      <c r="AW796"/>
      <c r="FY796" s="211">
        <v>791</v>
      </c>
      <c r="FZ796">
        <v>53.099468989153067</v>
      </c>
      <c r="GA796">
        <v>80.899375351347302</v>
      </c>
      <c r="GB796">
        <v>28.762514235540692</v>
      </c>
      <c r="GC796">
        <v>12.936244863164319</v>
      </c>
      <c r="GD796">
        <v>6.9911259861684591</v>
      </c>
      <c r="GE796">
        <v>8.8484584206156534</v>
      </c>
      <c r="GF796">
        <v>41.321457152248492</v>
      </c>
      <c r="GG796">
        <v>33.463369826394128</v>
      </c>
      <c r="GH796">
        <v>16.271316889357415</v>
      </c>
      <c r="GI796">
        <v>29.890256217629023</v>
      </c>
      <c r="GJ796"/>
      <c r="GK796">
        <v>58.513513803236947</v>
      </c>
      <c r="GL796">
        <v>76.168216483332856</v>
      </c>
      <c r="GM796">
        <v>50.954763471199669</v>
      </c>
      <c r="GN796">
        <v>42.714852214297579</v>
      </c>
      <c r="GO796">
        <v>30.41231729035858</v>
      </c>
      <c r="GP796">
        <v>18.985477733815173</v>
      </c>
      <c r="GQ796">
        <v>55.673126023371857</v>
      </c>
      <c r="GR796">
        <v>50.33314732568136</v>
      </c>
      <c r="GS796">
        <v>20.970127732482752</v>
      </c>
      <c r="GT796">
        <v>43.304769664129957</v>
      </c>
      <c r="GU796"/>
      <c r="GV796"/>
      <c r="GW796"/>
      <c r="GX796"/>
      <c r="GY796"/>
      <c r="GZ796"/>
      <c r="HA796"/>
      <c r="HB796"/>
      <c r="HC796"/>
    </row>
    <row r="797" spans="1:211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44.897569444444443</v>
      </c>
      <c r="AO797">
        <v>32.354526832009654</v>
      </c>
      <c r="AP797">
        <v>16.747530432151517</v>
      </c>
      <c r="AQ797">
        <v>229.46726891709324</v>
      </c>
      <c r="AR797">
        <v>31.174024046480273</v>
      </c>
      <c r="AS797">
        <v>313.876805088369</v>
      </c>
      <c r="AT797">
        <v>25.078143597588134</v>
      </c>
      <c r="AU797">
        <v>15.517281434737225</v>
      </c>
      <c r="AV797"/>
      <c r="AW797"/>
      <c r="FY797" s="211">
        <v>792</v>
      </c>
      <c r="FZ797">
        <v>40.116898175555264</v>
      </c>
      <c r="GA797">
        <v>70.956195212313958</v>
      </c>
      <c r="GB797">
        <v>30.547013201705294</v>
      </c>
      <c r="GC797">
        <v>13.268134616996578</v>
      </c>
      <c r="GD797">
        <v>9.3893810100961321</v>
      </c>
      <c r="GE797">
        <v>9.5161785019602654</v>
      </c>
      <c r="GF797">
        <v>22.980776361788557</v>
      </c>
      <c r="GG797">
        <v>19.459291980909498</v>
      </c>
      <c r="GH797">
        <v>12.209151955874336</v>
      </c>
      <c r="GI797">
        <v>25.722729047323117</v>
      </c>
      <c r="GJ797"/>
      <c r="GK797">
        <v>43.291153836029153</v>
      </c>
      <c r="GL797">
        <v>65.044488495859909</v>
      </c>
      <c r="GM797">
        <v>54.116125582692703</v>
      </c>
      <c r="GN797">
        <v>43.818711864489444</v>
      </c>
      <c r="GO797">
        <v>40.85817958462539</v>
      </c>
      <c r="GP797">
        <v>20.418154945390675</v>
      </c>
      <c r="GQ797">
        <v>30.962404200577925</v>
      </c>
      <c r="GR797">
        <v>29.269240223261427</v>
      </c>
      <c r="GS797">
        <v>13.67555520140249</v>
      </c>
      <c r="GT797">
        <v>36.580683681065523</v>
      </c>
      <c r="GU797"/>
      <c r="GV797"/>
      <c r="GW797"/>
      <c r="GX797"/>
      <c r="GY797"/>
      <c r="GZ797"/>
      <c r="HA797"/>
      <c r="HB797"/>
      <c r="HC797"/>
    </row>
    <row r="798" spans="1:211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44.561538461538461</v>
      </c>
      <c r="AO798">
        <v>32.31864116617335</v>
      </c>
      <c r="AP798">
        <v>21.694424755687294</v>
      </c>
      <c r="AQ798">
        <v>213.41245146614091</v>
      </c>
      <c r="AR798">
        <v>31.181946273985009</v>
      </c>
      <c r="AS798">
        <v>309.27808093419469</v>
      </c>
      <c r="AT798">
        <v>24.711134074930584</v>
      </c>
      <c r="AU798">
        <v>36.182409366597767</v>
      </c>
      <c r="AV798"/>
      <c r="AW798"/>
      <c r="FY798" s="211">
        <v>793</v>
      </c>
      <c r="FZ798">
        <v>38.1936719050397</v>
      </c>
      <c r="GA798">
        <v>70.120755004509476</v>
      </c>
      <c r="GB798">
        <v>27.790062551731889</v>
      </c>
      <c r="GC798">
        <v>13.612885760957999</v>
      </c>
      <c r="GD798">
        <v>10.773638031960001</v>
      </c>
      <c r="GE798">
        <v>12.733375257529756</v>
      </c>
      <c r="GF798">
        <v>28.051486863032149</v>
      </c>
      <c r="GG798">
        <v>22.789098011623388</v>
      </c>
      <c r="GH798">
        <v>12.265402678426408</v>
      </c>
      <c r="GI798">
        <v>26.655474496309296</v>
      </c>
      <c r="GJ798"/>
      <c r="GK798">
        <v>39.498783443936695</v>
      </c>
      <c r="GL798">
        <v>61.969801569783847</v>
      </c>
      <c r="GM798">
        <v>49.23199872504896</v>
      </c>
      <c r="GN798">
        <v>44.945850056060486</v>
      </c>
      <c r="GO798">
        <v>46.869444633840182</v>
      </c>
      <c r="GP798">
        <v>27.321054237527168</v>
      </c>
      <c r="GQ798">
        <v>37.794261647512329</v>
      </c>
      <c r="GR798">
        <v>34.277690310008836</v>
      </c>
      <c r="GS798">
        <v>14.42469042549093</v>
      </c>
      <c r="GT798">
        <v>37.563835775165813</v>
      </c>
      <c r="GU798"/>
      <c r="GV798"/>
      <c r="GW798"/>
      <c r="GX798"/>
      <c r="GY798"/>
      <c r="GZ798"/>
      <c r="HA798"/>
      <c r="HB798"/>
      <c r="HC798"/>
    </row>
    <row r="799" spans="1:211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54.487259615384609</v>
      </c>
      <c r="AO799">
        <v>40.726631733551045</v>
      </c>
      <c r="AP799">
        <v>11.909816498754033</v>
      </c>
      <c r="AQ799">
        <v>277.3288431945486</v>
      </c>
      <c r="AR799">
        <v>38.924173549818981</v>
      </c>
      <c r="AS799">
        <v>366.55323204439975</v>
      </c>
      <c r="AT799">
        <v>31.785999498454029</v>
      </c>
      <c r="AU799">
        <v>37.324384046532849</v>
      </c>
      <c r="AV799"/>
      <c r="AW799"/>
      <c r="FY799" s="211">
        <v>794</v>
      </c>
      <c r="FZ799">
        <v>38.504036976161437</v>
      </c>
      <c r="GA799">
        <v>77.057496719642018</v>
      </c>
      <c r="GB799">
        <v>36.612304631646772</v>
      </c>
      <c r="GC799">
        <v>18.132535174322637</v>
      </c>
      <c r="GD799">
        <v>11.503241803808971</v>
      </c>
      <c r="GE799">
        <v>15.693756597197474</v>
      </c>
      <c r="GF799">
        <v>26.777218192875615</v>
      </c>
      <c r="GG799">
        <v>15.066781897840123</v>
      </c>
      <c r="GH799">
        <v>10.5212381133015</v>
      </c>
      <c r="GI799">
        <v>28.802573060681798</v>
      </c>
      <c r="GJ799"/>
      <c r="GK799">
        <v>41.610129634885723</v>
      </c>
      <c r="GL799">
        <v>70.436564546698605</v>
      </c>
      <c r="GM799">
        <v>64.861204669508936</v>
      </c>
      <c r="GN799">
        <v>59.87737798436936</v>
      </c>
      <c r="GO799">
        <v>50.049011938526256</v>
      </c>
      <c r="GP799">
        <v>33.672923832903855</v>
      </c>
      <c r="GQ799">
        <v>36.077417055128464</v>
      </c>
      <c r="GR799">
        <v>22.662348619466979</v>
      </c>
      <c r="GS799">
        <v>12.471039682433428</v>
      </c>
      <c r="GT799">
        <v>41.01376059609656</v>
      </c>
      <c r="GU799"/>
      <c r="GV799"/>
      <c r="GW799"/>
      <c r="GX799"/>
      <c r="GY799"/>
      <c r="GZ799"/>
      <c r="HA799"/>
      <c r="HB799"/>
      <c r="HC799"/>
    </row>
    <row r="800" spans="1:211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51.693750000000001</v>
      </c>
      <c r="AO800">
        <v>40.020275087195941</v>
      </c>
      <c r="AP800">
        <v>30.182097989658875</v>
      </c>
      <c r="AQ800">
        <v>275.60170258241374</v>
      </c>
      <c r="AR800">
        <v>38.657532998163241</v>
      </c>
      <c r="AS800">
        <v>394.46230968888602</v>
      </c>
      <c r="AT800">
        <v>30.557868819858697</v>
      </c>
      <c r="AU800">
        <v>41.530120829350189</v>
      </c>
      <c r="AV800"/>
      <c r="AW800"/>
      <c r="FY800" s="211">
        <v>795</v>
      </c>
      <c r="FZ800">
        <v>34.389842312887538</v>
      </c>
      <c r="GA800">
        <v>66.141645325817251</v>
      </c>
      <c r="GB800">
        <v>32.08088029059958</v>
      </c>
      <c r="GC800">
        <v>11.038677024632422</v>
      </c>
      <c r="GD800">
        <v>6.5356735003038811</v>
      </c>
      <c r="GE800">
        <v>11.5193387459941</v>
      </c>
      <c r="GF800">
        <v>26.408119681519928</v>
      </c>
      <c r="GG800">
        <v>19.931604893067497</v>
      </c>
      <c r="GH800">
        <v>16.800230547751156</v>
      </c>
      <c r="GI800">
        <v>24.956851866281546</v>
      </c>
      <c r="GJ800"/>
      <c r="GK800">
        <v>35.55152438084658</v>
      </c>
      <c r="GL800">
        <v>58.453230232280347</v>
      </c>
      <c r="GM800">
        <v>56.833476161672678</v>
      </c>
      <c r="GN800">
        <v>36.409084305235673</v>
      </c>
      <c r="GO800">
        <v>28.386820554722643</v>
      </c>
      <c r="GP800">
        <v>24.716186580117171</v>
      </c>
      <c r="GQ800">
        <v>35.580124138713828</v>
      </c>
      <c r="GR800">
        <v>29.979658675282334</v>
      </c>
      <c r="GS800">
        <v>19.504182357440421</v>
      </c>
      <c r="GT800">
        <v>35.171225518679229</v>
      </c>
      <c r="GU800"/>
      <c r="GV800"/>
      <c r="GW800"/>
      <c r="GX800"/>
      <c r="GY800"/>
      <c r="GZ800"/>
      <c r="HA800"/>
      <c r="HB800"/>
      <c r="HC800"/>
    </row>
    <row r="801" spans="1:211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52.340384615384608</v>
      </c>
      <c r="AO801">
        <v>38.829869045833398</v>
      </c>
      <c r="AP801">
        <v>22.999132473096509</v>
      </c>
      <c r="AQ801">
        <v>268.11611698167951</v>
      </c>
      <c r="AR801">
        <v>37.728985469590775</v>
      </c>
      <c r="AS801">
        <v>363.60994198231509</v>
      </c>
      <c r="AT801">
        <v>30.195019758716228</v>
      </c>
      <c r="AU801">
        <v>48.908035989466384</v>
      </c>
      <c r="AV801"/>
      <c r="AW801"/>
      <c r="FY801" s="211">
        <v>796</v>
      </c>
      <c r="FZ801">
        <v>40.460190932031082</v>
      </c>
      <c r="GA801">
        <v>72.331371492671806</v>
      </c>
      <c r="GB801">
        <v>31.208681357698904</v>
      </c>
      <c r="GC801">
        <v>11.019158852435284</v>
      </c>
      <c r="GD801">
        <v>7.4134566781906557</v>
      </c>
      <c r="GE801">
        <v>10.608811362342355</v>
      </c>
      <c r="GF801">
        <v>18.63068676366797</v>
      </c>
      <c r="GG801">
        <v>10.627040523554944</v>
      </c>
      <c r="GH801">
        <v>6.627825347474638</v>
      </c>
      <c r="GI801">
        <v>23.044784481985491</v>
      </c>
      <c r="GJ801"/>
      <c r="GK801">
        <v>41.843164335605692</v>
      </c>
      <c r="GL801">
        <v>63.923452312841334</v>
      </c>
      <c r="GM801">
        <v>55.288316028527198</v>
      </c>
      <c r="GN801">
        <v>36.383020062439435</v>
      </c>
      <c r="GO801">
        <v>32.250297336740879</v>
      </c>
      <c r="GP801">
        <v>22.762535837059669</v>
      </c>
      <c r="GQ801">
        <v>25.101451971405428</v>
      </c>
      <c r="GR801">
        <v>15.984415170470438</v>
      </c>
      <c r="GS801">
        <v>7.4238728236184919</v>
      </c>
      <c r="GT801">
        <v>32.381420499179541</v>
      </c>
      <c r="GU801"/>
      <c r="GV801"/>
      <c r="GW801"/>
      <c r="GX801"/>
      <c r="GY801"/>
      <c r="GZ801"/>
      <c r="HA801"/>
      <c r="HB801"/>
      <c r="HC801"/>
    </row>
    <row r="802" spans="1:211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48.657692307692308</v>
      </c>
      <c r="AO802">
        <v>35.972006740384167</v>
      </c>
      <c r="AP802">
        <v>7.9609492159251163</v>
      </c>
      <c r="AQ802">
        <v>251.95356572004727</v>
      </c>
      <c r="AR802">
        <v>34.137155947847106</v>
      </c>
      <c r="AS802">
        <v>333.32805245368831</v>
      </c>
      <c r="AT802">
        <v>27.891869127893884</v>
      </c>
      <c r="AU802">
        <v>23.663401070927083</v>
      </c>
      <c r="AV802"/>
      <c r="AW802"/>
      <c r="FY802" s="211">
        <v>797</v>
      </c>
      <c r="FZ802">
        <v>43.734821613197489</v>
      </c>
      <c r="GA802">
        <v>69.85548102592999</v>
      </c>
      <c r="GB802">
        <v>36.371698029467282</v>
      </c>
      <c r="GC802">
        <v>15.605128631965101</v>
      </c>
      <c r="GD802">
        <v>7.5420030925134869</v>
      </c>
      <c r="GE802">
        <v>10.683521301513782</v>
      </c>
      <c r="GF802">
        <v>24.211104732974182</v>
      </c>
      <c r="GG802">
        <v>18.396587928554005</v>
      </c>
      <c r="GH802">
        <v>12.265402678426408</v>
      </c>
      <c r="GI802">
        <v>26.89823070211758</v>
      </c>
      <c r="GJ802"/>
      <c r="GK802">
        <v>45.212893669380392</v>
      </c>
      <c r="GL802">
        <v>61.735363480616947</v>
      </c>
      <c r="GM802">
        <v>64.434953598296403</v>
      </c>
      <c r="GN802">
        <v>51.533593680121427</v>
      </c>
      <c r="GO802">
        <v>32.814067469370485</v>
      </c>
      <c r="GP802">
        <v>22.922835385207978</v>
      </c>
      <c r="GQ802">
        <v>32.620047255293379</v>
      </c>
      <c r="GR802">
        <v>27.670798706214381</v>
      </c>
      <c r="GS802">
        <v>14.42469042549093</v>
      </c>
      <c r="GT802">
        <v>37.901330483566319</v>
      </c>
      <c r="GU802"/>
      <c r="GV802"/>
      <c r="GW802"/>
      <c r="GX802"/>
      <c r="GY802"/>
      <c r="GZ802"/>
      <c r="HA802"/>
      <c r="HB802"/>
      <c r="HC802"/>
    </row>
    <row r="803" spans="1:211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54.170058760683766</v>
      </c>
      <c r="AO803">
        <v>41.971305438712321</v>
      </c>
      <c r="AP803">
        <v>27.881295862785858</v>
      </c>
      <c r="AQ803">
        <v>292.23015270256951</v>
      </c>
      <c r="AR803">
        <v>40.206475630988848</v>
      </c>
      <c r="AS803">
        <v>379.1244051114333</v>
      </c>
      <c r="AT803">
        <v>31.949437589454977</v>
      </c>
      <c r="AU803">
        <v>29.711982615521503</v>
      </c>
      <c r="AV803"/>
      <c r="AW803"/>
      <c r="FY803" s="211">
        <v>798</v>
      </c>
      <c r="FZ803">
        <v>50.682337295887848</v>
      </c>
      <c r="GA803">
        <v>70.425647255155013</v>
      </c>
      <c r="GB803">
        <v>26.797560317741457</v>
      </c>
      <c r="GC803">
        <v>12.644553262874709</v>
      </c>
      <c r="GD803">
        <v>8.826689356101479</v>
      </c>
      <c r="GE803">
        <v>9.698283978690613</v>
      </c>
      <c r="GF803">
        <v>21.267104701922872</v>
      </c>
      <c r="GG803">
        <v>16.885186609648411</v>
      </c>
      <c r="GH803">
        <v>8.3719899125995436</v>
      </c>
      <c r="GI803">
        <v>25.042703421890305</v>
      </c>
      <c r="GJ803"/>
      <c r="GK803">
        <v>54.21722879863546</v>
      </c>
      <c r="GL803">
        <v>64.575612317526108</v>
      </c>
      <c r="GM803">
        <v>47.4737130562972</v>
      </c>
      <c r="GN803">
        <v>41.747600832635577</v>
      </c>
      <c r="GO803">
        <v>38.396338404160026</v>
      </c>
      <c r="GP803">
        <v>20.808885094002171</v>
      </c>
      <c r="GQ803">
        <v>28.653544231509972</v>
      </c>
      <c r="GR803">
        <v>25.397459659747472</v>
      </c>
      <c r="GS803">
        <v>9.3775235666759915</v>
      </c>
      <c r="GT803">
        <v>35.623669611455725</v>
      </c>
      <c r="GU803"/>
      <c r="GV803"/>
      <c r="GW803"/>
      <c r="GX803"/>
      <c r="GY803"/>
      <c r="GZ803"/>
      <c r="HA803"/>
      <c r="HB803"/>
      <c r="HC803"/>
    </row>
    <row r="804" spans="1:211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57.839583333333337</v>
      </c>
      <c r="AO804">
        <v>44.458646808967693</v>
      </c>
      <c r="AP804">
        <v>27.29375806845243</v>
      </c>
      <c r="AQ804">
        <v>326.49424762612227</v>
      </c>
      <c r="AR804">
        <v>42.60108190827885</v>
      </c>
      <c r="AS804">
        <v>393.44521267694932</v>
      </c>
      <c r="AT804">
        <v>33.790819451993521</v>
      </c>
      <c r="AU804">
        <v>28.305263996634963</v>
      </c>
      <c r="AV804"/>
      <c r="AW804"/>
      <c r="FY804" s="211">
        <v>799</v>
      </c>
      <c r="FZ804">
        <v>51.873356568660711</v>
      </c>
      <c r="GA804">
        <v>72.764306674909875</v>
      </c>
      <c r="GB804">
        <v>28.892842811721248</v>
      </c>
      <c r="GC804">
        <v>15.522927719902937</v>
      </c>
      <c r="GD804">
        <v>8.1556371078225638</v>
      </c>
      <c r="GE804">
        <v>15.044714000645719</v>
      </c>
      <c r="GF804">
        <v>21.724083811220389</v>
      </c>
      <c r="GG804">
        <v>12.445445235363239</v>
      </c>
      <c r="GH804">
        <v>11.916569765401425</v>
      </c>
      <c r="GI804">
        <v>25.949397057318478</v>
      </c>
      <c r="GJ804"/>
      <c r="GK804">
        <v>57.256877290536281</v>
      </c>
      <c r="GL804">
        <v>68.978781748881261</v>
      </c>
      <c r="GM804">
        <v>51.185649468106455</v>
      </c>
      <c r="GN804">
        <v>51.246736578855788</v>
      </c>
      <c r="GO804">
        <v>35.467249808006763</v>
      </c>
      <c r="GP804">
        <v>32.280321508365432</v>
      </c>
      <c r="GQ804">
        <v>29.269240223261427</v>
      </c>
      <c r="GR804">
        <v>18.719526210750939</v>
      </c>
      <c r="GS804">
        <v>14.03396027687943</v>
      </c>
      <c r="GT804">
        <v>37.442595413358063</v>
      </c>
      <c r="GU804"/>
      <c r="GV804"/>
      <c r="GW804"/>
      <c r="GX804"/>
      <c r="GY804"/>
      <c r="GZ804"/>
      <c r="HA804"/>
      <c r="HB804"/>
      <c r="HC804"/>
    </row>
    <row r="805" spans="1:211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46.356250000000003</v>
      </c>
      <c r="AO805">
        <v>36.094117334221572</v>
      </c>
      <c r="AP805">
        <v>20.279329523098859</v>
      </c>
      <c r="AQ805">
        <v>249.5044100763939</v>
      </c>
      <c r="AR805">
        <v>33.857435429996912</v>
      </c>
      <c r="AS805">
        <v>321.95651395664669</v>
      </c>
      <c r="AT805">
        <v>27.100415614291808</v>
      </c>
      <c r="AU805">
        <v>14.284408090016907</v>
      </c>
      <c r="AV805"/>
      <c r="AW805"/>
      <c r="FY805" s="211">
        <v>800</v>
      </c>
      <c r="FZ805">
        <v>39.445593603839654</v>
      </c>
      <c r="GA805">
        <v>81.920852993599169</v>
      </c>
      <c r="GB805">
        <v>34.286440810578306</v>
      </c>
      <c r="GC805">
        <v>13.381058483710262</v>
      </c>
      <c r="GD805">
        <v>9.8451967916741001</v>
      </c>
      <c r="GE805">
        <v>11.715452336319089</v>
      </c>
      <c r="GF805">
        <v>29.334543592982861</v>
      </c>
      <c r="GG805">
        <v>21.254081047109885</v>
      </c>
      <c r="GH805">
        <v>10.116154477724445</v>
      </c>
      <c r="GI805">
        <v>27.733936430744428</v>
      </c>
      <c r="GJ805"/>
      <c r="GK805">
        <v>42.590989587100381</v>
      </c>
      <c r="GL805">
        <v>74.73459618142509</v>
      </c>
      <c r="GM805">
        <v>60.740777647787674</v>
      </c>
      <c r="GN805">
        <v>44.191681551800414</v>
      </c>
      <c r="GO805">
        <v>42.84188649296069</v>
      </c>
      <c r="GP805">
        <v>25.136972894006476</v>
      </c>
      <c r="GQ805">
        <v>39.522946547429861</v>
      </c>
      <c r="GR805">
        <v>31.968830340940869</v>
      </c>
      <c r="GS805">
        <v>11.331174309733488</v>
      </c>
      <c r="GT805">
        <v>39.405554917002419</v>
      </c>
      <c r="GU805"/>
      <c r="GV805"/>
      <c r="GW805"/>
      <c r="GX805"/>
      <c r="GY805"/>
      <c r="GZ805"/>
      <c r="HA805"/>
      <c r="HB805"/>
      <c r="HC805"/>
    </row>
    <row r="806" spans="1:211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45.499011752136759</v>
      </c>
      <c r="AO806">
        <v>35.04911284352491</v>
      </c>
      <c r="AP806">
        <v>22.956310091068929</v>
      </c>
      <c r="AQ806">
        <v>244.12258755989569</v>
      </c>
      <c r="AR806">
        <v>33.481564002908158</v>
      </c>
      <c r="AS806">
        <v>320.87152076407511</v>
      </c>
      <c r="AT806">
        <v>26.410119278989018</v>
      </c>
      <c r="AU806">
        <v>28.025515788541863</v>
      </c>
      <c r="AV806"/>
      <c r="AW806"/>
      <c r="FY806" s="211">
        <v>801</v>
      </c>
      <c r="FZ806">
        <v>47.003655563056356</v>
      </c>
      <c r="GA806">
        <v>72.017291126631903</v>
      </c>
      <c r="GB806">
        <v>26.125866886657036</v>
      </c>
      <c r="GC806">
        <v>15.914318852357102</v>
      </c>
      <c r="GD806">
        <v>10.856351729953367</v>
      </c>
      <c r="GE806">
        <v>13.872701829893986</v>
      </c>
      <c r="GF806">
        <v>23.587152487587186</v>
      </c>
      <c r="GG806">
        <v>16.365642406274617</v>
      </c>
      <c r="GH806">
        <v>12.265402678426408</v>
      </c>
      <c r="GI806">
        <v>26.675052847035026</v>
      </c>
      <c r="GJ806"/>
      <c r="GK806">
        <v>50.416811739274124</v>
      </c>
      <c r="GL806">
        <v>65.982240852527511</v>
      </c>
      <c r="GM806">
        <v>46.283762149162186</v>
      </c>
      <c r="GN806">
        <v>52.550959999681936</v>
      </c>
      <c r="GO806">
        <v>47.233751124171604</v>
      </c>
      <c r="GP806">
        <v>29.765622346788856</v>
      </c>
      <c r="GQ806">
        <v>31.779385420401972</v>
      </c>
      <c r="GR806">
        <v>24.615999362524477</v>
      </c>
      <c r="GS806">
        <v>14.42469042549093</v>
      </c>
      <c r="GT806">
        <v>38.027680171700169</v>
      </c>
      <c r="GU806"/>
      <c r="GV806"/>
      <c r="GW806"/>
      <c r="GX806"/>
      <c r="GY806"/>
      <c r="GZ806"/>
      <c r="HA806"/>
      <c r="HB806"/>
      <c r="HC806"/>
    </row>
    <row r="807" spans="1:211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54.874172008547021</v>
      </c>
      <c r="AO807">
        <v>44.803031174190679</v>
      </c>
      <c r="AP807">
        <v>53.906079968827072</v>
      </c>
      <c r="AQ807">
        <v>312.48358793161856</v>
      </c>
      <c r="AR807">
        <v>43.304769664129964</v>
      </c>
      <c r="AS807">
        <v>390.77733482169413</v>
      </c>
      <c r="AT807">
        <v>33.35316079189959</v>
      </c>
      <c r="AU807">
        <v>27.717113459762214</v>
      </c>
      <c r="AV807"/>
      <c r="AW807"/>
      <c r="FY807" s="211">
        <v>802</v>
      </c>
      <c r="FZ807">
        <v>43.426966475795574</v>
      </c>
      <c r="GA807">
        <v>88.955207483652615</v>
      </c>
      <c r="GB807">
        <v>41.464537775599958</v>
      </c>
      <c r="GC807">
        <v>13.640611839612735</v>
      </c>
      <c r="GD807">
        <v>8.6465924842345725</v>
      </c>
      <c r="GE807">
        <v>10.744223127090562</v>
      </c>
      <c r="GF807">
        <v>36.778030238655873</v>
      </c>
      <c r="GG807">
        <v>27.488611487595456</v>
      </c>
      <c r="GH807">
        <v>8.7208228256245235</v>
      </c>
      <c r="GI807">
        <v>30.645153500101419</v>
      </c>
      <c r="GJ807"/>
      <c r="GK807">
        <v>44.908378711863001</v>
      </c>
      <c r="GL807">
        <v>78.614905900633715</v>
      </c>
      <c r="GM807">
        <v>73.45726793896192</v>
      </c>
      <c r="GN807">
        <v>45.045105151663797</v>
      </c>
      <c r="GO807">
        <v>37.621232328045295</v>
      </c>
      <c r="GP807">
        <v>23.053078768078475</v>
      </c>
      <c r="GQ807">
        <v>49.55168702845836</v>
      </c>
      <c r="GR807">
        <v>41.346353907616866</v>
      </c>
      <c r="GS807">
        <v>9.7682537152874911</v>
      </c>
      <c r="GT807">
        <v>43.061363944523208</v>
      </c>
      <c r="GU807"/>
      <c r="GV807"/>
      <c r="GW807"/>
      <c r="GX807"/>
      <c r="GY807"/>
      <c r="GZ807"/>
      <c r="HA807"/>
      <c r="HB807"/>
      <c r="HC807"/>
    </row>
    <row r="808" spans="1:211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48.472142094017094</v>
      </c>
      <c r="AO808">
        <v>37.803469761539461</v>
      </c>
      <c r="AP808">
        <v>19.142043721489973</v>
      </c>
      <c r="AQ808">
        <v>254.16575006452302</v>
      </c>
      <c r="AR808">
        <v>36.58068368106553</v>
      </c>
      <c r="AS808">
        <v>332.29054989015839</v>
      </c>
      <c r="AT808">
        <v>29.447794300476939</v>
      </c>
      <c r="AU808">
        <v>26.469142321156774</v>
      </c>
      <c r="AV808"/>
      <c r="AW808"/>
      <c r="FY808" s="211">
        <v>803</v>
      </c>
      <c r="FZ808">
        <v>61.58807063678416</v>
      </c>
      <c r="GA808">
        <v>95.321782969560175</v>
      </c>
      <c r="GB808">
        <v>26.667231741560904</v>
      </c>
      <c r="GC808">
        <v>11.791638637377664</v>
      </c>
      <c r="GD808">
        <v>9.5789429465531502</v>
      </c>
      <c r="GE808">
        <v>11.822847873878013</v>
      </c>
      <c r="GF808">
        <v>28.0778510424147</v>
      </c>
      <c r="GG808">
        <v>24.890890470726479</v>
      </c>
      <c r="GH808">
        <v>15.80998253122829</v>
      </c>
      <c r="GI808">
        <v>29.667926232412292</v>
      </c>
      <c r="GJ808"/>
      <c r="GK808">
        <v>63.684095080874549</v>
      </c>
      <c r="GL808">
        <v>84.241420040639326</v>
      </c>
      <c r="GM808">
        <v>47.242827059390414</v>
      </c>
      <c r="GN808">
        <v>38.938238842945601</v>
      </c>
      <c r="GO808">
        <v>41.678814640549341</v>
      </c>
      <c r="GP808">
        <v>25.36740349446967</v>
      </c>
      <c r="GQ808">
        <v>37.829782570113373</v>
      </c>
      <c r="GR808">
        <v>37.439052421501877</v>
      </c>
      <c r="GS808">
        <v>19.081127135694366</v>
      </c>
      <c r="GT808">
        <v>41.903329297324412</v>
      </c>
      <c r="GU808"/>
      <c r="GV808"/>
      <c r="GW808"/>
      <c r="GX808"/>
      <c r="GY808"/>
      <c r="GZ808"/>
      <c r="HA808"/>
      <c r="HB808"/>
      <c r="HC808"/>
    </row>
    <row r="809" spans="1:211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52.963514957264962</v>
      </c>
      <c r="AO809">
        <v>39.389741082437524</v>
      </c>
      <c r="AP809">
        <v>13.450173003691384</v>
      </c>
      <c r="AQ809">
        <v>262.98585056112006</v>
      </c>
      <c r="AR809">
        <v>37.563835775165842</v>
      </c>
      <c r="AS809">
        <v>377.87184994952332</v>
      </c>
      <c r="AT809">
        <v>30.505899743981129</v>
      </c>
      <c r="AU809">
        <v>31.126550608331577</v>
      </c>
      <c r="AV809"/>
      <c r="AW809"/>
      <c r="FY809" s="211">
        <v>804</v>
      </c>
      <c r="FZ809">
        <v>68.875391937846004</v>
      </c>
      <c r="GA809">
        <v>90.498044967669074</v>
      </c>
      <c r="GB809">
        <v>33.514494628585759</v>
      </c>
      <c r="GC809">
        <v>17.887096292809648</v>
      </c>
      <c r="GD809">
        <v>9.6223314135180029</v>
      </c>
      <c r="GE809">
        <v>12.247760652915492</v>
      </c>
      <c r="GF809">
        <v>29.387271951747973</v>
      </c>
      <c r="GG809">
        <v>22.85994494844709</v>
      </c>
      <c r="GH809">
        <v>15.80998253122829</v>
      </c>
      <c r="GI809">
        <v>32.690552734790572</v>
      </c>
      <c r="GJ809"/>
      <c r="GK809">
        <v>73.024833583250285</v>
      </c>
      <c r="GL809">
        <v>82.314761064488195</v>
      </c>
      <c r="GM809">
        <v>59.373222127647431</v>
      </c>
      <c r="GN809">
        <v>59.059051904316689</v>
      </c>
      <c r="GO809">
        <v>41.854629661433407</v>
      </c>
      <c r="GP809">
        <v>26.279107174563165</v>
      </c>
      <c r="GQ809">
        <v>39.593988392631971</v>
      </c>
      <c r="GR809">
        <v>34.384253077811977</v>
      </c>
      <c r="GS809">
        <v>19.081127135694366</v>
      </c>
      <c r="GT809">
        <v>46.585560180131495</v>
      </c>
      <c r="GU809"/>
      <c r="GV809"/>
      <c r="GW809"/>
      <c r="GX809"/>
      <c r="GY809"/>
      <c r="GZ809"/>
      <c r="HA809"/>
      <c r="HB809"/>
      <c r="HC809"/>
    </row>
    <row r="810" spans="1:211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56.297649572649576</v>
      </c>
      <c r="AO810">
        <v>43.273177856001823</v>
      </c>
      <c r="AP810">
        <v>33.858090620911611</v>
      </c>
      <c r="AQ810">
        <v>278.67118316747838</v>
      </c>
      <c r="AR810">
        <v>41.01376059609661</v>
      </c>
      <c r="AS810">
        <v>412.93700936268192</v>
      </c>
      <c r="AT810">
        <v>32.48872861754964</v>
      </c>
      <c r="AU810">
        <v>27.529908911459472</v>
      </c>
      <c r="AV810"/>
      <c r="AW810"/>
      <c r="FY810" s="211">
        <v>805</v>
      </c>
      <c r="FZ810">
        <v>48.352405909149539</v>
      </c>
      <c r="GA810">
        <v>83.561303252536504</v>
      </c>
      <c r="GB810">
        <v>40.13117618852192</v>
      </c>
      <c r="GC810">
        <v>16.664650624575785</v>
      </c>
      <c r="GD810">
        <v>6.6296015344707264</v>
      </c>
      <c r="GE810">
        <v>7.8165273858103461</v>
      </c>
      <c r="GF810">
        <v>20.854065891596271</v>
      </c>
      <c r="GG810">
        <v>20.758152489343992</v>
      </c>
      <c r="GH810">
        <v>13.368152140053422</v>
      </c>
      <c r="GI810">
        <v>27.511130043725899</v>
      </c>
      <c r="GJ810"/>
      <c r="GK810">
        <v>50.013459022271945</v>
      </c>
      <c r="GL810">
        <v>73.84799808757343</v>
      </c>
      <c r="GM810">
        <v>71.095126585992418</v>
      </c>
      <c r="GN810">
        <v>55.02150703533119</v>
      </c>
      <c r="GO810">
        <v>28.830291374383425</v>
      </c>
      <c r="GP810">
        <v>16.771340225016679</v>
      </c>
      <c r="GQ810">
        <v>28.097049777426928</v>
      </c>
      <c r="GR810">
        <v>31.222890966318921</v>
      </c>
      <c r="GS810">
        <v>16.346016095413869</v>
      </c>
      <c r="GT810">
        <v>38.876388571097714</v>
      </c>
      <c r="GU810"/>
      <c r="GV810"/>
      <c r="GW810"/>
      <c r="GX810"/>
      <c r="GY810"/>
      <c r="GZ810"/>
      <c r="HA810"/>
      <c r="HB810"/>
      <c r="HC810"/>
    </row>
    <row r="811" spans="1:211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50.101602564102564</v>
      </c>
      <c r="AO811">
        <v>36.058551290499096</v>
      </c>
      <c r="AP811">
        <v>23.399187438818423</v>
      </c>
      <c r="AQ811">
        <v>249.8028641888549</v>
      </c>
      <c r="AR811">
        <v>35.171225518679236</v>
      </c>
      <c r="AS811">
        <v>328.43185337344823</v>
      </c>
      <c r="AT811">
        <v>27.786802272002021</v>
      </c>
      <c r="AU811">
        <v>27.53386609211227</v>
      </c>
      <c r="AV811"/>
      <c r="AW811"/>
      <c r="FY811" s="211">
        <v>806</v>
      </c>
      <c r="FZ811">
        <v>47.442799762440899</v>
      </c>
      <c r="GA811">
        <v>72.066097514092334</v>
      </c>
      <c r="GB811">
        <v>26.687282291742527</v>
      </c>
      <c r="GC811">
        <v>12.439801196855392</v>
      </c>
      <c r="GD811">
        <v>8.7230948602883043</v>
      </c>
      <c r="GE811">
        <v>6.2522880344086325</v>
      </c>
      <c r="GF811">
        <v>27.910877906325226</v>
      </c>
      <c r="GG811">
        <v>26.21336662476887</v>
      </c>
      <c r="GH811">
        <v>11.567736852376445</v>
      </c>
      <c r="GI811">
        <v>26.330780383576926</v>
      </c>
      <c r="GJ811"/>
      <c r="GK811">
        <v>49.064487485660585</v>
      </c>
      <c r="GL811">
        <v>63.689014223674434</v>
      </c>
      <c r="GM811">
        <v>47.278347981991459</v>
      </c>
      <c r="GN811">
        <v>41.071337113884915</v>
      </c>
      <c r="GO811">
        <v>37.945495924992912</v>
      </c>
      <c r="GP811">
        <v>13.415068435661485</v>
      </c>
      <c r="GQ811">
        <v>37.604816726973418</v>
      </c>
      <c r="GR811">
        <v>39.428224087160423</v>
      </c>
      <c r="GS811">
        <v>13.64323012826793</v>
      </c>
      <c r="GT811">
        <v>37.107275649577261</v>
      </c>
      <c r="GU811"/>
      <c r="GV811"/>
      <c r="GW811"/>
      <c r="GX811"/>
      <c r="GY811"/>
      <c r="GZ811"/>
      <c r="HA811"/>
      <c r="HB811"/>
      <c r="HC811"/>
    </row>
    <row r="812" spans="1:211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45.093723290598284</v>
      </c>
      <c r="AO812">
        <v>33.334194637788812</v>
      </c>
      <c r="AP812">
        <v>6.2742094038738294</v>
      </c>
      <c r="AQ812">
        <v>231.97200779205312</v>
      </c>
      <c r="AR812">
        <v>32.381420499179541</v>
      </c>
      <c r="AS812">
        <v>325.58155768151858</v>
      </c>
      <c r="AT812">
        <v>26.409170215069391</v>
      </c>
      <c r="AU812">
        <v>36.244894553845498</v>
      </c>
      <c r="AV812"/>
      <c r="AW812"/>
      <c r="FY812" s="211">
        <v>807</v>
      </c>
      <c r="FZ812">
        <v>38.571425076204925</v>
      </c>
      <c r="GA812">
        <v>59.067672563697748</v>
      </c>
      <c r="GB812">
        <v>26.346422938654904</v>
      </c>
      <c r="GC812">
        <v>13.838733494385369</v>
      </c>
      <c r="GD812">
        <v>10.641790491834142</v>
      </c>
      <c r="GE812">
        <v>14.447034487274319</v>
      </c>
      <c r="GF812">
        <v>20.687092755506796</v>
      </c>
      <c r="GG812">
        <v>8.8322514573545572</v>
      </c>
      <c r="GH812">
        <v>8.3719899125995418</v>
      </c>
      <c r="GI812">
        <v>24.212333476669627</v>
      </c>
      <c r="GJ812"/>
      <c r="GK812">
        <v>39.889513592548191</v>
      </c>
      <c r="GL812">
        <v>52.201547854496333</v>
      </c>
      <c r="GM812">
        <v>46.674492297773682</v>
      </c>
      <c r="GN812">
        <v>45.691789430682441</v>
      </c>
      <c r="GO812">
        <v>46.295645114900211</v>
      </c>
      <c r="GP812">
        <v>30.997925123178973</v>
      </c>
      <c r="GQ812">
        <v>27.87208393428698</v>
      </c>
      <c r="GR812">
        <v>13.284825052790989</v>
      </c>
      <c r="GS812">
        <v>9.3775235666759897</v>
      </c>
      <c r="GT812">
        <v>34.021851701237011</v>
      </c>
      <c r="GU812"/>
      <c r="GV812"/>
      <c r="GW812"/>
      <c r="GX812"/>
      <c r="GY812"/>
      <c r="GZ812"/>
      <c r="HA812"/>
      <c r="HB812"/>
      <c r="HC812"/>
    </row>
    <row r="813" spans="1:211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53.263888888888893</v>
      </c>
      <c r="AO813">
        <v>39.127057415355871</v>
      </c>
      <c r="AP813">
        <v>21.307026477293221</v>
      </c>
      <c r="AQ813">
        <v>265.56397973665929</v>
      </c>
      <c r="AR813">
        <v>37.90133048356634</v>
      </c>
      <c r="AS813">
        <v>372.27623719832525</v>
      </c>
      <c r="AT813">
        <v>30.399544669438271</v>
      </c>
      <c r="AU813">
        <v>43.791861821134816</v>
      </c>
      <c r="AV813"/>
      <c r="AW813"/>
      <c r="FY813" s="211">
        <v>808</v>
      </c>
      <c r="FZ813">
        <v>35.796352418257911</v>
      </c>
      <c r="GA813">
        <v>45.096576358511768</v>
      </c>
      <c r="GB813">
        <v>24.581974522671928</v>
      </c>
      <c r="GC813">
        <v>14.522493465376753</v>
      </c>
      <c r="GD813">
        <v>8.7294680808851162</v>
      </c>
      <c r="GE813">
        <v>13.826008117911844</v>
      </c>
      <c r="GF813">
        <v>23.72776144429411</v>
      </c>
      <c r="GG813">
        <v>12.681601691442236</v>
      </c>
      <c r="GH813">
        <v>13.424402862605493</v>
      </c>
      <c r="GI813">
        <v>23.624730049877702</v>
      </c>
      <c r="GJ813"/>
      <c r="GK813">
        <v>37.015629709910712</v>
      </c>
      <c r="GL813">
        <v>39.854475158372964</v>
      </c>
      <c r="GM813">
        <v>43.548651108881685</v>
      </c>
      <c r="GN813">
        <v>47.95782080494952</v>
      </c>
      <c r="GO813">
        <v>37.981906311378999</v>
      </c>
      <c r="GP813">
        <v>29.665435129196162</v>
      </c>
      <c r="GQ813">
        <v>31.968830340940876</v>
      </c>
      <c r="GR813">
        <v>19.07473543676139</v>
      </c>
      <c r="GS813">
        <v>17.09515131950231</v>
      </c>
      <c r="GT813">
        <v>33.522033758122916</v>
      </c>
      <c r="GU813"/>
      <c r="GV813"/>
      <c r="GW813"/>
      <c r="GX813"/>
      <c r="GY813"/>
      <c r="GZ813"/>
      <c r="HA813"/>
      <c r="HB813"/>
      <c r="HC813"/>
    </row>
    <row r="814" spans="1:211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47.334642094017092</v>
      </c>
      <c r="AO814">
        <v>36.627157557264574</v>
      </c>
      <c r="AP814">
        <v>21.782022554219871</v>
      </c>
      <c r="AQ814">
        <v>250.64205611251222</v>
      </c>
      <c r="AR814">
        <v>35.623669611455746</v>
      </c>
      <c r="AS814">
        <v>332.32838007827144</v>
      </c>
      <c r="AT814">
        <v>28.319403571435657</v>
      </c>
      <c r="AU814">
        <v>42.457987794416475</v>
      </c>
      <c r="AV814"/>
      <c r="AW814"/>
      <c r="FY814" s="211">
        <v>809</v>
      </c>
      <c r="FZ814">
        <v>40.872893120077975</v>
      </c>
      <c r="GA814">
        <v>78.344248340473371</v>
      </c>
      <c r="GB814">
        <v>30.095875822618726</v>
      </c>
      <c r="GC814">
        <v>13.031307165355647</v>
      </c>
      <c r="GD814">
        <v>8.9309116973438272</v>
      </c>
      <c r="GE814">
        <v>9.6702677515013296</v>
      </c>
      <c r="GF814">
        <v>21.8207524689564</v>
      </c>
      <c r="GG814">
        <v>19.978836184283296</v>
      </c>
      <c r="GH814">
        <v>12.557984868899313</v>
      </c>
      <c r="GI814">
        <v>25.321298552874953</v>
      </c>
      <c r="GJ814"/>
      <c r="GK814">
        <v>42.277002079764259</v>
      </c>
      <c r="GL814">
        <v>69.237382333957726</v>
      </c>
      <c r="GM814">
        <v>53.316904824169171</v>
      </c>
      <c r="GN814">
        <v>43.02498785694241</v>
      </c>
      <c r="GO814">
        <v>38.849913261988767</v>
      </c>
      <c r="GP814">
        <v>20.74877276344656</v>
      </c>
      <c r="GQ814">
        <v>29.399483606131923</v>
      </c>
      <c r="GR814">
        <v>30.050700520484423</v>
      </c>
      <c r="GS814">
        <v>14.066285350013986</v>
      </c>
      <c r="GT814">
        <v>35.581917824413622</v>
      </c>
      <c r="GU814"/>
      <c r="GV814"/>
      <c r="GW814"/>
      <c r="GX814"/>
      <c r="GY814"/>
      <c r="GZ814"/>
      <c r="HA814"/>
      <c r="HB814"/>
      <c r="HC814"/>
    </row>
    <row r="815" spans="1:211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48.586485042735028</v>
      </c>
      <c r="AO815">
        <v>39.588093852700183</v>
      </c>
      <c r="AP815">
        <v>28.45065656671477</v>
      </c>
      <c r="AQ815">
        <v>264.28928075296659</v>
      </c>
      <c r="AR815">
        <v>37.442595413358092</v>
      </c>
      <c r="AS815">
        <v>351.26923020508696</v>
      </c>
      <c r="AT815">
        <v>29.248628779451376</v>
      </c>
      <c r="AU815">
        <v>3.2872858356780981</v>
      </c>
      <c r="AV815"/>
      <c r="AW815"/>
      <c r="FY815" s="211">
        <v>810</v>
      </c>
      <c r="FZ815">
        <v>33.445631620651682</v>
      </c>
      <c r="GA815">
        <v>52.258973780157753</v>
      </c>
      <c r="GB815">
        <v>22.165883225786146</v>
      </c>
      <c r="GC815">
        <v>12.850019055085875</v>
      </c>
      <c r="GD815">
        <v>7.9945651314409778</v>
      </c>
      <c r="GE815">
        <v>10.001793106574528</v>
      </c>
      <c r="GF815">
        <v>22.567737551461956</v>
      </c>
      <c r="GG815">
        <v>17.097727420119515</v>
      </c>
      <c r="GH815">
        <v>9.8235722872515403</v>
      </c>
      <c r="GI815">
        <v>21.377954323533132</v>
      </c>
      <c r="GJ815"/>
      <c r="GK815">
        <v>34.589952769947502</v>
      </c>
      <c r="GL815">
        <v>46.184303565879254</v>
      </c>
      <c r="GM815">
        <v>39.268379935455712</v>
      </c>
      <c r="GN815">
        <v>42.441582354482428</v>
      </c>
      <c r="GO815">
        <v>34.792288291280379</v>
      </c>
      <c r="GP815">
        <v>21.460102008354671</v>
      </c>
      <c r="GQ815">
        <v>30.405909746494881</v>
      </c>
      <c r="GR815">
        <v>25.717147963156886</v>
      </c>
      <c r="GS815">
        <v>11.689579385210433</v>
      </c>
      <c r="GT815">
        <v>30.149222025677776</v>
      </c>
      <c r="GU815"/>
      <c r="GV815"/>
      <c r="GW815"/>
      <c r="GX815"/>
      <c r="GY815"/>
      <c r="GZ815"/>
      <c r="HA815"/>
      <c r="HB815"/>
      <c r="HC815"/>
    </row>
    <row r="816" spans="1:211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53.348664529914529</v>
      </c>
      <c r="AO816">
        <v>41.246541047018738</v>
      </c>
      <c r="AP816">
        <v>22.721236611405068</v>
      </c>
      <c r="AQ816">
        <v>279.03331056828222</v>
      </c>
      <c r="AR816">
        <v>39.405554917002441</v>
      </c>
      <c r="AS816">
        <v>365.3647585487119</v>
      </c>
      <c r="AT816">
        <v>31.572409792903525</v>
      </c>
      <c r="AU816">
        <v>26.262081589569256</v>
      </c>
      <c r="AV816"/>
      <c r="AW816"/>
      <c r="FY816" s="211">
        <v>811</v>
      </c>
      <c r="FZ816">
        <v>53.195809034254054</v>
      </c>
      <c r="GA816">
        <v>85.634688693711894</v>
      </c>
      <c r="GB816">
        <v>36.281470553649967</v>
      </c>
      <c r="GC816">
        <v>18.021817390475153</v>
      </c>
      <c r="GD816">
        <v>10.124283959540263</v>
      </c>
      <c r="GE816">
        <v>12.187058827338712</v>
      </c>
      <c r="GF816">
        <v>28.921504782656271</v>
      </c>
      <c r="GG816">
        <v>21.230465401501995</v>
      </c>
      <c r="GH816">
        <v>10.813820303774412</v>
      </c>
      <c r="GI816">
        <v>30.465184852324192</v>
      </c>
      <c r="GJ816"/>
      <c r="GK816">
        <v>56.813566996558961</v>
      </c>
      <c r="GL816">
        <v>78.016729429761682</v>
      </c>
      <c r="GM816">
        <v>64.275109446591699</v>
      </c>
      <c r="GN816">
        <v>59.51169464015603</v>
      </c>
      <c r="GO816">
        <v>44.047797604723989</v>
      </c>
      <c r="GP816">
        <v>26.148863791692669</v>
      </c>
      <c r="GQ816">
        <v>38.966452093346831</v>
      </c>
      <c r="GR816">
        <v>31.933309418339835</v>
      </c>
      <c r="GS816">
        <v>12.11263460695649</v>
      </c>
      <c r="GT816">
        <v>43.243112149635586</v>
      </c>
      <c r="GU816"/>
      <c r="GV816"/>
      <c r="GW816"/>
      <c r="GX816"/>
      <c r="GY816"/>
      <c r="GZ816"/>
      <c r="HA816"/>
      <c r="HB816"/>
      <c r="HC816"/>
    </row>
    <row r="817" spans="1:211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51.33247863247864</v>
      </c>
      <c r="AO817">
        <v>40.10809035917238</v>
      </c>
      <c r="AP817">
        <v>20.974902258158924</v>
      </c>
      <c r="AQ817">
        <v>264.68343640787299</v>
      </c>
      <c r="AR817">
        <v>38.02768017170019</v>
      </c>
      <c r="AS817">
        <v>360.78758244592024</v>
      </c>
      <c r="AT817">
        <v>30.448788541099393</v>
      </c>
      <c r="AU817">
        <v>21.462558217097516</v>
      </c>
      <c r="AV817"/>
      <c r="AW817"/>
      <c r="FY817" s="211">
        <v>812</v>
      </c>
      <c r="FZ817">
        <v>62.156893960736809</v>
      </c>
      <c r="GA817">
        <v>70.46526552722105</v>
      </c>
      <c r="GB817">
        <v>26.015588860658099</v>
      </c>
      <c r="GC817">
        <v>14.771517231547319</v>
      </c>
      <c r="GD817">
        <v>7.9686141870352554</v>
      </c>
      <c r="GE817">
        <v>14.236912783354683</v>
      </c>
      <c r="GF817">
        <v>27.620871933117183</v>
      </c>
      <c r="GG817">
        <v>20.498380387657097</v>
      </c>
      <c r="GH817">
        <v>16.800230547751159</v>
      </c>
      <c r="GI817">
        <v>28.533902475267553</v>
      </c>
      <c r="GJ817"/>
      <c r="GK817">
        <v>67.887887351341007</v>
      </c>
      <c r="GL817">
        <v>66.946984976101476</v>
      </c>
      <c r="GM817">
        <v>46.088397074856438</v>
      </c>
      <c r="GN817">
        <v>48.787987192535887</v>
      </c>
      <c r="GO817">
        <v>34.679349973266802</v>
      </c>
      <c r="GP817">
        <v>30.547082644011851</v>
      </c>
      <c r="GQ817">
        <v>37.214086578361915</v>
      </c>
      <c r="GR817">
        <v>30.832160817707422</v>
      </c>
      <c r="GS817">
        <v>19.504182357440424</v>
      </c>
      <c r="GT817">
        <v>41.074780667053318</v>
      </c>
      <c r="GU817"/>
      <c r="GV817"/>
      <c r="GW817"/>
      <c r="GX817"/>
      <c r="GY817"/>
      <c r="GZ817"/>
      <c r="HA817"/>
      <c r="HB817"/>
      <c r="HC817"/>
    </row>
    <row r="818" spans="1:211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60.234722222222231</v>
      </c>
      <c r="AO818">
        <v>44.642762739513202</v>
      </c>
      <c r="AP818">
        <v>7.078290594293696</v>
      </c>
      <c r="AQ818">
        <v>310.51075723796322</v>
      </c>
      <c r="AR818">
        <v>43.061363944523258</v>
      </c>
      <c r="AS818">
        <v>432.03023178001644</v>
      </c>
      <c r="AT818">
        <v>35.208408278551161</v>
      </c>
      <c r="AU818">
        <v>44.628481976913541</v>
      </c>
      <c r="AV818"/>
      <c r="AW818"/>
      <c r="FY818" s="211">
        <v>813</v>
      </c>
      <c r="FZ818">
        <v>50.228544888297321</v>
      </c>
      <c r="GA818">
        <v>87.708074134887326</v>
      </c>
      <c r="GB818">
        <v>34.29646608566911</v>
      </c>
      <c r="GC818">
        <v>14.713733273840587</v>
      </c>
      <c r="GD818">
        <v>8.5183027348740143</v>
      </c>
      <c r="GE818">
        <v>9.8943975690156041</v>
      </c>
      <c r="GF818">
        <v>16.627009130594246</v>
      </c>
      <c r="GG818">
        <v>10.910428270849746</v>
      </c>
      <c r="GH818">
        <v>12.265402678426408</v>
      </c>
      <c r="GI818">
        <v>26.374570255471433</v>
      </c>
      <c r="GJ818"/>
      <c r="GK818">
        <v>55.54396467378956</v>
      </c>
      <c r="GL818">
        <v>82.185460771949977</v>
      </c>
      <c r="GM818">
        <v>60.758538109088185</v>
      </c>
      <c r="GN818">
        <v>48.589455672227082</v>
      </c>
      <c r="GO818">
        <v>37.062916288187836</v>
      </c>
      <c r="GP818">
        <v>21.22967140789148</v>
      </c>
      <c r="GQ818">
        <v>22.401861853725979</v>
      </c>
      <c r="GR818">
        <v>16.410666241682986</v>
      </c>
      <c r="GS818">
        <v>14.42469042549093</v>
      </c>
      <c r="GT818">
        <v>38.0383942700565</v>
      </c>
      <c r="GU818"/>
      <c r="GV818"/>
      <c r="GW818"/>
      <c r="GX818"/>
      <c r="GY818"/>
      <c r="GZ818"/>
      <c r="HA818"/>
      <c r="HB818"/>
      <c r="HC818"/>
    </row>
    <row r="819" spans="1:211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58.876709401709412</v>
      </c>
      <c r="AO819">
        <v>43.740609058350294</v>
      </c>
      <c r="AP819">
        <v>34.519024023748571</v>
      </c>
      <c r="AQ819">
        <v>315.21716508249585</v>
      </c>
      <c r="AR819">
        <v>41.903329297324468</v>
      </c>
      <c r="AS819">
        <v>405.20164328423522</v>
      </c>
      <c r="AT819">
        <v>33.714961211539318</v>
      </c>
      <c r="AU819">
        <v>56.747320149014399</v>
      </c>
      <c r="AV819"/>
      <c r="AW819"/>
      <c r="FY819" s="211">
        <v>814</v>
      </c>
      <c r="FZ819">
        <v>51.114851690418178</v>
      </c>
      <c r="GA819">
        <v>81.34149864897978</v>
      </c>
      <c r="GB819">
        <v>26.105816336475407</v>
      </c>
      <c r="GC819">
        <v>14.456712457280041</v>
      </c>
      <c r="GD819">
        <v>9.8620064688040578</v>
      </c>
      <c r="GE819">
        <v>8.8624665342102951</v>
      </c>
      <c r="GF819">
        <v>22.471068893725942</v>
      </c>
      <c r="GG819">
        <v>23.332257860605079</v>
      </c>
      <c r="GH819">
        <v>16.158815444253271</v>
      </c>
      <c r="GI819">
        <v>27.032804848258358</v>
      </c>
      <c r="GJ819"/>
      <c r="GK819">
        <v>56.46419781336953</v>
      </c>
      <c r="GL819">
        <v>76.558946631944366</v>
      </c>
      <c r="GM819">
        <v>46.248241226561134</v>
      </c>
      <c r="GN819">
        <v>47.73287629091174</v>
      </c>
      <c r="GO819">
        <v>42.90203081716956</v>
      </c>
      <c r="GP819">
        <v>19.015533899092983</v>
      </c>
      <c r="GQ819">
        <v>30.275666363624378</v>
      </c>
      <c r="GR819">
        <v>35.094671529832873</v>
      </c>
      <c r="GS819">
        <v>19.471857284305869</v>
      </c>
      <c r="GT819">
        <v>39.072398701006094</v>
      </c>
      <c r="GU819"/>
      <c r="GV819"/>
      <c r="GW819"/>
      <c r="GX819"/>
      <c r="GY819"/>
      <c r="GZ819"/>
      <c r="HA819"/>
      <c r="HB819"/>
      <c r="HC819"/>
    </row>
    <row r="820" spans="1:211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62.708199786324791</v>
      </c>
      <c r="AO820">
        <v>48.155053430196901</v>
      </c>
      <c r="AP820">
        <v>39.478801059249356</v>
      </c>
      <c r="AQ820">
        <v>333.39287205955787</v>
      </c>
      <c r="AR820">
        <v>46.585560180131537</v>
      </c>
      <c r="AS820">
        <v>452.46501878375875</v>
      </c>
      <c r="AT820">
        <v>36.674661596020776</v>
      </c>
      <c r="AU820">
        <v>47.369735540096528</v>
      </c>
      <c r="AV820"/>
      <c r="AW820"/>
      <c r="FY820" s="211">
        <v>815</v>
      </c>
      <c r="FZ820">
        <v>40.018536798926696</v>
      </c>
      <c r="GA820">
        <v>73.657741385569224</v>
      </c>
      <c r="GB820">
        <v>33.735050680583612</v>
      </c>
      <c r="GC820">
        <v>14.757177692917008</v>
      </c>
      <c r="GD820">
        <v>8.5102355105998946</v>
      </c>
      <c r="GE820">
        <v>6.5557971622925475</v>
      </c>
      <c r="GF820">
        <v>28.0778510424147</v>
      </c>
      <c r="GG820">
        <v>25.929978877474067</v>
      </c>
      <c r="GH820">
        <v>9.0696557386495051</v>
      </c>
      <c r="GI820">
        <v>26.498057572101821</v>
      </c>
      <c r="GJ820"/>
      <c r="GK820">
        <v>41.388657355787586</v>
      </c>
      <c r="GL820">
        <v>65.095642758675837</v>
      </c>
      <c r="GM820">
        <v>59.763952276258912</v>
      </c>
      <c r="GN820">
        <v>48.740625962401161</v>
      </c>
      <c r="GO820">
        <v>37.036481965356685</v>
      </c>
      <c r="GP820">
        <v>14.066285350013986</v>
      </c>
      <c r="GQ820">
        <v>37.829782570113373</v>
      </c>
      <c r="GR820">
        <v>39.001973015947868</v>
      </c>
      <c r="GS820">
        <v>10.158983863898991</v>
      </c>
      <c r="GT820">
        <v>37.235571606283116</v>
      </c>
      <c r="GU820"/>
      <c r="GV820"/>
      <c r="GW820"/>
      <c r="GX820"/>
      <c r="GY820"/>
      <c r="GZ820"/>
      <c r="HA820"/>
      <c r="HB820"/>
      <c r="HC820"/>
    </row>
    <row r="821" spans="1:211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54.579727564102562</v>
      </c>
      <c r="AO821">
        <v>41.012206774082657</v>
      </c>
      <c r="AP821">
        <v>16.985211539654436</v>
      </c>
      <c r="AQ821">
        <v>285.64716545978445</v>
      </c>
      <c r="AR821">
        <v>38.876388571097749</v>
      </c>
      <c r="AS821">
        <v>356.10440876130718</v>
      </c>
      <c r="AT821">
        <v>31.781603289464584</v>
      </c>
      <c r="AU821">
        <v>21.778335030083372</v>
      </c>
      <c r="AV821"/>
      <c r="AW821"/>
      <c r="FY821" s="211">
        <v>816</v>
      </c>
      <c r="FZ821">
        <v>36.118855763865788</v>
      </c>
      <c r="GA821">
        <v>60.836165754227629</v>
      </c>
      <c r="GB821">
        <v>24.912808600668736</v>
      </c>
      <c r="GC821">
        <v>11.615502789853435</v>
      </c>
      <c r="GD821">
        <v>8.3636908606408351</v>
      </c>
      <c r="GE821">
        <v>10.730215013495918</v>
      </c>
      <c r="GF821">
        <v>24.887785337126264</v>
      </c>
      <c r="GG821">
        <v>20.99430894542299</v>
      </c>
      <c r="GH821">
        <v>13.311901417501348</v>
      </c>
      <c r="GI821">
        <v>23.693536484838067</v>
      </c>
      <c r="GJ821"/>
      <c r="GK821">
        <v>37.345733045887535</v>
      </c>
      <c r="GL821">
        <v>53.764468448942338</v>
      </c>
      <c r="GM821">
        <v>44.134746331798937</v>
      </c>
      <c r="GN821">
        <v>38.360330091462124</v>
      </c>
      <c r="GO821">
        <v>36.394383644427336</v>
      </c>
      <c r="GP821">
        <v>23.023022602800665</v>
      </c>
      <c r="GQ821">
        <v>33.531750935386867</v>
      </c>
      <c r="GR821">
        <v>31.578100192329373</v>
      </c>
      <c r="GS821">
        <v>15.596880871325425</v>
      </c>
      <c r="GT821">
        <v>33.400698965765216</v>
      </c>
      <c r="GU821"/>
      <c r="GV821"/>
      <c r="GW821"/>
      <c r="GX821"/>
      <c r="GY821"/>
      <c r="GZ821"/>
      <c r="HA821"/>
      <c r="HB821"/>
      <c r="HC821"/>
    </row>
    <row r="822" spans="1:211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51.201388888888893</v>
      </c>
      <c r="AO822">
        <v>38.024729775784479</v>
      </c>
      <c r="AP822">
        <v>12.178182036129474</v>
      </c>
      <c r="AQ822">
        <v>265.63412542687558</v>
      </c>
      <c r="AR822">
        <v>37.107275649577282</v>
      </c>
      <c r="AS822">
        <v>350.04374652308013</v>
      </c>
      <c r="AT822">
        <v>30.039153630864476</v>
      </c>
      <c r="AU822">
        <v>46.010881900968329</v>
      </c>
      <c r="AV822"/>
      <c r="AW822"/>
      <c r="FY822" s="211">
        <v>817</v>
      </c>
      <c r="FZ822">
        <v>57.984450935993458</v>
      </c>
      <c r="GA822">
        <v>79.00283922922489</v>
      </c>
      <c r="GB822">
        <v>23.599497563772317</v>
      </c>
      <c r="GC822">
        <v>14.802816032211549</v>
      </c>
      <c r="GD822">
        <v>7.6429716911053562</v>
      </c>
      <c r="GE822">
        <v>9.3480811388245577</v>
      </c>
      <c r="GF822">
        <v>26.197206246459537</v>
      </c>
      <c r="GG822">
        <v>15.066781897840121</v>
      </c>
      <c r="GH822">
        <v>4.8836607823497324</v>
      </c>
      <c r="GI822">
        <v>24.969457560728681</v>
      </c>
      <c r="GJ822"/>
      <c r="GK822">
        <v>61.757436104723411</v>
      </c>
      <c r="GL822">
        <v>72.155777200589199</v>
      </c>
      <c r="GM822">
        <v>41.808125901430465</v>
      </c>
      <c r="GN822">
        <v>48.891362185233795</v>
      </c>
      <c r="GO822">
        <v>33.262156240773812</v>
      </c>
      <c r="GP822">
        <v>20.057480962056982</v>
      </c>
      <c r="GQ822">
        <v>35.295956757905465</v>
      </c>
      <c r="GR822">
        <v>22.662348619466975</v>
      </c>
      <c r="GS822">
        <v>5.470222080560994</v>
      </c>
      <c r="GT822">
        <v>35.518779417078825</v>
      </c>
      <c r="GU822"/>
      <c r="GV822"/>
      <c r="GW822"/>
      <c r="GX822"/>
      <c r="GY822"/>
      <c r="GZ822"/>
      <c r="HA822"/>
      <c r="HB822"/>
      <c r="HC822"/>
    </row>
    <row r="823" spans="1:211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46.927190170940165</v>
      </c>
      <c r="AO823">
        <v>34.630719766857077</v>
      </c>
      <c r="AP823">
        <v>6.2235404380221322</v>
      </c>
      <c r="AQ823">
        <v>225.01674665418193</v>
      </c>
      <c r="AR823">
        <v>34.021851701237026</v>
      </c>
      <c r="AS823">
        <v>327.02884958305623</v>
      </c>
      <c r="AT823">
        <v>27.700750087094125</v>
      </c>
      <c r="AU823">
        <v>35.267795321607316</v>
      </c>
      <c r="AV823"/>
      <c r="AW823"/>
      <c r="FY823" s="211">
        <v>818</v>
      </c>
      <c r="FZ823">
        <v>41.648211668891882</v>
      </c>
      <c r="GA823">
        <v>73.078387040949821</v>
      </c>
      <c r="GB823">
        <v>25.143389927757426</v>
      </c>
      <c r="GC823">
        <v>12.307736310537742</v>
      </c>
      <c r="GD823">
        <v>9.7895752134401768</v>
      </c>
      <c r="GE823">
        <v>10.319310348053085</v>
      </c>
      <c r="GF823">
        <v>24.527474885564768</v>
      </c>
      <c r="GG823">
        <v>21.537468794404695</v>
      </c>
      <c r="GH823">
        <v>11.916569765401423</v>
      </c>
      <c r="GI823">
        <v>25.104333902030199</v>
      </c>
      <c r="GJ823"/>
      <c r="GK823">
        <v>44.871593647562776</v>
      </c>
      <c r="GL823">
        <v>66.919993209195098</v>
      </c>
      <c r="GM823">
        <v>44.543236941710965</v>
      </c>
      <c r="GN823">
        <v>40.650508141791263</v>
      </c>
      <c r="GO823">
        <v>42.604158884848765</v>
      </c>
      <c r="GP823">
        <v>22.141375087984983</v>
      </c>
      <c r="GQ823">
        <v>33.046298326505926</v>
      </c>
      <c r="GR823">
        <v>32.395081412153431</v>
      </c>
      <c r="GS823">
        <v>14.033960276879426</v>
      </c>
      <c r="GT823">
        <v>35.819849615501568</v>
      </c>
      <c r="GU823"/>
      <c r="GV823"/>
      <c r="GW823"/>
      <c r="GX823"/>
      <c r="GY823"/>
      <c r="GZ823"/>
      <c r="HA823"/>
      <c r="HB823"/>
      <c r="HC823"/>
    </row>
    <row r="824" spans="1:211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44.817574786324791</v>
      </c>
      <c r="AO824">
        <v>33.768466907801752</v>
      </c>
      <c r="AP824">
        <v>18.883030417836679</v>
      </c>
      <c r="AQ824">
        <v>216.01136901183489</v>
      </c>
      <c r="AR824">
        <v>33.522033758122944</v>
      </c>
      <c r="AS824">
        <v>311.96025166507468</v>
      </c>
      <c r="AT824">
        <v>26.795946369992421</v>
      </c>
      <c r="AU824">
        <v>41.572446287893186</v>
      </c>
      <c r="AV824"/>
      <c r="AW824"/>
      <c r="FY824" s="211">
        <v>819</v>
      </c>
      <c r="FZ824">
        <v>41.343499198239861</v>
      </c>
      <c r="GA824">
        <v>75.426234576099091</v>
      </c>
      <c r="GB824">
        <v>34.958134241662734</v>
      </c>
      <c r="GC824">
        <v>15.229893805766189</v>
      </c>
      <c r="GD824">
        <v>8.992791980669935</v>
      </c>
      <c r="GE824">
        <v>10.608811362342356</v>
      </c>
      <c r="GF824">
        <v>14.88697329134601</v>
      </c>
      <c r="GG824">
        <v>11.689744575910442</v>
      </c>
      <c r="GH824">
        <v>11.511486129824371</v>
      </c>
      <c r="GI824">
        <v>25.160036545817718</v>
      </c>
      <c r="GJ824"/>
      <c r="GK824">
        <v>42.752178295241926</v>
      </c>
      <c r="GL824">
        <v>66.658563353121835</v>
      </c>
      <c r="GM824">
        <v>61.930728554922695</v>
      </c>
      <c r="GN824">
        <v>50.298092464074998</v>
      </c>
      <c r="GO824">
        <v>39.132227063369456</v>
      </c>
      <c r="GP824">
        <v>22.762535837059673</v>
      </c>
      <c r="GQ824">
        <v>20.057480962056982</v>
      </c>
      <c r="GR824">
        <v>17.582856687517484</v>
      </c>
      <c r="GS824">
        <v>12.894094904179488</v>
      </c>
      <c r="GT824">
        <v>35.353341955954107</v>
      </c>
      <c r="GU824"/>
      <c r="GV824"/>
      <c r="GW824"/>
      <c r="GX824"/>
      <c r="GY824"/>
      <c r="GZ824"/>
      <c r="HA824"/>
      <c r="HB824"/>
      <c r="HC824"/>
    </row>
    <row r="825" spans="1:211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50.614529914529911</v>
      </c>
      <c r="AO825">
        <v>37.655335042131284</v>
      </c>
      <c r="AP825">
        <v>1.9690268221357983</v>
      </c>
      <c r="AQ825">
        <v>260.62437597238488</v>
      </c>
      <c r="AR825">
        <v>35.581917824413644</v>
      </c>
      <c r="AS825">
        <v>330.25746441564547</v>
      </c>
      <c r="AT825">
        <v>29.378538211659848</v>
      </c>
      <c r="AU825">
        <v>17.531742827897109</v>
      </c>
      <c r="AV825"/>
      <c r="AW825"/>
      <c r="FY825" s="211">
        <v>820</v>
      </c>
      <c r="FZ825">
        <v>37.760668908317115</v>
      </c>
      <c r="GA825">
        <v>58.448699947012308</v>
      </c>
      <c r="GB825">
        <v>26.115841611566221</v>
      </c>
      <c r="GC825">
        <v>11.511855428611337</v>
      </c>
      <c r="GD825">
        <v>7.264096598400088</v>
      </c>
      <c r="GE825">
        <v>11.047732254974477</v>
      </c>
      <c r="GF825">
        <v>24.817480858772804</v>
      </c>
      <c r="GG825">
        <v>16.601798862353615</v>
      </c>
      <c r="GH825">
        <v>10.5212381133015</v>
      </c>
      <c r="GI825">
        <v>23.096932021683642</v>
      </c>
      <c r="GJ825"/>
      <c r="GK825">
        <v>39.047426482690518</v>
      </c>
      <c r="GL825">
        <v>51.654525646440256</v>
      </c>
      <c r="GM825">
        <v>46.26600168786166</v>
      </c>
      <c r="GN825">
        <v>37.998798637996657</v>
      </c>
      <c r="GO825">
        <v>31.587272108507957</v>
      </c>
      <c r="GP825">
        <v>23.704295682430978</v>
      </c>
      <c r="GQ825">
        <v>33.437028475117422</v>
      </c>
      <c r="GR825">
        <v>24.971208588534928</v>
      </c>
      <c r="GS825">
        <v>12.471039682433428</v>
      </c>
      <c r="GT825">
        <v>32.561753687322202</v>
      </c>
      <c r="GU825"/>
      <c r="GV825"/>
      <c r="GW825"/>
      <c r="GX825"/>
      <c r="GY825"/>
      <c r="GZ825"/>
      <c r="HA825"/>
      <c r="HB825"/>
      <c r="HC825"/>
    </row>
    <row r="826" spans="1:211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42.137366452991444</v>
      </c>
      <c r="AO826">
        <v>31.669846804593995</v>
      </c>
      <c r="AP826">
        <v>10.285843440661019</v>
      </c>
      <c r="AQ826">
        <v>209.58385750206315</v>
      </c>
      <c r="AR826">
        <v>30.149222025677759</v>
      </c>
      <c r="AS826">
        <v>291.71988894679299</v>
      </c>
      <c r="AT826">
        <v>24.716204537323534</v>
      </c>
      <c r="AU826">
        <v>24.815303286751952</v>
      </c>
      <c r="AV826"/>
      <c r="AW826"/>
      <c r="FY826" s="211">
        <v>821</v>
      </c>
      <c r="FZ826">
        <v>25.536114370769603</v>
      </c>
      <c r="GA826">
        <v>59.951919158962696</v>
      </c>
      <c r="GB826">
        <v>32.421739643687204</v>
      </c>
      <c r="GC826">
        <v>16.473686576470222</v>
      </c>
      <c r="GD826">
        <v>9.5400836622966345</v>
      </c>
      <c r="GE826">
        <v>9.7729939178620384</v>
      </c>
      <c r="GF826">
        <v>34.071307822047501</v>
      </c>
      <c r="GG826">
        <v>24.111574165665772</v>
      </c>
      <c r="GH826">
        <v>6.6840760700267108</v>
      </c>
      <c r="GI826">
        <v>25.459835868604458</v>
      </c>
      <c r="GJ826"/>
      <c r="GK826">
        <v>26.413358046137372</v>
      </c>
      <c r="GL826">
        <v>52.983008151719346</v>
      </c>
      <c r="GM826">
        <v>57.437331845890448</v>
      </c>
      <c r="GN826">
        <v>54.390782960940825</v>
      </c>
      <c r="GO826">
        <v>41.496688056761336</v>
      </c>
      <c r="GP826">
        <v>20.969184642150481</v>
      </c>
      <c r="GQ826">
        <v>45.904872308084357</v>
      </c>
      <c r="GR826">
        <v>36.266861975667368</v>
      </c>
      <c r="GS826">
        <v>8.1730080477069347</v>
      </c>
      <c r="GT826">
        <v>35.885051660916091</v>
      </c>
      <c r="GU826"/>
      <c r="GV826"/>
      <c r="GW826"/>
      <c r="GX826"/>
      <c r="GY826"/>
      <c r="GZ826"/>
      <c r="HA826"/>
      <c r="HB826"/>
      <c r="HC826"/>
    </row>
    <row r="827" spans="1:211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59.238114316239319</v>
      </c>
      <c r="AO827">
        <v>45.506927017776377</v>
      </c>
      <c r="AP827">
        <v>24.208564833494158</v>
      </c>
      <c r="AQ827">
        <v>306.87610379922694</v>
      </c>
      <c r="AR827">
        <v>43.243112149635621</v>
      </c>
      <c r="AS827">
        <v>420.83192000283458</v>
      </c>
      <c r="AT827">
        <v>34.61978255708609</v>
      </c>
      <c r="AU827">
        <v>32.807391859510282</v>
      </c>
      <c r="AV827"/>
      <c r="AW827"/>
      <c r="FY827" s="211">
        <v>822</v>
      </c>
      <c r="FZ827">
        <v>52.692763872930357</v>
      </c>
      <c r="GA827">
        <v>91.775608473106004</v>
      </c>
      <c r="GB827">
        <v>36.492001330557024</v>
      </c>
      <c r="GC827">
        <v>14.298851814815581</v>
      </c>
      <c r="GD827">
        <v>7.2199183873488888</v>
      </c>
      <c r="GE827">
        <v>7.3449208947907225</v>
      </c>
      <c r="GF827">
        <v>18.92069273687601</v>
      </c>
      <c r="GG827">
        <v>17.900659370788109</v>
      </c>
      <c r="GH827">
        <v>11.511486129824371</v>
      </c>
      <c r="GI827">
        <v>26.785784474412086</v>
      </c>
      <c r="GJ827"/>
      <c r="GK827">
        <v>58.102114418965897</v>
      </c>
      <c r="GL827">
        <v>85.780178139175746</v>
      </c>
      <c r="GM827">
        <v>64.648079133902669</v>
      </c>
      <c r="GN827">
        <v>47.219167773425212</v>
      </c>
      <c r="GO827">
        <v>31.412357215960011</v>
      </c>
      <c r="GP827">
        <v>15.759449327330483</v>
      </c>
      <c r="GQ827">
        <v>25.492182120016931</v>
      </c>
      <c r="GR827">
        <v>26.92485933159243</v>
      </c>
      <c r="GS827">
        <v>12.894094904179488</v>
      </c>
      <c r="GT827">
        <v>38.509765558604997</v>
      </c>
      <c r="GU827"/>
      <c r="GV827"/>
      <c r="GW827"/>
      <c r="GX827"/>
      <c r="GY827"/>
      <c r="GZ827"/>
      <c r="HA827"/>
      <c r="HB827"/>
      <c r="HC827"/>
    </row>
    <row r="828" spans="1:211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51.93202457264956</v>
      </c>
      <c r="AO828">
        <v>42.356289963267649</v>
      </c>
      <c r="AP828">
        <v>35.88976254325685</v>
      </c>
      <c r="AQ828">
        <v>289.06817789434621</v>
      </c>
      <c r="AR828">
        <v>41.074780667053332</v>
      </c>
      <c r="AS828">
        <v>371.96083029117176</v>
      </c>
      <c r="AT828">
        <v>32.330744018674643</v>
      </c>
      <c r="AU828">
        <v>36.926680958643757</v>
      </c>
      <c r="AV828"/>
      <c r="AW828"/>
      <c r="FY828" s="211">
        <v>823</v>
      </c>
      <c r="FZ828">
        <v>51.036791122465296</v>
      </c>
      <c r="GA828">
        <v>80.41763378164876</v>
      </c>
      <c r="GB828">
        <v>27.128394395738269</v>
      </c>
      <c r="GC828">
        <v>11.347301516134664</v>
      </c>
      <c r="GD828">
        <v>6.9064813687350313</v>
      </c>
      <c r="GE828">
        <v>10.804924952667346</v>
      </c>
      <c r="GF828">
        <v>29.308179413600321</v>
      </c>
      <c r="GG828">
        <v>22.009781706562688</v>
      </c>
      <c r="GH828">
        <v>15.80998253122829</v>
      </c>
      <c r="GI828">
        <v>26.756858495991487</v>
      </c>
      <c r="GJ828"/>
      <c r="GK828">
        <v>54.579220550215581</v>
      </c>
      <c r="GL828">
        <v>73.406113676145978</v>
      </c>
      <c r="GM828">
        <v>48.059808279214451</v>
      </c>
      <c r="GN828">
        <v>37.459143187775844</v>
      </c>
      <c r="GO828">
        <v>30.035270364157356</v>
      </c>
      <c r="GP828">
        <v>23.183322150948978</v>
      </c>
      <c r="GQ828">
        <v>39.48742562482883</v>
      </c>
      <c r="GR828">
        <v>33.105499864174334</v>
      </c>
      <c r="GS828">
        <v>19.081127135694366</v>
      </c>
      <c r="GT828">
        <v>38.248570390822117</v>
      </c>
      <c r="GU828"/>
      <c r="GV828"/>
      <c r="GW828"/>
      <c r="GX828"/>
      <c r="GY828"/>
      <c r="GZ828"/>
      <c r="HA828"/>
      <c r="HB828"/>
      <c r="HC828"/>
    </row>
    <row r="829" spans="1:211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48.841479700854705</v>
      </c>
      <c r="AO829">
        <v>39.664561971409057</v>
      </c>
      <c r="AP829">
        <v>42.869290408257946</v>
      </c>
      <c r="AQ829">
        <v>271.53692902192574</v>
      </c>
      <c r="AR829">
        <v>38.038394270056514</v>
      </c>
      <c r="AS829">
        <v>362.79318868936411</v>
      </c>
      <c r="AT829">
        <v>29.507123614897129</v>
      </c>
      <c r="AU829">
        <v>23.418394649906446</v>
      </c>
      <c r="AV829"/>
      <c r="AW829"/>
      <c r="FY829" s="211">
        <v>824</v>
      </c>
      <c r="FZ829">
        <v>50.305072726914858</v>
      </c>
      <c r="GA829">
        <v>60.128768478015679</v>
      </c>
      <c r="GB829">
        <v>17.524180858740021</v>
      </c>
      <c r="GC829">
        <v>12.916039335596624</v>
      </c>
      <c r="GD829">
        <v>8.8641508000420011</v>
      </c>
      <c r="GE829">
        <v>9.6515902667084728</v>
      </c>
      <c r="GF829">
        <v>15.607594194469016</v>
      </c>
      <c r="GG829">
        <v>10.603424877947043</v>
      </c>
      <c r="GH829">
        <v>8.0794077221266338</v>
      </c>
      <c r="GI829">
        <v>21.613718163235184</v>
      </c>
      <c r="GJ829"/>
      <c r="GK829">
        <v>52.030886596536057</v>
      </c>
      <c r="GL829">
        <v>53.139300211163942</v>
      </c>
      <c r="GM829">
        <v>31.045286353313703</v>
      </c>
      <c r="GN829">
        <v>42.644276430090187</v>
      </c>
      <c r="GO829">
        <v>38.559370330969955</v>
      </c>
      <c r="GP829">
        <v>20.708697876409481</v>
      </c>
      <c r="GQ829">
        <v>21.028386179818888</v>
      </c>
      <c r="GR829">
        <v>15.948894247869392</v>
      </c>
      <c r="GS829">
        <v>9.7359286421529312</v>
      </c>
      <c r="GT829">
        <v>30.479971620558302</v>
      </c>
      <c r="GU829"/>
      <c r="GV829"/>
      <c r="GW829"/>
      <c r="GX829"/>
      <c r="GY829"/>
      <c r="GZ829"/>
      <c r="HA829"/>
      <c r="HB829"/>
      <c r="HC829"/>
    </row>
    <row r="830" spans="1:211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50.730608974358979</v>
      </c>
      <c r="AO830">
        <v>41.283642055781854</v>
      </c>
      <c r="AP830">
        <v>51.123132351331819</v>
      </c>
      <c r="AQ830">
        <v>280.73829918301038</v>
      </c>
      <c r="AR830">
        <v>39.072398701006115</v>
      </c>
      <c r="AS830">
        <v>377.98283580588947</v>
      </c>
      <c r="AT830">
        <v>30.219656721939312</v>
      </c>
      <c r="AU830">
        <v>28.89070019141495</v>
      </c>
      <c r="AV830"/>
      <c r="AW830"/>
      <c r="FY830" s="211">
        <v>825</v>
      </c>
      <c r="FZ830">
        <v>41.488459264043989</v>
      </c>
      <c r="GA830">
        <v>61.141058004873173</v>
      </c>
      <c r="GB830">
        <v>29.093348313537497</v>
      </c>
      <c r="GC830">
        <v>14.512566092478847</v>
      </c>
      <c r="GD830">
        <v>9.2198153610674751</v>
      </c>
      <c r="GE830">
        <v>10.912320490226268</v>
      </c>
      <c r="GF830">
        <v>21.697719631837842</v>
      </c>
      <c r="GG830">
        <v>16.83795531843262</v>
      </c>
      <c r="GH830">
        <v>6.9766582604996188</v>
      </c>
      <c r="GI830">
        <v>24.372433127037151</v>
      </c>
      <c r="GJ830"/>
      <c r="GK830">
        <v>44.712151569546236</v>
      </c>
      <c r="GL830">
        <v>56.370279196684621</v>
      </c>
      <c r="GM830">
        <v>51.540858694116913</v>
      </c>
      <c r="GN830">
        <v>47.925032261010095</v>
      </c>
      <c r="GO830">
        <v>40.115894046103335</v>
      </c>
      <c r="GP830">
        <v>23.413752751412169</v>
      </c>
      <c r="GQ830">
        <v>29.233719300660383</v>
      </c>
      <c r="GR830">
        <v>25.32641781454539</v>
      </c>
      <c r="GS830">
        <v>7.8146029722299923</v>
      </c>
      <c r="GT830">
        <v>34.683445316531376</v>
      </c>
      <c r="GU830"/>
      <c r="GV830"/>
      <c r="GW830"/>
      <c r="GX830"/>
      <c r="GY830"/>
      <c r="GZ830"/>
      <c r="HA830"/>
      <c r="HB830"/>
      <c r="HC830"/>
    </row>
    <row r="831" spans="1:211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52.257986111111123</v>
      </c>
      <c r="AO831">
        <v>39.031795672473756</v>
      </c>
      <c r="AP831">
        <v>3.9871076737223592</v>
      </c>
      <c r="AQ831">
        <v>266.81008246152908</v>
      </c>
      <c r="AR831">
        <v>37.235571606283138</v>
      </c>
      <c r="AS831">
        <v>366.39080031590078</v>
      </c>
      <c r="AT831">
        <v>30.776499369473473</v>
      </c>
      <c r="AU831">
        <v>28.365049229459874</v>
      </c>
      <c r="AV831"/>
      <c r="AW831"/>
      <c r="FY831" s="211">
        <v>826</v>
      </c>
      <c r="FZ831">
        <v>55.625079002005421</v>
      </c>
      <c r="GA831">
        <v>85.457839374658931</v>
      </c>
      <c r="GB831">
        <v>21.494189794701718</v>
      </c>
      <c r="GC831">
        <v>8.6207716698062917</v>
      </c>
      <c r="GD831">
        <v>8.2015843396566517</v>
      </c>
      <c r="GE831">
        <v>13.279691687720801</v>
      </c>
      <c r="GF831">
        <v>12.470256847945684</v>
      </c>
      <c r="GG831">
        <v>6.4943025421724663</v>
      </c>
      <c r="GH831">
        <v>7.6743240865495794</v>
      </c>
      <c r="GI831">
        <v>22.246310772607647</v>
      </c>
      <c r="GJ831"/>
      <c r="GK831">
        <v>59.328609146188256</v>
      </c>
      <c r="GL831">
        <v>77.860437370317086</v>
      </c>
      <c r="GM831">
        <v>38.078429028320691</v>
      </c>
      <c r="GN831">
        <v>28.4423255980868</v>
      </c>
      <c r="GO831">
        <v>35.658537643422257</v>
      </c>
      <c r="GP831">
        <v>28.493244683361667</v>
      </c>
      <c r="GQ831">
        <v>16.801396390294485</v>
      </c>
      <c r="GR831">
        <v>9.7682537152874893</v>
      </c>
      <c r="GS831">
        <v>8.5960632694529906</v>
      </c>
      <c r="GT831">
        <v>31.692607095535735</v>
      </c>
      <c r="GU831"/>
      <c r="GV831"/>
      <c r="GW831"/>
      <c r="GX831"/>
      <c r="GY831"/>
      <c r="GZ831"/>
      <c r="HA831"/>
      <c r="HB831"/>
      <c r="HC831"/>
    </row>
    <row r="832" spans="1:211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46.758253205128199</v>
      </c>
      <c r="AO832">
        <v>34.713011513012582</v>
      </c>
      <c r="AP832">
        <v>16.266947198654918</v>
      </c>
      <c r="AQ832">
        <v>235.46477096764104</v>
      </c>
      <c r="AR832">
        <v>33.400698965765223</v>
      </c>
      <c r="AS832">
        <v>322.97935244791324</v>
      </c>
      <c r="AT832">
        <v>27.009662041442983</v>
      </c>
      <c r="AU832">
        <v>36.350148206491255</v>
      </c>
      <c r="AV832"/>
      <c r="AW832"/>
      <c r="FY832" s="211">
        <v>827</v>
      </c>
      <c r="FZ832">
        <v>44.810177236578177</v>
      </c>
      <c r="GA832">
        <v>63.754179518601923</v>
      </c>
      <c r="GB832">
        <v>21.383911768702784</v>
      </c>
      <c r="GC832">
        <v>11.374062433535435</v>
      </c>
      <c r="GD832">
        <v>7.1033010361802997</v>
      </c>
      <c r="GE832">
        <v>12.672673431952974</v>
      </c>
      <c r="GF832">
        <v>27.743904770235751</v>
      </c>
      <c r="GG832">
        <v>14.547237694466329</v>
      </c>
      <c r="GH832">
        <v>10.17240520027652</v>
      </c>
      <c r="GI832">
        <v>23.348686033821476</v>
      </c>
      <c r="GJ832"/>
      <c r="GK832">
        <v>46.34374564389578</v>
      </c>
      <c r="GL832">
        <v>56.343287429778236</v>
      </c>
      <c r="GM832">
        <v>37.883063954014943</v>
      </c>
      <c r="GN832">
        <v>37.55521050827393</v>
      </c>
      <c r="GO832">
        <v>30.90050227790115</v>
      </c>
      <c r="GP832">
        <v>27.190810854656672</v>
      </c>
      <c r="GQ832">
        <v>37.37985088383347</v>
      </c>
      <c r="GR832">
        <v>21.880888322243983</v>
      </c>
      <c r="GS832">
        <v>12.080309533821929</v>
      </c>
      <c r="GT832">
        <v>32.917494458693447</v>
      </c>
      <c r="GU832"/>
      <c r="GV832"/>
      <c r="GW832"/>
      <c r="GX832"/>
      <c r="GY832"/>
      <c r="GZ832"/>
      <c r="HA832"/>
      <c r="HB832"/>
      <c r="HC832"/>
    </row>
    <row r="833" spans="1:211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48.959134615384606</v>
      </c>
      <c r="AO833">
        <v>37.687964546981981</v>
      </c>
      <c r="AP833">
        <v>36.559913228713455</v>
      </c>
      <c r="AQ833">
        <v>263.49776307851016</v>
      </c>
      <c r="AR833">
        <v>35.518779417078825</v>
      </c>
      <c r="AS833">
        <v>334.20506699543421</v>
      </c>
      <c r="AT833">
        <v>28.233813037178177</v>
      </c>
      <c r="AU833">
        <v>46.607761197735016</v>
      </c>
      <c r="AV833"/>
      <c r="AW833"/>
      <c r="FY833" s="211">
        <v>828</v>
      </c>
      <c r="FZ833">
        <v>30.533617300252288</v>
      </c>
      <c r="GA833">
        <v>62.025304600138107</v>
      </c>
      <c r="GB833">
        <v>26.015588860658099</v>
      </c>
      <c r="GC833">
        <v>12.008461300395563</v>
      </c>
      <c r="GD833">
        <v>7.9505685682464771</v>
      </c>
      <c r="GE833">
        <v>10.380012173629865</v>
      </c>
      <c r="GF833">
        <v>29.817886881662936</v>
      </c>
      <c r="GG833">
        <v>21.254081047109889</v>
      </c>
      <c r="GH833">
        <v>10.633739558405647</v>
      </c>
      <c r="GI833">
        <v>23.398906945365717</v>
      </c>
      <c r="GJ833"/>
      <c r="GK833">
        <v>33.380977259812752</v>
      </c>
      <c r="GL833">
        <v>57.151739493907613</v>
      </c>
      <c r="GM833">
        <v>46.088397074856438</v>
      </c>
      <c r="GN833">
        <v>39.658209955731088</v>
      </c>
      <c r="GO833">
        <v>34.596478485082116</v>
      </c>
      <c r="GP833">
        <v>22.271618470855479</v>
      </c>
      <c r="GQ833">
        <v>40.174163461782371</v>
      </c>
      <c r="GR833">
        <v>31.968830340940876</v>
      </c>
      <c r="GS833">
        <v>13.969310130610314</v>
      </c>
      <c r="GT833">
        <v>33.641865282428789</v>
      </c>
      <c r="GU833"/>
      <c r="GV833"/>
      <c r="GW833"/>
      <c r="GX833"/>
      <c r="GY833"/>
      <c r="GZ833"/>
      <c r="HA833"/>
      <c r="HB833"/>
      <c r="HC833"/>
    </row>
    <row r="834" spans="1:211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48.097329059829065</v>
      </c>
      <c r="AO834">
        <v>37.702605554413424</v>
      </c>
      <c r="AP834">
        <v>26.711363185013127</v>
      </c>
      <c r="AQ834">
        <v>255.37245785703121</v>
      </c>
      <c r="AR834">
        <v>35.819849615501589</v>
      </c>
      <c r="AS834">
        <v>329.98528844206572</v>
      </c>
      <c r="AT834">
        <v>28.585847124799301</v>
      </c>
      <c r="AU834">
        <v>28.117131795699159</v>
      </c>
      <c r="AV834"/>
      <c r="AW834"/>
      <c r="FY834" s="211">
        <v>829</v>
      </c>
      <c r="FZ834">
        <v>37.63237838224655</v>
      </c>
      <c r="GA834">
        <v>80.682907760228261</v>
      </c>
      <c r="GB834">
        <v>37.243896962367941</v>
      </c>
      <c r="GC834">
        <v>10.131737694209601</v>
      </c>
      <c r="GD834">
        <v>5.8928347979386038</v>
      </c>
      <c r="GE834">
        <v>9.5628722139424056</v>
      </c>
      <c r="GF834">
        <v>31.777624215765744</v>
      </c>
      <c r="GG834">
        <v>24.654734014647474</v>
      </c>
      <c r="GH834">
        <v>12.32165340097848</v>
      </c>
      <c r="GI834">
        <v>26.622753690049002</v>
      </c>
      <c r="GJ834"/>
      <c r="GK834">
        <v>40.715484873765192</v>
      </c>
      <c r="GL834">
        <v>73.640551765312892</v>
      </c>
      <c r="GM834">
        <v>65.980113731441861</v>
      </c>
      <c r="GN834">
        <v>33.436647730531419</v>
      </c>
      <c r="GO834">
        <v>25.615213811647383</v>
      </c>
      <c r="GP834">
        <v>20.518342162983366</v>
      </c>
      <c r="GQ834">
        <v>42.814552041793412</v>
      </c>
      <c r="GR834">
        <v>37.083843195491418</v>
      </c>
      <c r="GS834">
        <v>15.173825649579371</v>
      </c>
      <c r="GT834">
        <v>38.059838021645447</v>
      </c>
      <c r="GU834"/>
      <c r="GV834"/>
      <c r="GW834"/>
      <c r="GX834"/>
      <c r="GY834"/>
      <c r="GZ834"/>
      <c r="HA834"/>
      <c r="HB834"/>
      <c r="HC834"/>
    </row>
    <row r="835" spans="1:211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49.922248931623933</v>
      </c>
      <c r="AO835">
        <v>36.942210007749864</v>
      </c>
      <c r="AP835">
        <v>9.8105545758261012</v>
      </c>
      <c r="AQ835">
        <v>249.8076057076787</v>
      </c>
      <c r="AR835">
        <v>35.353341955954122</v>
      </c>
      <c r="AS835">
        <v>346.3162306764853</v>
      </c>
      <c r="AT835">
        <v>28.868376589859988</v>
      </c>
      <c r="AU835">
        <v>35.22730772349216</v>
      </c>
      <c r="AV835"/>
      <c r="AW835"/>
      <c r="FY835" s="211">
        <v>830</v>
      </c>
      <c r="FZ835">
        <v>55.464837994965279</v>
      </c>
      <c r="GA835">
        <v>62.153347531730645</v>
      </c>
      <c r="GB835">
        <v>15.990313769845727</v>
      </c>
      <c r="GC835">
        <v>12.173491712175178</v>
      </c>
      <c r="GD835">
        <v>10.962248325673501</v>
      </c>
      <c r="GE835">
        <v>19.793464509229427</v>
      </c>
      <c r="GF835">
        <v>38.808072051112156</v>
      </c>
      <c r="GG835">
        <v>24.631118369039577</v>
      </c>
      <c r="GH835">
        <v>11.16265321679939</v>
      </c>
      <c r="GI835">
        <v>28.100225455155712</v>
      </c>
      <c r="GJ835"/>
      <c r="GK835">
        <v>60.964779121659625</v>
      </c>
      <c r="GL835">
        <v>59.601258182205285</v>
      </c>
      <c r="GM835">
        <v>28.327935774333721</v>
      </c>
      <c r="GN835">
        <v>40.195599088284972</v>
      </c>
      <c r="GO835">
        <v>47.694612325097985</v>
      </c>
      <c r="GP835">
        <v>42.469361537542234</v>
      </c>
      <c r="GQ835">
        <v>52.286798068738861</v>
      </c>
      <c r="GR835">
        <v>37.048322272890374</v>
      </c>
      <c r="GS835">
        <v>12.503364755567988</v>
      </c>
      <c r="GT835">
        <v>40.355498009079632</v>
      </c>
      <c r="GU835"/>
      <c r="GV835"/>
      <c r="GW835"/>
      <c r="GX835"/>
      <c r="GY835"/>
      <c r="GZ835"/>
      <c r="HA835"/>
      <c r="HB835"/>
      <c r="HC835"/>
    </row>
    <row r="836" spans="1:211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45.321928418803431</v>
      </c>
      <c r="AO836">
        <v>33.369935067933596</v>
      </c>
      <c r="AP836">
        <v>13.841397789206486</v>
      </c>
      <c r="AQ836">
        <v>227.18634460499311</v>
      </c>
      <c r="AR836">
        <v>32.561753687322188</v>
      </c>
      <c r="AS836">
        <v>314.04462507871671</v>
      </c>
      <c r="AT836">
        <v>26.065695121556587</v>
      </c>
      <c r="AU836">
        <v>38.58989127458829</v>
      </c>
      <c r="AV836"/>
      <c r="AW836"/>
      <c r="FY836" s="211">
        <v>831</v>
      </c>
      <c r="FZ836">
        <v>45.867886115840832</v>
      </c>
      <c r="GA836">
        <v>78.255823680946889</v>
      </c>
      <c r="GB836">
        <v>34.075910033671242</v>
      </c>
      <c r="GC836">
        <v>14.280450892224753</v>
      </c>
      <c r="GD836">
        <v>8.6382685949981806</v>
      </c>
      <c r="GE836">
        <v>9.1052738365174264</v>
      </c>
      <c r="GF836">
        <v>25.757803256750385</v>
      </c>
      <c r="GG836">
        <v>24.371346267352674</v>
      </c>
      <c r="GH836">
        <v>13.716985053078405</v>
      </c>
      <c r="GI836">
        <v>27.860543685213852</v>
      </c>
      <c r="GJ836"/>
      <c r="GK836">
        <v>47.437790060007991</v>
      </c>
      <c r="GL836">
        <v>69.159236304235435</v>
      </c>
      <c r="GM836">
        <v>60.367807960476689</v>
      </c>
      <c r="GN836">
        <v>47.162232553423735</v>
      </c>
      <c r="GO836">
        <v>37.589343912441997</v>
      </c>
      <c r="GP836">
        <v>19.536507430574982</v>
      </c>
      <c r="GQ836">
        <v>34.70394138122137</v>
      </c>
      <c r="GR836">
        <v>36.657592124278871</v>
      </c>
      <c r="GS836">
        <v>16.736746244025369</v>
      </c>
      <c r="GT836">
        <v>39.367125911634687</v>
      </c>
      <c r="GU836"/>
      <c r="GV836"/>
      <c r="GW836"/>
      <c r="GX836"/>
      <c r="GY836"/>
      <c r="GZ836"/>
      <c r="HA836"/>
      <c r="HB836"/>
      <c r="HC836"/>
    </row>
    <row r="837" spans="1:211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50.861217948717936</v>
      </c>
      <c r="AO837">
        <v>37.992014769597461</v>
      </c>
      <c r="AP837">
        <v>4.932356287459152</v>
      </c>
      <c r="AQ837">
        <v>244.02333125639285</v>
      </c>
      <c r="AR837">
        <v>35.885051660916119</v>
      </c>
      <c r="AS837">
        <v>344.40485978871885</v>
      </c>
      <c r="AT837">
        <v>29.388880146831525</v>
      </c>
      <c r="AU837">
        <v>9.2595888494645031</v>
      </c>
      <c r="AV837"/>
      <c r="AW837"/>
      <c r="FY837" s="211">
        <v>832</v>
      </c>
      <c r="FZ837">
        <v>42.877322625296316</v>
      </c>
      <c r="GA837">
        <v>102.25852468469273</v>
      </c>
      <c r="GB837">
        <v>46.858135774457018</v>
      </c>
      <c r="GC837">
        <v>16.300533396769566</v>
      </c>
      <c r="GD837">
        <v>8.0206779745038794</v>
      </c>
      <c r="GE837">
        <v>8.4982555807495999</v>
      </c>
      <c r="GF837">
        <v>34.071307822047501</v>
      </c>
      <c r="GG837">
        <v>27.748383589282355</v>
      </c>
      <c r="GH837">
        <v>14.358400156576293</v>
      </c>
      <c r="GI837">
        <v>31.883676728878161</v>
      </c>
      <c r="GJ837"/>
      <c r="GK837">
        <v>46.139449340207193</v>
      </c>
      <c r="GL837">
        <v>92.708183017554077</v>
      </c>
      <c r="GM837">
        <v>83.012396118643153</v>
      </c>
      <c r="GN837">
        <v>53.834245848653431</v>
      </c>
      <c r="GO837">
        <v>34.901594102296229</v>
      </c>
      <c r="GP837">
        <v>18.234073601869984</v>
      </c>
      <c r="GQ837">
        <v>45.904872308084357</v>
      </c>
      <c r="GR837">
        <v>41.737084056228362</v>
      </c>
      <c r="GS837">
        <v>16.769071317159927</v>
      </c>
      <c r="GT837">
        <v>45.345476637278168</v>
      </c>
      <c r="GU837"/>
      <c r="GV837"/>
      <c r="GW837"/>
      <c r="GX837"/>
      <c r="GY837"/>
      <c r="GZ837"/>
      <c r="HA837"/>
      <c r="HB837"/>
      <c r="HC837"/>
    </row>
    <row r="838" spans="1:211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50.035470085470081</v>
      </c>
      <c r="AO838">
        <v>40.674224792315385</v>
      </c>
      <c r="AP838">
        <v>27.993206224534276</v>
      </c>
      <c r="AQ838">
        <v>284.94268748544914</v>
      </c>
      <c r="AR838">
        <v>38.509765558605011</v>
      </c>
      <c r="AS838">
        <v>353.03352856718374</v>
      </c>
      <c r="AT838">
        <v>30.426297285858777</v>
      </c>
      <c r="AU838">
        <v>15.916276337726737</v>
      </c>
      <c r="AV838"/>
      <c r="AW838"/>
      <c r="FY838" s="211">
        <v>833</v>
      </c>
      <c r="FZ838">
        <v>44.388335309957242</v>
      </c>
      <c r="GA838">
        <v>79.26811320780439</v>
      </c>
      <c r="GB838">
        <v>28.892842811721248</v>
      </c>
      <c r="GC838">
        <v>14.310985270579691</v>
      </c>
      <c r="GD838">
        <v>9.9564873312944986</v>
      </c>
      <c r="GE838">
        <v>11.701444222724447</v>
      </c>
      <c r="GF838">
        <v>20.05435245032562</v>
      </c>
      <c r="GG838">
        <v>12.16205748806844</v>
      </c>
      <c r="GH838">
        <v>10.577488835853577</v>
      </c>
      <c r="GI838">
        <v>25.504793436319598</v>
      </c>
      <c r="GJ838"/>
      <c r="GK838">
        <v>47.702369934653191</v>
      </c>
      <c r="GL838">
        <v>72.390215289756114</v>
      </c>
      <c r="GM838">
        <v>51.185649468106455</v>
      </c>
      <c r="GN838">
        <v>47.259242660462291</v>
      </c>
      <c r="GO838">
        <v>43.32188500906949</v>
      </c>
      <c r="GP838">
        <v>25.106916728728667</v>
      </c>
      <c r="GQ838">
        <v>27.019581791861885</v>
      </c>
      <c r="GR838">
        <v>18.293275139538395</v>
      </c>
      <c r="GS838">
        <v>13.220174906521875</v>
      </c>
      <c r="GT838">
        <v>36.489932222042576</v>
      </c>
      <c r="GU838"/>
      <c r="GV838"/>
      <c r="GW838"/>
      <c r="GX838"/>
      <c r="GY838"/>
      <c r="GZ838"/>
      <c r="HA838"/>
      <c r="HB838"/>
      <c r="HC838"/>
    </row>
    <row r="839" spans="1:211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51.103579059829066</v>
      </c>
      <c r="AO839">
        <v>39.664550122397785</v>
      </c>
      <c r="AP839">
        <v>35.062686569168356</v>
      </c>
      <c r="AQ839">
        <v>281.52632928477215</v>
      </c>
      <c r="AR839">
        <v>38.248570390822124</v>
      </c>
      <c r="AS839">
        <v>367.24323921347792</v>
      </c>
      <c r="AT839">
        <v>29.980119449316536</v>
      </c>
      <c r="AU839">
        <v>32.552839987833487</v>
      </c>
      <c r="AV839"/>
      <c r="AW839"/>
      <c r="FY839" s="211">
        <v>834</v>
      </c>
      <c r="FZ839">
        <v>42.154255366127678</v>
      </c>
      <c r="GA839">
        <v>80.466440169109234</v>
      </c>
      <c r="GB839">
        <v>33.303963851678688</v>
      </c>
      <c r="GC839">
        <v>12.635968203823943</v>
      </c>
      <c r="GD839">
        <v>8.2372767628142878</v>
      </c>
      <c r="GE839">
        <v>9.2733711996531341</v>
      </c>
      <c r="GF839">
        <v>18.53401810593196</v>
      </c>
      <c r="GG839">
        <v>17.381115167414311</v>
      </c>
      <c r="GH839">
        <v>10.464987390749428</v>
      </c>
      <c r="GI839">
        <v>24.923001668974532</v>
      </c>
      <c r="GJ839"/>
      <c r="GK839">
        <v>43.594265405099598</v>
      </c>
      <c r="GL839">
        <v>71.112887047292929</v>
      </c>
      <c r="GM839">
        <v>59.000252440336439</v>
      </c>
      <c r="GN839">
        <v>41.696205021814954</v>
      </c>
      <c r="GO839">
        <v>35.805196627364651</v>
      </c>
      <c r="GP839">
        <v>19.897181413908672</v>
      </c>
      <c r="GQ839">
        <v>24.971208588534932</v>
      </c>
      <c r="GR839">
        <v>26.14339903436943</v>
      </c>
      <c r="GS839">
        <v>11.721904458344989</v>
      </c>
      <c r="GT839">
        <v>35.018565503936124</v>
      </c>
      <c r="GU839"/>
      <c r="GV839"/>
      <c r="GW839"/>
      <c r="GX839"/>
      <c r="GY839"/>
      <c r="GZ839"/>
      <c r="HA839"/>
      <c r="HB839"/>
      <c r="HC839"/>
    </row>
    <row r="840" spans="1:211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42.259882478632477</v>
      </c>
      <c r="AO840">
        <v>31.532099848888286</v>
      </c>
      <c r="AP840">
        <v>8.7349575606471497</v>
      </c>
      <c r="AQ840">
        <v>215.29394742379554</v>
      </c>
      <c r="AR840">
        <v>30.479971620558288</v>
      </c>
      <c r="AS840">
        <v>296.68631360067548</v>
      </c>
      <c r="AT840">
        <v>24.817625478498126</v>
      </c>
      <c r="AU840">
        <v>29.856840152521634</v>
      </c>
      <c r="AV840"/>
      <c r="AW840"/>
      <c r="FY840" s="211">
        <v>835</v>
      </c>
      <c r="FZ840">
        <v>30.775061541995207</v>
      </c>
      <c r="GA840">
        <v>60.217193137542182</v>
      </c>
      <c r="GB840">
        <v>28.993095562629371</v>
      </c>
      <c r="GC840">
        <v>14.880856213603426</v>
      </c>
      <c r="GD840">
        <v>9.8990295999256119</v>
      </c>
      <c r="GE840">
        <v>10.790916839072704</v>
      </c>
      <c r="GF840">
        <v>33.420991397277966</v>
      </c>
      <c r="GG840">
        <v>27.771999234890259</v>
      </c>
      <c r="GH840">
        <v>12.557984868899313</v>
      </c>
      <c r="GI840">
        <v>26.382942118718098</v>
      </c>
      <c r="GJ840"/>
      <c r="GK840">
        <v>31.81488415269186</v>
      </c>
      <c r="GL840">
        <v>53.217446240886247</v>
      </c>
      <c r="GM840">
        <v>51.363254081111677</v>
      </c>
      <c r="GN840">
        <v>49.149116572313183</v>
      </c>
      <c r="GO840">
        <v>43.080503564857651</v>
      </c>
      <c r="GP840">
        <v>23.153265985671169</v>
      </c>
      <c r="GQ840">
        <v>45.028689550591913</v>
      </c>
      <c r="GR840">
        <v>41.772604978829413</v>
      </c>
      <c r="GS840">
        <v>14.066285350013986</v>
      </c>
      <c r="GT840">
        <v>37.070723339853416</v>
      </c>
      <c r="GU840"/>
      <c r="GV840"/>
      <c r="GW840"/>
      <c r="GX840"/>
      <c r="GY840"/>
      <c r="GZ840"/>
      <c r="HA840"/>
      <c r="HB840"/>
      <c r="HC840"/>
    </row>
    <row r="841" spans="1:211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46.210042735042734</v>
      </c>
      <c r="AO841">
        <v>36.113615392284046</v>
      </c>
      <c r="AP841">
        <v>17.626766155394243</v>
      </c>
      <c r="AQ841">
        <v>236.25233386403445</v>
      </c>
      <c r="AR841">
        <v>34.683445316531376</v>
      </c>
      <c r="AS841">
        <v>336.97210557453457</v>
      </c>
      <c r="AT841">
        <v>27.915941553104521</v>
      </c>
      <c r="AU841">
        <v>30.597780674626968</v>
      </c>
      <c r="AV841"/>
      <c r="AW841"/>
      <c r="FY841" s="211">
        <v>836</v>
      </c>
      <c r="FZ841">
        <v>42.003154097661579</v>
      </c>
      <c r="GA841">
        <v>44.477603741826307</v>
      </c>
      <c r="GB841">
        <v>22.256110701603461</v>
      </c>
      <c r="GC841">
        <v>15.964318661266599</v>
      </c>
      <c r="GD841">
        <v>7.6348097005261373</v>
      </c>
      <c r="GE841">
        <v>7.1021135924835921</v>
      </c>
      <c r="GF841">
        <v>21.460442017394897</v>
      </c>
      <c r="GG841">
        <v>16.885186609648411</v>
      </c>
      <c r="GH841">
        <v>12.377904123530552</v>
      </c>
      <c r="GI841">
        <v>22.673170866083797</v>
      </c>
      <c r="GJ841"/>
      <c r="GK841">
        <v>43.437973345654996</v>
      </c>
      <c r="GL841">
        <v>39.307452950316858</v>
      </c>
      <c r="GM841">
        <v>39.428224087160416</v>
      </c>
      <c r="GN841">
        <v>52.727621826146702</v>
      </c>
      <c r="GO841">
        <v>33.226635318172775</v>
      </c>
      <c r="GP841">
        <v>15.238475795848485</v>
      </c>
      <c r="GQ841">
        <v>28.914030997250972</v>
      </c>
      <c r="GR841">
        <v>25.397459659747472</v>
      </c>
      <c r="GS841">
        <v>15.922960873667813</v>
      </c>
      <c r="GT841">
        <v>32.185964924381388</v>
      </c>
      <c r="GU841"/>
      <c r="GV841"/>
      <c r="GW841"/>
      <c r="GX841"/>
      <c r="GY841"/>
      <c r="GZ841"/>
      <c r="HA841"/>
      <c r="HB841"/>
      <c r="HC841"/>
    </row>
    <row r="842" spans="1:211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43.607211538461527</v>
      </c>
      <c r="AO842">
        <v>33.471990394026747</v>
      </c>
      <c r="AP842">
        <v>27.515131911789503</v>
      </c>
      <c r="AQ842">
        <v>241.56435011782517</v>
      </c>
      <c r="AR842">
        <v>31.69260709553572</v>
      </c>
      <c r="AS842">
        <v>307.57550928706166</v>
      </c>
      <c r="AT842">
        <v>24.84141628816236</v>
      </c>
      <c r="AU842">
        <v>33.777787476291024</v>
      </c>
      <c r="AV842"/>
      <c r="AW842"/>
      <c r="FY842" s="211">
        <v>837</v>
      </c>
      <c r="FZ842">
        <v>31.65271720773427</v>
      </c>
      <c r="GA842">
        <v>53.585343673055156</v>
      </c>
      <c r="GB842">
        <v>27.118369120647461</v>
      </c>
      <c r="GC842">
        <v>9.6743769773621384</v>
      </c>
      <c r="GD842">
        <v>5.4480161859708822</v>
      </c>
      <c r="GE842">
        <v>10.534101423170929</v>
      </c>
      <c r="GF842">
        <v>17.08398823989176</v>
      </c>
      <c r="GG842">
        <v>8.8086358117466546</v>
      </c>
      <c r="GH842">
        <v>8.0794077221266356</v>
      </c>
      <c r="GI842">
        <v>19.452175554950973</v>
      </c>
      <c r="GJ842"/>
      <c r="GK842">
        <v>32.731967273699915</v>
      </c>
      <c r="GL842">
        <v>47.356494011713757</v>
      </c>
      <c r="GM842">
        <v>48.042047817913939</v>
      </c>
      <c r="GN842">
        <v>31.918377316660699</v>
      </c>
      <c r="GO842">
        <v>23.670692326564115</v>
      </c>
      <c r="GP842">
        <v>22.602236288911364</v>
      </c>
      <c r="GQ842">
        <v>23.01755784547743</v>
      </c>
      <c r="GR842">
        <v>13.249304130189941</v>
      </c>
      <c r="GS842">
        <v>9.7359286421529347</v>
      </c>
      <c r="GT842">
        <v>27.439638781161662</v>
      </c>
      <c r="GU842"/>
      <c r="GV842"/>
      <c r="GW842"/>
      <c r="GX842"/>
      <c r="GY842"/>
      <c r="GZ842"/>
      <c r="HA842"/>
      <c r="HB842"/>
      <c r="HC842"/>
    </row>
    <row r="843" spans="1:211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45.679834401709414</v>
      </c>
      <c r="AO843">
        <v>34.047516386711365</v>
      </c>
      <c r="AP843">
        <v>10.513292756331095</v>
      </c>
      <c r="AQ843">
        <v>236.91053912435171</v>
      </c>
      <c r="AR843">
        <v>32.917494458693461</v>
      </c>
      <c r="AS843">
        <v>298.30381274826908</v>
      </c>
      <c r="AT843">
        <v>26.747541206830391</v>
      </c>
      <c r="AU843">
        <v>26.363815545069578</v>
      </c>
      <c r="AV843"/>
      <c r="AW843"/>
      <c r="FY843" s="211">
        <v>838</v>
      </c>
      <c r="FZ843">
        <v>49.193646751430194</v>
      </c>
      <c r="GA843">
        <v>82.353788175837252</v>
      </c>
      <c r="GB843">
        <v>35.379195795476846</v>
      </c>
      <c r="GC843">
        <v>16.015109263306684</v>
      </c>
      <c r="GD843">
        <v>7.8014651534181843</v>
      </c>
      <c r="GE843">
        <v>7.6951237346567805</v>
      </c>
      <c r="GF843">
        <v>26.487212219667573</v>
      </c>
      <c r="GG843">
        <v>23.379489151820884</v>
      </c>
      <c r="GH843">
        <v>14.470901601680438</v>
      </c>
      <c r="GI843">
        <v>28.28045358170931</v>
      </c>
      <c r="GJ843"/>
      <c r="GK843">
        <v>56.274270708196624</v>
      </c>
      <c r="GL843">
        <v>79.78992561746503</v>
      </c>
      <c r="GM843">
        <v>62.676667929544642</v>
      </c>
      <c r="GN843">
        <v>52.883854799955841</v>
      </c>
      <c r="GO843">
        <v>33.938907349621346</v>
      </c>
      <c r="GP843">
        <v>16.51085345927568</v>
      </c>
      <c r="GQ843">
        <v>35.686686906516961</v>
      </c>
      <c r="GR843">
        <v>35.165713375034969</v>
      </c>
      <c r="GS843">
        <v>18.267341765336809</v>
      </c>
      <c r="GT843">
        <v>41.368774931843276</v>
      </c>
      <c r="GU843"/>
      <c r="GV843"/>
      <c r="GW843"/>
      <c r="GX843"/>
      <c r="GY843"/>
      <c r="GZ843"/>
      <c r="HA843"/>
      <c r="HB843"/>
      <c r="HC843"/>
    </row>
    <row r="844" spans="1:211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44.085176282051286</v>
      </c>
      <c r="AO844">
        <v>35.290158995600784</v>
      </c>
      <c r="AP844">
        <v>27.966563955532433</v>
      </c>
      <c r="AQ844">
        <v>234.01816723586455</v>
      </c>
      <c r="AR844">
        <v>33.641865282428768</v>
      </c>
      <c r="AS844">
        <v>318.20031579254334</v>
      </c>
      <c r="AT844">
        <v>26.693609023936578</v>
      </c>
      <c r="AU844">
        <v>13.209004186067187</v>
      </c>
      <c r="AV844"/>
      <c r="AW844"/>
      <c r="FY844" s="211">
        <v>839</v>
      </c>
      <c r="FZ844">
        <v>52.41749194952807</v>
      </c>
      <c r="GA844">
        <v>80.466440169109234</v>
      </c>
      <c r="GB844">
        <v>32.732523171502379</v>
      </c>
      <c r="GC844">
        <v>14.226803339892152</v>
      </c>
      <c r="GD844">
        <v>7.6183435699100457</v>
      </c>
      <c r="GE844">
        <v>8.0733428017121156</v>
      </c>
      <c r="GF844">
        <v>16.890650924419734</v>
      </c>
      <c r="GG844">
        <v>16.601798862353615</v>
      </c>
      <c r="GH844">
        <v>13.953316520999239</v>
      </c>
      <c r="GI844">
        <v>26.150399576106079</v>
      </c>
      <c r="GJ844"/>
      <c r="GK844">
        <v>54.2077562488167</v>
      </c>
      <c r="GL844">
        <v>71.112887047292929</v>
      </c>
      <c r="GM844">
        <v>57.98790614620664</v>
      </c>
      <c r="GN844">
        <v>46.977362926423034</v>
      </c>
      <c r="GO844">
        <v>33.141963573315834</v>
      </c>
      <c r="GP844">
        <v>17.322369921776477</v>
      </c>
      <c r="GQ844">
        <v>22.757071079736431</v>
      </c>
      <c r="GR844">
        <v>24.971208588534928</v>
      </c>
      <c r="GS844">
        <v>15.629205944459986</v>
      </c>
      <c r="GT844">
        <v>36.744780598507113</v>
      </c>
      <c r="GU844"/>
      <c r="GV844"/>
      <c r="GW844"/>
      <c r="GX844"/>
      <c r="GY844"/>
      <c r="GZ844"/>
      <c r="HA844"/>
      <c r="HB844"/>
      <c r="HC844"/>
    </row>
    <row r="845" spans="1:211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50.775827991452999</v>
      </c>
      <c r="AO845">
        <v>39.303841298419172</v>
      </c>
      <c r="AP845">
        <v>33.539737455409131</v>
      </c>
      <c r="AQ845">
        <v>276.52339313237405</v>
      </c>
      <c r="AR845">
        <v>38.059838021645469</v>
      </c>
      <c r="AS845">
        <v>355.51718593523162</v>
      </c>
      <c r="AT845">
        <v>29.776069709412862</v>
      </c>
      <c r="AU845">
        <v>24.29783917127266</v>
      </c>
      <c r="AV845"/>
      <c r="AW845"/>
      <c r="FY845" s="211">
        <v>840</v>
      </c>
      <c r="FZ845">
        <v>39.86443699454852</v>
      </c>
      <c r="GA845">
        <v>58.625549266065292</v>
      </c>
      <c r="GB845">
        <v>24.030584392677252</v>
      </c>
      <c r="GC845">
        <v>12.866564676582389</v>
      </c>
      <c r="GD845">
        <v>7.7867482943854593</v>
      </c>
      <c r="GE845">
        <v>9.1519675484995648</v>
      </c>
      <c r="GF845">
        <v>27.014495807318557</v>
      </c>
      <c r="GG845">
        <v>20.99430894542299</v>
      </c>
      <c r="GH845">
        <v>10.577488835853572</v>
      </c>
      <c r="GI845">
        <v>23.657694504882464</v>
      </c>
      <c r="GJ845"/>
      <c r="GK845">
        <v>41.221146116399233</v>
      </c>
      <c r="GL845">
        <v>51.810817705884851</v>
      </c>
      <c r="GM845">
        <v>42.571825737352938</v>
      </c>
      <c r="GN845">
        <v>42.496229927714815</v>
      </c>
      <c r="GO845">
        <v>33.887870954284537</v>
      </c>
      <c r="GP845">
        <v>19.636694648167669</v>
      </c>
      <c r="GQ845">
        <v>36.397105358537871</v>
      </c>
      <c r="GR845">
        <v>31.578100192329373</v>
      </c>
      <c r="GS845">
        <v>13.220174906521871</v>
      </c>
      <c r="GT845">
        <v>33.459624614619287</v>
      </c>
      <c r="GU845"/>
      <c r="GV845"/>
      <c r="GW845"/>
      <c r="GX845"/>
      <c r="GY845"/>
      <c r="GZ845"/>
      <c r="HA845"/>
      <c r="HB845"/>
      <c r="HC845"/>
    </row>
    <row r="846" spans="1:211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52.330475427350429</v>
      </c>
      <c r="AO846">
        <v>42.14475291354006</v>
      </c>
      <c r="AP846">
        <v>35.569158405056541</v>
      </c>
      <c r="AQ846">
        <v>279.23977293572659</v>
      </c>
      <c r="AR846">
        <v>40.355498009079653</v>
      </c>
      <c r="AS846">
        <v>390.74390425705292</v>
      </c>
      <c r="AT846">
        <v>31.672670662955156</v>
      </c>
      <c r="AU846">
        <v>38.387688533137819</v>
      </c>
      <c r="AV846"/>
      <c r="AW846"/>
      <c r="FY846" s="211">
        <v>841</v>
      </c>
      <c r="FZ846">
        <v>46.36995407278004</v>
      </c>
      <c r="GA846">
        <v>67.949756788413168</v>
      </c>
      <c r="GB846">
        <v>23.920306366678311</v>
      </c>
      <c r="GC846">
        <v>13.38275157932928</v>
      </c>
      <c r="GD846">
        <v>8.5762935453669726</v>
      </c>
      <c r="GE846">
        <v>11.626734283553022</v>
      </c>
      <c r="GF846">
        <v>27.524203275381179</v>
      </c>
      <c r="GG846">
        <v>24.654734014647477</v>
      </c>
      <c r="GH846">
        <v>15.40489889565124</v>
      </c>
      <c r="GI846">
        <v>25.868225533983377</v>
      </c>
      <c r="GJ846"/>
      <c r="GK846">
        <v>49.740466744576835</v>
      </c>
      <c r="GL846">
        <v>62.387523485301699</v>
      </c>
      <c r="GM846">
        <v>42.376460663047183</v>
      </c>
      <c r="GN846">
        <v>44.178072981247745</v>
      </c>
      <c r="GO846">
        <v>37.297943511291415</v>
      </c>
      <c r="GP846">
        <v>24.946617180580361</v>
      </c>
      <c r="GQ846">
        <v>37.083843195491426</v>
      </c>
      <c r="GR846">
        <v>37.083843195491426</v>
      </c>
      <c r="GS846">
        <v>17.941261762994429</v>
      </c>
      <c r="GT846">
        <v>36.887995175480263</v>
      </c>
      <c r="GU846"/>
      <c r="GV846"/>
      <c r="GW846"/>
      <c r="GX846"/>
      <c r="GY846"/>
      <c r="GZ846"/>
      <c r="HA846"/>
      <c r="HB846"/>
      <c r="HC846"/>
    </row>
    <row r="847" spans="1:211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54.258680555555557</v>
      </c>
      <c r="AO847">
        <v>40.871832388232114</v>
      </c>
      <c r="AP847">
        <v>17.655450590750839</v>
      </c>
      <c r="AQ847">
        <v>281.93029141659463</v>
      </c>
      <c r="AR847">
        <v>39.367125911634695</v>
      </c>
      <c r="AS847">
        <v>366.10800398328479</v>
      </c>
      <c r="AT847">
        <v>32.104066807629074</v>
      </c>
      <c r="AU847">
        <v>41.20549386626422</v>
      </c>
      <c r="AV847"/>
      <c r="AW847"/>
      <c r="FY847" s="211">
        <v>842</v>
      </c>
      <c r="FZ847">
        <v>34.46790288084042</v>
      </c>
      <c r="GA847">
        <v>71.928866467105394</v>
      </c>
      <c r="GB847">
        <v>34.958134241662727</v>
      </c>
      <c r="GC847">
        <v>11.738956246299029</v>
      </c>
      <c r="GD847">
        <v>6.7995857471188277</v>
      </c>
      <c r="GE847">
        <v>7.1021135924835921</v>
      </c>
      <c r="GF847">
        <v>22.567737551461956</v>
      </c>
      <c r="GG847">
        <v>23.332257860605079</v>
      </c>
      <c r="GH847">
        <v>15.753731808676214</v>
      </c>
      <c r="GI847">
        <v>24.904468881361417</v>
      </c>
      <c r="GJ847"/>
      <c r="GK847">
        <v>37.436501644000522</v>
      </c>
      <c r="GL847">
        <v>65.904094822805206</v>
      </c>
      <c r="GM847">
        <v>61.930728554922688</v>
      </c>
      <c r="GN847">
        <v>38.756556991050125</v>
      </c>
      <c r="GO847">
        <v>29.574398498679876</v>
      </c>
      <c r="GP847">
        <v>15.238475795848485</v>
      </c>
      <c r="GQ847">
        <v>30.405909746494881</v>
      </c>
      <c r="GR847">
        <v>35.094671529832873</v>
      </c>
      <c r="GS847">
        <v>18.331991911605922</v>
      </c>
      <c r="GT847">
        <v>35.535906071140786</v>
      </c>
      <c r="GU847"/>
      <c r="GV847"/>
      <c r="GW847"/>
      <c r="GX847"/>
      <c r="GY847"/>
      <c r="GZ847"/>
      <c r="HA847"/>
      <c r="HB847"/>
      <c r="HC847"/>
    </row>
    <row r="848" spans="1:211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61.912500000000001</v>
      </c>
      <c r="AO848">
        <v>47.858644634797479</v>
      </c>
      <c r="AP848">
        <v>29.084989462544495</v>
      </c>
      <c r="AQ848">
        <v>332.87521833325349</v>
      </c>
      <c r="AR848">
        <v>45.345476637278189</v>
      </c>
      <c r="AS848">
        <v>433.82300386667708</v>
      </c>
      <c r="AT848">
        <v>36.363389347436566</v>
      </c>
      <c r="AU848">
        <v>20.944158104115896</v>
      </c>
      <c r="AV848"/>
      <c r="AW848"/>
      <c r="FY848" s="211">
        <v>843</v>
      </c>
      <c r="FZ848">
        <v>41.320199853652099</v>
      </c>
      <c r="GA848">
        <v>75.249385257046114</v>
      </c>
      <c r="GB848">
        <v>32.311461617688266</v>
      </c>
      <c r="GC848">
        <v>12.143308115592125</v>
      </c>
      <c r="GD848">
        <v>8.5357205082336236</v>
      </c>
      <c r="GE848">
        <v>10.973022315803053</v>
      </c>
      <c r="GF848">
        <v>23.560788308204636</v>
      </c>
      <c r="GG848">
        <v>17.381115167414311</v>
      </c>
      <c r="GH848">
        <v>10.17240520027652</v>
      </c>
      <c r="GI848">
        <v>25.676362488807314</v>
      </c>
      <c r="GJ848"/>
      <c r="GK848">
        <v>42.72343989821055</v>
      </c>
      <c r="GL848">
        <v>66.502271293677239</v>
      </c>
      <c r="GM848">
        <v>57.241966771584693</v>
      </c>
      <c r="GN848">
        <v>40.103587677574971</v>
      </c>
      <c r="GO848">
        <v>37.143055397710917</v>
      </c>
      <c r="GP848">
        <v>23.543996134282668</v>
      </c>
      <c r="GQ848">
        <v>31.743864497800921</v>
      </c>
      <c r="GR848">
        <v>26.143399034369427</v>
      </c>
      <c r="GS848">
        <v>12.080309533821929</v>
      </c>
      <c r="GT848">
        <v>36.186527219825798</v>
      </c>
      <c r="GU848"/>
      <c r="GV848"/>
      <c r="GW848"/>
      <c r="GX848"/>
      <c r="GY848"/>
      <c r="GZ848"/>
      <c r="HA848"/>
      <c r="HB848"/>
      <c r="HC848"/>
    </row>
    <row r="849" spans="1:211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48.834241452991449</v>
      </c>
      <c r="AO849">
        <v>38.198924315074088</v>
      </c>
      <c r="AP849">
        <v>33.511478234430932</v>
      </c>
      <c r="AQ849">
        <v>256.81690036464875</v>
      </c>
      <c r="AR849">
        <v>36.48993222204259</v>
      </c>
      <c r="AS849">
        <v>349.81715816827102</v>
      </c>
      <c r="AT849">
        <v>28.75188395043067</v>
      </c>
      <c r="AU849">
        <v>28.993222442785406</v>
      </c>
      <c r="AV849"/>
      <c r="AW849"/>
      <c r="FY849" s="211">
        <v>844</v>
      </c>
      <c r="FZ849">
        <v>50.531724629613997</v>
      </c>
      <c r="GA849">
        <v>97.974522755354954</v>
      </c>
      <c r="GB849">
        <v>40.251479489611654</v>
      </c>
      <c r="GC849">
        <v>12.74989371973583</v>
      </c>
      <c r="GD849">
        <v>7.7463766543083317</v>
      </c>
      <c r="GE849">
        <v>10.622819475937</v>
      </c>
      <c r="GF849">
        <v>27.910877906325226</v>
      </c>
      <c r="GG849">
        <v>21.017924591030891</v>
      </c>
      <c r="GH849">
        <v>9.8798230098036122</v>
      </c>
      <c r="GI849">
        <v>29.351555344344629</v>
      </c>
      <c r="GJ849"/>
      <c r="GK849">
        <v>52.265324685702957</v>
      </c>
      <c r="GL849">
        <v>86.585800932308302</v>
      </c>
      <c r="GM849">
        <v>71.30825212159867</v>
      </c>
      <c r="GN849">
        <v>42.095523715548396</v>
      </c>
      <c r="GO849">
        <v>33.694825520401153</v>
      </c>
      <c r="GP849">
        <v>22.792592002337479</v>
      </c>
      <c r="GQ849">
        <v>37.604816726973418</v>
      </c>
      <c r="GR849">
        <v>31.613621114930424</v>
      </c>
      <c r="GS849">
        <v>12.438714609298874</v>
      </c>
      <c r="GT849">
        <v>41.462386732795018</v>
      </c>
      <c r="GU849"/>
      <c r="GV849"/>
      <c r="GW849"/>
      <c r="GX849"/>
      <c r="GY849"/>
      <c r="GZ849"/>
      <c r="HA849"/>
      <c r="HB849"/>
      <c r="HC849"/>
    </row>
    <row r="850" spans="1:211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50.635683760683762</v>
      </c>
      <c r="AO850">
        <v>36.896106554100278</v>
      </c>
      <c r="AP850">
        <v>13.694123169178479</v>
      </c>
      <c r="AQ850">
        <v>257.37439788627717</v>
      </c>
      <c r="AR850">
        <v>35.018565503936145</v>
      </c>
      <c r="AS850">
        <v>336.62626875049614</v>
      </c>
      <c r="AT850">
        <v>28.222706979841153</v>
      </c>
      <c r="AU850">
        <v>28.696734484070724</v>
      </c>
      <c r="AV850"/>
      <c r="AW850"/>
      <c r="FY850" s="211">
        <v>845</v>
      </c>
      <c r="FZ850">
        <v>58.788577299027054</v>
      </c>
      <c r="GA850">
        <v>80.320021006727899</v>
      </c>
      <c r="GB850">
        <v>27.77001200155026</v>
      </c>
      <c r="GC850">
        <v>16.628963983475302</v>
      </c>
      <c r="GD850">
        <v>10.376981870181732</v>
      </c>
      <c r="GE850">
        <v>10.912320490226268</v>
      </c>
      <c r="GF850">
        <v>29.554245087837447</v>
      </c>
      <c r="GG850">
        <v>21.537468794404695</v>
      </c>
      <c r="GH850">
        <v>8.0231569995745602</v>
      </c>
      <c r="GI850">
        <v>28.869891305943138</v>
      </c>
      <c r="GJ850"/>
      <c r="GK850">
        <v>66.19881648292872</v>
      </c>
      <c r="GL850">
        <v>77.992566933852132</v>
      </c>
      <c r="GM850">
        <v>49.196477802447909</v>
      </c>
      <c r="GN850">
        <v>54.919000177316121</v>
      </c>
      <c r="GO850">
        <v>45.156211219351874</v>
      </c>
      <c r="GP850">
        <v>23.413752751412169</v>
      </c>
      <c r="GQ850">
        <v>39.818954235771919</v>
      </c>
      <c r="GR850">
        <v>32.395081412153431</v>
      </c>
      <c r="GS850">
        <v>8.9867934180644902</v>
      </c>
      <c r="GT850">
        <v>41.871450631712975</v>
      </c>
      <c r="GU850"/>
      <c r="GV850"/>
      <c r="GW850"/>
      <c r="GX850"/>
      <c r="GY850"/>
      <c r="GZ850"/>
      <c r="HA850"/>
      <c r="HB850"/>
      <c r="HC850"/>
    </row>
    <row r="851" spans="1:211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52.809241452991458</v>
      </c>
      <c r="AO851">
        <v>38.971677381682049</v>
      </c>
      <c r="AP851">
        <v>10.761971057494691</v>
      </c>
      <c r="AQ851">
        <v>255.69007051455415</v>
      </c>
      <c r="AR851">
        <v>37.07072333985343</v>
      </c>
      <c r="AS851">
        <v>373.94796058635558</v>
      </c>
      <c r="AT851">
        <v>30.247444844862557</v>
      </c>
      <c r="AU851">
        <v>32.66713958961239</v>
      </c>
      <c r="AV851"/>
      <c r="AW851"/>
      <c r="FY851" s="211">
        <v>846</v>
      </c>
      <c r="FZ851">
        <v>42.490918317749276</v>
      </c>
      <c r="GA851">
        <v>70.160373276575513</v>
      </c>
      <c r="GB851">
        <v>31.850298963510884</v>
      </c>
      <c r="GC851">
        <v>13.493043559991273</v>
      </c>
      <c r="GD851">
        <v>8.9474647095115127</v>
      </c>
      <c r="GE851">
        <v>16.935809335922414</v>
      </c>
      <c r="GF851">
        <v>29.237874935246861</v>
      </c>
      <c r="GG851">
        <v>18.396587928554005</v>
      </c>
      <c r="GH851">
        <v>11.972820487953497</v>
      </c>
      <c r="GI851">
        <v>27.326902564014816</v>
      </c>
      <c r="GJ851"/>
      <c r="GK851">
        <v>45.745569173023753</v>
      </c>
      <c r="GL851">
        <v>64.341174228359193</v>
      </c>
      <c r="GM851">
        <v>56.424985551760635</v>
      </c>
      <c r="GN851">
        <v>44.534669725691181</v>
      </c>
      <c r="GO851">
        <v>38.904603493425483</v>
      </c>
      <c r="GP851">
        <v>36.337903820869464</v>
      </c>
      <c r="GQ851">
        <v>39.392703164559379</v>
      </c>
      <c r="GR851">
        <v>27.670798706214381</v>
      </c>
      <c r="GS851">
        <v>14.783095500967869</v>
      </c>
      <c r="GT851">
        <v>39.050191376747414</v>
      </c>
      <c r="GU851"/>
      <c r="GV851"/>
      <c r="GW851"/>
      <c r="GX851"/>
      <c r="GY851"/>
      <c r="GZ851"/>
      <c r="HA851"/>
      <c r="HB851"/>
      <c r="HC851"/>
    </row>
    <row r="852" spans="1:211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42.906356837606843</v>
      </c>
      <c r="AO852">
        <v>32.578679977834788</v>
      </c>
      <c r="AP852">
        <v>17.436988965260504</v>
      </c>
      <c r="AQ852">
        <v>212.83481411202536</v>
      </c>
      <c r="AR852">
        <v>32.185964924381373</v>
      </c>
      <c r="AS852">
        <v>297.34313402902455</v>
      </c>
      <c r="AT852">
        <v>25.931706810036687</v>
      </c>
      <c r="AU852">
        <v>37.854381901473594</v>
      </c>
      <c r="AV852"/>
      <c r="AW852"/>
      <c r="FY852" s="211">
        <v>847</v>
      </c>
      <c r="FZ852">
        <v>33.605384025499575</v>
      </c>
      <c r="GA852">
        <v>54.027466970687627</v>
      </c>
      <c r="GB852">
        <v>27.559481224643203</v>
      </c>
      <c r="GC852">
        <v>15.487618231395635</v>
      </c>
      <c r="GD852">
        <v>10.591791888509725</v>
      </c>
      <c r="GE852">
        <v>13.840016231506487</v>
      </c>
      <c r="GF852">
        <v>27.524203275381179</v>
      </c>
      <c r="GG852">
        <v>18.420203574161906</v>
      </c>
      <c r="GH852">
        <v>9.8235722872515403</v>
      </c>
      <c r="GI852">
        <v>25.317310881276313</v>
      </c>
      <c r="GJ852"/>
      <c r="GK852">
        <v>34.74939484796402</v>
      </c>
      <c r="GL852">
        <v>47.747224160325253</v>
      </c>
      <c r="GM852">
        <v>48.823508115136931</v>
      </c>
      <c r="GN852">
        <v>51.122434678854297</v>
      </c>
      <c r="GO852">
        <v>46.060703208205325</v>
      </c>
      <c r="GP852">
        <v>29.695491294473968</v>
      </c>
      <c r="GQ852">
        <v>37.083843195491426</v>
      </c>
      <c r="GR852">
        <v>27.706319628815432</v>
      </c>
      <c r="GS852">
        <v>11.689579385210433</v>
      </c>
      <c r="GT852">
        <v>35.681405750401623</v>
      </c>
      <c r="GU852"/>
      <c r="GV852"/>
      <c r="GW852"/>
      <c r="GX852"/>
      <c r="GY852"/>
      <c r="GZ852"/>
      <c r="HA852"/>
      <c r="HB852"/>
      <c r="HC852"/>
    </row>
    <row r="853" spans="1:211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38.333413461538463</v>
      </c>
      <c r="AO853">
        <v>27.976424443444575</v>
      </c>
      <c r="AP853">
        <v>13.390273388099038</v>
      </c>
      <c r="AQ853">
        <v>191.43713191665685</v>
      </c>
      <c r="AR853">
        <v>27.439638781161648</v>
      </c>
      <c r="AS853">
        <v>262.57267268463823</v>
      </c>
      <c r="AT853">
        <v>21.827975057058765</v>
      </c>
      <c r="AU853">
        <v>25.413893031218372</v>
      </c>
      <c r="AV853"/>
      <c r="AW853"/>
      <c r="FY853" s="211">
        <v>848</v>
      </c>
      <c r="FZ853">
        <v>43.69107732909621</v>
      </c>
      <c r="GA853">
        <v>67.330784171727714</v>
      </c>
      <c r="GB853">
        <v>20.932774389616227</v>
      </c>
      <c r="GC853">
        <v>10.866036832178951</v>
      </c>
      <c r="GD853">
        <v>7.7095430557969795</v>
      </c>
      <c r="GE853">
        <v>11.944251525031579</v>
      </c>
      <c r="GF853">
        <v>30.327594349725555</v>
      </c>
      <c r="GG853">
        <v>22.057012997778486</v>
      </c>
      <c r="GH853">
        <v>12.963068504476368</v>
      </c>
      <c r="GI853">
        <v>24.332196645839822</v>
      </c>
      <c r="GJ853"/>
      <c r="GK853">
        <v>46.992755630008617</v>
      </c>
      <c r="GL853">
        <v>61.840501277245608</v>
      </c>
      <c r="GM853">
        <v>37.083843195491418</v>
      </c>
      <c r="GN853">
        <v>35.873442106598603</v>
      </c>
      <c r="GO853">
        <v>33.534525972252844</v>
      </c>
      <c r="GP853">
        <v>25.627890260210666</v>
      </c>
      <c r="GQ853">
        <v>40.860901298735918</v>
      </c>
      <c r="GR853">
        <v>33.176541709376423</v>
      </c>
      <c r="GS853">
        <v>15.206150722713929</v>
      </c>
      <c r="GT853">
        <v>34.735635363840537</v>
      </c>
      <c r="GU853"/>
      <c r="GV853"/>
      <c r="GW853"/>
      <c r="GX853"/>
      <c r="GY853"/>
      <c r="GZ853"/>
      <c r="HA853"/>
      <c r="HB853"/>
      <c r="HC853"/>
    </row>
    <row r="854" spans="1:211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50.865998931623935</v>
      </c>
      <c r="AO854">
        <v>43.256299684279114</v>
      </c>
      <c r="AP854">
        <v>72.161011715705399</v>
      </c>
      <c r="AQ854">
        <v>291.05638542900414</v>
      </c>
      <c r="AR854">
        <v>41.368774931843276</v>
      </c>
      <c r="AS854">
        <v>392.10587799758201</v>
      </c>
      <c r="AT854">
        <v>31.428301410701874</v>
      </c>
      <c r="AU854">
        <v>21.221594287852831</v>
      </c>
      <c r="AV854"/>
      <c r="AW854"/>
      <c r="FY854" s="211">
        <v>849</v>
      </c>
      <c r="FZ854">
        <v>38.539474595235347</v>
      </c>
      <c r="GA854">
        <v>85.152947124013394</v>
      </c>
      <c r="GB854">
        <v>37.494528839638257</v>
      </c>
      <c r="GC854">
        <v>14.721805345644176</v>
      </c>
      <c r="GD854">
        <v>8.3827355053256802</v>
      </c>
      <c r="GE854">
        <v>8.1807383392710413</v>
      </c>
      <c r="GF854">
        <v>33.324322739541955</v>
      </c>
      <c r="GG854">
        <v>26.473138726455769</v>
      </c>
      <c r="GH854">
        <v>10.521238113301502</v>
      </c>
      <c r="GI854">
        <v>28.406568383892949</v>
      </c>
      <c r="GJ854"/>
      <c r="GK854">
        <v>39.857625176944886</v>
      </c>
      <c r="GL854">
        <v>75.254626622574833</v>
      </c>
      <c r="GM854">
        <v>66.424125263954934</v>
      </c>
      <c r="GN854">
        <v>48.619956569397409</v>
      </c>
      <c r="GO854">
        <v>36.477265797163106</v>
      </c>
      <c r="GP854">
        <v>17.552800522239675</v>
      </c>
      <c r="GQ854">
        <v>44.89844616772141</v>
      </c>
      <c r="GR854">
        <v>39.818954235771919</v>
      </c>
      <c r="GS854">
        <v>12.471039682433432</v>
      </c>
      <c r="GT854">
        <v>40.025700417643563</v>
      </c>
      <c r="GU854"/>
      <c r="GV854"/>
      <c r="GW854"/>
      <c r="GX854"/>
      <c r="GY854"/>
      <c r="GZ854"/>
      <c r="HA854"/>
      <c r="HB854"/>
      <c r="HC854"/>
    </row>
    <row r="855" spans="1:211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51.598958333333329</v>
      </c>
      <c r="AO855">
        <v>38.085251207507014</v>
      </c>
      <c r="AP855">
        <v>10.473895071222197</v>
      </c>
      <c r="AQ855">
        <v>269.13111088553262</v>
      </c>
      <c r="AR855">
        <v>36.744780598507134</v>
      </c>
      <c r="AS855">
        <v>365.55425759717861</v>
      </c>
      <c r="AT855">
        <v>29.905423535144696</v>
      </c>
      <c r="AU855">
        <v>39.972170461344454</v>
      </c>
      <c r="AV855"/>
      <c r="AW855"/>
      <c r="FY855" s="211">
        <v>850</v>
      </c>
      <c r="FZ855">
        <v>27.73573389990975</v>
      </c>
      <c r="GA855">
        <v>59.686645180383223</v>
      </c>
      <c r="GB855">
        <v>35.700004598382847</v>
      </c>
      <c r="GC855">
        <v>15.611647533853935</v>
      </c>
      <c r="GD855">
        <v>7.006004743858357</v>
      </c>
      <c r="GE855">
        <v>9.0305638973460027</v>
      </c>
      <c r="GF855">
        <v>26.267510724813</v>
      </c>
      <c r="GG855">
        <v>19.7190640825964</v>
      </c>
      <c r="GH855">
        <v>10.813820303774408</v>
      </c>
      <c r="GI855">
        <v>24.1816378325675</v>
      </c>
      <c r="GJ855"/>
      <c r="GK855">
        <v>28.682742926656008</v>
      </c>
      <c r="GL855">
        <v>52.748570062552446</v>
      </c>
      <c r="GM855">
        <v>63.245002691161375</v>
      </c>
      <c r="GN855">
        <v>51.535923985094868</v>
      </c>
      <c r="GO855">
        <v>30.459721178697652</v>
      </c>
      <c r="GP855">
        <v>19.376207882426677</v>
      </c>
      <c r="GQ855">
        <v>35.390679218174924</v>
      </c>
      <c r="GR855">
        <v>29.659970371872927</v>
      </c>
      <c r="GS855">
        <v>12.112634606956487</v>
      </c>
      <c r="GT855">
        <v>33.978156124329288</v>
      </c>
      <c r="GU855"/>
      <c r="GV855"/>
      <c r="GW855"/>
      <c r="GX855"/>
      <c r="GY855"/>
      <c r="GZ855"/>
      <c r="HA855"/>
      <c r="HB855"/>
      <c r="HC855"/>
    </row>
    <row r="856" spans="1:211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46.17491987179487</v>
      </c>
      <c r="AO856">
        <v>34.627959016181237</v>
      </c>
      <c r="AP856">
        <v>19.275192318796144</v>
      </c>
      <c r="AQ856">
        <v>234.56983926623607</v>
      </c>
      <c r="AR856">
        <v>33.459624614619308</v>
      </c>
      <c r="AS856">
        <v>328.2086982229668</v>
      </c>
      <c r="AT856">
        <v>27.016847785705977</v>
      </c>
      <c r="AU856">
        <v>38.423317811721773</v>
      </c>
      <c r="AV856"/>
      <c r="AW856"/>
      <c r="FY856" s="211">
        <v>851</v>
      </c>
      <c r="FZ856">
        <v>30.684718568718381</v>
      </c>
      <c r="GA856">
        <v>52.917564668909257</v>
      </c>
      <c r="GB856">
        <v>25.474224005754234</v>
      </c>
      <c r="GC856">
        <v>16.858810242097665</v>
      </c>
      <c r="GD856">
        <v>10.498365319821412</v>
      </c>
      <c r="GE856">
        <v>8.7877565950388679</v>
      </c>
      <c r="GF856">
        <v>30.494567485815029</v>
      </c>
      <c r="GG856">
        <v>25.670206775787172</v>
      </c>
      <c r="GH856">
        <v>14.358400156576289</v>
      </c>
      <c r="GI856">
        <v>25.545698280755566</v>
      </c>
      <c r="GJ856"/>
      <c r="GK856">
        <v>33.537269319257348</v>
      </c>
      <c r="GL856">
        <v>49.102698432510721</v>
      </c>
      <c r="GM856">
        <v>45.12933216462821</v>
      </c>
      <c r="GN856">
        <v>55.678146048802574</v>
      </c>
      <c r="GO856">
        <v>45.684471093931528</v>
      </c>
      <c r="GP856">
        <v>18.85523435094467</v>
      </c>
      <c r="GQ856">
        <v>41.085867141875873</v>
      </c>
      <c r="GR856">
        <v>38.611242867336372</v>
      </c>
      <c r="GS856">
        <v>16.769071317159923</v>
      </c>
      <c r="GT856">
        <v>36.441202207370573</v>
      </c>
      <c r="GU856"/>
      <c r="GV856"/>
      <c r="GW856"/>
      <c r="GX856"/>
      <c r="GY856"/>
      <c r="GZ856"/>
      <c r="HA856"/>
      <c r="HB856"/>
      <c r="HC856"/>
    </row>
    <row r="857" spans="1:211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51.194177350427353</v>
      </c>
      <c r="AO857">
        <v>38.992402789550283</v>
      </c>
      <c r="AP857">
        <v>48.962632391446718</v>
      </c>
      <c r="AQ857">
        <v>265.27785835578413</v>
      </c>
      <c r="AR857">
        <v>36.887995175480278</v>
      </c>
      <c r="AS857">
        <v>359.43735360539557</v>
      </c>
      <c r="AT857">
        <v>28.874323708503368</v>
      </c>
      <c r="AU857">
        <v>38.505025177253572</v>
      </c>
      <c r="AV857"/>
      <c r="AW857"/>
      <c r="FY857" s="211">
        <v>852</v>
      </c>
      <c r="FZ857">
        <v>38.452274288708423</v>
      </c>
      <c r="GA857">
        <v>61.543563030439586</v>
      </c>
      <c r="GB857">
        <v>29.634713168441358</v>
      </c>
      <c r="GC857">
        <v>16.876446742379201</v>
      </c>
      <c r="GD857">
        <v>8.9081473632365054</v>
      </c>
      <c r="GE857">
        <v>8.1807383392710413</v>
      </c>
      <c r="GF857">
        <v>20.300418124562743</v>
      </c>
      <c r="GG857">
        <v>16.885186609648418</v>
      </c>
      <c r="GH857">
        <v>9.8235722872515403</v>
      </c>
      <c r="GI857">
        <v>24.128075959910955</v>
      </c>
      <c r="GJ857"/>
      <c r="GK857">
        <v>39.765109948706908</v>
      </c>
      <c r="GL857">
        <v>54.389636686720749</v>
      </c>
      <c r="GM857">
        <v>52.499923604345121</v>
      </c>
      <c r="GN857">
        <v>55.728716383144693</v>
      </c>
      <c r="GO857">
        <v>38.755180137168225</v>
      </c>
      <c r="GP857">
        <v>17.552800522239675</v>
      </c>
      <c r="GQ857">
        <v>27.351110402804977</v>
      </c>
      <c r="GR857">
        <v>25.397459659747479</v>
      </c>
      <c r="GS857">
        <v>11.689579385210433</v>
      </c>
      <c r="GT857">
        <v>34.012180695647125</v>
      </c>
      <c r="GU857"/>
      <c r="GV857"/>
      <c r="GW857"/>
      <c r="GX857"/>
      <c r="GY857"/>
      <c r="GZ857"/>
      <c r="HA857"/>
      <c r="HB857"/>
      <c r="HC857"/>
    </row>
    <row r="858" spans="1:211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47.744791666666657</v>
      </c>
      <c r="AO858">
        <v>36.820923556638135</v>
      </c>
      <c r="AP858">
        <v>33.132726357209044</v>
      </c>
      <c r="AQ858">
        <v>253.55375527761467</v>
      </c>
      <c r="AR858">
        <v>35.535906071140772</v>
      </c>
      <c r="AS858">
        <v>330.07171265073941</v>
      </c>
      <c r="AT858">
        <v>27.840051840328641</v>
      </c>
      <c r="AU858">
        <v>24.677096936717192</v>
      </c>
      <c r="AV858"/>
      <c r="AW858"/>
      <c r="FY858" s="211">
        <v>853</v>
      </c>
      <c r="FZ858">
        <v>47.723724286312901</v>
      </c>
      <c r="GA858">
        <v>72.322183377277412</v>
      </c>
      <c r="GB858">
        <v>27.669759250642137</v>
      </c>
      <c r="GC858">
        <v>14.060106203314808</v>
      </c>
      <c r="GD858">
        <v>8.5582281773786679</v>
      </c>
      <c r="GE858">
        <v>11.155127792533404</v>
      </c>
      <c r="GF858">
        <v>24.378077869063656</v>
      </c>
      <c r="GG858">
        <v>21.750009604875785</v>
      </c>
      <c r="GH858">
        <v>17.497896373801119</v>
      </c>
      <c r="GI858">
        <v>26.679833060008981</v>
      </c>
      <c r="GJ858"/>
      <c r="GK858">
        <v>52.950776494437967</v>
      </c>
      <c r="GL858">
        <v>68.588051600269779</v>
      </c>
      <c r="GM858">
        <v>49.018873189442679</v>
      </c>
      <c r="GN858">
        <v>46.426788626106827</v>
      </c>
      <c r="GO858">
        <v>37.232334429759298</v>
      </c>
      <c r="GP858">
        <v>23.934726282894175</v>
      </c>
      <c r="GQ858">
        <v>32.845013098433334</v>
      </c>
      <c r="GR858">
        <v>32.714769715562831</v>
      </c>
      <c r="GS858">
        <v>20.285642654663423</v>
      </c>
      <c r="GT858">
        <v>38.466527973347333</v>
      </c>
      <c r="GU858"/>
      <c r="GV858"/>
      <c r="GW858"/>
      <c r="GX858"/>
      <c r="GY858"/>
      <c r="GZ858"/>
      <c r="HA858"/>
      <c r="HB858"/>
      <c r="HC858"/>
    </row>
    <row r="859" spans="1:211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50.376415598290599</v>
      </c>
      <c r="AO859">
        <v>37.341241745885917</v>
      </c>
      <c r="AP859">
        <v>15.186587603613789</v>
      </c>
      <c r="AQ859">
        <v>257.32376883271809</v>
      </c>
      <c r="AR859">
        <v>36.186527219825827</v>
      </c>
      <c r="AS859">
        <v>346.66075985459702</v>
      </c>
      <c r="AT859">
        <v>29.210962515071547</v>
      </c>
      <c r="AU859">
        <v>42.987602011254047</v>
      </c>
      <c r="AV859"/>
      <c r="AW859"/>
      <c r="FY859" s="211">
        <v>854</v>
      </c>
      <c r="FZ859">
        <v>43.458428354572909</v>
      </c>
      <c r="GA859">
        <v>55.92400309281004</v>
      </c>
      <c r="GB859">
        <v>25.584502031753168</v>
      </c>
      <c r="GC859">
        <v>14.44828960370457</v>
      </c>
      <c r="GD859">
        <v>8.4450738506702852</v>
      </c>
      <c r="GE859">
        <v>9.7589858042673967</v>
      </c>
      <c r="GF859">
        <v>22.813803225699075</v>
      </c>
      <c r="GG859">
        <v>16.885186609648411</v>
      </c>
      <c r="GH859">
        <v>14.009567243551309</v>
      </c>
      <c r="GI859">
        <v>24.652060695374349</v>
      </c>
      <c r="GJ859"/>
      <c r="GK859">
        <v>46.735879180954214</v>
      </c>
      <c r="GL859">
        <v>51.759663443068916</v>
      </c>
      <c r="GM859">
        <v>45.324697238933958</v>
      </c>
      <c r="GN859">
        <v>47.697376697412864</v>
      </c>
      <c r="GO859">
        <v>36.72687637101307</v>
      </c>
      <c r="GP859">
        <v>20.939128476872671</v>
      </c>
      <c r="GQ859">
        <v>30.737438357437963</v>
      </c>
      <c r="GR859">
        <v>25.397459659747472</v>
      </c>
      <c r="GS859">
        <v>16.378341168548427</v>
      </c>
      <c r="GT859">
        <v>35.180646463377528</v>
      </c>
      <c r="GU859"/>
      <c r="GV859"/>
      <c r="GW859"/>
      <c r="GX859"/>
      <c r="GY859"/>
      <c r="GZ859"/>
      <c r="HA859"/>
      <c r="HB859"/>
      <c r="HC859"/>
    </row>
    <row r="860" spans="1:211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57.487152777777773</v>
      </c>
      <c r="AO860">
        <v>43.186185816189465</v>
      </c>
      <c r="AP860">
        <v>11.692593310390185</v>
      </c>
      <c r="AQ860">
        <v>308.03699757606614</v>
      </c>
      <c r="AR860">
        <v>41.462386732795046</v>
      </c>
      <c r="AS860">
        <v>397.95152877895526</v>
      </c>
      <c r="AT860">
        <v>33.815184547669425</v>
      </c>
      <c r="AU860">
        <v>29.087657370709721</v>
      </c>
      <c r="AV860"/>
      <c r="AW860"/>
      <c r="FY860" s="211">
        <v>855</v>
      </c>
      <c r="FZ860">
        <v>44.388823912149491</v>
      </c>
      <c r="GA860">
        <v>80.024316871476771</v>
      </c>
      <c r="GB860">
        <v>37.273972787640389</v>
      </c>
      <c r="GC860">
        <v>12.900872515891487</v>
      </c>
      <c r="GD860">
        <v>7.7953485977836507</v>
      </c>
      <c r="GE860">
        <v>10.762900611883421</v>
      </c>
      <c r="GF860">
        <v>21.214376343157774</v>
      </c>
      <c r="GG860">
        <v>17.097727420119515</v>
      </c>
      <c r="GH860">
        <v>15.112316705178326</v>
      </c>
      <c r="GI860">
        <v>27.27705721170209</v>
      </c>
      <c r="GJ860"/>
      <c r="GK860">
        <v>45.906757881165298</v>
      </c>
      <c r="GL860">
        <v>70.722156898681433</v>
      </c>
      <c r="GM860">
        <v>66.033395115343438</v>
      </c>
      <c r="GN860">
        <v>42.594182821293835</v>
      </c>
      <c r="GO860">
        <v>33.907951056007427</v>
      </c>
      <c r="GP860">
        <v>23.093153655115557</v>
      </c>
      <c r="GQ860">
        <v>28.58250238630788</v>
      </c>
      <c r="GR860">
        <v>25.717147963156886</v>
      </c>
      <c r="GS860">
        <v>18.299666838471367</v>
      </c>
      <c r="GT860">
        <v>38.546054655459081</v>
      </c>
      <c r="GU860"/>
      <c r="GV860"/>
      <c r="GW860"/>
      <c r="GX860"/>
      <c r="GY860"/>
      <c r="GZ860"/>
      <c r="HA860"/>
      <c r="HB860"/>
      <c r="HC860"/>
    </row>
    <row r="861" spans="1:211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52.562072649572642</v>
      </c>
      <c r="AO861">
        <v>43.994910506501171</v>
      </c>
      <c r="AP861">
        <v>54.222274434464993</v>
      </c>
      <c r="AQ861">
        <v>292.78163883894842</v>
      </c>
      <c r="AR861">
        <v>41.871450631712982</v>
      </c>
      <c r="AS861">
        <v>396.43365671224359</v>
      </c>
      <c r="AT861">
        <v>32.315936051716065</v>
      </c>
      <c r="AU861">
        <v>30.289356388035735</v>
      </c>
      <c r="AV861"/>
      <c r="AW861"/>
      <c r="FY861" s="211">
        <v>856</v>
      </c>
      <c r="FZ861">
        <v>42.221154863978917</v>
      </c>
      <c r="GA861">
        <v>67.910138516347146</v>
      </c>
      <c r="GB861">
        <v>30.536987926614479</v>
      </c>
      <c r="GC861">
        <v>12.545968934791334</v>
      </c>
      <c r="GD861">
        <v>7.2296598661007971</v>
      </c>
      <c r="GE861">
        <v>10.60881136234236</v>
      </c>
      <c r="GF861">
        <v>17.497027050218364</v>
      </c>
      <c r="GG861">
        <v>10.390884067475946</v>
      </c>
      <c r="GH861">
        <v>3.1394962172248282</v>
      </c>
      <c r="GI861">
        <v>22.246786811794866</v>
      </c>
      <c r="GJ861"/>
      <c r="GK861">
        <v>43.669261416249967</v>
      </c>
      <c r="GL861">
        <v>60.016150826726346</v>
      </c>
      <c r="GM861">
        <v>54.098365121392185</v>
      </c>
      <c r="GN861">
        <v>41.42199237545934</v>
      </c>
      <c r="GO861">
        <v>31.446077881888812</v>
      </c>
      <c r="GP861">
        <v>22.762535837059676</v>
      </c>
      <c r="GQ861">
        <v>23.574052299560478</v>
      </c>
      <c r="GR861">
        <v>15.629205944459985</v>
      </c>
      <c r="GS861">
        <v>3.5165713375034966</v>
      </c>
      <c r="GT861">
        <v>31.260865611318991</v>
      </c>
      <c r="GU861"/>
      <c r="GV861"/>
      <c r="GW861"/>
      <c r="GX861"/>
      <c r="GY861"/>
      <c r="GZ861"/>
      <c r="HA861"/>
      <c r="HB861"/>
      <c r="HC861"/>
    </row>
    <row r="862" spans="1:211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52.537259615384606</v>
      </c>
      <c r="AO862">
        <v>40.718569474161875</v>
      </c>
      <c r="AP862">
        <v>32.661288738396479</v>
      </c>
      <c r="AQ862">
        <v>270.81209407903003</v>
      </c>
      <c r="AR862">
        <v>39.050191376747456</v>
      </c>
      <c r="AS862">
        <v>394.79102445594441</v>
      </c>
      <c r="AT862">
        <v>30.717361907451238</v>
      </c>
      <c r="AU862">
        <v>28.660032125241436</v>
      </c>
      <c r="AV862"/>
      <c r="AW862"/>
      <c r="FY862" s="211">
        <v>857</v>
      </c>
      <c r="FZ862">
        <v>49.429926994895631</v>
      </c>
      <c r="GA862">
        <v>58.753592197657838</v>
      </c>
      <c r="GB862">
        <v>23.709775589771255</v>
      </c>
      <c r="GC862">
        <v>13.01411067643282</v>
      </c>
      <c r="GD862">
        <v>8.0303444361502105</v>
      </c>
      <c r="GE862">
        <v>12.733375257529755</v>
      </c>
      <c r="GF862">
        <v>26.364179382549011</v>
      </c>
      <c r="GG862">
        <v>18.160431472475008</v>
      </c>
      <c r="GH862">
        <v>7.3254911735246013</v>
      </c>
      <c r="GI862">
        <v>24.395051836131714</v>
      </c>
      <c r="GJ862"/>
      <c r="GK862">
        <v>52.920634708959653</v>
      </c>
      <c r="GL862">
        <v>54.260336394182517</v>
      </c>
      <c r="GM862">
        <v>42.003490975736213</v>
      </c>
      <c r="GN862">
        <v>42.948989973616115</v>
      </c>
      <c r="GO862">
        <v>34.90896576180257</v>
      </c>
      <c r="GP862">
        <v>27.321054237527164</v>
      </c>
      <c r="GQ862">
        <v>35.52092260104542</v>
      </c>
      <c r="GR862">
        <v>27.315589480203926</v>
      </c>
      <c r="GS862">
        <v>8.2053331208414928</v>
      </c>
      <c r="GT862">
        <v>34.711869433677066</v>
      </c>
      <c r="GU862"/>
      <c r="GV862"/>
      <c r="GW862"/>
      <c r="GX862"/>
      <c r="GY862"/>
      <c r="GZ862"/>
      <c r="HA862"/>
      <c r="HB862"/>
      <c r="HC862"/>
    </row>
    <row r="863" spans="1:211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50.419150641025638</v>
      </c>
      <c r="AO863">
        <v>37.035990426487864</v>
      </c>
      <c r="AP863">
        <v>15.528137877903777</v>
      </c>
      <c r="AQ863">
        <v>236.19704859031324</v>
      </c>
      <c r="AR863">
        <v>35.681405750401645</v>
      </c>
      <c r="AS863">
        <v>352.4817514220216</v>
      </c>
      <c r="AT863">
        <v>28.545334281934217</v>
      </c>
      <c r="AU863">
        <v>37.742975570528777</v>
      </c>
      <c r="AV863"/>
      <c r="AW863"/>
      <c r="FY863" s="211">
        <v>858</v>
      </c>
      <c r="FZ863">
        <v>41.552848828175399</v>
      </c>
      <c r="GA863">
        <v>78.255823680946889</v>
      </c>
      <c r="GB863">
        <v>30.536987926614472</v>
      </c>
      <c r="GC863">
        <v>14.598729041791758</v>
      </c>
      <c r="GD863">
        <v>8.8773355540545875</v>
      </c>
      <c r="GE863">
        <v>11.944251525031579</v>
      </c>
      <c r="GF863">
        <v>19.913743493618686</v>
      </c>
      <c r="GG863">
        <v>13.248377186031831</v>
      </c>
      <c r="GH863">
        <v>13.019319227028442</v>
      </c>
      <c r="GI863">
        <v>25.247851327015724</v>
      </c>
      <c r="GJ863"/>
      <c r="GK863">
        <v>42.98031634726496</v>
      </c>
      <c r="GL863">
        <v>69.159236304235435</v>
      </c>
      <c r="GM863">
        <v>54.09836512139217</v>
      </c>
      <c r="GN863">
        <v>48.201934627822979</v>
      </c>
      <c r="GO863">
        <v>38.616750282863954</v>
      </c>
      <c r="GP863">
        <v>25.627890260210666</v>
      </c>
      <c r="GQ863">
        <v>26.830136871322971</v>
      </c>
      <c r="GR863">
        <v>19.927237579186478</v>
      </c>
      <c r="GS863">
        <v>15.95528594680237</v>
      </c>
      <c r="GT863">
        <v>35.696170913929294</v>
      </c>
      <c r="GU863"/>
      <c r="GV863"/>
      <c r="GW863"/>
      <c r="GX863"/>
      <c r="GY863"/>
      <c r="GZ863"/>
      <c r="HA863"/>
      <c r="HB863"/>
      <c r="HC863"/>
    </row>
    <row r="864" spans="1:211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46.504380341880342</v>
      </c>
      <c r="AO864">
        <v>36.493218753647454</v>
      </c>
      <c r="AP864">
        <v>16.754151486360762</v>
      </c>
      <c r="AQ864">
        <v>252.15433980126789</v>
      </c>
      <c r="AR864">
        <v>34.735635363840551</v>
      </c>
      <c r="AS864">
        <v>333.80509227416928</v>
      </c>
      <c r="AT864">
        <v>27.779749709454222</v>
      </c>
      <c r="AU864">
        <v>10.733284166169483</v>
      </c>
      <c r="AV864"/>
      <c r="AW864"/>
      <c r="FY864" s="211">
        <v>859</v>
      </c>
      <c r="FZ864">
        <v>50.929290007262672</v>
      </c>
      <c r="GA864">
        <v>72.813113062370348</v>
      </c>
      <c r="GB864">
        <v>26.236144912655966</v>
      </c>
      <c r="GC864">
        <v>15.026232618531887</v>
      </c>
      <c r="GD864">
        <v>10.061499416623187</v>
      </c>
      <c r="GE864">
        <v>10.926328603820913</v>
      </c>
      <c r="GF864">
        <v>23.464119650468621</v>
      </c>
      <c r="GG864">
        <v>19.7190640825964</v>
      </c>
      <c r="GH864">
        <v>9.7673215646994649</v>
      </c>
      <c r="GI864">
        <v>26.346573654177536</v>
      </c>
      <c r="GJ864"/>
      <c r="GK864">
        <v>54.469186104889971</v>
      </c>
      <c r="GL864">
        <v>66.685555120028212</v>
      </c>
      <c r="GM864">
        <v>46.479127223467927</v>
      </c>
      <c r="GN864">
        <v>49.617751506434054</v>
      </c>
      <c r="GO864">
        <v>43.774559738562097</v>
      </c>
      <c r="GP864">
        <v>23.443808916689981</v>
      </c>
      <c r="GQ864">
        <v>31.613621114930424</v>
      </c>
      <c r="GR864">
        <v>29.659970371872927</v>
      </c>
      <c r="GS864">
        <v>10.940444161121988</v>
      </c>
      <c r="GT864">
        <v>37.455387668594483</v>
      </c>
      <c r="GU864"/>
      <c r="GV864"/>
      <c r="GW864"/>
      <c r="GX864"/>
      <c r="GY864"/>
      <c r="GZ864"/>
      <c r="HA864"/>
      <c r="HB864"/>
      <c r="HC864"/>
    </row>
    <row r="865" spans="1:211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56.256517094017099</v>
      </c>
      <c r="AO865">
        <v>42.140054045584527</v>
      </c>
      <c r="AP865">
        <v>9.9614210025889385</v>
      </c>
      <c r="AQ865">
        <v>291.19749771232006</v>
      </c>
      <c r="AR865">
        <v>40.02570041764357</v>
      </c>
      <c r="AS865">
        <v>386.29559052959405</v>
      </c>
      <c r="AT865">
        <v>32.813938327608774</v>
      </c>
      <c r="AU865">
        <v>24.624332978734458</v>
      </c>
      <c r="AV865"/>
      <c r="AW865"/>
      <c r="FY865" s="211">
        <v>860</v>
      </c>
      <c r="FZ865">
        <v>46.315192849414942</v>
      </c>
      <c r="GA865">
        <v>80.908563466741683</v>
      </c>
      <c r="GB865">
        <v>31.970602264600643</v>
      </c>
      <c r="GC865">
        <v>10.888211215723944</v>
      </c>
      <c r="GD865">
        <v>7.8954050520310473</v>
      </c>
      <c r="GE865">
        <v>14.540421911238601</v>
      </c>
      <c r="GF865">
        <v>24.070495776267254</v>
      </c>
      <c r="GG865">
        <v>14.807009796153226</v>
      </c>
      <c r="GH865">
        <v>9.0696557386495051</v>
      </c>
      <c r="GI865">
        <v>25.828050469647469</v>
      </c>
      <c r="GJ865"/>
      <c r="GK865">
        <v>47.884227878454276</v>
      </c>
      <c r="GL865">
        <v>71.503617195904425</v>
      </c>
      <c r="GM865">
        <v>56.638111087366923</v>
      </c>
      <c r="GN865">
        <v>35.931320113140544</v>
      </c>
      <c r="GO865">
        <v>34.326047649439452</v>
      </c>
      <c r="GP865">
        <v>31.198299558364358</v>
      </c>
      <c r="GQ865">
        <v>32.430602334754475</v>
      </c>
      <c r="GR865">
        <v>22.271618470855479</v>
      </c>
      <c r="GS865">
        <v>10.158983863898991</v>
      </c>
      <c r="GT865">
        <v>36.287594562782829</v>
      </c>
      <c r="GU865"/>
      <c r="GV865"/>
      <c r="GW865"/>
      <c r="GX865"/>
      <c r="GY865"/>
      <c r="GZ865"/>
      <c r="HA865"/>
      <c r="HB865"/>
      <c r="HC865"/>
    </row>
    <row r="866" spans="1:211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48.636084401709397</v>
      </c>
      <c r="AO866">
        <v>35.718960904792269</v>
      </c>
      <c r="AP866">
        <v>8.5030119324276647</v>
      </c>
      <c r="AQ866">
        <v>235.75263279748543</v>
      </c>
      <c r="AR866">
        <v>33.978156124329288</v>
      </c>
      <c r="AS866">
        <v>330.01674171994068</v>
      </c>
      <c r="AT866">
        <v>27.605827638387712</v>
      </c>
      <c r="AU866">
        <v>12.686607575728962</v>
      </c>
      <c r="AV866"/>
      <c r="AW866"/>
      <c r="FY866" s="211">
        <v>861</v>
      </c>
      <c r="FZ866">
        <v>42.316517704695414</v>
      </c>
      <c r="GA866">
        <v>60.522085388187705</v>
      </c>
      <c r="GB866">
        <v>20.932774389616224</v>
      </c>
      <c r="GC866">
        <v>9.6911476630994748</v>
      </c>
      <c r="GD866">
        <v>6.9976808546219633</v>
      </c>
      <c r="GE866">
        <v>9.5161785019602654</v>
      </c>
      <c r="GF866">
        <v>21.530746495748367</v>
      </c>
      <c r="GG866">
        <v>16.082254658979821</v>
      </c>
      <c r="GH866">
        <v>7.0329089830516907</v>
      </c>
      <c r="GI866">
        <v>21.056212695266442</v>
      </c>
      <c r="GJ866"/>
      <c r="GK866">
        <v>45.560538716547782</v>
      </c>
      <c r="GL866">
        <v>55.823256988628515</v>
      </c>
      <c r="GM866">
        <v>37.083843195491411</v>
      </c>
      <c r="GN866">
        <v>31.985288600217107</v>
      </c>
      <c r="GO866">
        <v>30.427832763094347</v>
      </c>
      <c r="GP866">
        <v>20.418154945390675</v>
      </c>
      <c r="GQ866">
        <v>29.008753457520434</v>
      </c>
      <c r="GR866">
        <v>24.189748291311936</v>
      </c>
      <c r="GS866">
        <v>8.5637381963184325</v>
      </c>
      <c r="GT866">
        <v>30.128941265794484</v>
      </c>
      <c r="GU866"/>
      <c r="GV866"/>
      <c r="GW866"/>
      <c r="GX866"/>
      <c r="GY866"/>
      <c r="GZ866"/>
      <c r="HA866"/>
      <c r="HB866"/>
      <c r="HC866"/>
    </row>
    <row r="867" spans="1:211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48.43122329059829</v>
      </c>
      <c r="AO867">
        <v>38.089453494381779</v>
      </c>
      <c r="AP867">
        <v>19.823470281747937</v>
      </c>
      <c r="AQ867">
        <v>241.29031209927388</v>
      </c>
      <c r="AR867">
        <v>36.44120220737058</v>
      </c>
      <c r="AS867">
        <v>333.61660913528959</v>
      </c>
      <c r="AT867">
        <v>29.285983062031818</v>
      </c>
      <c r="AU867">
        <v>11.918970611954936</v>
      </c>
      <c r="AV867"/>
      <c r="AW867"/>
      <c r="FY867" s="211">
        <v>862</v>
      </c>
      <c r="FZ867">
        <v>48.456419886247836</v>
      </c>
      <c r="GA867">
        <v>81.301880376913715</v>
      </c>
      <c r="GB867">
        <v>26.456700964653844</v>
      </c>
      <c r="GC867">
        <v>9.3620520007942112</v>
      </c>
      <c r="GD867">
        <v>7.4547325778587528</v>
      </c>
      <c r="GE867">
        <v>12.233752539320852</v>
      </c>
      <c r="GF867">
        <v>17.497027050218364</v>
      </c>
      <c r="GG867">
        <v>11.170200372536643</v>
      </c>
      <c r="GH867">
        <v>8.4844913577036873</v>
      </c>
      <c r="GI867">
        <v>23.11591321289151</v>
      </c>
      <c r="GJ867"/>
      <c r="GK867">
        <v>51.90788634114169</v>
      </c>
      <c r="GL867">
        <v>74.187573973368998</v>
      </c>
      <c r="GM867">
        <v>46.869857372079437</v>
      </c>
      <c r="GN867">
        <v>30.913698110214565</v>
      </c>
      <c r="GO867">
        <v>32.434266835405467</v>
      </c>
      <c r="GP867">
        <v>26.249051009285363</v>
      </c>
      <c r="GQ867">
        <v>23.574052299560478</v>
      </c>
      <c r="GR867">
        <v>16.801396390294482</v>
      </c>
      <c r="GS867">
        <v>10.875794014852875</v>
      </c>
      <c r="GT867">
        <v>33.132371372607984</v>
      </c>
      <c r="GU867"/>
      <c r="GV867"/>
      <c r="GW867"/>
      <c r="GX867"/>
      <c r="GY867"/>
      <c r="GZ867"/>
      <c r="HA867"/>
      <c r="HB867"/>
      <c r="HC867"/>
    </row>
    <row r="868" spans="1:211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48.016239316239322</v>
      </c>
      <c r="AO868">
        <v>35.714169742573539</v>
      </c>
      <c r="AP868">
        <v>14.311311069587044</v>
      </c>
      <c r="AQ868">
        <v>234.73313591384982</v>
      </c>
      <c r="AR868">
        <v>34.012180695647146</v>
      </c>
      <c r="AS868">
        <v>322.94839554989693</v>
      </c>
      <c r="AT868">
        <v>27.584769300898728</v>
      </c>
      <c r="AU868">
        <v>29.68696815166944</v>
      </c>
      <c r="AV868"/>
      <c r="AW868"/>
      <c r="FY868" s="211">
        <v>863</v>
      </c>
      <c r="FZ868">
        <v>51.483953725201602</v>
      </c>
      <c r="GA868">
        <v>79.307731479870412</v>
      </c>
      <c r="GB868">
        <v>27.569506499734008</v>
      </c>
      <c r="GC868">
        <v>14.710987832905916</v>
      </c>
      <c r="GD868">
        <v>9.2653242800825932</v>
      </c>
      <c r="GE868">
        <v>14.843931039122516</v>
      </c>
      <c r="GF868">
        <v>26.55751669802104</v>
      </c>
      <c r="GG868">
        <v>19.459291980909498</v>
      </c>
      <c r="GH868">
        <v>12.906817781924296</v>
      </c>
      <c r="GI868">
        <v>27.312727852435003</v>
      </c>
      <c r="GJ868"/>
      <c r="GK868">
        <v>56.85177794340909</v>
      </c>
      <c r="GL868">
        <v>74.761587948331467</v>
      </c>
      <c r="GM868">
        <v>48.841268576437443</v>
      </c>
      <c r="GN868">
        <v>48.588068153794104</v>
      </c>
      <c r="GO868">
        <v>40.322622702396998</v>
      </c>
      <c r="GP868">
        <v>31.849516472716861</v>
      </c>
      <c r="GQ868">
        <v>35.78140936678642</v>
      </c>
      <c r="GR868">
        <v>29.269240223261427</v>
      </c>
      <c r="GS868">
        <v>14.457015498625486</v>
      </c>
      <c r="GT868">
        <v>39.250818817531098</v>
      </c>
      <c r="GU868"/>
      <c r="GV868"/>
      <c r="GW868"/>
      <c r="GX868"/>
      <c r="GY868"/>
      <c r="GZ868"/>
      <c r="HA868"/>
      <c r="HB868"/>
      <c r="HC868"/>
    </row>
    <row r="869" spans="1:211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49.837019230769236</v>
      </c>
      <c r="AO869">
        <v>40.246350406491771</v>
      </c>
      <c r="AP869">
        <v>47.756799272252842</v>
      </c>
      <c r="AQ869">
        <v>271.79494599520888</v>
      </c>
      <c r="AR869">
        <v>38.466527973347354</v>
      </c>
      <c r="AS869">
        <v>371.21437502505734</v>
      </c>
      <c r="AT869">
        <v>29.761733872725639</v>
      </c>
      <c r="AU869">
        <v>27.034110691708854</v>
      </c>
      <c r="AV869"/>
      <c r="AW869"/>
      <c r="FY869" s="211">
        <v>864</v>
      </c>
      <c r="FZ869">
        <v>43.679427656802332</v>
      </c>
      <c r="GA869">
        <v>69.89509929799604</v>
      </c>
      <c r="GB869">
        <v>29.22367688971806</v>
      </c>
      <c r="GC869">
        <v>18.003704390890675</v>
      </c>
      <c r="GD869">
        <v>10.469322531422383</v>
      </c>
      <c r="GE869">
        <v>11.458636920417316</v>
      </c>
      <c r="GF869">
        <v>32.111570487944704</v>
      </c>
      <c r="GG869">
        <v>20.451149096441295</v>
      </c>
      <c r="GH869">
        <v>7.3817418960766723</v>
      </c>
      <c r="GI869">
        <v>27.584335080175848</v>
      </c>
      <c r="GJ869"/>
      <c r="GK869">
        <v>46.978386431492936</v>
      </c>
      <c r="GL869">
        <v>64.106736139192307</v>
      </c>
      <c r="GM869">
        <v>51.771744691023706</v>
      </c>
      <c r="GN869">
        <v>59.463390623480841</v>
      </c>
      <c r="GO869">
        <v>45.562414182494798</v>
      </c>
      <c r="GP869">
        <v>24.585943197246667</v>
      </c>
      <c r="GQ869">
        <v>43.264483728073323</v>
      </c>
      <c r="GR869">
        <v>30.761118972505333</v>
      </c>
      <c r="GS869">
        <v>8.954468344929932</v>
      </c>
      <c r="GT869">
        <v>39.306299475602941</v>
      </c>
      <c r="GU869"/>
      <c r="GV869"/>
      <c r="GW869"/>
      <c r="GX869"/>
      <c r="GY869"/>
      <c r="GZ869"/>
      <c r="HA869"/>
      <c r="HB869"/>
      <c r="HC869"/>
    </row>
    <row r="870" spans="1:211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46.444764957264958</v>
      </c>
      <c r="AO870">
        <v>35.687750705736711</v>
      </c>
      <c r="AP870">
        <v>31.952878581891042</v>
      </c>
      <c r="AQ870">
        <v>235.97990051205156</v>
      </c>
      <c r="AR870">
        <v>35.180646463377521</v>
      </c>
      <c r="AS870">
        <v>339.43488148940258</v>
      </c>
      <c r="AT870">
        <v>27.336868263181092</v>
      </c>
      <c r="AU870">
        <v>34.649326104640501</v>
      </c>
      <c r="AV870"/>
      <c r="AW870"/>
      <c r="FY870" s="211">
        <v>865</v>
      </c>
      <c r="FZ870">
        <v>45.772034672932094</v>
      </c>
      <c r="GA870">
        <v>68.529111133032586</v>
      </c>
      <c r="GB870">
        <v>25.584502031753168</v>
      </c>
      <c r="GC870">
        <v>15.263060070172822</v>
      </c>
      <c r="GD870">
        <v>11.397068793927041</v>
      </c>
      <c r="GE870">
        <v>13.401095338874367</v>
      </c>
      <c r="GF870">
        <v>26.531152518638493</v>
      </c>
      <c r="GG870">
        <v>20.214992640362297</v>
      </c>
      <c r="GH870">
        <v>11.860319042849351</v>
      </c>
      <c r="GI870">
        <v>27.226297375693665</v>
      </c>
      <c r="GJ870"/>
      <c r="GK870">
        <v>47.342124813198069</v>
      </c>
      <c r="GL870">
        <v>60.563173034782444</v>
      </c>
      <c r="GM870">
        <v>45.324697238933958</v>
      </c>
      <c r="GN870">
        <v>50.411475513981102</v>
      </c>
      <c r="GO870">
        <v>49.599959051480305</v>
      </c>
      <c r="GP870">
        <v>28.753731449102666</v>
      </c>
      <c r="GQ870">
        <v>35.745888444185375</v>
      </c>
      <c r="GR870">
        <v>30.405909746494881</v>
      </c>
      <c r="GS870">
        <v>13.284825052790985</v>
      </c>
      <c r="GT870">
        <v>38.259498920117736</v>
      </c>
      <c r="GU870"/>
      <c r="GV870"/>
      <c r="GW870"/>
      <c r="GX870"/>
      <c r="GY870"/>
      <c r="GZ870"/>
      <c r="HA870"/>
      <c r="HB870"/>
      <c r="HC870"/>
    </row>
    <row r="871" spans="1:211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52.590277777777786</v>
      </c>
      <c r="AO871">
        <v>39.340296927100226</v>
      </c>
      <c r="AP871">
        <v>14.751645967179414</v>
      </c>
      <c r="AQ871">
        <v>273.8477129769829</v>
      </c>
      <c r="AR871">
        <v>38.546054655459109</v>
      </c>
      <c r="AS871">
        <v>376.79189803296538</v>
      </c>
      <c r="AT871">
        <v>31.135457283703932</v>
      </c>
      <c r="AU871">
        <v>37.078155508018476</v>
      </c>
      <c r="AV871"/>
      <c r="AW871"/>
      <c r="FY871" s="211">
        <v>866</v>
      </c>
      <c r="FZ871">
        <v>30.066153888840297</v>
      </c>
      <c r="GA871">
        <v>57.033905394588402</v>
      </c>
      <c r="GB871">
        <v>33.965632007672312</v>
      </c>
      <c r="GC871">
        <v>17.72392118212435</v>
      </c>
      <c r="GD871">
        <v>11.193248060455787</v>
      </c>
      <c r="GE871">
        <v>9.4414685627888399</v>
      </c>
      <c r="GF871">
        <v>15.370316580026078</v>
      </c>
      <c r="GG871">
        <v>15.326553999527025</v>
      </c>
      <c r="GH871">
        <v>9.7673215646994667</v>
      </c>
      <c r="GI871">
        <v>24.425847077867481</v>
      </c>
      <c r="GJ871"/>
      <c r="GK871">
        <v>31.090900649531616</v>
      </c>
      <c r="GL871">
        <v>50.404189170883448</v>
      </c>
      <c r="GM871">
        <v>60.172442886170948</v>
      </c>
      <c r="GN871">
        <v>58.523950418531903</v>
      </c>
      <c r="GO871">
        <v>48.695584372688785</v>
      </c>
      <c r="GP871">
        <v>20.257855397242366</v>
      </c>
      <c r="GQ871">
        <v>20.708697876409484</v>
      </c>
      <c r="GR871">
        <v>23.053078768078482</v>
      </c>
      <c r="GS871">
        <v>10.94044416112199</v>
      </c>
      <c r="GT871">
        <v>34.321613989184563</v>
      </c>
      <c r="GU871"/>
      <c r="GV871"/>
      <c r="GW871"/>
      <c r="GX871"/>
      <c r="GY871"/>
      <c r="GZ871"/>
      <c r="HA871"/>
      <c r="HB871"/>
      <c r="HC871"/>
    </row>
    <row r="872" spans="1:211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44.176655982905984</v>
      </c>
      <c r="AO872">
        <v>32.739507865161926</v>
      </c>
      <c r="AP872">
        <v>4.3925651367880807</v>
      </c>
      <c r="AQ872">
        <v>224.32691561688904</v>
      </c>
      <c r="AR872">
        <v>31.260865611318991</v>
      </c>
      <c r="AS872">
        <v>299.91317575427917</v>
      </c>
      <c r="AT872">
        <v>25.650861396777714</v>
      </c>
      <c r="AU872">
        <v>29.490477396419561</v>
      </c>
      <c r="AV872"/>
      <c r="AW872"/>
      <c r="FY872" s="211">
        <v>867</v>
      </c>
      <c r="FZ872">
        <v>28.476592034034248</v>
      </c>
      <c r="GA872">
        <v>66.849042602029215</v>
      </c>
      <c r="GB872">
        <v>36.050889226561274</v>
      </c>
      <c r="GC872">
        <v>11.543328597398947</v>
      </c>
      <c r="GD872">
        <v>7.7252194423267264</v>
      </c>
      <c r="GE872">
        <v>9.698283978690613</v>
      </c>
      <c r="GF872">
        <v>10.246877720017382</v>
      </c>
      <c r="GG872">
        <v>8.0529351522938573</v>
      </c>
      <c r="GH872">
        <v>12.32165340097848</v>
      </c>
      <c r="GI872">
        <v>22.036790713954041</v>
      </c>
      <c r="GJ872"/>
      <c r="GK872">
        <v>29.438614845419565</v>
      </c>
      <c r="GL872">
        <v>59.078398470058744</v>
      </c>
      <c r="GM872">
        <v>63.866618836679663</v>
      </c>
      <c r="GN872">
        <v>38.125790258455417</v>
      </c>
      <c r="GO872">
        <v>33.620097845445891</v>
      </c>
      <c r="GP872">
        <v>20.808885094002171</v>
      </c>
      <c r="GQ872">
        <v>13.805798584272985</v>
      </c>
      <c r="GR872">
        <v>12.112634606956487</v>
      </c>
      <c r="GS872">
        <v>15.173825649579371</v>
      </c>
      <c r="GT872">
        <v>31.180991152279489</v>
      </c>
      <c r="GU872"/>
      <c r="GV872"/>
      <c r="GW872"/>
      <c r="GX872"/>
      <c r="GY872"/>
      <c r="GZ872"/>
      <c r="HA872"/>
      <c r="HB872"/>
      <c r="HC872"/>
    </row>
    <row r="873" spans="1:211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47.097836538461543</v>
      </c>
      <c r="AO873">
        <v>36.011718668759208</v>
      </c>
      <c r="AP873">
        <v>25.431764015767442</v>
      </c>
      <c r="AQ873">
        <v>241.9162790171178</v>
      </c>
      <c r="AR873">
        <v>34.711869433677087</v>
      </c>
      <c r="AS873">
        <v>326.5982075186003</v>
      </c>
      <c r="AT873">
        <v>27.276820222165696</v>
      </c>
      <c r="AU873">
        <v>34.48262587285182</v>
      </c>
      <c r="AV873"/>
      <c r="AW873"/>
      <c r="FY873" s="211">
        <v>868</v>
      </c>
      <c r="FZ873">
        <v>46.573162500053598</v>
      </c>
      <c r="GA873">
        <v>61.180676276939217</v>
      </c>
      <c r="GB873">
        <v>21.704720571608778</v>
      </c>
      <c r="GC873">
        <v>12.765060539440963</v>
      </c>
      <c r="GD873">
        <v>9.5478744724089584</v>
      </c>
      <c r="GE873">
        <v>12.780068969511897</v>
      </c>
      <c r="GF873">
        <v>23.560788308204639</v>
      </c>
      <c r="GG873">
        <v>16.082254658979817</v>
      </c>
      <c r="GH873">
        <v>13.953316520999239</v>
      </c>
      <c r="GI873">
        <v>24.876624652648978</v>
      </c>
      <c r="GJ873"/>
      <c r="GK873">
        <v>51.772286011459599</v>
      </c>
      <c r="GL873">
        <v>58.741651855259981</v>
      </c>
      <c r="GM873">
        <v>38.451398715631662</v>
      </c>
      <c r="GN873">
        <v>42.145617324344741</v>
      </c>
      <c r="GO873">
        <v>41.534930693472923</v>
      </c>
      <c r="GP873">
        <v>27.421241455119858</v>
      </c>
      <c r="GQ873">
        <v>31.743864497800928</v>
      </c>
      <c r="GR873">
        <v>24.189748291311929</v>
      </c>
      <c r="GS873">
        <v>15.629205944459986</v>
      </c>
      <c r="GT873">
        <v>35.826337172565026</v>
      </c>
      <c r="GU873"/>
      <c r="GV873"/>
      <c r="GW873"/>
      <c r="GX873"/>
      <c r="GY873"/>
      <c r="GZ873"/>
      <c r="HA873"/>
      <c r="HB873"/>
      <c r="HC873"/>
    </row>
    <row r="874" spans="1:211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50.071848290598282</v>
      </c>
      <c r="AO874">
        <v>37.709332425503121</v>
      </c>
      <c r="AP874">
        <v>10.108458236500548</v>
      </c>
      <c r="AQ874">
        <v>257.19526779030934</v>
      </c>
      <c r="AR874">
        <v>35.696170913929294</v>
      </c>
      <c r="AS874">
        <v>335.10527824484137</v>
      </c>
      <c r="AT874">
        <v>29.13573268880744</v>
      </c>
      <c r="AU874">
        <v>6.7227539428241618</v>
      </c>
      <c r="AV874"/>
      <c r="AW874"/>
      <c r="FY874" s="211">
        <v>869</v>
      </c>
      <c r="FZ874">
        <v>40.645752615186588</v>
      </c>
      <c r="GA874">
        <v>100.31318217510986</v>
      </c>
      <c r="GB874">
        <v>44.211463150482544</v>
      </c>
      <c r="GC874">
        <v>12.809044316585855</v>
      </c>
      <c r="GD874">
        <v>6.987311530440885</v>
      </c>
      <c r="GE874">
        <v>8.4982555807495999</v>
      </c>
      <c r="GF874">
        <v>32.093994368356334</v>
      </c>
      <c r="GG874">
        <v>23.899033355194675</v>
      </c>
      <c r="GH874">
        <v>9.1259064612015752</v>
      </c>
      <c r="GI874">
        <v>29.033036242970656</v>
      </c>
      <c r="GJ874"/>
      <c r="GK874">
        <v>43.838176044085259</v>
      </c>
      <c r="GL874">
        <v>90.988970363663469</v>
      </c>
      <c r="GM874">
        <v>78.323634335305144</v>
      </c>
      <c r="GN874">
        <v>42.290888789854144</v>
      </c>
      <c r="GO874">
        <v>30.391379718503924</v>
      </c>
      <c r="GP874">
        <v>18.234073601869984</v>
      </c>
      <c r="GQ874">
        <v>43.240803113005953</v>
      </c>
      <c r="GR874">
        <v>35.947173672257961</v>
      </c>
      <c r="GS874">
        <v>10.90811908798743</v>
      </c>
      <c r="GT874">
        <v>41.340422459777542</v>
      </c>
      <c r="GU874"/>
      <c r="GV874"/>
      <c r="GW874"/>
      <c r="GX874"/>
      <c r="GY874"/>
      <c r="GZ874"/>
      <c r="HA874"/>
      <c r="HB874"/>
      <c r="HC874"/>
    </row>
    <row r="875" spans="1:211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51.116319444444443</v>
      </c>
      <c r="AO875">
        <v>39.413941192659209</v>
      </c>
      <c r="AP875">
        <v>24.371736909010188</v>
      </c>
      <c r="AQ875">
        <v>265.28968757320695</v>
      </c>
      <c r="AR875">
        <v>37.455387668594511</v>
      </c>
      <c r="AS875">
        <v>367.63763433169316</v>
      </c>
      <c r="AT875">
        <v>29.80615308175172</v>
      </c>
      <c r="AU875">
        <v>34.636589108891897</v>
      </c>
      <c r="AV875"/>
      <c r="AW875"/>
      <c r="FY875" s="211">
        <v>870</v>
      </c>
      <c r="FZ875">
        <v>35.583860121572506</v>
      </c>
      <c r="GA875">
        <v>56.36612639044251</v>
      </c>
      <c r="GB875">
        <v>30.30640659952579</v>
      </c>
      <c r="GC875">
        <v>14.817307659194208</v>
      </c>
      <c r="GD875">
        <v>7.6113622530835912</v>
      </c>
      <c r="GE875">
        <v>11.155127792533403</v>
      </c>
      <c r="GF875">
        <v>27.278137601144046</v>
      </c>
      <c r="GG875">
        <v>18.632744384633003</v>
      </c>
      <c r="GH875">
        <v>9.4747393742265587</v>
      </c>
      <c r="GI875">
        <v>24.298525468543701</v>
      </c>
      <c r="GJ875"/>
      <c r="GK875">
        <v>38.602392052691158</v>
      </c>
      <c r="GL875">
        <v>52.150393591680412</v>
      </c>
      <c r="GM875">
        <v>53.689874511480149</v>
      </c>
      <c r="GN875">
        <v>48.904664663058064</v>
      </c>
      <c r="GO875">
        <v>33.085558401615565</v>
      </c>
      <c r="GP875">
        <v>23.934726282894168</v>
      </c>
      <c r="GQ875">
        <v>36.75231458454833</v>
      </c>
      <c r="GR875">
        <v>28.026007932224836</v>
      </c>
      <c r="GS875">
        <v>11.298849236598933</v>
      </c>
      <c r="GT875">
        <v>34.685797757386823</v>
      </c>
      <c r="GU875"/>
      <c r="GV875"/>
      <c r="GW875"/>
      <c r="GX875"/>
      <c r="GY875"/>
      <c r="GZ875"/>
      <c r="HA875"/>
      <c r="HB875"/>
      <c r="HC875"/>
    </row>
    <row r="876" spans="1:211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52.402911324786331</v>
      </c>
      <c r="AO876">
        <v>37.863042271496177</v>
      </c>
      <c r="AP876">
        <v>20.753894973584032</v>
      </c>
      <c r="AQ876">
        <v>266.29360854046831</v>
      </c>
      <c r="AR876">
        <v>36.287594562782829</v>
      </c>
      <c r="AS876">
        <v>345.03861116777364</v>
      </c>
      <c r="AT876">
        <v>28.945683537033833</v>
      </c>
      <c r="AU876">
        <v>47.210440879033335</v>
      </c>
      <c r="AV876"/>
      <c r="AW876"/>
      <c r="FY876" s="211">
        <v>871</v>
      </c>
      <c r="FZ876">
        <v>44.606336076274573</v>
      </c>
      <c r="GA876">
        <v>62.467427897770563</v>
      </c>
      <c r="GB876">
        <v>20.611965586710223</v>
      </c>
      <c r="GC876">
        <v>12.829876386283711</v>
      </c>
      <c r="GD876">
        <v>10.856608394915643</v>
      </c>
      <c r="GE876">
        <v>10.366004060035225</v>
      </c>
      <c r="GF876">
        <v>17.373994213099802</v>
      </c>
      <c r="GG876">
        <v>17.381115167414311</v>
      </c>
      <c r="GH876">
        <v>15.112316705178326</v>
      </c>
      <c r="GI876">
        <v>24.21530548662885</v>
      </c>
      <c r="GJ876"/>
      <c r="GK876">
        <v>47.933658005248162</v>
      </c>
      <c r="GL876">
        <v>57.542469642519109</v>
      </c>
      <c r="GM876">
        <v>36.515508433874679</v>
      </c>
      <c r="GN876">
        <v>42.367374063277296</v>
      </c>
      <c r="GO876">
        <v>47.239205216943759</v>
      </c>
      <c r="GP876">
        <v>22.241562305577673</v>
      </c>
      <c r="GQ876">
        <v>23.408287994088933</v>
      </c>
      <c r="GR876">
        <v>26.14339903436943</v>
      </c>
      <c r="GS876">
        <v>18.299666838471367</v>
      </c>
      <c r="GT876">
        <v>34.679265297725372</v>
      </c>
      <c r="GU876"/>
      <c r="GV876"/>
      <c r="GW876"/>
      <c r="GX876"/>
      <c r="GY876"/>
      <c r="GZ876"/>
      <c r="HA876"/>
      <c r="HB876"/>
      <c r="HC876"/>
    </row>
    <row r="877" spans="1:211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40.3343482905983</v>
      </c>
      <c r="AO877">
        <v>31.31900964203151</v>
      </c>
      <c r="AP877">
        <v>32.084033631306568</v>
      </c>
      <c r="AQ877">
        <v>215.67850733522738</v>
      </c>
      <c r="AR877">
        <v>30.128941265794456</v>
      </c>
      <c r="AS877">
        <v>277.71104989618038</v>
      </c>
      <c r="AT877">
        <v>23.383434482045814</v>
      </c>
      <c r="AU877">
        <v>38.043750852081345</v>
      </c>
      <c r="AV877"/>
      <c r="AW877"/>
      <c r="FY877" s="211">
        <v>872</v>
      </c>
      <c r="FZ877">
        <v>16.798194208881661</v>
      </c>
      <c r="GA877">
        <v>59.332946542277249</v>
      </c>
      <c r="GB877">
        <v>38.477005798537874</v>
      </c>
      <c r="GC877">
        <v>13.853324468077794</v>
      </c>
      <c r="GD877">
        <v>7.4211724711974014</v>
      </c>
      <c r="GE877">
        <v>9.4087829644013414</v>
      </c>
      <c r="GF877">
        <v>23.947462939148686</v>
      </c>
      <c r="GG877">
        <v>20.238608285970194</v>
      </c>
      <c r="GH877">
        <v>9.7673215646994684</v>
      </c>
      <c r="GI877">
        <v>22.917049661445908</v>
      </c>
      <c r="GJ877"/>
      <c r="GK877">
        <v>17.357868654066372</v>
      </c>
      <c r="GL877">
        <v>52.435985943663248</v>
      </c>
      <c r="GM877">
        <v>68.164650471406162</v>
      </c>
      <c r="GN877">
        <v>45.724620632826209</v>
      </c>
      <c r="GO877">
        <v>32.262190967029994</v>
      </c>
      <c r="GP877">
        <v>20.187724344927481</v>
      </c>
      <c r="GQ877">
        <v>32.26483802928292</v>
      </c>
      <c r="GR877">
        <v>30.441430669095919</v>
      </c>
      <c r="GS877">
        <v>10.940444161121992</v>
      </c>
      <c r="GT877">
        <v>32.197998456581495</v>
      </c>
      <c r="GU877"/>
      <c r="GV877"/>
      <c r="GW877"/>
      <c r="GX877"/>
      <c r="GY877"/>
      <c r="GZ877"/>
      <c r="HA877"/>
      <c r="HB877"/>
      <c r="HC877"/>
    </row>
    <row r="878" spans="1:211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44.277857905982899</v>
      </c>
      <c r="AO878">
        <v>34.694594771881142</v>
      </c>
      <c r="AP878">
        <v>38.885619233842817</v>
      </c>
      <c r="AQ878">
        <v>245.53317033913942</v>
      </c>
      <c r="AR878">
        <v>33.132371372607956</v>
      </c>
      <c r="AS878">
        <v>312.26704325968655</v>
      </c>
      <c r="AT878">
        <v>25.932116306760594</v>
      </c>
      <c r="AU878">
        <v>38.108790891652937</v>
      </c>
      <c r="AV878"/>
      <c r="AW878"/>
      <c r="FY878" s="211">
        <v>873</v>
      </c>
      <c r="FZ878">
        <v>43.548627197011925</v>
      </c>
      <c r="GA878">
        <v>75.377428188638618</v>
      </c>
      <c r="GB878">
        <v>32.080880290599573</v>
      </c>
      <c r="GC878">
        <v>13.605527415346257</v>
      </c>
      <c r="GD878">
        <v>8.2130079576398547</v>
      </c>
      <c r="GE878">
        <v>11.58004057157088</v>
      </c>
      <c r="GF878">
        <v>25.13385101136339</v>
      </c>
      <c r="GG878">
        <v>18.443819219769807</v>
      </c>
      <c r="GH878">
        <v>14.763483792153346</v>
      </c>
      <c r="GI878">
        <v>26.746677151702205</v>
      </c>
      <c r="GJ878"/>
      <c r="GK878">
        <v>46.839613589135951</v>
      </c>
      <c r="GL878">
        <v>68.951789981974883</v>
      </c>
      <c r="GM878">
        <v>56.833476161672664</v>
      </c>
      <c r="GN878">
        <v>44.933066961986341</v>
      </c>
      <c r="GO878">
        <v>35.738612765638813</v>
      </c>
      <c r="GP878">
        <v>24.846429962987667</v>
      </c>
      <c r="GQ878">
        <v>33.863279546329963</v>
      </c>
      <c r="GR878">
        <v>27.741840551416477</v>
      </c>
      <c r="GS878">
        <v>17.908936689859871</v>
      </c>
      <c r="GT878">
        <v>38.236783750527451</v>
      </c>
      <c r="GU878"/>
      <c r="GV878"/>
      <c r="GW878"/>
      <c r="GX878"/>
      <c r="GY878"/>
      <c r="GZ878"/>
      <c r="HA878"/>
      <c r="HB878"/>
      <c r="HC878"/>
    </row>
    <row r="879" spans="1:211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51.588675213675209</v>
      </c>
      <c r="AO879">
        <v>41.997332570329036</v>
      </c>
      <c r="AP879">
        <v>26.443286436723572</v>
      </c>
      <c r="AQ879">
        <v>283.41778917020685</v>
      </c>
      <c r="AR879">
        <v>39.250818817531119</v>
      </c>
      <c r="AS879">
        <v>372.63827164672375</v>
      </c>
      <c r="AT879">
        <v>31.183557213173174</v>
      </c>
      <c r="AU879">
        <v>17.458909981039255</v>
      </c>
      <c r="AV879"/>
      <c r="AW879"/>
      <c r="FY879" s="211">
        <v>874</v>
      </c>
      <c r="FZ879">
        <v>45.640745610949445</v>
      </c>
      <c r="GA879">
        <v>63.970647109720964</v>
      </c>
      <c r="GB879">
        <v>25.574476756662349</v>
      </c>
      <c r="GC879">
        <v>14.761014012636702</v>
      </c>
      <c r="GD879">
        <v>9.9432078109768121</v>
      </c>
      <c r="GE879">
        <v>9.698283978690613</v>
      </c>
      <c r="GF879">
        <v>23.297146514379147</v>
      </c>
      <c r="GG879">
        <v>19.482907626517402</v>
      </c>
      <c r="GH879">
        <v>12.963068504476364</v>
      </c>
      <c r="GI879">
        <v>25.825236165347018</v>
      </c>
      <c r="GJ879"/>
      <c r="GK879">
        <v>48.998964024328984</v>
      </c>
      <c r="GL879">
        <v>58.870952147798207</v>
      </c>
      <c r="GM879">
        <v>45.306936777633432</v>
      </c>
      <c r="GN879">
        <v>48.737936241943885</v>
      </c>
      <c r="GO879">
        <v>43.255418457405611</v>
      </c>
      <c r="GP879">
        <v>20.808885094002171</v>
      </c>
      <c r="GQ879">
        <v>31.388655271790469</v>
      </c>
      <c r="GR879">
        <v>29.304761145862471</v>
      </c>
      <c r="GS879">
        <v>15.206150722713925</v>
      </c>
      <c r="GT879">
        <v>36.831225050774478</v>
      </c>
      <c r="GU879"/>
      <c r="GV879"/>
      <c r="GW879"/>
      <c r="GX879"/>
      <c r="GY879"/>
      <c r="GZ879"/>
      <c r="HA879"/>
      <c r="HB879"/>
      <c r="HC879"/>
    </row>
    <row r="880" spans="1:211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52.839503205128196</v>
      </c>
      <c r="AO880">
        <v>41.475498578604281</v>
      </c>
      <c r="AP880">
        <v>19.326055478595144</v>
      </c>
      <c r="AQ880">
        <v>270.25866424788535</v>
      </c>
      <c r="AR880">
        <v>39.30629947560297</v>
      </c>
      <c r="AS880">
        <v>383.22202032114603</v>
      </c>
      <c r="AT880">
        <v>31.735049870815832</v>
      </c>
      <c r="AU880">
        <v>25.354261266038115</v>
      </c>
      <c r="AV880"/>
      <c r="AW880"/>
      <c r="FY880" s="211">
        <v>875</v>
      </c>
      <c r="FZ880">
        <v>32.777325584848157</v>
      </c>
      <c r="GA880">
        <v>63.931028837654921</v>
      </c>
      <c r="GB880">
        <v>40.13117618852192</v>
      </c>
      <c r="GC880">
        <v>16.35999828744724</v>
      </c>
      <c r="GD880">
        <v>8.9054938320621719</v>
      </c>
      <c r="GE880">
        <v>11.323225155669107</v>
      </c>
      <c r="GF880">
        <v>16.310638978003656</v>
      </c>
      <c r="GG880">
        <v>10.627040523554948</v>
      </c>
      <c r="GH880">
        <v>8.4282406351516155</v>
      </c>
      <c r="GI880">
        <v>24.948609571864637</v>
      </c>
      <c r="GJ880"/>
      <c r="GK880">
        <v>33.901007700962481</v>
      </c>
      <c r="GL880">
        <v>56.499579489222846</v>
      </c>
      <c r="GM880">
        <v>71.095126585992418</v>
      </c>
      <c r="GN880">
        <v>54.011448387970489</v>
      </c>
      <c r="GO880">
        <v>38.730620722866909</v>
      </c>
      <c r="GP880">
        <v>24.295400266227858</v>
      </c>
      <c r="GQ880">
        <v>21.975610782513435</v>
      </c>
      <c r="GR880">
        <v>15.98441517047044</v>
      </c>
      <c r="GS880">
        <v>10.126658790764434</v>
      </c>
      <c r="GT880">
        <v>35.165804916619933</v>
      </c>
      <c r="GU880"/>
      <c r="GV880"/>
      <c r="GW880"/>
      <c r="GX880"/>
      <c r="GY880"/>
      <c r="GZ880"/>
      <c r="HA880"/>
      <c r="HB880"/>
      <c r="HC880"/>
    </row>
    <row r="881" spans="1:211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53.392628205128212</v>
      </c>
      <c r="AO881">
        <v>39.969128326506748</v>
      </c>
      <c r="AP881">
        <v>2.1170379669330859</v>
      </c>
      <c r="AQ881">
        <v>265.77963361823589</v>
      </c>
      <c r="AR881">
        <v>38.259498920117764</v>
      </c>
      <c r="AS881">
        <v>386.56021268002581</v>
      </c>
      <c r="AT881">
        <v>31.745017585966199</v>
      </c>
      <c r="AU881">
        <v>28.785820628555115</v>
      </c>
      <c r="AV881"/>
      <c r="AW881"/>
      <c r="FY881" s="211">
        <v>876</v>
      </c>
      <c r="FZ881">
        <v>35.990565237795231</v>
      </c>
      <c r="GA881">
        <v>49.469002947376005</v>
      </c>
      <c r="GB881">
        <v>18.406405066731509</v>
      </c>
      <c r="GC881">
        <v>12.789929667803177</v>
      </c>
      <c r="GD881">
        <v>9.4801342984105865</v>
      </c>
      <c r="GE881">
        <v>10.426705885612005</v>
      </c>
      <c r="GF881">
        <v>20.977098728714836</v>
      </c>
      <c r="GG881">
        <v>14.547237694466325</v>
      </c>
      <c r="GH881">
        <v>10.926321748878555</v>
      </c>
      <c r="GI881">
        <v>21.560042678809292</v>
      </c>
      <c r="GJ881"/>
      <c r="GK881">
        <v>39.013791436962208</v>
      </c>
      <c r="GL881">
        <v>46.055003273341029</v>
      </c>
      <c r="GM881">
        <v>32.60820694775969</v>
      </c>
      <c r="GN881">
        <v>42.216235766756476</v>
      </c>
      <c r="GO881">
        <v>41.227114691250442</v>
      </c>
      <c r="GP881">
        <v>22.37180568844817</v>
      </c>
      <c r="GQ881">
        <v>28.262814082898476</v>
      </c>
      <c r="GR881">
        <v>21.88088832224398</v>
      </c>
      <c r="GS881">
        <v>13.610905055133372</v>
      </c>
      <c r="GT881">
        <v>30.944566442800838</v>
      </c>
      <c r="GU881"/>
      <c r="GV881"/>
      <c r="GW881"/>
      <c r="GX881"/>
      <c r="GY881"/>
      <c r="GZ881"/>
      <c r="HA881"/>
      <c r="HB881"/>
      <c r="HC881"/>
    </row>
    <row r="882" spans="1:211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48.565705128205131</v>
      </c>
      <c r="AO882">
        <v>35.81687576898436</v>
      </c>
      <c r="AP882">
        <v>6.7458908452535749</v>
      </c>
      <c r="AQ882">
        <v>224.31436831859003</v>
      </c>
      <c r="AR882">
        <v>34.321613989184591</v>
      </c>
      <c r="AS882">
        <v>331.7955237325578</v>
      </c>
      <c r="AT882">
        <v>27.919073204227811</v>
      </c>
      <c r="AU882">
        <v>30.51439471659171</v>
      </c>
      <c r="AV882"/>
      <c r="AW882"/>
      <c r="FY882" s="211">
        <v>877</v>
      </c>
      <c r="FZ882">
        <v>31.059961806163777</v>
      </c>
      <c r="GA882">
        <v>46.77664488951514</v>
      </c>
      <c r="GB882">
        <v>27.669759250642137</v>
      </c>
      <c r="GC882">
        <v>13.594196915360813</v>
      </c>
      <c r="GD882">
        <v>6.2296639960889539</v>
      </c>
      <c r="GE882">
        <v>9.8803894554209624</v>
      </c>
      <c r="GF882">
        <v>13.990591192339345</v>
      </c>
      <c r="GG882">
        <v>7.5097753033121615</v>
      </c>
      <c r="GH882">
        <v>7.7305748091016531</v>
      </c>
      <c r="GI882">
        <v>19.340905006136527</v>
      </c>
      <c r="GJ882"/>
      <c r="GK882">
        <v>32.121168234437199</v>
      </c>
      <c r="GL882">
        <v>41.339249723096657</v>
      </c>
      <c r="GM882">
        <v>49.018873189442679</v>
      </c>
      <c r="GN882">
        <v>44.880283632732713</v>
      </c>
      <c r="GO882">
        <v>27.089766166932201</v>
      </c>
      <c r="GP882">
        <v>21.199615242613675</v>
      </c>
      <c r="GQ882">
        <v>18.849769593621438</v>
      </c>
      <c r="GR882">
        <v>11.295653387132443</v>
      </c>
      <c r="GS882">
        <v>9.3451984935414334</v>
      </c>
      <c r="GT882">
        <v>27.284955135594998</v>
      </c>
      <c r="GU882"/>
      <c r="GV882"/>
      <c r="GW882"/>
      <c r="GX882"/>
      <c r="GY882"/>
      <c r="GZ882"/>
      <c r="HA882"/>
      <c r="HB882"/>
      <c r="HC882"/>
    </row>
    <row r="883" spans="1:211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42.472435897435894</v>
      </c>
      <c r="AO883">
        <v>31.721165534314981</v>
      </c>
      <c r="AP883">
        <v>15.449789167745344</v>
      </c>
      <c r="AQ883">
        <v>213.00161286828481</v>
      </c>
      <c r="AR883">
        <v>31.180991152279461</v>
      </c>
      <c r="AS883">
        <v>303.18210699131276</v>
      </c>
      <c r="AT883">
        <v>24.981195583317994</v>
      </c>
      <c r="AU883">
        <v>33.603056878558796</v>
      </c>
      <c r="AV883"/>
      <c r="AW883"/>
      <c r="FY883" s="211">
        <v>878</v>
      </c>
      <c r="FZ883">
        <v>31.202411938248066</v>
      </c>
      <c r="GA883">
        <v>49.340960015783466</v>
      </c>
      <c r="GB883">
        <v>26.456700964653841</v>
      </c>
      <c r="GC883">
        <v>16.623523797723411</v>
      </c>
      <c r="GD883">
        <v>10.458439877316755</v>
      </c>
      <c r="GE883">
        <v>12.854778908683322</v>
      </c>
      <c r="GF883">
        <v>31.197612269349673</v>
      </c>
      <c r="GG883">
        <v>21.017924591030891</v>
      </c>
      <c r="GH883">
        <v>14.122068688655455</v>
      </c>
      <c r="GI883">
        <v>26.036146565576235</v>
      </c>
      <c r="GJ883"/>
      <c r="GK883">
        <v>32.274310275309865</v>
      </c>
      <c r="GL883">
        <v>43.605484585043357</v>
      </c>
      <c r="GM883">
        <v>46.86985737207943</v>
      </c>
      <c r="GN883">
        <v>54.904872223013349</v>
      </c>
      <c r="GO883">
        <v>45.515052952360065</v>
      </c>
      <c r="GP883">
        <v>27.581541003268168</v>
      </c>
      <c r="GQ883">
        <v>42.03309174457042</v>
      </c>
      <c r="GR883">
        <v>31.613621114930424</v>
      </c>
      <c r="GS883">
        <v>17.87661161672531</v>
      </c>
      <c r="GT883">
        <v>36.913784792209029</v>
      </c>
      <c r="GU883"/>
      <c r="GV883"/>
      <c r="GW883"/>
      <c r="GX883"/>
      <c r="GY883"/>
      <c r="GZ883"/>
      <c r="HA883"/>
      <c r="HB883"/>
      <c r="HC883"/>
    </row>
    <row r="884" spans="1:211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45.009214743589737</v>
      </c>
      <c r="AO884">
        <v>36.745628196142661</v>
      </c>
      <c r="AP884">
        <v>34.317557640289571</v>
      </c>
      <c r="AQ884">
        <v>243.02454747079608</v>
      </c>
      <c r="AR884">
        <v>35.826337172565019</v>
      </c>
      <c r="AS884">
        <v>335.75720127878731</v>
      </c>
      <c r="AT884">
        <v>28.114861667214793</v>
      </c>
      <c r="AU884">
        <v>23.137550207192383</v>
      </c>
      <c r="AV884"/>
      <c r="AW884"/>
      <c r="FY884" s="211">
        <v>879</v>
      </c>
      <c r="FZ884">
        <v>58.298303145219528</v>
      </c>
      <c r="GA884">
        <v>72.370989764737857</v>
      </c>
      <c r="GB884">
        <v>27.770012001550263</v>
      </c>
      <c r="GC884">
        <v>17.301030510061285</v>
      </c>
      <c r="GD884">
        <v>9.0988702242467667</v>
      </c>
      <c r="GE884">
        <v>9.4694847899781251</v>
      </c>
      <c r="GF884">
        <v>20.854065891596271</v>
      </c>
      <c r="GG884">
        <v>15.043166252232222</v>
      </c>
      <c r="GH884">
        <v>7.6743240865495794</v>
      </c>
      <c r="GI884">
        <v>26.386685673116737</v>
      </c>
      <c r="GJ884"/>
      <c r="GK884">
        <v>62.084389422128297</v>
      </c>
      <c r="GL884">
        <v>66.294824971416702</v>
      </c>
      <c r="GM884">
        <v>49.196477802447916</v>
      </c>
      <c r="GN884">
        <v>57.119529115561974</v>
      </c>
      <c r="GO884">
        <v>39.572193350645527</v>
      </c>
      <c r="GP884">
        <v>20.317967727797981</v>
      </c>
      <c r="GQ884">
        <v>28.097049777426928</v>
      </c>
      <c r="GR884">
        <v>22.626827696865931</v>
      </c>
      <c r="GS884">
        <v>8.5960632694529906</v>
      </c>
      <c r="GT884">
        <v>37.509234724420331</v>
      </c>
      <c r="GU884"/>
      <c r="GV884"/>
      <c r="GW884"/>
      <c r="GX884"/>
      <c r="GY884"/>
      <c r="GZ884"/>
      <c r="HA884"/>
      <c r="HB884"/>
      <c r="HC884"/>
    </row>
    <row r="885" spans="1:211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56.140972222222217</v>
      </c>
      <c r="AO885">
        <v>43.550364118631073</v>
      </c>
      <c r="AP885">
        <v>21.710968449863039</v>
      </c>
      <c r="AQ885">
        <v>307.61697979627854</v>
      </c>
      <c r="AR885">
        <v>41.340422459777557</v>
      </c>
      <c r="AS885">
        <v>397.94599734938964</v>
      </c>
      <c r="AT885">
        <v>33.051028550942213</v>
      </c>
      <c r="AU885">
        <v>11.673985677756319</v>
      </c>
      <c r="AV885"/>
      <c r="AW885"/>
      <c r="FY885" s="211">
        <v>880</v>
      </c>
      <c r="FZ885">
        <v>36.33685653018312</v>
      </c>
      <c r="GA885">
        <v>54.204316289740618</v>
      </c>
      <c r="GB885">
        <v>20.832521638708105</v>
      </c>
      <c r="GC885">
        <v>10.454152249150734</v>
      </c>
      <c r="GD885">
        <v>6.899756716870848</v>
      </c>
      <c r="GE885">
        <v>10.851618664649486</v>
      </c>
      <c r="GF885">
        <v>12.083582217001631</v>
      </c>
      <c r="GG885">
        <v>8.5724793556676566</v>
      </c>
      <c r="GH885">
        <v>15.461149618203306</v>
      </c>
      <c r="GI885">
        <v>19.693830461343175</v>
      </c>
      <c r="GJ885"/>
      <c r="GK885">
        <v>37.577021116482506</v>
      </c>
      <c r="GL885">
        <v>47.903516219769855</v>
      </c>
      <c r="GM885">
        <v>36.906238582486196</v>
      </c>
      <c r="GN885">
        <v>34.49001169823876</v>
      </c>
      <c r="GO885">
        <v>29.984319285229226</v>
      </c>
      <c r="GP885">
        <v>23.283509368541669</v>
      </c>
      <c r="GQ885">
        <v>16.280422858812482</v>
      </c>
      <c r="GR885">
        <v>12.894094904179488</v>
      </c>
      <c r="GS885">
        <v>18.690396987082867</v>
      </c>
      <c r="GT885">
        <v>27.887679766018653</v>
      </c>
      <c r="GU885"/>
      <c r="GV885"/>
      <c r="GW885"/>
      <c r="GX885"/>
      <c r="GY885"/>
      <c r="GZ885"/>
      <c r="HA885"/>
      <c r="HB885"/>
      <c r="HC885"/>
    </row>
    <row r="886" spans="1:211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46.753392094017094</v>
      </c>
      <c r="AO886">
        <v>36.113057901417839</v>
      </c>
      <c r="AP886">
        <v>26.098363435763289</v>
      </c>
      <c r="AQ886">
        <v>235.52433764489928</v>
      </c>
      <c r="AR886">
        <v>34.685797757386844</v>
      </c>
      <c r="AS886">
        <v>315.20365692292535</v>
      </c>
      <c r="AT886">
        <v>27.242153053681673</v>
      </c>
      <c r="AU886">
        <v>19.458190222349344</v>
      </c>
      <c r="AV886"/>
      <c r="AW886"/>
      <c r="FY886" s="211">
        <v>881</v>
      </c>
      <c r="FZ886">
        <v>27.270780422217587</v>
      </c>
      <c r="GA886">
        <v>46.246096932356188</v>
      </c>
      <c r="GB886">
        <v>24.912808600668736</v>
      </c>
      <c r="GC886">
        <v>12.202170789435796</v>
      </c>
      <c r="GD886">
        <v>6.8408616467869248</v>
      </c>
      <c r="GE886">
        <v>10.926328603820913</v>
      </c>
      <c r="GF886">
        <v>33.034316766333916</v>
      </c>
      <c r="GG886">
        <v>24.13518981127368</v>
      </c>
      <c r="GH886">
        <v>9.4747393742265587</v>
      </c>
      <c r="GI886">
        <v>22.397191137334165</v>
      </c>
      <c r="GJ886"/>
      <c r="GK886">
        <v>28.199497549806519</v>
      </c>
      <c r="GL886">
        <v>40.870373544762863</v>
      </c>
      <c r="GM886">
        <v>44.134746331798937</v>
      </c>
      <c r="GN886">
        <v>40.290321548554431</v>
      </c>
      <c r="GO886">
        <v>29.758367997344465</v>
      </c>
      <c r="GP886">
        <v>23.443808916689978</v>
      </c>
      <c r="GQ886">
        <v>44.507716019109914</v>
      </c>
      <c r="GR886">
        <v>36.302382898268419</v>
      </c>
      <c r="GS886">
        <v>11.298849236598933</v>
      </c>
      <c r="GT886">
        <v>31.579835426931762</v>
      </c>
      <c r="GU886"/>
      <c r="GV886"/>
      <c r="GW886"/>
      <c r="GX886"/>
      <c r="GY886"/>
      <c r="GZ886"/>
      <c r="HA886"/>
      <c r="HB886"/>
      <c r="HC886"/>
    </row>
    <row r="887" spans="1:211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45.132318376068369</v>
      </c>
      <c r="AO887">
        <v>35.637039683209579</v>
      </c>
      <c r="AP887">
        <v>28.021713537835549</v>
      </c>
      <c r="AQ887">
        <v>235.82094997431125</v>
      </c>
      <c r="AR887">
        <v>34.679265297725387</v>
      </c>
      <c r="AS887">
        <v>320.61445708209487</v>
      </c>
      <c r="AT887">
        <v>27.392322088968907</v>
      </c>
      <c r="AU887">
        <v>30.729463554140629</v>
      </c>
      <c r="AV887"/>
      <c r="AW887"/>
      <c r="FY887" s="211">
        <v>882</v>
      </c>
      <c r="FZ887">
        <v>42.935570986765747</v>
      </c>
      <c r="GA887">
        <v>62.46742789777057</v>
      </c>
      <c r="GB887">
        <v>18.185849014733638</v>
      </c>
      <c r="GC887">
        <v>11.191772674067467</v>
      </c>
      <c r="GD887">
        <v>8.6192436995128574</v>
      </c>
      <c r="GE887">
        <v>10.776908725478064</v>
      </c>
      <c r="GF887">
        <v>20.977098728714836</v>
      </c>
      <c r="GG887">
        <v>18.963363423143601</v>
      </c>
      <c r="GH887">
        <v>13.953316520999239</v>
      </c>
      <c r="GI887">
        <v>22.436019497945718</v>
      </c>
      <c r="GJ887"/>
      <c r="GK887">
        <v>46.211295332785625</v>
      </c>
      <c r="GL887">
        <v>57.542469642519109</v>
      </c>
      <c r="GM887">
        <v>32.217476799148194</v>
      </c>
      <c r="GN887">
        <v>36.945455999391498</v>
      </c>
      <c r="GO887">
        <v>37.48919935305365</v>
      </c>
      <c r="GP887">
        <v>23.123209820393363</v>
      </c>
      <c r="GQ887">
        <v>28.262814082898476</v>
      </c>
      <c r="GR887">
        <v>28.523300848639469</v>
      </c>
      <c r="GS887">
        <v>15.629205944459986</v>
      </c>
      <c r="GT887">
        <v>31.961998302469183</v>
      </c>
      <c r="GU887"/>
      <c r="GV887"/>
      <c r="GW887"/>
      <c r="GX887"/>
      <c r="GY887"/>
      <c r="GZ887"/>
      <c r="HA887"/>
      <c r="HB887"/>
      <c r="HC887"/>
    </row>
    <row r="888" spans="1:211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47.28760683760683</v>
      </c>
      <c r="AO888">
        <v>34.197775233000179</v>
      </c>
      <c r="AP888">
        <v>12.44753353572181</v>
      </c>
      <c r="AQ888">
        <v>222.1618689046376</v>
      </c>
      <c r="AR888">
        <v>32.197998456581473</v>
      </c>
      <c r="AS888">
        <v>317.32045549325022</v>
      </c>
      <c r="AT888">
        <v>25.832863200940626</v>
      </c>
      <c r="AU888">
        <v>18.157239576968145</v>
      </c>
      <c r="AV888"/>
      <c r="AW888"/>
      <c r="FY888" s="211">
        <v>883</v>
      </c>
      <c r="FZ888">
        <v>52.230953061988068</v>
      </c>
      <c r="GA888">
        <v>77.499620017274509</v>
      </c>
      <c r="GB888">
        <v>30.547013201705294</v>
      </c>
      <c r="GC888">
        <v>18.730057174587493</v>
      </c>
      <c r="GD888">
        <v>11.207040910698025</v>
      </c>
      <c r="GE888">
        <v>8.8017647086335131</v>
      </c>
      <c r="GF888">
        <v>28.7545316465668</v>
      </c>
      <c r="GG888">
        <v>27.748383589282362</v>
      </c>
      <c r="GH888">
        <v>12.963068504476368</v>
      </c>
      <c r="GI888">
        <v>29.880420769710899</v>
      </c>
      <c r="GJ888"/>
      <c r="GK888">
        <v>55.803968647312942</v>
      </c>
      <c r="GL888">
        <v>70.827294695310115</v>
      </c>
      <c r="GM888">
        <v>54.116125582692703</v>
      </c>
      <c r="GN888">
        <v>61.862419088382218</v>
      </c>
      <c r="GO888">
        <v>48.772959109896988</v>
      </c>
      <c r="GP888">
        <v>18.885290516222483</v>
      </c>
      <c r="GQ888">
        <v>38.741486250206883</v>
      </c>
      <c r="GR888">
        <v>41.737084056228376</v>
      </c>
      <c r="GS888">
        <v>15.206150722713929</v>
      </c>
      <c r="GT888">
        <v>42.528138062564686</v>
      </c>
      <c r="GU888"/>
      <c r="GV888"/>
      <c r="GW888"/>
      <c r="GX888"/>
      <c r="GY888"/>
      <c r="GZ888"/>
      <c r="HA888"/>
      <c r="HB888"/>
      <c r="HC888"/>
    </row>
    <row r="889" spans="1:211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50.295459401709408</v>
      </c>
      <c r="AO889">
        <v>39.58938299615302</v>
      </c>
      <c r="AP889">
        <v>26.126322141574505</v>
      </c>
      <c r="AQ889">
        <v>269.49334279579585</v>
      </c>
      <c r="AR889">
        <v>38.236783750527465</v>
      </c>
      <c r="AS889">
        <v>358.71789360596614</v>
      </c>
      <c r="AT889">
        <v>30.427919442203862</v>
      </c>
      <c r="AU889">
        <v>24.122375577081179</v>
      </c>
      <c r="AV889"/>
      <c r="AW889"/>
      <c r="FY889" s="211">
        <v>884</v>
      </c>
      <c r="FZ889">
        <v>42.499569454131084</v>
      </c>
      <c r="GA889">
        <v>85.01571607702644</v>
      </c>
      <c r="GB889">
        <v>31.750046212602772</v>
      </c>
      <c r="GC889">
        <v>8.8784068658489161</v>
      </c>
      <c r="GD889">
        <v>6.6462493129435112</v>
      </c>
      <c r="GE889">
        <v>16.193379315406379</v>
      </c>
      <c r="GF889">
        <v>27.814209248589215</v>
      </c>
      <c r="GG889">
        <v>15.302938353919121</v>
      </c>
      <c r="GH889">
        <v>11.972820487953499</v>
      </c>
      <c r="GI889">
        <v>25.605156033472067</v>
      </c>
      <c r="GJ889"/>
      <c r="GK889">
        <v>45.748719191595697</v>
      </c>
      <c r="GL889">
        <v>77.46970722170559</v>
      </c>
      <c r="GM889">
        <v>56.24738093875542</v>
      </c>
      <c r="GN889">
        <v>29.297094058178814</v>
      </c>
      <c r="GO889">
        <v>28.894068205590028</v>
      </c>
      <c r="GP889">
        <v>34.74492706114566</v>
      </c>
      <c r="GQ889">
        <v>37.474573344102922</v>
      </c>
      <c r="GR889">
        <v>23.01755784547743</v>
      </c>
      <c r="GS889">
        <v>14.783095500967871</v>
      </c>
      <c r="GT889">
        <v>36.629567436202386</v>
      </c>
      <c r="GU889"/>
      <c r="GV889"/>
      <c r="GW889"/>
      <c r="GX889"/>
      <c r="GY889"/>
      <c r="GZ889"/>
      <c r="HA889"/>
      <c r="HB889"/>
      <c r="HC889"/>
    </row>
    <row r="890" spans="1:211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48.857505341880334</v>
      </c>
      <c r="AO890">
        <v>37.870988493425365</v>
      </c>
      <c r="AP890">
        <v>28.075807982437752</v>
      </c>
      <c r="AQ890">
        <v>251.15673409035679</v>
      </c>
      <c r="AR890">
        <v>36.831225050774485</v>
      </c>
      <c r="AS890">
        <v>364.94200195969711</v>
      </c>
      <c r="AT890">
        <v>29.01535209109359</v>
      </c>
      <c r="AU890">
        <v>36.645045467814391</v>
      </c>
      <c r="AV890"/>
      <c r="AW890"/>
      <c r="FY890" s="211">
        <v>885</v>
      </c>
      <c r="FZ890">
        <v>51.594108904961871</v>
      </c>
      <c r="GA890">
        <v>82.667868541877155</v>
      </c>
      <c r="GB890">
        <v>32.421739643687197</v>
      </c>
      <c r="GC890">
        <v>12.877921547389118</v>
      </c>
      <c r="GD890">
        <v>7.6120651156183365</v>
      </c>
      <c r="GE890">
        <v>7.6344219090799958</v>
      </c>
      <c r="GF890">
        <v>20.010412151354696</v>
      </c>
      <c r="GG890">
        <v>19.223135524830496</v>
      </c>
      <c r="GH890">
        <v>15.461149618203306</v>
      </c>
      <c r="GI890">
        <v>26.720106495202618</v>
      </c>
      <c r="GJ890"/>
      <c r="GK890">
        <v>56.94252404741912</v>
      </c>
      <c r="GL890">
        <v>77.73113707777884</v>
      </c>
      <c r="GM890">
        <v>57.437331845890434</v>
      </c>
      <c r="GN890">
        <v>42.522219518653444</v>
      </c>
      <c r="GO890">
        <v>33.114639786699641</v>
      </c>
      <c r="GP890">
        <v>16.380610076405176</v>
      </c>
      <c r="GQ890">
        <v>26.960380254193467</v>
      </c>
      <c r="GR890">
        <v>28.914030997250965</v>
      </c>
      <c r="GS890">
        <v>18.690396987082867</v>
      </c>
      <c r="GT890">
        <v>38.629054584257105</v>
      </c>
      <c r="GU890"/>
      <c r="GV890"/>
      <c r="GW890"/>
      <c r="GX890"/>
      <c r="GY890"/>
      <c r="GZ890"/>
      <c r="HA890"/>
      <c r="HB890"/>
      <c r="HC890"/>
    </row>
    <row r="891" spans="1:211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48.663969017094011</v>
      </c>
      <c r="AO891">
        <v>36.178567281361133</v>
      </c>
      <c r="AP891">
        <v>8.8189913725086715</v>
      </c>
      <c r="AQ891">
        <v>233.74277759477835</v>
      </c>
      <c r="AR891">
        <v>35.165804916619976</v>
      </c>
      <c r="AS891">
        <v>341.24605183479446</v>
      </c>
      <c r="AT891">
        <v>28.603733285505282</v>
      </c>
      <c r="AU891">
        <v>35.326469065502899</v>
      </c>
      <c r="AV891"/>
      <c r="AW891"/>
      <c r="FY891" s="211">
        <v>886</v>
      </c>
      <c r="FZ891">
        <v>52.980806803848807</v>
      </c>
      <c r="GA891">
        <v>79.710236505436853</v>
      </c>
      <c r="GB891">
        <v>25.68475478266129</v>
      </c>
      <c r="GC891">
        <v>13.081244115499613</v>
      </c>
      <c r="GD891">
        <v>9.3412935770122552</v>
      </c>
      <c r="GE891">
        <v>10.548109536765571</v>
      </c>
      <c r="GF891">
        <v>20.300418124562743</v>
      </c>
      <c r="GG891">
        <v>15.326553999527025</v>
      </c>
      <c r="GH891">
        <v>15.517400340755378</v>
      </c>
      <c r="GI891">
        <v>26.435489553484331</v>
      </c>
      <c r="GJ891"/>
      <c r="GK891">
        <v>56.593498105907756</v>
      </c>
      <c r="GL891">
        <v>72.780945438367596</v>
      </c>
      <c r="GM891">
        <v>45.502301851939187</v>
      </c>
      <c r="GN891">
        <v>43.205282190404908</v>
      </c>
      <c r="GO891">
        <v>40.653240520452883</v>
      </c>
      <c r="GP891">
        <v>22.632292454189166</v>
      </c>
      <c r="GQ891">
        <v>27.351110402804977</v>
      </c>
      <c r="GR891">
        <v>23.053078768078482</v>
      </c>
      <c r="GS891">
        <v>19.439532211171308</v>
      </c>
      <c r="GT891">
        <v>37.907936618455224</v>
      </c>
      <c r="GU891"/>
      <c r="GV891"/>
      <c r="GW891"/>
      <c r="GX891"/>
      <c r="GY891"/>
      <c r="GZ891"/>
      <c r="HA891"/>
      <c r="HB891"/>
      <c r="HC891"/>
    </row>
    <row r="892" spans="1:211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40.971100427350422</v>
      </c>
      <c r="AO892">
        <v>31.819133170759478</v>
      </c>
      <c r="AP892">
        <v>34.968810328825874</v>
      </c>
      <c r="AQ892">
        <v>204.57344395459754</v>
      </c>
      <c r="AR892">
        <v>30.944566442800824</v>
      </c>
      <c r="AS892">
        <v>294.84852597713115</v>
      </c>
      <c r="AT892">
        <v>23.744321364509208</v>
      </c>
      <c r="AU892">
        <v>28.219597214887749</v>
      </c>
      <c r="AV892"/>
      <c r="AW892"/>
      <c r="FY892" s="211">
        <v>887</v>
      </c>
      <c r="FZ892">
        <v>59.080107368049838</v>
      </c>
      <c r="GA892">
        <v>93.592908051096344</v>
      </c>
      <c r="GB892">
        <v>37.143644211459829</v>
      </c>
      <c r="GC892">
        <v>16.139564368950474</v>
      </c>
      <c r="GD892">
        <v>8.7105182025053676</v>
      </c>
      <c r="GE892">
        <v>8.6196592319031637</v>
      </c>
      <c r="GF892">
        <v>26.487212219667573</v>
      </c>
      <c r="GG892">
        <v>20.781768134951893</v>
      </c>
      <c r="GH892">
        <v>15.056065982626254</v>
      </c>
      <c r="GI892">
        <v>30.903995417902873</v>
      </c>
      <c r="GJ892"/>
      <c r="GK892">
        <v>62.905807296326429</v>
      </c>
      <c r="GL892">
        <v>85.049872104768681</v>
      </c>
      <c r="GM892">
        <v>65.802509118436646</v>
      </c>
      <c r="GN892">
        <v>53.306430705966307</v>
      </c>
      <c r="GO892">
        <v>37.908110758413116</v>
      </c>
      <c r="GP892">
        <v>18.49456036761098</v>
      </c>
      <c r="GQ892">
        <v>35.686686906516961</v>
      </c>
      <c r="GR892">
        <v>31.258411888919969</v>
      </c>
      <c r="GS892">
        <v>17.550531614382926</v>
      </c>
      <c r="GT892">
        <v>43.970729138815209</v>
      </c>
      <c r="GU892"/>
      <c r="GV892"/>
      <c r="GW892"/>
      <c r="GX892"/>
      <c r="GY892"/>
      <c r="GZ892"/>
      <c r="HA892"/>
      <c r="HB892"/>
      <c r="HC892"/>
    </row>
    <row r="893" spans="1:211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38.152297008547009</v>
      </c>
      <c r="AO893">
        <v>28.242453279914542</v>
      </c>
      <c r="AP893">
        <v>10.979031905029561</v>
      </c>
      <c r="AQ893">
        <v>183.78246262408143</v>
      </c>
      <c r="AR893">
        <v>27.28495513559497</v>
      </c>
      <c r="AS893">
        <v>273.08735199964309</v>
      </c>
      <c r="AT893">
        <v>21.955012314046126</v>
      </c>
      <c r="AU893">
        <v>22.452094260906225</v>
      </c>
      <c r="AV893"/>
      <c r="AW893"/>
      <c r="FY893" s="211">
        <v>888</v>
      </c>
      <c r="FZ893">
        <v>59.748413403853384</v>
      </c>
      <c r="GA893">
        <v>79.710236505436853</v>
      </c>
      <c r="GB893">
        <v>24.361418470674057</v>
      </c>
      <c r="GC893">
        <v>12.972758785339622</v>
      </c>
      <c r="GD893">
        <v>9.515293642444151</v>
      </c>
      <c r="GE893">
        <v>11.066409739767336</v>
      </c>
      <c r="GF893">
        <v>22.620465910227054</v>
      </c>
      <c r="GG893">
        <v>15.32655399952702</v>
      </c>
      <c r="GH893">
        <v>10.5212381133015</v>
      </c>
      <c r="GI893">
        <v>26.810770709720835</v>
      </c>
      <c r="GJ893"/>
      <c r="GK893">
        <v>63.59475236531145</v>
      </c>
      <c r="GL893">
        <v>72.780945438367596</v>
      </c>
      <c r="GM893">
        <v>43.157920960270189</v>
      </c>
      <c r="GN893">
        <v>42.820091450974253</v>
      </c>
      <c r="GO893">
        <v>41.380127896301104</v>
      </c>
      <c r="GP893">
        <v>23.744370569468057</v>
      </c>
      <c r="GQ893">
        <v>30.47695159169697</v>
      </c>
      <c r="GR893">
        <v>23.053078768078475</v>
      </c>
      <c r="GS893">
        <v>12.471039682433428</v>
      </c>
      <c r="GT893">
        <v>38.216158499202621</v>
      </c>
      <c r="GU893"/>
      <c r="GV893"/>
      <c r="GW893"/>
      <c r="GX893"/>
      <c r="GY893"/>
      <c r="GZ893"/>
      <c r="HA893"/>
      <c r="HB893"/>
      <c r="HC893"/>
    </row>
    <row r="894" spans="1:211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49.622836538461534</v>
      </c>
      <c r="AO894">
        <v>37.918822767950942</v>
      </c>
      <c r="AP894">
        <v>9.1732943951770114</v>
      </c>
      <c r="AQ894">
        <v>239.31056761702109</v>
      </c>
      <c r="AR894">
        <v>36.913784792209029</v>
      </c>
      <c r="AS894">
        <v>303.12802037385023</v>
      </c>
      <c r="AT894">
        <v>30.253767437305239</v>
      </c>
      <c r="AU894">
        <v>17.522435289546458</v>
      </c>
      <c r="AV894"/>
      <c r="AW894"/>
      <c r="FY894" s="211">
        <v>889</v>
      </c>
      <c r="FZ894">
        <v>64.628298275174899</v>
      </c>
      <c r="GA894">
        <v>88.445901567770932</v>
      </c>
      <c r="GB894">
        <v>27.348950447736147</v>
      </c>
      <c r="GC894">
        <v>13.644448159332425</v>
      </c>
      <c r="GD894">
        <v>8.8226182354116318</v>
      </c>
      <c r="GE894">
        <v>11.762146048301231</v>
      </c>
      <c r="GF894">
        <v>32.674006314772413</v>
      </c>
      <c r="GG894">
        <v>26.756526473750561</v>
      </c>
      <c r="GH894">
        <v>13.604483607974258</v>
      </c>
      <c r="GI894">
        <v>30.040248256446198</v>
      </c>
      <c r="GJ894"/>
      <c r="GK894">
        <v>75.836023275552975</v>
      </c>
      <c r="GL894">
        <v>89.846600955732171</v>
      </c>
      <c r="GM894">
        <v>48.450538427825961</v>
      </c>
      <c r="GN894">
        <v>45.042415431206521</v>
      </c>
      <c r="GO894">
        <v>38.369946739533219</v>
      </c>
      <c r="GP894">
        <v>25.23716011159917</v>
      </c>
      <c r="GQ894">
        <v>44.022263410228959</v>
      </c>
      <c r="GR894">
        <v>40.24520530698446</v>
      </c>
      <c r="GS894">
        <v>15.238475795848485</v>
      </c>
      <c r="GT894">
        <v>44.383449529797915</v>
      </c>
      <c r="GU894"/>
      <c r="GV894"/>
      <c r="GW894"/>
      <c r="GX894"/>
      <c r="GY894"/>
      <c r="GZ894"/>
      <c r="HA894"/>
      <c r="HB894"/>
      <c r="HC894"/>
    </row>
    <row r="895" spans="1:211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51.413194444444436</v>
      </c>
      <c r="AO895">
        <v>39.141455785816461</v>
      </c>
      <c r="AP895">
        <v>32.822322156012163</v>
      </c>
      <c r="AQ895">
        <v>264.26693233928864</v>
      </c>
      <c r="AR895">
        <v>37.509234724420359</v>
      </c>
      <c r="AS895">
        <v>338.6928749986011</v>
      </c>
      <c r="AT895">
        <v>29.455805540948973</v>
      </c>
      <c r="AU895">
        <v>41.393032275330228</v>
      </c>
      <c r="AV895"/>
      <c r="AW895"/>
      <c r="FY895" s="211">
        <v>890</v>
      </c>
      <c r="FZ895">
        <v>58.689727320206245</v>
      </c>
      <c r="GA895">
        <v>82.265363516310757</v>
      </c>
      <c r="GB895">
        <v>27.669759250642137</v>
      </c>
      <c r="GC895">
        <v>15.707711485243465</v>
      </c>
      <c r="GD895">
        <v>11.238129134041738</v>
      </c>
      <c r="GE895">
        <v>13.387087225279723</v>
      </c>
      <c r="GF895">
        <v>23.103809198907122</v>
      </c>
      <c r="GG895">
        <v>16.36564240627462</v>
      </c>
      <c r="GH895">
        <v>14.302149434024217</v>
      </c>
      <c r="GI895">
        <v>29.12724411560546</v>
      </c>
      <c r="GJ895"/>
      <c r="GK895">
        <v>66.09193205617504</v>
      </c>
      <c r="GL895">
        <v>79.71177958774274</v>
      </c>
      <c r="GM895">
        <v>49.018873189442679</v>
      </c>
      <c r="GN895">
        <v>51.872408634162163</v>
      </c>
      <c r="GO895">
        <v>48.899580650320821</v>
      </c>
      <c r="GP895">
        <v>28.723675283824857</v>
      </c>
      <c r="GQ895">
        <v>31.128168506049469</v>
      </c>
      <c r="GR895">
        <v>24.61599936252448</v>
      </c>
      <c r="GS895">
        <v>16.019936093071482</v>
      </c>
      <c r="GT895">
        <v>42.231698099011901</v>
      </c>
      <c r="GU895"/>
      <c r="GV895"/>
      <c r="GW895"/>
      <c r="GX895"/>
      <c r="GY895"/>
      <c r="GZ895"/>
      <c r="HA895"/>
      <c r="HB895"/>
      <c r="HC895"/>
    </row>
    <row r="896" spans="1:211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38.948824786324785</v>
      </c>
      <c r="AO896">
        <v>28.589721078684171</v>
      </c>
      <c r="AP896">
        <v>22.423496350777185</v>
      </c>
      <c r="AQ896">
        <v>195.39026374151868</v>
      </c>
      <c r="AR896">
        <v>27.887679766018639</v>
      </c>
      <c r="AS896">
        <v>262.40010445249578</v>
      </c>
      <c r="AT896">
        <v>22.005734646057252</v>
      </c>
      <c r="AU896">
        <v>21.407842226115235</v>
      </c>
      <c r="AV896"/>
      <c r="AW896"/>
      <c r="FY896" s="211">
        <v>891</v>
      </c>
      <c r="FZ896">
        <v>56.935249062274821</v>
      </c>
      <c r="GA896">
        <v>87.973348113466784</v>
      </c>
      <c r="GB896">
        <v>33.293938576587877</v>
      </c>
      <c r="GC896">
        <v>14.711590049739913</v>
      </c>
      <c r="GD896">
        <v>9.2840174935000661</v>
      </c>
      <c r="GE896">
        <v>10.683521301513782</v>
      </c>
      <c r="GF896">
        <v>14.377265823283398</v>
      </c>
      <c r="GG896">
        <v>12.185673133676337</v>
      </c>
      <c r="GH896">
        <v>9.7673215646994649</v>
      </c>
      <c r="GI896">
        <v>26.732709140924118</v>
      </c>
      <c r="GJ896"/>
      <c r="GK896">
        <v>62.492661281930388</v>
      </c>
      <c r="GL896">
        <v>82.419898861116849</v>
      </c>
      <c r="GM896">
        <v>58.98249197903592</v>
      </c>
      <c r="GN896">
        <v>48.578536822131689</v>
      </c>
      <c r="GO896">
        <v>40.390964162590727</v>
      </c>
      <c r="GP896">
        <v>22.922835385207978</v>
      </c>
      <c r="GQ896">
        <v>19.370743125103438</v>
      </c>
      <c r="GR896">
        <v>18.328796062139435</v>
      </c>
      <c r="GS896">
        <v>10.940444161121988</v>
      </c>
      <c r="GT896">
        <v>38.435460941956492</v>
      </c>
      <c r="GU896"/>
      <c r="GV896"/>
      <c r="GW896"/>
      <c r="GX896"/>
      <c r="GY896"/>
      <c r="GZ896"/>
      <c r="HA896"/>
      <c r="HB896"/>
      <c r="HC896"/>
    </row>
    <row r="897" spans="1:211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44.449759615384622</v>
      </c>
      <c r="AO897">
        <v>33.038589946986619</v>
      </c>
      <c r="AP897">
        <v>11.676452744342431</v>
      </c>
      <c r="AQ897">
        <v>217.44048408445445</v>
      </c>
      <c r="AR897">
        <v>31.579835426931741</v>
      </c>
      <c r="AS897">
        <v>299.75407279424672</v>
      </c>
      <c r="AT897">
        <v>25.568990554012007</v>
      </c>
      <c r="AU897">
        <v>23.602020489441962</v>
      </c>
      <c r="AV897"/>
      <c r="AW897"/>
      <c r="FY897" s="211">
        <v>892</v>
      </c>
      <c r="FZ897">
        <v>34.38119117650573</v>
      </c>
      <c r="GA897">
        <v>55.707535501691005</v>
      </c>
      <c r="GB897">
        <v>28.772539510631503</v>
      </c>
      <c r="GC897">
        <v>14.726957608389718</v>
      </c>
      <c r="GD897">
        <v>8.0768326318618726</v>
      </c>
      <c r="GE897">
        <v>12.551269780799407</v>
      </c>
      <c r="GF897">
        <v>32.454304819917837</v>
      </c>
      <c r="GG897">
        <v>23.875417709586777</v>
      </c>
      <c r="GH897">
        <v>10.926321748878555</v>
      </c>
      <c r="GI897">
        <v>25.322851957401049</v>
      </c>
      <c r="GJ897"/>
      <c r="GK897">
        <v>35.548374362274643</v>
      </c>
      <c r="GL897">
        <v>49.231998725048953</v>
      </c>
      <c r="GM897">
        <v>50.972523932500181</v>
      </c>
      <c r="GN897">
        <v>48.625453320373914</v>
      </c>
      <c r="GO897">
        <v>35.132967489299887</v>
      </c>
      <c r="GP897">
        <v>26.930324088915668</v>
      </c>
      <c r="GQ897">
        <v>43.726255721886915</v>
      </c>
      <c r="GR897">
        <v>35.911652749656916</v>
      </c>
      <c r="GS897">
        <v>13.610905055133372</v>
      </c>
      <c r="GT897">
        <v>35.798205312219011</v>
      </c>
      <c r="GU897"/>
      <c r="GV897"/>
      <c r="GW897"/>
      <c r="GX897"/>
      <c r="GY897"/>
      <c r="GZ897"/>
      <c r="HA897"/>
      <c r="HB897"/>
      <c r="HC897"/>
    </row>
    <row r="898" spans="1:211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43.314476495726488</v>
      </c>
      <c r="AO898">
        <v>33.790642612575859</v>
      </c>
      <c r="AP898">
        <v>13.369285374032982</v>
      </c>
      <c r="AQ898">
        <v>230.50657116913172</v>
      </c>
      <c r="AR898">
        <v>31.961998302469155</v>
      </c>
      <c r="AS898">
        <v>306.63779714925727</v>
      </c>
      <c r="AT898">
        <v>25.584653852754752</v>
      </c>
      <c r="AU898">
        <v>13.22156698666242</v>
      </c>
      <c r="AV898"/>
      <c r="AW898"/>
      <c r="FY898" s="211">
        <v>893</v>
      </c>
      <c r="FZ898">
        <v>47.342972579235592</v>
      </c>
      <c r="GA898">
        <v>85.76273162530444</v>
      </c>
      <c r="GB898">
        <v>33.504469353494933</v>
      </c>
      <c r="GC898">
        <v>11.401137644763853</v>
      </c>
      <c r="GD898">
        <v>8.8272224352255542</v>
      </c>
      <c r="GE898">
        <v>13.08357809739581</v>
      </c>
      <c r="GF898">
        <v>18.534018105931956</v>
      </c>
      <c r="GG898">
        <v>12.185673133676337</v>
      </c>
      <c r="GH898">
        <v>12.670486314003462</v>
      </c>
      <c r="GI898">
        <v>26.390596859169232</v>
      </c>
      <c r="GJ898"/>
      <c r="GK898">
        <v>52.548827165882706</v>
      </c>
      <c r="GL898">
        <v>80.466248118059355</v>
      </c>
      <c r="GM898">
        <v>59.355461666346898</v>
      </c>
      <c r="GN898">
        <v>37.633115293783327</v>
      </c>
      <c r="GO898">
        <v>38.389984183051766</v>
      </c>
      <c r="GP898">
        <v>28.072458369472358</v>
      </c>
      <c r="GQ898">
        <v>24.971208588534928</v>
      </c>
      <c r="GR898">
        <v>18.328796062139435</v>
      </c>
      <c r="GS898">
        <v>15.564555798190872</v>
      </c>
      <c r="GT898">
        <v>38.166007480401426</v>
      </c>
      <c r="GU898"/>
      <c r="GV898"/>
      <c r="GW898"/>
      <c r="GX898"/>
      <c r="GY898"/>
      <c r="GZ898"/>
      <c r="HA898"/>
      <c r="HB898"/>
      <c r="HC898"/>
    </row>
    <row r="899" spans="1:211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58.310870726495729</v>
      </c>
      <c r="AO899">
        <v>44.848091673153121</v>
      </c>
      <c r="AP899">
        <v>42.599497430736626</v>
      </c>
      <c r="AQ899">
        <v>298.3628535849233</v>
      </c>
      <c r="AR899">
        <v>42.528138062564722</v>
      </c>
      <c r="AS899">
        <v>424.29452490131638</v>
      </c>
      <c r="AT899">
        <v>33.774834098434276</v>
      </c>
      <c r="AU899">
        <v>52.674366121261926</v>
      </c>
      <c r="AV899"/>
      <c r="AW899"/>
      <c r="FY899" s="211">
        <v>894</v>
      </c>
      <c r="FZ899">
        <v>34.084497109205465</v>
      </c>
      <c r="GA899">
        <v>65.739140300250824</v>
      </c>
      <c r="GB899">
        <v>29.995623071710604</v>
      </c>
      <c r="GC899">
        <v>11.944472734627643</v>
      </c>
      <c r="GD899">
        <v>7.8981533495104816</v>
      </c>
      <c r="GE899">
        <v>13.111594324585095</v>
      </c>
      <c r="GF899">
        <v>22.594101730844503</v>
      </c>
      <c r="GG899">
        <v>12.964989438737035</v>
      </c>
      <c r="GH899">
        <v>12.670486314003458</v>
      </c>
      <c r="GI899">
        <v>23.811066558825857</v>
      </c>
      <c r="GJ899"/>
      <c r="GK899">
        <v>37.053840656760855</v>
      </c>
      <c r="GL899">
        <v>60.433872742244205</v>
      </c>
      <c r="GM899">
        <v>53.139300211163942</v>
      </c>
      <c r="GN899">
        <v>39.439185595460152</v>
      </c>
      <c r="GO899">
        <v>34.359693663510654</v>
      </c>
      <c r="GP899">
        <v>28.132570700027973</v>
      </c>
      <c r="GQ899">
        <v>30.441430669095926</v>
      </c>
      <c r="GR899">
        <v>19.500986507973938</v>
      </c>
      <c r="GS899">
        <v>15.564555798190868</v>
      </c>
      <c r="GT899">
        <v>34.111764199744449</v>
      </c>
      <c r="GU899"/>
      <c r="GV899"/>
      <c r="GW899"/>
      <c r="GX899"/>
      <c r="GY899"/>
      <c r="GZ899"/>
      <c r="HA899"/>
      <c r="HB899"/>
      <c r="HC899"/>
    </row>
    <row r="900" spans="1:211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49.669310897435892</v>
      </c>
      <c r="AO900">
        <v>38.430669080372176</v>
      </c>
      <c r="AP900">
        <v>38.565380309389404</v>
      </c>
      <c r="AQ900">
        <v>271.67849136189301</v>
      </c>
      <c r="AR900">
        <v>36.629567436202386</v>
      </c>
      <c r="AS900">
        <v>342.26333005708784</v>
      </c>
      <c r="AT900">
        <v>28.6165899708725</v>
      </c>
      <c r="AU900">
        <v>29.290407559114538</v>
      </c>
      <c r="AV900"/>
      <c r="AW900"/>
      <c r="FY900" s="211">
        <v>895</v>
      </c>
      <c r="FZ900">
        <v>31.876370574521324</v>
      </c>
      <c r="GA900">
        <v>52.701097077790223</v>
      </c>
      <c r="GB900">
        <v>22.596970054691081</v>
      </c>
      <c r="GC900">
        <v>9.4008348646012436</v>
      </c>
      <c r="GD900">
        <v>7.3569703387648122</v>
      </c>
      <c r="GE900">
        <v>8.7877565950388714</v>
      </c>
      <c r="GF900">
        <v>26.698125654727971</v>
      </c>
      <c r="GG900">
        <v>22.789098011623384</v>
      </c>
      <c r="GH900">
        <v>9.0696557386495034</v>
      </c>
      <c r="GI900">
        <v>21.509685922703504</v>
      </c>
      <c r="GJ900"/>
      <c r="GK900">
        <v>32.955186182923057</v>
      </c>
      <c r="GL900">
        <v>46.575033714490758</v>
      </c>
      <c r="GM900">
        <v>40.032079771378193</v>
      </c>
      <c r="GN900">
        <v>31.022591182991142</v>
      </c>
      <c r="GO900">
        <v>31.98712085054261</v>
      </c>
      <c r="GP900">
        <v>18.855234350944674</v>
      </c>
      <c r="GQ900">
        <v>35.970854287325331</v>
      </c>
      <c r="GR900">
        <v>34.277690310008829</v>
      </c>
      <c r="GS900">
        <v>10.158983863898989</v>
      </c>
      <c r="GT900">
        <v>30.220844991213639</v>
      </c>
      <c r="GU900"/>
      <c r="GV900"/>
      <c r="GW900"/>
      <c r="GX900"/>
      <c r="GY900"/>
      <c r="GZ900"/>
      <c r="HA900"/>
      <c r="HB900"/>
      <c r="HC900"/>
    </row>
    <row r="901" spans="1:211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49.41837606837607</v>
      </c>
      <c r="AO901">
        <v>39.732232517563105</v>
      </c>
      <c r="AP901">
        <v>60.186996710925307</v>
      </c>
      <c r="AQ901">
        <v>276.22292945220482</v>
      </c>
      <c r="AR901">
        <v>38.629054584257133</v>
      </c>
      <c r="AS901">
        <v>362.98866347566104</v>
      </c>
      <c r="AT901">
        <v>29.379468819520785</v>
      </c>
      <c r="AU901">
        <v>42.585690150405654</v>
      </c>
      <c r="AV901"/>
      <c r="AW901"/>
      <c r="FY901" s="211">
        <v>896</v>
      </c>
      <c r="FZ901">
        <v>47.09650847005301</v>
      </c>
      <c r="GA901">
        <v>71.30989385041994</v>
      </c>
      <c r="GB901">
        <v>27.77001200155026</v>
      </c>
      <c r="GC901">
        <v>15.237965877569778</v>
      </c>
      <c r="GD901">
        <v>8.9620749377931173</v>
      </c>
      <c r="GE901">
        <v>10.426705885612007</v>
      </c>
      <c r="GF901">
        <v>23.850794281412679</v>
      </c>
      <c r="GG901">
        <v>18.420203574161903</v>
      </c>
      <c r="GH901">
        <v>11.972820487953499</v>
      </c>
      <c r="GI901">
        <v>25.955762761166234</v>
      </c>
      <c r="GJ901"/>
      <c r="GK901">
        <v>50.501257806140302</v>
      </c>
      <c r="GL901">
        <v>65.357072614749114</v>
      </c>
      <c r="GM901">
        <v>49.196477802447909</v>
      </c>
      <c r="GN901">
        <v>50.328593361245325</v>
      </c>
      <c r="GO901">
        <v>39.00288380883508</v>
      </c>
      <c r="GP901">
        <v>22.371805688448173</v>
      </c>
      <c r="GQ901">
        <v>32.134594646412424</v>
      </c>
      <c r="GR901">
        <v>27.706319628815425</v>
      </c>
      <c r="GS901">
        <v>14.783095500967871</v>
      </c>
      <c r="GT901">
        <v>37.123661912960713</v>
      </c>
      <c r="GU901"/>
      <c r="GV901"/>
      <c r="GW901"/>
      <c r="GX901"/>
      <c r="GY901"/>
      <c r="GZ901"/>
      <c r="HA901"/>
      <c r="HB901"/>
      <c r="HC901"/>
    </row>
    <row r="902" spans="1:211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49.094658119658121</v>
      </c>
      <c r="AO902">
        <v>38.911921856177145</v>
      </c>
      <c r="AP902">
        <v>30.976723837287793</v>
      </c>
      <c r="AQ902">
        <v>268.92630733955389</v>
      </c>
      <c r="AR902">
        <v>37.907936618455246</v>
      </c>
      <c r="AS902">
        <v>360.30495710204588</v>
      </c>
      <c r="AT902">
        <v>29.966332252472114</v>
      </c>
      <c r="AU902">
        <v>30.665697383008233</v>
      </c>
      <c r="AV902"/>
      <c r="AW902"/>
      <c r="FY902" s="211">
        <v>897</v>
      </c>
      <c r="FZ902">
        <v>32.195731253379307</v>
      </c>
      <c r="GA902">
        <v>65.297017002618375</v>
      </c>
      <c r="GB902">
        <v>33.624772654584689</v>
      </c>
      <c r="GC902">
        <v>12.775590129172873</v>
      </c>
      <c r="GD902">
        <v>7.4871436244128811</v>
      </c>
      <c r="GE902">
        <v>9.8056795162495369</v>
      </c>
      <c r="GF902">
        <v>26.074173409340975</v>
      </c>
      <c r="GG902">
        <v>23.096101404526088</v>
      </c>
      <c r="GH902">
        <v>16.968982715407375</v>
      </c>
      <c r="GI902">
        <v>25.584921037184568</v>
      </c>
      <c r="GJ902"/>
      <c r="GK902">
        <v>35.100189913703346</v>
      </c>
      <c r="GL902">
        <v>60.043142593632723</v>
      </c>
      <c r="GM902">
        <v>59.568587201953171</v>
      </c>
      <c r="GN902">
        <v>42.168874536621757</v>
      </c>
      <c r="GO902">
        <v>32.55363402638492</v>
      </c>
      <c r="GP902">
        <v>21.039315694465365</v>
      </c>
      <c r="GQ902">
        <v>35.130192452433924</v>
      </c>
      <c r="GR902">
        <v>34.739462303822428</v>
      </c>
      <c r="GS902">
        <v>21.751588029705751</v>
      </c>
      <c r="GT902">
        <v>36.820838324836224</v>
      </c>
      <c r="GU902"/>
      <c r="GV902"/>
      <c r="GW902"/>
      <c r="GX902"/>
      <c r="GY902"/>
      <c r="GZ902"/>
      <c r="HA902"/>
      <c r="HB902"/>
      <c r="HC902"/>
    </row>
    <row r="903" spans="1:211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57.910122863247864</v>
      </c>
      <c r="AO903">
        <v>45.193364990015723</v>
      </c>
      <c r="AP903">
        <v>20.926524989495121</v>
      </c>
      <c r="AQ903">
        <v>316.51544318911363</v>
      </c>
      <c r="AR903">
        <v>43.970729138815251</v>
      </c>
      <c r="AS903">
        <v>404.54123611378526</v>
      </c>
      <c r="AT903">
        <v>35.472703364862376</v>
      </c>
      <c r="AU903">
        <v>39.089234980819718</v>
      </c>
      <c r="AV903"/>
      <c r="AW903"/>
      <c r="FY903" s="211">
        <v>898</v>
      </c>
      <c r="FZ903">
        <v>49.508476165040761</v>
      </c>
      <c r="GA903">
        <v>69.718249978943035</v>
      </c>
      <c r="GB903">
        <v>23.599497563772317</v>
      </c>
      <c r="GC903">
        <v>11.131569731901788</v>
      </c>
      <c r="GD903">
        <v>7.4544482789434525</v>
      </c>
      <c r="GE903">
        <v>13.583200815604719</v>
      </c>
      <c r="GF903">
        <v>27.453898797027708</v>
      </c>
      <c r="GG903">
        <v>20.0024518298912</v>
      </c>
      <c r="GH903">
        <v>9.418488651674485</v>
      </c>
      <c r="GI903">
        <v>24.564901662282061</v>
      </c>
      <c r="GJ903"/>
      <c r="GK903">
        <v>53.009999918625709</v>
      </c>
      <c r="GL903">
        <v>63.950444079747697</v>
      </c>
      <c r="GM903">
        <v>41.808125901430465</v>
      </c>
      <c r="GN903">
        <v>36.735094836100096</v>
      </c>
      <c r="GO903">
        <v>32.407007036095798</v>
      </c>
      <c r="GP903">
        <v>29.144461597714173</v>
      </c>
      <c r="GQ903">
        <v>36.989120735221967</v>
      </c>
      <c r="GR903">
        <v>30.086221443085471</v>
      </c>
      <c r="GS903">
        <v>10.549714012510488</v>
      </c>
      <c r="GT903">
        <v>34.952793520776886</v>
      </c>
      <c r="GU903"/>
      <c r="GV903"/>
      <c r="GW903"/>
      <c r="GX903"/>
      <c r="GY903"/>
      <c r="GZ903"/>
      <c r="HA903"/>
      <c r="HB903"/>
      <c r="HC903"/>
    </row>
    <row r="904" spans="1:211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50.731944444444444</v>
      </c>
      <c r="AO904">
        <v>39.169543722210413</v>
      </c>
      <c r="AP904">
        <v>25.246426010070312</v>
      </c>
      <c r="AQ904">
        <v>272.65355928029186</v>
      </c>
      <c r="AR904">
        <v>38.216158499202649</v>
      </c>
      <c r="AS904">
        <v>372.7370978282961</v>
      </c>
      <c r="AT904">
        <v>30.11781133891385</v>
      </c>
      <c r="AU904">
        <v>38.109757745042124</v>
      </c>
      <c r="AV904"/>
      <c r="AW904"/>
      <c r="FY904" s="211">
        <v>899</v>
      </c>
      <c r="FZ904">
        <v>61.16057610969348</v>
      </c>
      <c r="GA904">
        <v>102.43537400374572</v>
      </c>
      <c r="GB904">
        <v>33.845328706582556</v>
      </c>
      <c r="GC904">
        <v>12.764835475200135</v>
      </c>
      <c r="GD904">
        <v>7.9417037151325092</v>
      </c>
      <c r="GE904">
        <v>10.319310348053085</v>
      </c>
      <c r="GF904">
        <v>34.308585436490453</v>
      </c>
      <c r="GG904">
        <v>31.597733823370042</v>
      </c>
      <c r="GH904">
        <v>14.707233069601275</v>
      </c>
      <c r="GI904">
        <v>31.343900012949227</v>
      </c>
      <c r="GJ904"/>
      <c r="GK904">
        <v>65.050788533003768</v>
      </c>
      <c r="GL904">
        <v>92.864475076998687</v>
      </c>
      <c r="GM904">
        <v>59.959317350564667</v>
      </c>
      <c r="GN904">
        <v>42.133353614020699</v>
      </c>
      <c r="GO904">
        <v>34.531876177396988</v>
      </c>
      <c r="GP904">
        <v>22.141375087984983</v>
      </c>
      <c r="GQ904">
        <v>46.224560611493779</v>
      </c>
      <c r="GR904">
        <v>47.526994440198777</v>
      </c>
      <c r="GS904">
        <v>17.159801465771427</v>
      </c>
      <c r="GT904">
        <v>44.585268827646125</v>
      </c>
      <c r="GU904"/>
      <c r="GV904"/>
      <c r="GW904"/>
      <c r="GX904"/>
      <c r="GY904"/>
      <c r="GZ904"/>
      <c r="HA904"/>
      <c r="HB904"/>
      <c r="HC904"/>
    </row>
    <row r="905" spans="1:211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52.372435897435892</v>
      </c>
      <c r="AO905">
        <v>46.667207898430988</v>
      </c>
      <c r="AP905">
        <v>101.71559499502423</v>
      </c>
      <c r="AQ905">
        <v>317.72762738667069</v>
      </c>
      <c r="AR905">
        <v>44.383449529797943</v>
      </c>
      <c r="AS905">
        <v>380.62945732973589</v>
      </c>
      <c r="AT905">
        <v>33.213045781861858</v>
      </c>
      <c r="AU905">
        <v>26.458925015945379</v>
      </c>
      <c r="AV905"/>
      <c r="AW905"/>
      <c r="FY905" s="211">
        <v>900</v>
      </c>
      <c r="FZ905">
        <v>41.962063878117959</v>
      </c>
      <c r="GA905">
        <v>56.719825028548485</v>
      </c>
      <c r="GB905">
        <v>20.170853482714485</v>
      </c>
      <c r="GC905">
        <v>13.149356923993579</v>
      </c>
      <c r="GD905">
        <v>9.213422391271143</v>
      </c>
      <c r="GE905">
        <v>12.733375257529756</v>
      </c>
      <c r="GF905">
        <v>27.260561481555683</v>
      </c>
      <c r="GG905">
        <v>18.703591321456706</v>
      </c>
      <c r="GH905">
        <v>11.275154661903535</v>
      </c>
      <c r="GI905">
        <v>23.981965655657653</v>
      </c>
      <c r="GJ905"/>
      <c r="GK905">
        <v>45.198546964967662</v>
      </c>
      <c r="GL905">
        <v>52.462977710569618</v>
      </c>
      <c r="GM905">
        <v>35.734048136651694</v>
      </c>
      <c r="GN905">
        <v>43.430248033544856</v>
      </c>
      <c r="GO905">
        <v>40.096746066369832</v>
      </c>
      <c r="GP905">
        <v>27.321054237527168</v>
      </c>
      <c r="GQ905">
        <v>36.728633969480967</v>
      </c>
      <c r="GR905">
        <v>28.132570700027973</v>
      </c>
      <c r="GS905">
        <v>14.00163520374487</v>
      </c>
      <c r="GT905">
        <v>34.351922068243006</v>
      </c>
      <c r="GU905"/>
      <c r="GV905"/>
      <c r="GW905"/>
      <c r="GX905"/>
      <c r="GY905"/>
      <c r="GZ905"/>
      <c r="HA905"/>
      <c r="HB905"/>
      <c r="HC905"/>
    </row>
    <row r="906" spans="1:211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52.678952991453002</v>
      </c>
      <c r="AO906">
        <v>43.831405146232555</v>
      </c>
      <c r="AP906">
        <v>61.590941693613438</v>
      </c>
      <c r="AQ906">
        <v>291.85662308653548</v>
      </c>
      <c r="AR906">
        <v>42.231698099011943</v>
      </c>
      <c r="AS906">
        <v>370.14858361490889</v>
      </c>
      <c r="AT906">
        <v>32.407093678857599</v>
      </c>
      <c r="AU906">
        <v>38.608227709507219</v>
      </c>
      <c r="AV906"/>
      <c r="AW906"/>
      <c r="FY906" s="211">
        <v>901</v>
      </c>
      <c r="FZ906">
        <v>68.651249968866679</v>
      </c>
      <c r="GA906">
        <v>114.94286926904734</v>
      </c>
      <c r="GB906">
        <v>34.496971587485355</v>
      </c>
      <c r="GC906">
        <v>7.9701779632215395</v>
      </c>
      <c r="GD906">
        <v>5.7437313831103101</v>
      </c>
      <c r="GE906">
        <v>14.204227184967184</v>
      </c>
      <c r="GF906">
        <v>32.770674972508424</v>
      </c>
      <c r="GG906">
        <v>20.521996033264994</v>
      </c>
      <c r="GH906">
        <v>14.414650879128365</v>
      </c>
      <c r="GI906">
        <v>30.874274492780355</v>
      </c>
      <c r="GJ906"/>
      <c r="GK906">
        <v>74.597226727515036</v>
      </c>
      <c r="GL906">
        <v>106.25443792641832</v>
      </c>
      <c r="GM906">
        <v>61.113747335098637</v>
      </c>
      <c r="GN906">
        <v>26.289677273725815</v>
      </c>
      <c r="GO906">
        <v>24.957642676186609</v>
      </c>
      <c r="GP906">
        <v>30.47695159169697</v>
      </c>
      <c r="GQ906">
        <v>44.152506793099455</v>
      </c>
      <c r="GR906">
        <v>30.867681740308466</v>
      </c>
      <c r="GS906">
        <v>17.518206541248368</v>
      </c>
      <c r="GT906">
        <v>44.467866014629628</v>
      </c>
      <c r="GU906"/>
      <c r="GV906"/>
      <c r="GW906"/>
      <c r="GX906"/>
      <c r="GY906"/>
      <c r="GZ906"/>
      <c r="HA906"/>
      <c r="HB906"/>
      <c r="HC906"/>
    </row>
    <row r="907" spans="1:211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49.508787393162386</v>
      </c>
      <c r="AO907">
        <v>40.286283278233491</v>
      </c>
      <c r="AP907">
        <v>27.753647702572863</v>
      </c>
      <c r="AQ907">
        <v>275.9446342596666</v>
      </c>
      <c r="AR907">
        <v>38.435460941956507</v>
      </c>
      <c r="AS907">
        <v>361.89656952557755</v>
      </c>
      <c r="AT907">
        <v>30.435134641732194</v>
      </c>
      <c r="AU907">
        <v>27.383684720897513</v>
      </c>
      <c r="AV907"/>
      <c r="AW907"/>
      <c r="FY907" s="211">
        <v>902</v>
      </c>
      <c r="FZ907">
        <v>60.613930795106299</v>
      </c>
      <c r="GA907">
        <v>98.761156575699005</v>
      </c>
      <c r="GB907">
        <v>35.830333174563407</v>
      </c>
      <c r="GC907">
        <v>12.341819085606012</v>
      </c>
      <c r="GD907">
        <v>7.0612551416253835</v>
      </c>
      <c r="GE907">
        <v>10.33798783284594</v>
      </c>
      <c r="GF907">
        <v>19.430400204938625</v>
      </c>
      <c r="GG907">
        <v>13.50814928771873</v>
      </c>
      <c r="GH907">
        <v>7.7305748091016557</v>
      </c>
      <c r="GI907">
        <v>27.200023091634399</v>
      </c>
      <c r="GJ907"/>
      <c r="GK907">
        <v>66.293078341291704</v>
      </c>
      <c r="GL907">
        <v>91.953714487237448</v>
      </c>
      <c r="GM907">
        <v>63.475888688068167</v>
      </c>
      <c r="GN907">
        <v>40.736197325046248</v>
      </c>
      <c r="GO907">
        <v>30.700170500920112</v>
      </c>
      <c r="GP907">
        <v>22.181449975022055</v>
      </c>
      <c r="GQ907">
        <v>26.178919956970475</v>
      </c>
      <c r="GR907">
        <v>20.317967727797978</v>
      </c>
      <c r="GS907">
        <v>9.3451984935414352</v>
      </c>
      <c r="GT907">
        <v>39.198651196158373</v>
      </c>
      <c r="GU907"/>
      <c r="GV907"/>
      <c r="GW907"/>
      <c r="GX907"/>
      <c r="GY907"/>
      <c r="GZ907"/>
      <c r="HA907"/>
      <c r="HB907"/>
      <c r="HC907"/>
    </row>
    <row r="908" spans="1:211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50.546741452991455</v>
      </c>
      <c r="AO908">
        <v>37.548866075730942</v>
      </c>
      <c r="AP908">
        <v>23.53581586092664</v>
      </c>
      <c r="AQ908">
        <v>246.79522244566343</v>
      </c>
      <c r="AR908">
        <v>35.798205312219032</v>
      </c>
      <c r="AS908">
        <v>336.32994934207227</v>
      </c>
      <c r="AT908">
        <v>28.735065419699186</v>
      </c>
      <c r="AU908">
        <v>30.77373516451113</v>
      </c>
      <c r="AV908"/>
      <c r="AW908"/>
      <c r="FY908" s="211">
        <v>903</v>
      </c>
      <c r="FZ908">
        <v>53.527452118435981</v>
      </c>
      <c r="GA908">
        <v>65.25739873055231</v>
      </c>
      <c r="GB908">
        <v>23.579447013590695</v>
      </c>
      <c r="GC908">
        <v>10.949882189267814</v>
      </c>
      <c r="GD908">
        <v>5.8059078297977376</v>
      </c>
      <c r="GE908">
        <v>7.3449208947907225</v>
      </c>
      <c r="GF908">
        <v>21.240740522540325</v>
      </c>
      <c r="GG908">
        <v>15.822482557292918</v>
      </c>
      <c r="GH908">
        <v>7.7305748091016531</v>
      </c>
      <c r="GI908">
        <v>22.741774890877956</v>
      </c>
      <c r="GJ908"/>
      <c r="GK908">
        <v>55.35120829761982</v>
      </c>
      <c r="GL908">
        <v>57.671769935057334</v>
      </c>
      <c r="GM908">
        <v>41.77260497882942</v>
      </c>
      <c r="GN908">
        <v>36.115808995555248</v>
      </c>
      <c r="GO908">
        <v>25.210885757034301</v>
      </c>
      <c r="GP908">
        <v>15.759449327330483</v>
      </c>
      <c r="GQ908">
        <v>28.618023308908928</v>
      </c>
      <c r="GR908">
        <v>23.799018142700429</v>
      </c>
      <c r="GS908">
        <v>9.3451984935414334</v>
      </c>
      <c r="GT908">
        <v>32.059584167186784</v>
      </c>
      <c r="GU908"/>
      <c r="GV908"/>
      <c r="GW908"/>
      <c r="GX908"/>
      <c r="GY908"/>
      <c r="GZ908"/>
      <c r="HA908"/>
      <c r="HB908"/>
      <c r="HC908"/>
    </row>
    <row r="909" spans="1:211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49.051923076923082</v>
      </c>
      <c r="AO909">
        <v>39.349666272586312</v>
      </c>
      <c r="AP909">
        <v>57.278762550236713</v>
      </c>
      <c r="AQ909">
        <v>269.70288614820117</v>
      </c>
      <c r="AR909">
        <v>38.166007480401433</v>
      </c>
      <c r="AS909">
        <v>358.32486332785982</v>
      </c>
      <c r="AT909">
        <v>28.979210325295227</v>
      </c>
      <c r="AU909">
        <v>28.45510011859778</v>
      </c>
      <c r="AV909"/>
      <c r="AW909"/>
      <c r="FY909" s="211">
        <v>904</v>
      </c>
      <c r="FZ909">
        <v>43.408686998647468</v>
      </c>
      <c r="GA909">
        <v>66.132457210422871</v>
      </c>
      <c r="GB909">
        <v>32.201183591689329</v>
      </c>
      <c r="GC909">
        <v>13.422185310562631</v>
      </c>
      <c r="GD909">
        <v>7.1276448584603083</v>
      </c>
      <c r="GE909">
        <v>14.250920896949326</v>
      </c>
      <c r="GF909">
        <v>26.170842067076986</v>
      </c>
      <c r="GG909">
        <v>18.679975675848805</v>
      </c>
      <c r="GH909">
        <v>11.916569765401425</v>
      </c>
      <c r="GI909">
        <v>25.753641535647361</v>
      </c>
      <c r="GJ909"/>
      <c r="GK909">
        <v>48.493302781694936</v>
      </c>
      <c r="GL909">
        <v>63.117829519708785</v>
      </c>
      <c r="GM909">
        <v>57.046601697278952</v>
      </c>
      <c r="GN909">
        <v>44.308316364118248</v>
      </c>
      <c r="GO909">
        <v>30.99343514604945</v>
      </c>
      <c r="GP909">
        <v>30.577138809289664</v>
      </c>
      <c r="GQ909">
        <v>35.26043583530442</v>
      </c>
      <c r="GR909">
        <v>28.097049777426928</v>
      </c>
      <c r="GS909">
        <v>14.03396027687943</v>
      </c>
      <c r="GT909">
        <v>37.165547147441437</v>
      </c>
      <c r="GU909"/>
      <c r="GV909"/>
      <c r="GW909"/>
      <c r="GX909"/>
      <c r="GY909"/>
      <c r="GZ909"/>
      <c r="HA909"/>
      <c r="HB909"/>
      <c r="HC909"/>
    </row>
    <row r="910" spans="1:211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44.506410256410255</v>
      </c>
      <c r="AO910">
        <v>35.217720074417301</v>
      </c>
      <c r="AP910">
        <v>26.531554547767666</v>
      </c>
      <c r="AQ910">
        <v>234.81412493230101</v>
      </c>
      <c r="AR910">
        <v>34.111764199744442</v>
      </c>
      <c r="AS910">
        <v>322.95311774828048</v>
      </c>
      <c r="AT910">
        <v>27.050709470048886</v>
      </c>
      <c r="AU910">
        <v>20.079521738666077</v>
      </c>
      <c r="AV910"/>
      <c r="AW910"/>
      <c r="FY910" s="211">
        <v>905</v>
      </c>
      <c r="FZ910">
        <v>41.465159919456212</v>
      </c>
      <c r="GA910">
        <v>56.542975709495501</v>
      </c>
      <c r="GB910">
        <v>26.667231741560904</v>
      </c>
      <c r="GC910">
        <v>11.489932480128459</v>
      </c>
      <c r="GD910">
        <v>5.8489330010492013</v>
      </c>
      <c r="GE910">
        <v>10.123196757728094</v>
      </c>
      <c r="GF910">
        <v>25.107486831980847</v>
      </c>
      <c r="GG910">
        <v>16.082254658979821</v>
      </c>
      <c r="GH910">
        <v>11.916569765401427</v>
      </c>
      <c r="GI910">
        <v>23.129498735916695</v>
      </c>
      <c r="GJ910"/>
      <c r="GK910">
        <v>44.683413172514861</v>
      </c>
      <c r="GL910">
        <v>52.306685651125022</v>
      </c>
      <c r="GM910">
        <v>47.242827059390414</v>
      </c>
      <c r="GN910">
        <v>37.926390603463751</v>
      </c>
      <c r="GO910">
        <v>25.428490605219007</v>
      </c>
      <c r="GP910">
        <v>21.720588774095674</v>
      </c>
      <c r="GQ910">
        <v>33.827758623728926</v>
      </c>
      <c r="GR910">
        <v>24.189748291311936</v>
      </c>
      <c r="GS910">
        <v>14.03396027687943</v>
      </c>
      <c r="GT910">
        <v>33.043289947546526</v>
      </c>
      <c r="GU910"/>
      <c r="GV910"/>
      <c r="GW910"/>
      <c r="GX910"/>
      <c r="GY910"/>
      <c r="GZ910"/>
      <c r="HA910"/>
      <c r="HB910"/>
      <c r="HC910"/>
    </row>
    <row r="911" spans="1:211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43.136431623931635</v>
      </c>
      <c r="AO911">
        <v>31.205561950571724</v>
      </c>
      <c r="AP911">
        <v>12.376718816415286</v>
      </c>
      <c r="AQ911">
        <v>212.78656483311192</v>
      </c>
      <c r="AR911">
        <v>30.220844991213617</v>
      </c>
      <c r="AS911">
        <v>285.32713448236757</v>
      </c>
      <c r="AT911">
        <v>24.079019564514478</v>
      </c>
      <c r="AU911">
        <v>37.171632879625065</v>
      </c>
      <c r="AV911"/>
      <c r="AW911"/>
      <c r="FY911" s="211">
        <v>906</v>
      </c>
      <c r="FZ911">
        <v>40.442400057075226</v>
      </c>
      <c r="GA911">
        <v>65.297017002618361</v>
      </c>
      <c r="GB911">
        <v>32.963104498591072</v>
      </c>
      <c r="GC911">
        <v>12.745657967651935</v>
      </c>
      <c r="GD911">
        <v>5.8623941692235828</v>
      </c>
      <c r="GE911">
        <v>10.197906696899517</v>
      </c>
      <c r="GF911">
        <v>28.394221195005287</v>
      </c>
      <c r="GG911">
        <v>21.017924591030887</v>
      </c>
      <c r="GH911">
        <v>11.218903939351465</v>
      </c>
      <c r="GI911">
        <v>25.09223960834931</v>
      </c>
      <c r="GJ911"/>
      <c r="GK911">
        <v>43.632476351949734</v>
      </c>
      <c r="GL911">
        <v>60.043142593632709</v>
      </c>
      <c r="GM911">
        <v>58.396396756118676</v>
      </c>
      <c r="GN911">
        <v>42.062333097920792</v>
      </c>
      <c r="GO911">
        <v>25.474062243232577</v>
      </c>
      <c r="GP911">
        <v>21.880888322243976</v>
      </c>
      <c r="GQ911">
        <v>38.256033641325914</v>
      </c>
      <c r="GR911">
        <v>31.613621114930417</v>
      </c>
      <c r="GS911">
        <v>13.252499979656431</v>
      </c>
      <c r="GT911">
        <v>35.802293794456666</v>
      </c>
      <c r="GU911"/>
      <c r="GV911"/>
      <c r="GW911"/>
      <c r="GX911"/>
      <c r="GY911"/>
      <c r="GZ911"/>
      <c r="HA911"/>
      <c r="HB911"/>
      <c r="HC911"/>
    </row>
    <row r="912" spans="1:211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49.607211538461534</v>
      </c>
      <c r="AO912">
        <v>38.850576277102235</v>
      </c>
      <c r="AP912">
        <v>36.403994378564896</v>
      </c>
      <c r="AQ912">
        <v>261.00274212769244</v>
      </c>
      <c r="AR912">
        <v>37.123661912960735</v>
      </c>
      <c r="AS912">
        <v>346.16542206304638</v>
      </c>
      <c r="AT912">
        <v>29.353102891157445</v>
      </c>
      <c r="AU912">
        <v>36.599101243742872</v>
      </c>
      <c r="AV912"/>
      <c r="AW912"/>
      <c r="FY912" s="211">
        <v>907</v>
      </c>
      <c r="FZ912">
        <v>33.306180024479467</v>
      </c>
      <c r="GA912">
        <v>47.307192846674106</v>
      </c>
      <c r="GB912">
        <v>23.14836018468576</v>
      </c>
      <c r="GC912">
        <v>13.942030073855582</v>
      </c>
      <c r="GD912">
        <v>7.9744740777075158</v>
      </c>
      <c r="GE912">
        <v>11.094425966956617</v>
      </c>
      <c r="GF912">
        <v>33.324322739541955</v>
      </c>
      <c r="GG912">
        <v>23.096101404526088</v>
      </c>
      <c r="GH912">
        <v>13.019319227028438</v>
      </c>
      <c r="GI912">
        <v>24.184969042938434</v>
      </c>
      <c r="GJ912"/>
      <c r="GK912">
        <v>34.448029909018572</v>
      </c>
      <c r="GL912">
        <v>41.808125901430458</v>
      </c>
      <c r="GM912">
        <v>41.00890514290694</v>
      </c>
      <c r="GN912">
        <v>46.048322187819352</v>
      </c>
      <c r="GO912">
        <v>34.704852174108581</v>
      </c>
      <c r="GP912">
        <v>23.804482900023668</v>
      </c>
      <c r="GQ912">
        <v>44.89844616772141</v>
      </c>
      <c r="GR912">
        <v>34.739462303822428</v>
      </c>
      <c r="GS912">
        <v>15.955285946802368</v>
      </c>
      <c r="GT912">
        <v>34.203103868111576</v>
      </c>
      <c r="GU912"/>
      <c r="GV912"/>
      <c r="GW912"/>
      <c r="GX912"/>
      <c r="GY912"/>
      <c r="GZ912"/>
      <c r="HA912"/>
      <c r="HB912"/>
      <c r="HC912"/>
    </row>
    <row r="913" spans="1:211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47.876869658119652</v>
      </c>
      <c r="AO913">
        <v>37.891582507755963</v>
      </c>
      <c r="AP913">
        <v>35.291489345366386</v>
      </c>
      <c r="AQ913">
        <v>252.91011274687665</v>
      </c>
      <c r="AR913">
        <v>36.820838324836238</v>
      </c>
      <c r="AS913">
        <v>335.97712836822245</v>
      </c>
      <c r="AT913">
        <v>28.794241796740156</v>
      </c>
      <c r="AU913">
        <v>12.624201738709125</v>
      </c>
      <c r="AV913"/>
      <c r="AW913"/>
      <c r="FY913" s="211">
        <v>908</v>
      </c>
      <c r="FZ913">
        <v>35.610302132910157</v>
      </c>
      <c r="GA913">
        <v>60.570891775648143</v>
      </c>
      <c r="GB913">
        <v>26.466726239744656</v>
      </c>
      <c r="GC913">
        <v>12.680752891222369</v>
      </c>
      <c r="GD913">
        <v>7.8284625068725262</v>
      </c>
      <c r="GE913">
        <v>10.380012173629865</v>
      </c>
      <c r="GF913">
        <v>24.334137570092743</v>
      </c>
      <c r="GG913">
        <v>19.199519879222603</v>
      </c>
      <c r="GH913">
        <v>10.870071026326482</v>
      </c>
      <c r="GI913">
        <v>23.182789629545304</v>
      </c>
      <c r="GJ913"/>
      <c r="GK913">
        <v>36.816230054919046</v>
      </c>
      <c r="GL913">
        <v>53.530030359775438</v>
      </c>
      <c r="GM913">
        <v>46.887617833379963</v>
      </c>
      <c r="GN913">
        <v>41.871002604300955</v>
      </c>
      <c r="GO913">
        <v>34.056399632070956</v>
      </c>
      <c r="GP913">
        <v>22.271618470855479</v>
      </c>
      <c r="GQ913">
        <v>32.785811560764927</v>
      </c>
      <c r="GR913">
        <v>28.878510074649924</v>
      </c>
      <c r="GS913">
        <v>12.861769831044928</v>
      </c>
      <c r="GT913">
        <v>32.681565782435968</v>
      </c>
      <c r="GU913"/>
      <c r="GV913"/>
      <c r="GW913"/>
      <c r="GX913"/>
      <c r="GY913"/>
      <c r="GZ913"/>
      <c r="HA913"/>
      <c r="HB913"/>
      <c r="HC913"/>
    </row>
    <row r="914" spans="1:211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47.859241452991448</v>
      </c>
      <c r="AO914">
        <v>36.963298308130874</v>
      </c>
      <c r="AP914">
        <v>15.817579035003902</v>
      </c>
      <c r="AQ914">
        <v>256.43518347508154</v>
      </c>
      <c r="AR914">
        <v>34.9527935207769</v>
      </c>
      <c r="AS914">
        <v>335.73681365677675</v>
      </c>
      <c r="AT914">
        <v>27.942222929005826</v>
      </c>
      <c r="AU914">
        <v>18.031982967884606</v>
      </c>
      <c r="AV914"/>
      <c r="AW914"/>
      <c r="FY914" s="211">
        <v>909</v>
      </c>
      <c r="FZ914">
        <v>32.774327048936073</v>
      </c>
      <c r="GA914">
        <v>40.67534338218708</v>
      </c>
      <c r="GB914">
        <v>17.423928107831895</v>
      </c>
      <c r="GC914">
        <v>11.474276998472304</v>
      </c>
      <c r="GD914">
        <v>8.3498032440935006</v>
      </c>
      <c r="GE914">
        <v>14.204227184967184</v>
      </c>
      <c r="GF914">
        <v>35.644370525206263</v>
      </c>
      <c r="GG914">
        <v>24.394961912960575</v>
      </c>
      <c r="GH914">
        <v>8.7208228256245235</v>
      </c>
      <c r="GI914">
        <v>22.612214973662365</v>
      </c>
      <c r="GJ914"/>
      <c r="GK914">
        <v>33.889788521018723</v>
      </c>
      <c r="GL914">
        <v>35.947173672257961</v>
      </c>
      <c r="GM914">
        <v>30.867681740308466</v>
      </c>
      <c r="GN914">
        <v>37.870842901895251</v>
      </c>
      <c r="GO914">
        <v>36.307922307449253</v>
      </c>
      <c r="GP914">
        <v>30.47695159169697</v>
      </c>
      <c r="GQ914">
        <v>48.024287356613407</v>
      </c>
      <c r="GR914">
        <v>36.693113046879922</v>
      </c>
      <c r="GS914">
        <v>9.7682537152874893</v>
      </c>
      <c r="GT914">
        <v>31.771586728135471</v>
      </c>
      <c r="GU914"/>
      <c r="GV914"/>
      <c r="GW914"/>
      <c r="GX914"/>
      <c r="GY914"/>
      <c r="GZ914"/>
      <c r="HA914"/>
      <c r="HB914"/>
      <c r="HC914"/>
    </row>
    <row r="915" spans="1:211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61.689636752136757</v>
      </c>
      <c r="AO915">
        <v>47.217781118507986</v>
      </c>
      <c r="AP915">
        <v>37.297575851991205</v>
      </c>
      <c r="AQ915">
        <v>340.42458070081847</v>
      </c>
      <c r="AR915">
        <v>44.585268827646161</v>
      </c>
      <c r="AS915">
        <v>419.00903455528794</v>
      </c>
      <c r="AT915">
        <v>35.325722260619621</v>
      </c>
      <c r="AU915">
        <v>39.119309071354664</v>
      </c>
      <c r="AV915"/>
      <c r="AW915"/>
      <c r="FY915" s="211">
        <v>910</v>
      </c>
      <c r="FZ915">
        <v>31.455017250092631</v>
      </c>
      <c r="GA915">
        <v>48.191439441939046</v>
      </c>
      <c r="GB915">
        <v>22.366388727602398</v>
      </c>
      <c r="GC915">
        <v>10.916575999156915</v>
      </c>
      <c r="GD915">
        <v>6.1766011827242639</v>
      </c>
      <c r="GE915">
        <v>7.3309127811960826</v>
      </c>
      <c r="GF915">
        <v>32.577337657036402</v>
      </c>
      <c r="GG915">
        <v>29.614019592306452</v>
      </c>
      <c r="GH915">
        <v>11.218903939351462</v>
      </c>
      <c r="GI915">
        <v>22.150382274632676</v>
      </c>
      <c r="GJ915"/>
      <c r="GK915">
        <v>32.518198420192569</v>
      </c>
      <c r="GL915">
        <v>42.589586198653464</v>
      </c>
      <c r="GM915">
        <v>39.623589161466171</v>
      </c>
      <c r="GN915">
        <v>36.044205108398685</v>
      </c>
      <c r="GO915">
        <v>26.867511373351693</v>
      </c>
      <c r="GP915">
        <v>15.729393162052677</v>
      </c>
      <c r="GQ915">
        <v>43.892020027358463</v>
      </c>
      <c r="GR915">
        <v>44.543236941710958</v>
      </c>
      <c r="GS915">
        <v>13.252499979656427</v>
      </c>
      <c r="GT915">
        <v>31.230763792405064</v>
      </c>
      <c r="GU915"/>
      <c r="GV915"/>
      <c r="GW915"/>
      <c r="GX915"/>
      <c r="GY915"/>
      <c r="GZ915"/>
      <c r="HA915"/>
      <c r="HB915"/>
      <c r="HC915"/>
    </row>
    <row r="916" spans="1:211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45.066880341880342</v>
      </c>
      <c r="AO916">
        <v>35.745838309112763</v>
      </c>
      <c r="AP916">
        <v>27.124419965360715</v>
      </c>
      <c r="AQ916">
        <v>235.170170082749</v>
      </c>
      <c r="AR916">
        <v>34.351922068243013</v>
      </c>
      <c r="AS916">
        <v>331.3969807023546</v>
      </c>
      <c r="AT916">
        <v>27.289260202080811</v>
      </c>
      <c r="AU916">
        <v>28.506429366561235</v>
      </c>
      <c r="AV916"/>
      <c r="AW916"/>
      <c r="FY916" s="211">
        <v>911</v>
      </c>
      <c r="FZ916">
        <v>41.779012128682282</v>
      </c>
      <c r="GA916">
        <v>64.059071769247453</v>
      </c>
      <c r="GB916">
        <v>24.922833875759551</v>
      </c>
      <c r="GC916">
        <v>10.851634434783112</v>
      </c>
      <c r="GD916">
        <v>8.4914672800768471</v>
      </c>
      <c r="GE916">
        <v>14.236912783354686</v>
      </c>
      <c r="GF916">
        <v>27.357230139291691</v>
      </c>
      <c r="GG916">
        <v>21.301312338325694</v>
      </c>
      <c r="GH916">
        <v>15.80998253122829</v>
      </c>
      <c r="GI916">
        <v>25.446157492132954</v>
      </c>
      <c r="GJ916"/>
      <c r="GK916">
        <v>45.010366489919747</v>
      </c>
      <c r="GL916">
        <v>58.949098177520511</v>
      </c>
      <c r="GM916">
        <v>44.152506793099462</v>
      </c>
      <c r="GN916">
        <v>35.829713383461609</v>
      </c>
      <c r="GO916">
        <v>36.941791498740493</v>
      </c>
      <c r="GP916">
        <v>30.547082644011859</v>
      </c>
      <c r="GQ916">
        <v>36.858877352351463</v>
      </c>
      <c r="GR916">
        <v>32.039872186142972</v>
      </c>
      <c r="GS916">
        <v>19.081127135694366</v>
      </c>
      <c r="GT916">
        <v>36.408933853961102</v>
      </c>
      <c r="GU916"/>
      <c r="GV916"/>
      <c r="GW916"/>
      <c r="GX916"/>
      <c r="GY916"/>
      <c r="GZ916"/>
      <c r="HA916"/>
      <c r="HB916"/>
      <c r="HC916"/>
    </row>
    <row r="917" spans="1:211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57.923317307692308</v>
      </c>
      <c r="AO917">
        <v>46.069594461992736</v>
      </c>
      <c r="AP917">
        <v>53.267430211430529</v>
      </c>
      <c r="AQ917">
        <v>344.59082373438054</v>
      </c>
      <c r="AR917">
        <v>44.467866014629664</v>
      </c>
      <c r="AS917">
        <v>413.66230713294971</v>
      </c>
      <c r="AT917">
        <v>34.17382578667673</v>
      </c>
      <c r="AU917">
        <v>44.798998721968744</v>
      </c>
      <c r="AV917"/>
      <c r="AW917"/>
      <c r="FY917" s="211">
        <v>912</v>
      </c>
      <c r="FZ917">
        <v>48.598870018332128</v>
      </c>
      <c r="GA917">
        <v>74.581606252900201</v>
      </c>
      <c r="GB917">
        <v>30.637240677522598</v>
      </c>
      <c r="GC917">
        <v>15.451680155233044</v>
      </c>
      <c r="GD917">
        <v>10.726529875572671</v>
      </c>
      <c r="GE917">
        <v>11.369918867651249</v>
      </c>
      <c r="GF917">
        <v>24.527474885564761</v>
      </c>
      <c r="GG917">
        <v>20.498380387657097</v>
      </c>
      <c r="GH917">
        <v>12.963068504476368</v>
      </c>
      <c r="GI917">
        <v>28.259900690284475</v>
      </c>
      <c r="GJ917"/>
      <c r="GK917">
        <v>52.061028382014371</v>
      </c>
      <c r="GL917">
        <v>68.24847571447421</v>
      </c>
      <c r="GM917">
        <v>54.2759697343974</v>
      </c>
      <c r="GN917">
        <v>51.034457848830215</v>
      </c>
      <c r="GO917">
        <v>46.681778640871336</v>
      </c>
      <c r="GP917">
        <v>24.395587483820552</v>
      </c>
      <c r="GQ917">
        <v>33.046298326505919</v>
      </c>
      <c r="GR917">
        <v>30.832160817707422</v>
      </c>
      <c r="GS917">
        <v>15.206150722713929</v>
      </c>
      <c r="GT917">
        <v>40.254245161300588</v>
      </c>
      <c r="GU917"/>
      <c r="GV917"/>
      <c r="GW917"/>
      <c r="GX917"/>
      <c r="GY917"/>
      <c r="GZ917"/>
      <c r="HA917"/>
      <c r="HB917"/>
      <c r="HC917"/>
    </row>
    <row r="918" spans="1:211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50.854166666666657</v>
      </c>
      <c r="AO918">
        <v>41.038123669205405</v>
      </c>
      <c r="AP918">
        <v>36.975577909040453</v>
      </c>
      <c r="AQ918">
        <v>292.81562999883948</v>
      </c>
      <c r="AR918">
        <v>39.198651196158394</v>
      </c>
      <c r="AS918">
        <v>398.79106183413501</v>
      </c>
      <c r="AT918">
        <v>30.415367088684039</v>
      </c>
      <c r="AU918">
        <v>23.934584731494169</v>
      </c>
      <c r="AV918"/>
      <c r="AW918"/>
      <c r="FY918" s="211">
        <v>913</v>
      </c>
      <c r="FZ918">
        <v>43.392017458913912</v>
      </c>
      <c r="GA918">
        <v>57.299179373167888</v>
      </c>
      <c r="GB918">
        <v>24.812555849760614</v>
      </c>
      <c r="GC918">
        <v>15.881641249901495</v>
      </c>
      <c r="GD918">
        <v>9.314991201339156</v>
      </c>
      <c r="GE918">
        <v>10.380012173629865</v>
      </c>
      <c r="GF918">
        <v>24.017767417502153</v>
      </c>
      <c r="GG918">
        <v>20.474764742049196</v>
      </c>
      <c r="GH918">
        <v>11.860319042849351</v>
      </c>
      <c r="GI918">
        <v>24.908930664356564</v>
      </c>
      <c r="GJ918"/>
      <c r="GK918">
        <v>44.865271116315938</v>
      </c>
      <c r="GL918">
        <v>50.638627260050349</v>
      </c>
      <c r="GM918">
        <v>43.957141718793707</v>
      </c>
      <c r="GN918">
        <v>52.443031042547993</v>
      </c>
      <c r="GO918">
        <v>40.525761509897251</v>
      </c>
      <c r="GP918">
        <v>22.271618470855479</v>
      </c>
      <c r="GQ918">
        <v>32.359560489552379</v>
      </c>
      <c r="GR918">
        <v>30.796639895106377</v>
      </c>
      <c r="GS918">
        <v>13.284825052790985</v>
      </c>
      <c r="GT918">
        <v>34.998511977470059</v>
      </c>
      <c r="GU918"/>
      <c r="GV918"/>
      <c r="GW918"/>
      <c r="GX918"/>
      <c r="GY918"/>
      <c r="GZ918"/>
      <c r="HA918"/>
      <c r="HB918"/>
      <c r="HC918"/>
    </row>
    <row r="919" spans="1:211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45.222329059829057</v>
      </c>
      <c r="AO919">
        <v>32.570355140376421</v>
      </c>
      <c r="AP919">
        <v>20.749059152794462</v>
      </c>
      <c r="AQ919">
        <v>234.00058155624816</v>
      </c>
      <c r="AR919">
        <v>32.059584167186784</v>
      </c>
      <c r="AS919">
        <v>297.11622388249623</v>
      </c>
      <c r="AT919">
        <v>25.202629415917826</v>
      </c>
      <c r="AU919">
        <v>45.037467328423389</v>
      </c>
      <c r="AV919"/>
      <c r="AW919"/>
      <c r="FY919" s="211">
        <v>914</v>
      </c>
      <c r="FZ919">
        <v>44.443585135514581</v>
      </c>
      <c r="GA919">
        <v>81.655579015019697</v>
      </c>
      <c r="GB919">
        <v>35.389221070567658</v>
      </c>
      <c r="GC919">
        <v>13.619353966729381</v>
      </c>
      <c r="GD919">
        <v>7.9547265704879218</v>
      </c>
      <c r="GE919">
        <v>11.276531443686967</v>
      </c>
      <c r="GF919">
        <v>27.524203275381172</v>
      </c>
      <c r="GG919">
        <v>20.758152489343992</v>
      </c>
      <c r="GH919">
        <v>10.521238113301502</v>
      </c>
      <c r="GI919">
        <v>27.312372003031143</v>
      </c>
      <c r="GJ919"/>
      <c r="GK919">
        <v>47.762996747287858</v>
      </c>
      <c r="GL919">
        <v>74.500158092258189</v>
      </c>
      <c r="GM919">
        <v>62.694428390845161</v>
      </c>
      <c r="GN919">
        <v>44.959533278470744</v>
      </c>
      <c r="GO919">
        <v>34.592888636288727</v>
      </c>
      <c r="GP919">
        <v>24.195213048635168</v>
      </c>
      <c r="GQ919">
        <v>37.083843195491418</v>
      </c>
      <c r="GR919">
        <v>31.222890966318921</v>
      </c>
      <c r="GS919">
        <v>12.471039682433432</v>
      </c>
      <c r="GT919">
        <v>38.92103933046932</v>
      </c>
      <c r="GU919"/>
      <c r="GV919"/>
      <c r="GW919"/>
      <c r="GX919"/>
      <c r="GY919"/>
      <c r="GZ919"/>
      <c r="HA919"/>
      <c r="HB919"/>
      <c r="HC919"/>
    </row>
    <row r="920" spans="1:211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48.083547008547001</v>
      </c>
      <c r="AO920">
        <v>38.909361735519226</v>
      </c>
      <c r="AP920">
        <v>45.114917159204509</v>
      </c>
      <c r="AQ920">
        <v>259.06410791070653</v>
      </c>
      <c r="AR920">
        <v>37.16554714744143</v>
      </c>
      <c r="AS920">
        <v>346.0637199779448</v>
      </c>
      <c r="AT920">
        <v>28.715952153814118</v>
      </c>
      <c r="AU920">
        <v>21.499770157912479</v>
      </c>
      <c r="AV920"/>
      <c r="AW920"/>
      <c r="FY920" s="211">
        <v>915</v>
      </c>
      <c r="FZ920">
        <v>47.445798298352997</v>
      </c>
      <c r="GA920">
        <v>72.331371492671835</v>
      </c>
      <c r="GB920">
        <v>27.669759250642137</v>
      </c>
      <c r="GC920">
        <v>15.207143576208489</v>
      </c>
      <c r="GD920">
        <v>9.5252049046067366</v>
      </c>
      <c r="GE920">
        <v>10.562117650360214</v>
      </c>
      <c r="GF920">
        <v>29.844251061045487</v>
      </c>
      <c r="GG920">
        <v>19.978836184283296</v>
      </c>
      <c r="GH920">
        <v>8.3719899125995436</v>
      </c>
      <c r="GI920">
        <v>26.917767817291846</v>
      </c>
      <c r="GJ920"/>
      <c r="GK920">
        <v>49.075706665604358</v>
      </c>
      <c r="GL920">
        <v>63.923452312841349</v>
      </c>
      <c r="GM920">
        <v>49.018873189442679</v>
      </c>
      <c r="GN920">
        <v>50.222952050880487</v>
      </c>
      <c r="GO920">
        <v>41.44928416842226</v>
      </c>
      <c r="GP920">
        <v>22.662348619466975</v>
      </c>
      <c r="GQ920">
        <v>40.209684384383415</v>
      </c>
      <c r="GR920">
        <v>30.050700520484423</v>
      </c>
      <c r="GS920">
        <v>9.3775235666759915</v>
      </c>
      <c r="GT920">
        <v>37.82621439490574</v>
      </c>
      <c r="GU920"/>
      <c r="GV920"/>
      <c r="GW920"/>
      <c r="GX920"/>
      <c r="GY920"/>
      <c r="GZ920"/>
      <c r="HA920"/>
      <c r="HB920"/>
      <c r="HC920"/>
    </row>
    <row r="921" spans="1:211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42.989797008547008</v>
      </c>
      <c r="AO921">
        <v>33.440315300527558</v>
      </c>
      <c r="AP921">
        <v>26.601038674161742</v>
      </c>
      <c r="AQ921">
        <v>228.37323960169715</v>
      </c>
      <c r="AR921">
        <v>33.043289947546498</v>
      </c>
      <c r="AS921">
        <v>313.27289870127453</v>
      </c>
      <c r="AT921">
        <v>25.913725487989534</v>
      </c>
      <c r="AU921">
        <v>29.903869393835908</v>
      </c>
      <c r="AV921"/>
      <c r="AW921"/>
      <c r="FY921" s="211">
        <v>916</v>
      </c>
      <c r="FZ921">
        <v>51.556994425714812</v>
      </c>
      <c r="GA921">
        <v>95.803524539258689</v>
      </c>
      <c r="GB921">
        <v>30.536987926614472</v>
      </c>
      <c r="GC921">
        <v>12.517038422468598</v>
      </c>
      <c r="GD921">
        <v>9.099573086781513</v>
      </c>
      <c r="GE921">
        <v>9.1659756620942101</v>
      </c>
      <c r="GF921">
        <v>31.944597351855215</v>
      </c>
      <c r="GG921">
        <v>25.670206775787165</v>
      </c>
      <c r="GH921">
        <v>11.275154661903537</v>
      </c>
      <c r="GI921">
        <v>28.835764442996673</v>
      </c>
      <c r="GJ921"/>
      <c r="GK921">
        <v>55.123092739699743</v>
      </c>
      <c r="GL921">
        <v>87.00352284782619</v>
      </c>
      <c r="GM921">
        <v>54.09836512139217</v>
      </c>
      <c r="GN921">
        <v>41.341799943180831</v>
      </c>
      <c r="GO921">
        <v>39.601274735729611</v>
      </c>
      <c r="GP921">
        <v>19.666750813445482</v>
      </c>
      <c r="GQ921">
        <v>43.03951788493336</v>
      </c>
      <c r="GR921">
        <v>38.611242867336365</v>
      </c>
      <c r="GS921">
        <v>14.001635203744872</v>
      </c>
      <c r="GT921">
        <v>41.172777137099963</v>
      </c>
      <c r="GU921"/>
      <c r="GV921"/>
      <c r="GW921"/>
      <c r="GX921"/>
      <c r="GY921"/>
      <c r="GZ921"/>
      <c r="HA921"/>
      <c r="HB921"/>
      <c r="HC921"/>
    </row>
    <row r="922" spans="1:211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47.761217948717956</v>
      </c>
      <c r="AO922">
        <v>37.041374789546786</v>
      </c>
      <c r="AP922">
        <v>21.652344039129662</v>
      </c>
      <c r="AQ922">
        <v>253.23176972579662</v>
      </c>
      <c r="AR922">
        <v>35.802293794456673</v>
      </c>
      <c r="AS922">
        <v>337.25347582568406</v>
      </c>
      <c r="AT922">
        <v>28.465602532142672</v>
      </c>
      <c r="AU922">
        <v>14.069034535269131</v>
      </c>
      <c r="AV922"/>
      <c r="AW922"/>
      <c r="FY922" s="211">
        <v>917</v>
      </c>
      <c r="FZ922">
        <v>47.250119672238938</v>
      </c>
      <c r="GA922">
        <v>75.85916975833716</v>
      </c>
      <c r="GB922">
        <v>30.877847279702106</v>
      </c>
      <c r="GC922">
        <v>14.519798720559532</v>
      </c>
      <c r="GD922">
        <v>8.3194376324840569</v>
      </c>
      <c r="GE922">
        <v>10.912320490226268</v>
      </c>
      <c r="GF922">
        <v>31.267916747703129</v>
      </c>
      <c r="GG922">
        <v>24.371346267352674</v>
      </c>
      <c r="GH922">
        <v>11.218903939351462</v>
      </c>
      <c r="GI922">
        <v>27.591150423474637</v>
      </c>
      <c r="GJ922"/>
      <c r="GK922">
        <v>52.464381099016542</v>
      </c>
      <c r="GL922">
        <v>71.713892789161775</v>
      </c>
      <c r="GM922">
        <v>54.702220805609961</v>
      </c>
      <c r="GN922">
        <v>47.945080369079726</v>
      </c>
      <c r="GO922">
        <v>36.193119745456919</v>
      </c>
      <c r="GP922">
        <v>23.413752751412169</v>
      </c>
      <c r="GQ922">
        <v>42.127814204839865</v>
      </c>
      <c r="GR922">
        <v>36.657592124278871</v>
      </c>
      <c r="GS922">
        <v>13.252499979656427</v>
      </c>
      <c r="GT922">
        <v>39.74800716691594</v>
      </c>
      <c r="GU922"/>
      <c r="GV922"/>
      <c r="GW922"/>
      <c r="GX922"/>
      <c r="GY922"/>
      <c r="GZ922"/>
      <c r="HA922"/>
      <c r="HB922"/>
      <c r="HC922"/>
    </row>
    <row r="923" spans="1:211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46.370058760683762</v>
      </c>
      <c r="AO923">
        <v>35.161901650176532</v>
      </c>
      <c r="AP923">
        <v>8.7089987083966047</v>
      </c>
      <c r="AQ923">
        <v>230.39737558839394</v>
      </c>
      <c r="AR923">
        <v>34.203103868111576</v>
      </c>
      <c r="AS923">
        <v>319.27456661306496</v>
      </c>
      <c r="AT923">
        <v>28.021074400940776</v>
      </c>
      <c r="AU923">
        <v>23.825433451254511</v>
      </c>
      <c r="AV923"/>
      <c r="AW923"/>
      <c r="FY923" s="211">
        <v>918</v>
      </c>
      <c r="FZ923">
        <v>34.45674181073877</v>
      </c>
      <c r="GA923">
        <v>50.490480589627879</v>
      </c>
      <c r="GB923">
        <v>18.747264419819128</v>
      </c>
      <c r="GC923">
        <v>9.6907705105063027</v>
      </c>
      <c r="GD923">
        <v>9.1433129850137433</v>
      </c>
      <c r="GE923">
        <v>12.247760652915492</v>
      </c>
      <c r="GF923">
        <v>22.13712262154699</v>
      </c>
      <c r="GG923">
        <v>20.521996033264994</v>
      </c>
      <c r="GH923">
        <v>17.846729286826097</v>
      </c>
      <c r="GI923">
        <v>22.573093627736366</v>
      </c>
      <c r="GJ923"/>
      <c r="GK923">
        <v>35.626520391996934</v>
      </c>
      <c r="GL923">
        <v>44.621382971433256</v>
      </c>
      <c r="GM923">
        <v>33.212062631977467</v>
      </c>
      <c r="GN923">
        <v>32.007083642203547</v>
      </c>
      <c r="GO923">
        <v>39.791630449155726</v>
      </c>
      <c r="GP923">
        <v>26.279107174563165</v>
      </c>
      <c r="GQ923">
        <v>29.825734677344471</v>
      </c>
      <c r="GR923">
        <v>30.867681740308466</v>
      </c>
      <c r="GS923">
        <v>20.676372803274919</v>
      </c>
      <c r="GT923">
        <v>31.82646419074991</v>
      </c>
      <c r="GU923"/>
      <c r="GV923"/>
      <c r="GW923"/>
      <c r="GX923"/>
      <c r="GY923"/>
      <c r="GZ923"/>
      <c r="HA923"/>
      <c r="HB923"/>
      <c r="HC923"/>
    </row>
    <row r="924" spans="1:211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46.542467948717942</v>
      </c>
      <c r="AO924">
        <v>34.264055620419754</v>
      </c>
      <c r="AP924">
        <v>21.799293798378464</v>
      </c>
      <c r="AQ924">
        <v>231.12366582521486</v>
      </c>
      <c r="AR924">
        <v>32.681565782435975</v>
      </c>
      <c r="AS924">
        <v>312.64713831438547</v>
      </c>
      <c r="AT924">
        <v>26.241000123308613</v>
      </c>
      <c r="AU924">
        <v>38.074703047908613</v>
      </c>
      <c r="AV924"/>
      <c r="AW924"/>
      <c r="FY924" s="211">
        <v>919</v>
      </c>
      <c r="FZ924">
        <v>35.194945880305625</v>
      </c>
      <c r="GA924">
        <v>59.686645180383223</v>
      </c>
      <c r="GB924">
        <v>29.765041744621925</v>
      </c>
      <c r="GC924">
        <v>10.30915299681544</v>
      </c>
      <c r="GD924">
        <v>6.1166913172372643</v>
      </c>
      <c r="GE924">
        <v>9.5161785019602654</v>
      </c>
      <c r="GF924">
        <v>20.660728576124242</v>
      </c>
      <c r="GG924">
        <v>19.978836184283296</v>
      </c>
      <c r="GH924">
        <v>14.763483792153345</v>
      </c>
      <c r="GI924">
        <v>22.824949935726096</v>
      </c>
      <c r="GJ924"/>
      <c r="GK924">
        <v>36.401680652076074</v>
      </c>
      <c r="GL924">
        <v>52.748570062552446</v>
      </c>
      <c r="GM924">
        <v>52.730809601251934</v>
      </c>
      <c r="GN924">
        <v>33.999581722131431</v>
      </c>
      <c r="GO924">
        <v>26.563413194535649</v>
      </c>
      <c r="GP924">
        <v>20.418154945390672</v>
      </c>
      <c r="GQ924">
        <v>27.836563011685925</v>
      </c>
      <c r="GR924">
        <v>30.050700520484423</v>
      </c>
      <c r="GS924">
        <v>17.908936689859864</v>
      </c>
      <c r="GT924">
        <v>32.288280629881896</v>
      </c>
      <c r="GU924"/>
      <c r="GV924"/>
      <c r="GW924"/>
      <c r="GX924"/>
      <c r="GY924"/>
      <c r="GZ924"/>
      <c r="HA924"/>
      <c r="HB924"/>
      <c r="HC924"/>
    </row>
    <row r="925" spans="1:211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45.456997863247864</v>
      </c>
      <c r="AO925">
        <v>33.161760158154287</v>
      </c>
      <c r="AP925">
        <v>10.141147292210128</v>
      </c>
      <c r="AQ925">
        <v>216.27427620394175</v>
      </c>
      <c r="AR925">
        <v>31.771586728135464</v>
      </c>
      <c r="AS925">
        <v>317.32038958549737</v>
      </c>
      <c r="AT925">
        <v>25.548729099963751</v>
      </c>
      <c r="AU925">
        <v>33.822405709817943</v>
      </c>
      <c r="AV925"/>
      <c r="AW925"/>
      <c r="FY925" s="211">
        <v>920</v>
      </c>
      <c r="FZ925">
        <v>44.283832730666703</v>
      </c>
      <c r="GA925">
        <v>47.169961799687172</v>
      </c>
      <c r="GB925">
        <v>19.298654549813808</v>
      </c>
      <c r="GC925">
        <v>10.239472810233506</v>
      </c>
      <c r="GD925">
        <v>6.732749832711427</v>
      </c>
      <c r="GE925">
        <v>14.129517245795761</v>
      </c>
      <c r="GF925">
        <v>23.103809198907122</v>
      </c>
      <c r="GG925">
        <v>11.689744575910442</v>
      </c>
      <c r="GH925">
        <v>5.9301595214246756</v>
      </c>
      <c r="GI925">
        <v>20.873369341731539</v>
      </c>
      <c r="GJ925"/>
      <c r="GK925">
        <v>47.603554669271333</v>
      </c>
      <c r="GL925">
        <v>44.02320650056123</v>
      </c>
      <c r="GM925">
        <v>34.188888003506214</v>
      </c>
      <c r="GN925">
        <v>33.78095943554866</v>
      </c>
      <c r="GO925">
        <v>29.257506561238607</v>
      </c>
      <c r="GP925">
        <v>30.316652043548661</v>
      </c>
      <c r="GQ925">
        <v>31.128168506049469</v>
      </c>
      <c r="GR925">
        <v>17.582856687517484</v>
      </c>
      <c r="GS925">
        <v>6.6424125263954927</v>
      </c>
      <c r="GT925">
        <v>29.764106053292227</v>
      </c>
      <c r="GU925"/>
      <c r="GV925"/>
      <c r="GW925"/>
      <c r="GX925"/>
      <c r="GY925"/>
      <c r="GZ925"/>
      <c r="HA925"/>
      <c r="HB925"/>
      <c r="HC925"/>
    </row>
    <row r="926" spans="1:211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44.363114316239319</v>
      </c>
      <c r="AO926">
        <v>32.629100416524622</v>
      </c>
      <c r="AP926">
        <v>19.426972515962181</v>
      </c>
      <c r="AQ926">
        <v>221.99757884603832</v>
      </c>
      <c r="AR926">
        <v>31.230763792405039</v>
      </c>
      <c r="AS926">
        <v>309.73129615998454</v>
      </c>
      <c r="AT926">
        <v>25.050818415276975</v>
      </c>
      <c r="AU926">
        <v>32.552416039021878</v>
      </c>
      <c r="AV926"/>
      <c r="AW926"/>
      <c r="FY926" s="211">
        <v>921</v>
      </c>
      <c r="FZ926">
        <v>42.767311576373849</v>
      </c>
      <c r="GA926">
        <v>60.659316435174652</v>
      </c>
      <c r="GB926">
        <v>23.589472288681502</v>
      </c>
      <c r="GC926">
        <v>14.870640917699163</v>
      </c>
      <c r="GD926">
        <v>10.65465144853238</v>
      </c>
      <c r="GE926">
        <v>11.701444222724447</v>
      </c>
      <c r="GF926">
        <v>31.021851073466006</v>
      </c>
      <c r="GG926">
        <v>26.921835993005864</v>
      </c>
      <c r="GH926">
        <v>17.261564905880284</v>
      </c>
      <c r="GI926">
        <v>27.603597529940906</v>
      </c>
      <c r="GJ926"/>
      <c r="GK926">
        <v>44.222583661449931</v>
      </c>
      <c r="GL926">
        <v>53.608176389497743</v>
      </c>
      <c r="GM926">
        <v>41.790365440129932</v>
      </c>
      <c r="GN926">
        <v>49.107696825047462</v>
      </c>
      <c r="GO926">
        <v>46.360290080789682</v>
      </c>
      <c r="GP926">
        <v>25.106916728728667</v>
      </c>
      <c r="GQ926">
        <v>41.796285593896776</v>
      </c>
      <c r="GR926">
        <v>40.493851765191778</v>
      </c>
      <c r="GS926">
        <v>21.393182954228809</v>
      </c>
      <c r="GT926">
        <v>39.112541546099024</v>
      </c>
      <c r="GU926"/>
      <c r="GV926"/>
      <c r="GW926"/>
      <c r="GX926"/>
      <c r="GY926"/>
      <c r="GZ926"/>
      <c r="HA926"/>
      <c r="HB926"/>
      <c r="HC926"/>
    </row>
    <row r="927" spans="1:211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47.77264957264957</v>
      </c>
      <c r="AO927">
        <v>37.581936951490363</v>
      </c>
      <c r="AP927">
        <v>30.206525379183649</v>
      </c>
      <c r="AQ927">
        <v>254.25561477288255</v>
      </c>
      <c r="AR927">
        <v>36.408933853961116</v>
      </c>
      <c r="AS927">
        <v>346.0382509302687</v>
      </c>
      <c r="AT927">
        <v>28.835048254016701</v>
      </c>
      <c r="AU927">
        <v>31.868846250044431</v>
      </c>
      <c r="AV927"/>
      <c r="AW927"/>
      <c r="FY927" s="211">
        <v>922</v>
      </c>
      <c r="FZ927">
        <v>29.624499755735901</v>
      </c>
      <c r="GA927">
        <v>75.603083895152068</v>
      </c>
      <c r="GB927">
        <v>35.489473821475784</v>
      </c>
      <c r="GC927">
        <v>13.111064767662702</v>
      </c>
      <c r="GD927">
        <v>8.4258673073282626</v>
      </c>
      <c r="GE927">
        <v>10.001793106574524</v>
      </c>
      <c r="GF927">
        <v>14.210292687193919</v>
      </c>
      <c r="GG927">
        <v>10.910428270849746</v>
      </c>
      <c r="GH927">
        <v>10.870071026326483</v>
      </c>
      <c r="GI927">
        <v>23.004113665607932</v>
      </c>
      <c r="GJ927"/>
      <c r="GK927">
        <v>30.636393669713502</v>
      </c>
      <c r="GL927">
        <v>66.81485541256643</v>
      </c>
      <c r="GM927">
        <v>62.872033003850397</v>
      </c>
      <c r="GN927">
        <v>43.284574494347289</v>
      </c>
      <c r="GO927">
        <v>36.647626725275032</v>
      </c>
      <c r="GP927">
        <v>21.460102008354667</v>
      </c>
      <c r="GQ927">
        <v>19.145777281963483</v>
      </c>
      <c r="GR927">
        <v>16.410666241682986</v>
      </c>
      <c r="GS927">
        <v>12.861769831044931</v>
      </c>
      <c r="GT927">
        <v>32.432720102369473</v>
      </c>
      <c r="GU927"/>
      <c r="GV927"/>
      <c r="GW927"/>
      <c r="GX927"/>
      <c r="GY927"/>
      <c r="GZ927"/>
      <c r="HA927"/>
      <c r="HB927"/>
      <c r="HC927"/>
    </row>
    <row r="928" spans="1:211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53.297275641025635</v>
      </c>
      <c r="AO928">
        <v>41.603615283263593</v>
      </c>
      <c r="AP928">
        <v>24.877290282477944</v>
      </c>
      <c r="AQ928">
        <v>277.61467031519464</v>
      </c>
      <c r="AR928">
        <v>40.254245161300624</v>
      </c>
      <c r="AS928">
        <v>379.72302157029998</v>
      </c>
      <c r="AT928">
        <v>32.22845563026393</v>
      </c>
      <c r="AU928">
        <v>38.379105922524026</v>
      </c>
      <c r="AV928"/>
      <c r="AW928"/>
      <c r="FY928" s="211">
        <v>923</v>
      </c>
      <c r="FZ928">
        <v>29.075344507428888</v>
      </c>
      <c r="GA928">
        <v>46.776644889515154</v>
      </c>
      <c r="GB928">
        <v>25.915336109749976</v>
      </c>
      <c r="GC928">
        <v>17.292068298417338</v>
      </c>
      <c r="GD928">
        <v>9.9299282906591273</v>
      </c>
      <c r="GE928">
        <v>10.790916839072706</v>
      </c>
      <c r="GF928">
        <v>34.528286931345022</v>
      </c>
      <c r="GG928">
        <v>24.087958520057871</v>
      </c>
      <c r="GH928">
        <v>9.0696557386495034</v>
      </c>
      <c r="GI928">
        <v>25.029133855925522</v>
      </c>
      <c r="GJ928"/>
      <c r="GK928">
        <v>30.071852244569786</v>
      </c>
      <c r="GL928">
        <v>41.339249723096664</v>
      </c>
      <c r="GM928">
        <v>45.910792461851209</v>
      </c>
      <c r="GN928">
        <v>57.089928346727753</v>
      </c>
      <c r="GO928">
        <v>43.188951905741717</v>
      </c>
      <c r="GP928">
        <v>23.153265985671172</v>
      </c>
      <c r="GQ928">
        <v>46.520568299835816</v>
      </c>
      <c r="GR928">
        <v>36.231341053066323</v>
      </c>
      <c r="GS928">
        <v>10.158983863898989</v>
      </c>
      <c r="GT928">
        <v>35.170229755179506</v>
      </c>
      <c r="GU928"/>
      <c r="GV928"/>
      <c r="GW928"/>
      <c r="GX928"/>
      <c r="GY928"/>
      <c r="GZ928"/>
      <c r="HA928"/>
      <c r="HB928"/>
      <c r="HC928"/>
    </row>
    <row r="929" spans="1:211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49.982345085470087</v>
      </c>
      <c r="AO929">
        <v>36.614098853338056</v>
      </c>
      <c r="AP929">
        <v>15.966976346110449</v>
      </c>
      <c r="AQ929">
        <v>242.34217917347019</v>
      </c>
      <c r="AR929">
        <v>34.998511977470081</v>
      </c>
      <c r="AS929">
        <v>335.44690082710883</v>
      </c>
      <c r="AT929">
        <v>28.294882700408071</v>
      </c>
      <c r="AU929">
        <v>38.788961212880864</v>
      </c>
      <c r="AV929"/>
      <c r="AW929"/>
      <c r="FY929" s="211">
        <v>924</v>
      </c>
      <c r="FZ929">
        <v>46.050449263084253</v>
      </c>
      <c r="GA929">
        <v>82.981948907917086</v>
      </c>
      <c r="GB929">
        <v>34.406744111668047</v>
      </c>
      <c r="GC929">
        <v>13.34168761124244</v>
      </c>
      <c r="GD929">
        <v>7.7843514281733999</v>
      </c>
      <c r="GE929">
        <v>9.6375821531138293</v>
      </c>
      <c r="GF929">
        <v>19.114030052348038</v>
      </c>
      <c r="GG929">
        <v>15.562710455606021</v>
      </c>
      <c r="GH929">
        <v>9.4184886516744868</v>
      </c>
      <c r="GI929">
        <v>25.388701327085194</v>
      </c>
      <c r="GJ929"/>
      <c r="GK929">
        <v>49.421582588543785</v>
      </c>
      <c r="GL929">
        <v>75.672348538092692</v>
      </c>
      <c r="GM929">
        <v>60.95390318339394</v>
      </c>
      <c r="GN929">
        <v>44.057805661932171</v>
      </c>
      <c r="GO929">
        <v>33.868765632755377</v>
      </c>
      <c r="GP929">
        <v>20.678641711131672</v>
      </c>
      <c r="GQ929">
        <v>25.752668885757931</v>
      </c>
      <c r="GR929">
        <v>23.408287994088933</v>
      </c>
      <c r="GS929">
        <v>10.54971401251049</v>
      </c>
      <c r="GT929">
        <v>36.109326860592297</v>
      </c>
      <c r="GU929"/>
      <c r="GV929"/>
      <c r="GW929"/>
      <c r="GX929"/>
      <c r="GY929"/>
      <c r="GZ929"/>
      <c r="HA929"/>
      <c r="HB929"/>
      <c r="HC929"/>
    </row>
    <row r="930" spans="1:211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52.911324786324784</v>
      </c>
      <c r="AO930">
        <v>40.840403136849901</v>
      </c>
      <c r="AP930">
        <v>27.61150330294582</v>
      </c>
      <c r="AQ930">
        <v>280.45496308306406</v>
      </c>
      <c r="AR930">
        <v>38.921039330469341</v>
      </c>
      <c r="AS930">
        <v>364.26033436947296</v>
      </c>
      <c r="AT930">
        <v>30.776116834184133</v>
      </c>
      <c r="AU930">
        <v>24.290793146720258</v>
      </c>
      <c r="AV930"/>
      <c r="AW930"/>
      <c r="FY930" s="211">
        <v>925</v>
      </c>
      <c r="FZ930">
        <v>57.295844091514255</v>
      </c>
      <c r="GA930">
        <v>80.594483100701751</v>
      </c>
      <c r="GB930">
        <v>29.855269220439236</v>
      </c>
      <c r="GC930">
        <v>13.797093680285817</v>
      </c>
      <c r="GD930">
        <v>7.2895144636817406</v>
      </c>
      <c r="GE930">
        <v>7.6951237346567787</v>
      </c>
      <c r="GF930">
        <v>23.587152487587186</v>
      </c>
      <c r="GG930">
        <v>18.443819219769807</v>
      </c>
      <c r="GH930">
        <v>10.926321748878555</v>
      </c>
      <c r="GI930">
        <v>26.727971224104198</v>
      </c>
      <c r="GJ930"/>
      <c r="GK930">
        <v>61.050971818650794</v>
      </c>
      <c r="GL930">
        <v>73.562405735590588</v>
      </c>
      <c r="GM930">
        <v>52.890653752956631</v>
      </c>
      <c r="GN930">
        <v>45.554259704714291</v>
      </c>
      <c r="GO930">
        <v>31.706564647629804</v>
      </c>
      <c r="GP930">
        <v>16.510853459275676</v>
      </c>
      <c r="GQ930">
        <v>31.779385420401972</v>
      </c>
      <c r="GR930">
        <v>27.741840551416477</v>
      </c>
      <c r="GS930">
        <v>13.610905055133372</v>
      </c>
      <c r="GT930">
        <v>38.207696138954525</v>
      </c>
      <c r="GU930"/>
      <c r="GV930"/>
      <c r="GW930"/>
      <c r="GX930"/>
      <c r="GY930"/>
      <c r="GZ930"/>
      <c r="HA930"/>
      <c r="HB930"/>
      <c r="HC930"/>
    </row>
    <row r="931" spans="1:211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52.6</v>
      </c>
      <c r="AO931">
        <v>39.381673987310769</v>
      </c>
      <c r="AP931">
        <v>0.43484702075687698</v>
      </c>
      <c r="AQ931">
        <v>267.85424014806262</v>
      </c>
      <c r="AR931">
        <v>37.826214394905776</v>
      </c>
      <c r="AS931">
        <v>387.31775668736594</v>
      </c>
      <c r="AT931">
        <v>31.448810774551706</v>
      </c>
      <c r="AU931">
        <v>31.445762783527389</v>
      </c>
      <c r="AV931"/>
      <c r="AW931"/>
      <c r="FY931" s="211">
        <v>926</v>
      </c>
      <c r="FZ931">
        <v>41.886024641692657</v>
      </c>
      <c r="GA931">
        <v>70.907388824853513</v>
      </c>
      <c r="GB931">
        <v>30.216179123708475</v>
      </c>
      <c r="GC931">
        <v>15.777328813059871</v>
      </c>
      <c r="GD931">
        <v>10.351307339937804</v>
      </c>
      <c r="GE931">
        <v>11.39793509484053</v>
      </c>
      <c r="GF931">
        <v>22.52379725249104</v>
      </c>
      <c r="GG931">
        <v>14.287465592779428</v>
      </c>
      <c r="GH931">
        <v>9.8235722872515385</v>
      </c>
      <c r="GI931">
        <v>25.993605437388119</v>
      </c>
      <c r="GJ931"/>
      <c r="GK931">
        <v>46.91601298873325</v>
      </c>
      <c r="GL931">
        <v>67.337715124712958</v>
      </c>
      <c r="GM931">
        <v>53.530030359775438</v>
      </c>
      <c r="GN931">
        <v>52.094663427742681</v>
      </c>
      <c r="GO931">
        <v>45.031464587457876</v>
      </c>
      <c r="GP931">
        <v>24.455699814376167</v>
      </c>
      <c r="GQ931">
        <v>30.346708208826467</v>
      </c>
      <c r="GR931">
        <v>21.49015817363248</v>
      </c>
      <c r="GS931">
        <v>11.689579385210429</v>
      </c>
      <c r="GT931">
        <v>37.502759106000688</v>
      </c>
      <c r="GU931"/>
      <c r="GV931"/>
      <c r="GW931"/>
      <c r="GX931"/>
      <c r="GY931"/>
      <c r="GZ931"/>
      <c r="HA931"/>
      <c r="HB931"/>
      <c r="HC931"/>
    </row>
    <row r="932" spans="1:211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55.224358974358971</v>
      </c>
      <c r="AO932">
        <v>43.365997929438855</v>
      </c>
      <c r="AP932">
        <v>27.392887540749385</v>
      </c>
      <c r="AQ932">
        <v>306.40581729547483</v>
      </c>
      <c r="AR932">
        <v>41.17277713709997</v>
      </c>
      <c r="AS932">
        <v>392.78599557953874</v>
      </c>
      <c r="AT932">
        <v>32.968525485275222</v>
      </c>
      <c r="AU932">
        <v>26.570909543117644</v>
      </c>
      <c r="AV932"/>
      <c r="AW932"/>
      <c r="FY932" s="211">
        <v>927</v>
      </c>
      <c r="FZ932">
        <v>48.520809450379247</v>
      </c>
      <c r="GA932">
        <v>85.152947124013394</v>
      </c>
      <c r="GB932">
        <v>30.647265952613409</v>
      </c>
      <c r="GC932">
        <v>12.791282098773264</v>
      </c>
      <c r="GD932">
        <v>8.3649939346517286</v>
      </c>
      <c r="GE932">
        <v>9.6515902667084728</v>
      </c>
      <c r="GF932">
        <v>32.427940640535297</v>
      </c>
      <c r="GG932">
        <v>25.670206775787175</v>
      </c>
      <c r="GH932">
        <v>6.627825347474638</v>
      </c>
      <c r="GI932">
        <v>27.326277312866342</v>
      </c>
      <c r="GJ932"/>
      <c r="GK932">
        <v>50.176051118860414</v>
      </c>
      <c r="GL932">
        <v>75.254626622574833</v>
      </c>
      <c r="GM932">
        <v>54.293730195697925</v>
      </c>
      <c r="GN932">
        <v>42.247583469507497</v>
      </c>
      <c r="GO932">
        <v>36.404391701635525</v>
      </c>
      <c r="GP932">
        <v>20.708697876409481</v>
      </c>
      <c r="GQ932">
        <v>43.690734799285877</v>
      </c>
      <c r="GR932">
        <v>38.611242867336379</v>
      </c>
      <c r="GS932">
        <v>7.4238728236184919</v>
      </c>
      <c r="GT932">
        <v>38.39775612781964</v>
      </c>
      <c r="GU932"/>
      <c r="GV932"/>
      <c r="GW932"/>
      <c r="GX932"/>
      <c r="GY932"/>
      <c r="GZ932"/>
      <c r="HA932"/>
      <c r="HB932"/>
      <c r="HC932"/>
    </row>
    <row r="933" spans="1:211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51.764903846153857</v>
      </c>
      <c r="AO933">
        <v>41.821836103542822</v>
      </c>
      <c r="AP933">
        <v>43.378300959500564</v>
      </c>
      <c r="AQ933">
        <v>282.18801093142997</v>
      </c>
      <c r="AR933">
        <v>39.748007166915954</v>
      </c>
      <c r="AS933">
        <v>381.81209251007283</v>
      </c>
      <c r="AT933">
        <v>30.920052747674479</v>
      </c>
      <c r="AU933">
        <v>24.650964524528135</v>
      </c>
      <c r="AV933"/>
      <c r="AW933"/>
      <c r="FY933" s="211">
        <v>928</v>
      </c>
      <c r="FZ933">
        <v>50.801488083384356</v>
      </c>
      <c r="GA933">
        <v>89.613798372404119</v>
      </c>
      <c r="GB933">
        <v>28.100846079547072</v>
      </c>
      <c r="GC933">
        <v>12.920337946446047</v>
      </c>
      <c r="GD933">
        <v>8.7743491544710608</v>
      </c>
      <c r="GE933">
        <v>8.0593346881174774</v>
      </c>
      <c r="GF933">
        <v>17.154292718245223</v>
      </c>
      <c r="GG933">
        <v>14.500006403250525</v>
      </c>
      <c r="GH933">
        <v>9.418488651674485</v>
      </c>
      <c r="GI933">
        <v>24.736248232161323</v>
      </c>
      <c r="GJ933"/>
      <c r="GK933">
        <v>54.341632442476751</v>
      </c>
      <c r="GL933">
        <v>81.533300767265189</v>
      </c>
      <c r="GM933">
        <v>49.78257302536516</v>
      </c>
      <c r="GN933">
        <v>42.673834540720037</v>
      </c>
      <c r="GO933">
        <v>38.185902589011036</v>
      </c>
      <c r="GP933">
        <v>17.292313756498675</v>
      </c>
      <c r="GQ933">
        <v>23.112280305746886</v>
      </c>
      <c r="GR933">
        <v>21.809846477041887</v>
      </c>
      <c r="GS933">
        <v>10.549714012510488</v>
      </c>
      <c r="GT933">
        <v>35.194420475022063</v>
      </c>
      <c r="GU933"/>
      <c r="GV933"/>
      <c r="GW933"/>
      <c r="GX933"/>
      <c r="GY933"/>
      <c r="GZ933"/>
      <c r="HA933"/>
      <c r="HB933"/>
      <c r="HC933"/>
    </row>
    <row r="934" spans="1:211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43.667681623931628</v>
      </c>
      <c r="AO934">
        <v>32.473404067300791</v>
      </c>
      <c r="AP934">
        <v>13.298945259949988</v>
      </c>
      <c r="AQ934">
        <v>217.85527253799577</v>
      </c>
      <c r="AR934">
        <v>31.826464190749892</v>
      </c>
      <c r="AS934">
        <v>291.25170670926877</v>
      </c>
      <c r="AT934">
        <v>25.758681486599539</v>
      </c>
      <c r="AU934">
        <v>30.43930352543941</v>
      </c>
      <c r="AV934"/>
      <c r="AW934"/>
      <c r="FY934" s="211">
        <v>929</v>
      </c>
      <c r="FZ934">
        <v>37.243464140979668</v>
      </c>
      <c r="GA934">
        <v>66.760617942502719</v>
      </c>
      <c r="GB934">
        <v>31.639768186603835</v>
      </c>
      <c r="GC934">
        <v>16.179537458252295</v>
      </c>
      <c r="GD934">
        <v>9.5381329936570509</v>
      </c>
      <c r="GE934">
        <v>8.3628438160013872</v>
      </c>
      <c r="GF934">
        <v>19.984047971972153</v>
      </c>
      <c r="GG934">
        <v>16.861570964040514</v>
      </c>
      <c r="GH934">
        <v>9.4747393742265587</v>
      </c>
      <c r="GI934">
        <v>24.73001445090777</v>
      </c>
      <c r="GJ934"/>
      <c r="GK934">
        <v>38.5147734731501</v>
      </c>
      <c r="GL934">
        <v>59.000252440336453</v>
      </c>
      <c r="GM934">
        <v>56.052015864449672</v>
      </c>
      <c r="GN934">
        <v>53.430775264172134</v>
      </c>
      <c r="GO934">
        <v>41.501210027544111</v>
      </c>
      <c r="GP934">
        <v>17.943530670851171</v>
      </c>
      <c r="GQ934">
        <v>26.92485933159243</v>
      </c>
      <c r="GR934">
        <v>25.361938737146428</v>
      </c>
      <c r="GS934">
        <v>11.298849236598933</v>
      </c>
      <c r="GT934">
        <v>34.858341586667052</v>
      </c>
      <c r="GU934"/>
      <c r="GV934"/>
      <c r="GW934"/>
      <c r="GX934"/>
      <c r="GY934"/>
      <c r="GZ934"/>
      <c r="HA934"/>
      <c r="HB934"/>
      <c r="HC934"/>
    </row>
    <row r="935" spans="1:211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44.982505341880348</v>
      </c>
      <c r="AO935">
        <v>33.094669102985037</v>
      </c>
      <c r="AP935">
        <v>19.425216296745766</v>
      </c>
      <c r="AQ935">
        <v>228.81665410961071</v>
      </c>
      <c r="AR935">
        <v>32.288280629881875</v>
      </c>
      <c r="AS935">
        <v>294.39585455712785</v>
      </c>
      <c r="AT935">
        <v>25.860242011152675</v>
      </c>
      <c r="AU935">
        <v>24.238059324426892</v>
      </c>
      <c r="AV935"/>
      <c r="AW935"/>
      <c r="FY935" s="211">
        <v>930</v>
      </c>
      <c r="FZ935">
        <v>60.527219090771624</v>
      </c>
      <c r="GA935">
        <v>75.023729550532664</v>
      </c>
      <c r="GB935">
        <v>25.464198730663416</v>
      </c>
      <c r="GC935">
        <v>11.212266124641513</v>
      </c>
      <c r="GD935">
        <v>7.3775075900707492</v>
      </c>
      <c r="GE935">
        <v>9.0165557837513592</v>
      </c>
      <c r="GF935">
        <v>25.977504751604961</v>
      </c>
      <c r="GG935">
        <v>21.017924591030891</v>
      </c>
      <c r="GH935">
        <v>12.557984868899313</v>
      </c>
      <c r="GI935">
        <v>26.829444671946046</v>
      </c>
      <c r="GJ935"/>
      <c r="GK935">
        <v>64.404951059565818</v>
      </c>
      <c r="GL935">
        <v>68.639205863085706</v>
      </c>
      <c r="GM935">
        <v>45.111571703327684</v>
      </c>
      <c r="GN935">
        <v>37.024662986925172</v>
      </c>
      <c r="GO935">
        <v>32.098184260026343</v>
      </c>
      <c r="GP935">
        <v>19.346151717148867</v>
      </c>
      <c r="GQ935">
        <v>34.999949069563421</v>
      </c>
      <c r="GR935">
        <v>31.613621114930424</v>
      </c>
      <c r="GS935">
        <v>14.066285350013986</v>
      </c>
      <c r="GT935">
        <v>38.13618828849944</v>
      </c>
      <c r="GU935"/>
      <c r="GV935"/>
      <c r="GW935"/>
      <c r="GX935"/>
      <c r="GY935"/>
      <c r="GZ935"/>
      <c r="HA935"/>
      <c r="HB935"/>
      <c r="HC935"/>
    </row>
    <row r="936" spans="1:211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39.474225427350426</v>
      </c>
      <c r="AO936">
        <v>30.428831098692939</v>
      </c>
      <c r="AP936">
        <v>23.03701083123568</v>
      </c>
      <c r="AQ936">
        <v>203.45127160688219</v>
      </c>
      <c r="AR936">
        <v>29.764106053292199</v>
      </c>
      <c r="AS936">
        <v>289.36377715761762</v>
      </c>
      <c r="AT936">
        <v>23.427280929109358</v>
      </c>
      <c r="AU936">
        <v>36.254348876837447</v>
      </c>
      <c r="AV936"/>
      <c r="AW936"/>
      <c r="FY936" s="211">
        <v>931</v>
      </c>
      <c r="FZ936">
        <v>58.66126397734098</v>
      </c>
      <c r="GA936">
        <v>82.844717860930146</v>
      </c>
      <c r="GB936">
        <v>26.44667568956303</v>
      </c>
      <c r="GC936">
        <v>12.592446717808782</v>
      </c>
      <c r="GD936">
        <v>7.9421499127049842</v>
      </c>
      <c r="GE936">
        <v>10.669513187919138</v>
      </c>
      <c r="GF936">
        <v>21.917421126692414</v>
      </c>
      <c r="GG936">
        <v>14.783394150545327</v>
      </c>
      <c r="GH936">
        <v>8.3719899125995436</v>
      </c>
      <c r="GI936">
        <v>25.65313722904131</v>
      </c>
      <c r="GJ936"/>
      <c r="GK936">
        <v>64.275650767027585</v>
      </c>
      <c r="GL936">
        <v>77.88742913722345</v>
      </c>
      <c r="GM936">
        <v>46.852096910778911</v>
      </c>
      <c r="GN936">
        <v>41.583181387392678</v>
      </c>
      <c r="GO936">
        <v>34.555503469708924</v>
      </c>
      <c r="GP936">
        <v>22.892779219930169</v>
      </c>
      <c r="GQ936">
        <v>29.529726989002427</v>
      </c>
      <c r="GR936">
        <v>22.236097548254435</v>
      </c>
      <c r="GS936">
        <v>9.3775235666759915</v>
      </c>
      <c r="GT936">
        <v>36.918100340638773</v>
      </c>
      <c r="GU936"/>
      <c r="GV936"/>
      <c r="GW936"/>
      <c r="GX936"/>
      <c r="GY936"/>
      <c r="GZ936"/>
      <c r="HA936"/>
      <c r="HB936"/>
      <c r="HC936"/>
    </row>
    <row r="937" spans="1:211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53.695058760683764</v>
      </c>
      <c r="AO937">
        <v>40.299189098505977</v>
      </c>
      <c r="AP937">
        <v>26.435513785961788</v>
      </c>
      <c r="AQ937">
        <v>267.051686391479</v>
      </c>
      <c r="AR937">
        <v>39.112541546099052</v>
      </c>
      <c r="AS937">
        <v>355.35434986874986</v>
      </c>
      <c r="AT937">
        <v>31.369906259087845</v>
      </c>
      <c r="AU937">
        <v>42.087935443093571</v>
      </c>
      <c r="AV937"/>
      <c r="AW937"/>
      <c r="FY937" s="211">
        <v>932</v>
      </c>
      <c r="FZ937">
        <v>43.470078026866787</v>
      </c>
      <c r="GA937">
        <v>85.192565396079431</v>
      </c>
      <c r="GB937">
        <v>36.933113434552766</v>
      </c>
      <c r="GC937">
        <v>12.461813374925086</v>
      </c>
      <c r="GD937">
        <v>7.1736118394939217</v>
      </c>
      <c r="GE937">
        <v>11.290539557281612</v>
      </c>
      <c r="GF937">
        <v>26.074173409340975</v>
      </c>
      <c r="GG937">
        <v>18.939747777535704</v>
      </c>
      <c r="GH937">
        <v>11.218903939351463</v>
      </c>
      <c r="GI937">
        <v>26.905351455476069</v>
      </c>
      <c r="GJ937"/>
      <c r="GK937">
        <v>46.750248379469895</v>
      </c>
      <c r="GL937">
        <v>77.625999281150186</v>
      </c>
      <c r="GM937">
        <v>65.429539431125662</v>
      </c>
      <c r="GN937">
        <v>41.113318903105089</v>
      </c>
      <c r="GO937">
        <v>31.167460574812374</v>
      </c>
      <c r="GP937">
        <v>24.225269213912981</v>
      </c>
      <c r="GQ937">
        <v>35.130192452433924</v>
      </c>
      <c r="GR937">
        <v>28.487779926038424</v>
      </c>
      <c r="GS937">
        <v>13.252499979656431</v>
      </c>
      <c r="GT937">
        <v>38.345988163499662</v>
      </c>
      <c r="GU937"/>
      <c r="GV937"/>
      <c r="GW937"/>
      <c r="GX937"/>
      <c r="GY937"/>
      <c r="GZ937"/>
      <c r="HA937"/>
      <c r="HB937"/>
      <c r="HC937"/>
    </row>
    <row r="938" spans="1:211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46.169070512820504</v>
      </c>
      <c r="AO938">
        <v>34.256651877116816</v>
      </c>
      <c r="AP938">
        <v>13.614492482577457</v>
      </c>
      <c r="AQ938">
        <v>231.25068830390734</v>
      </c>
      <c r="AR938">
        <v>32.432720102369458</v>
      </c>
      <c r="AS938">
        <v>328.39837241808311</v>
      </c>
      <c r="AT938">
        <v>26.263573006547549</v>
      </c>
      <c r="AU938">
        <v>18.283912898499114</v>
      </c>
      <c r="AV938"/>
      <c r="AW938"/>
      <c r="FY938" s="211">
        <v>933</v>
      </c>
      <c r="FZ938">
        <v>38.126283804996213</v>
      </c>
      <c r="GA938">
        <v>60.69893470724071</v>
      </c>
      <c r="GB938">
        <v>26.125866886657036</v>
      </c>
      <c r="GC938">
        <v>10.109751886961195</v>
      </c>
      <c r="GD938">
        <v>6.3685797345928643</v>
      </c>
      <c r="GE938">
        <v>11.580040571570885</v>
      </c>
      <c r="GF938">
        <v>29.483940609483977</v>
      </c>
      <c r="GG938">
        <v>18.703591321456702</v>
      </c>
      <c r="GH938">
        <v>9.4747393742265569</v>
      </c>
      <c r="GI938">
        <v>23.273583878011841</v>
      </c>
      <c r="GJ938"/>
      <c r="GK938">
        <v>41.219399486274227</v>
      </c>
      <c r="GL938">
        <v>55.979549048073125</v>
      </c>
      <c r="GM938">
        <v>46.283762149162186</v>
      </c>
      <c r="GN938">
        <v>33.36787220299626</v>
      </c>
      <c r="GO938">
        <v>27.689989344152231</v>
      </c>
      <c r="GP938">
        <v>24.846429962987674</v>
      </c>
      <c r="GQ938">
        <v>39.72423177550246</v>
      </c>
      <c r="GR938">
        <v>28.132570700027969</v>
      </c>
      <c r="GS938">
        <v>11.298849236598929</v>
      </c>
      <c r="GT938">
        <v>33.243246398338016</v>
      </c>
      <c r="GU938"/>
      <c r="GV938"/>
      <c r="GW938"/>
      <c r="GX938"/>
      <c r="GY938"/>
      <c r="GZ938"/>
      <c r="HA938"/>
      <c r="HB938"/>
      <c r="HC938"/>
    </row>
    <row r="939" spans="1:211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49.910977564102566</v>
      </c>
      <c r="AO939">
        <v>36.883516363963892</v>
      </c>
      <c r="AP939">
        <v>4.5939976473101041</v>
      </c>
      <c r="AQ939">
        <v>232.49527398082114</v>
      </c>
      <c r="AR939">
        <v>35.170229755179513</v>
      </c>
      <c r="AS939">
        <v>353.78905788864631</v>
      </c>
      <c r="AT939">
        <v>28.773128953426038</v>
      </c>
      <c r="AU939">
        <v>15.581574494308493</v>
      </c>
      <c r="AV939"/>
      <c r="AW939"/>
      <c r="FY939" s="211">
        <v>934</v>
      </c>
      <c r="FZ939">
        <v>51.483953725201602</v>
      </c>
      <c r="GA939">
        <v>95.666293492271748</v>
      </c>
      <c r="GB939">
        <v>33.955606732581494</v>
      </c>
      <c r="GC939">
        <v>12.204802675487489</v>
      </c>
      <c r="GD939">
        <v>9.8814025447562805</v>
      </c>
      <c r="GE939">
        <v>12.294454364897634</v>
      </c>
      <c r="GF939">
        <v>30.353958529108091</v>
      </c>
      <c r="GG939">
        <v>24.418577558568472</v>
      </c>
      <c r="GH939">
        <v>8.4282406351516155</v>
      </c>
      <c r="GI939">
        <v>29.338349483825574</v>
      </c>
      <c r="GJ939"/>
      <c r="GK939">
        <v>56.85177794340909</v>
      </c>
      <c r="GL939">
        <v>89.218603446956962</v>
      </c>
      <c r="GM939">
        <v>60.154682424870423</v>
      </c>
      <c r="GN939">
        <v>40.306694491421972</v>
      </c>
      <c r="GO939">
        <v>42.999453662447372</v>
      </c>
      <c r="GP939">
        <v>26.37929439215586</v>
      </c>
      <c r="GQ939">
        <v>40.896422221336955</v>
      </c>
      <c r="GR939">
        <v>36.72863396948096</v>
      </c>
      <c r="GS939">
        <v>10.126658790764434</v>
      </c>
      <c r="GT939">
        <v>42.205799008565648</v>
      </c>
      <c r="GU939"/>
      <c r="GV939"/>
      <c r="GW939"/>
      <c r="GX939"/>
      <c r="GY939"/>
      <c r="GZ939"/>
      <c r="HA939"/>
      <c r="HB939"/>
      <c r="HC939"/>
    </row>
    <row r="940" spans="1:211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49.246794871794862</v>
      </c>
      <c r="AO940">
        <v>38.047304506879932</v>
      </c>
      <c r="AP940">
        <v>27.012858810702916</v>
      </c>
      <c r="AQ940">
        <v>263.68669396191279</v>
      </c>
      <c r="AR940">
        <v>36.109326860592319</v>
      </c>
      <c r="AS940">
        <v>333.71971201754883</v>
      </c>
      <c r="AT940">
        <v>28.777111580831562</v>
      </c>
      <c r="AU940">
        <v>25.806268141913872</v>
      </c>
      <c r="AV940"/>
      <c r="AW940"/>
      <c r="FY940" s="211">
        <v>935</v>
      </c>
      <c r="FZ940">
        <v>33.692584332026506</v>
      </c>
      <c r="GA940">
        <v>54.204316289740611</v>
      </c>
      <c r="GB940">
        <v>24.481721771763805</v>
      </c>
      <c r="GC940">
        <v>12.186290243538815</v>
      </c>
      <c r="GD940">
        <v>8.1581011063866953</v>
      </c>
      <c r="GE940">
        <v>9.1986612604817086</v>
      </c>
      <c r="GF940">
        <v>15.563653895498105</v>
      </c>
      <c r="GG940">
        <v>14.027693491092529</v>
      </c>
      <c r="GH940">
        <v>9.7673215646994649</v>
      </c>
      <c r="GI940">
        <v>20.724379001670023</v>
      </c>
      <c r="GJ940"/>
      <c r="GK940">
        <v>34.841910076202012</v>
      </c>
      <c r="GL940">
        <v>47.903516219769848</v>
      </c>
      <c r="GM940">
        <v>43.371046495876456</v>
      </c>
      <c r="GN940">
        <v>40.22251013666191</v>
      </c>
      <c r="GO940">
        <v>35.473636022768289</v>
      </c>
      <c r="GP940">
        <v>19.736881865760367</v>
      </c>
      <c r="GQ940">
        <v>20.969184642150484</v>
      </c>
      <c r="GR940">
        <v>21.09942802502098</v>
      </c>
      <c r="GS940">
        <v>10.940444161121988</v>
      </c>
      <c r="GT940">
        <v>29.119244279623846</v>
      </c>
      <c r="GU940"/>
      <c r="GV940"/>
      <c r="GW940"/>
      <c r="GX940"/>
      <c r="GY940"/>
      <c r="GZ940"/>
      <c r="HA940"/>
      <c r="HB940"/>
      <c r="HC940"/>
    </row>
    <row r="941" spans="1:211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50.575961538461534</v>
      </c>
      <c r="AO941">
        <v>39.261553628472413</v>
      </c>
      <c r="AP941">
        <v>34.722501433412305</v>
      </c>
      <c r="AQ941">
        <v>276.21259297161936</v>
      </c>
      <c r="AR941">
        <v>38.207696138954539</v>
      </c>
      <c r="AS941">
        <v>376.27666734099057</v>
      </c>
      <c r="AT941">
        <v>29.877972881094475</v>
      </c>
      <c r="AU941">
        <v>45.51131198915995</v>
      </c>
      <c r="AV941"/>
      <c r="AW941"/>
      <c r="FY941" s="211">
        <v>936</v>
      </c>
      <c r="FZ941">
        <v>50.07793222202347</v>
      </c>
      <c r="GA941">
        <v>70.160373276575513</v>
      </c>
      <c r="GB941">
        <v>25.89528555956835</v>
      </c>
      <c r="GC941">
        <v>13.723603544805481</v>
      </c>
      <c r="GD941">
        <v>9.4673009756653759</v>
      </c>
      <c r="GE941">
        <v>11.444628806822672</v>
      </c>
      <c r="GF941">
        <v>27.787845069206664</v>
      </c>
      <c r="GG941">
        <v>20.99430894542299</v>
      </c>
      <c r="GH941">
        <v>13.716985053078405</v>
      </c>
      <c r="GI941">
        <v>27.266023912433113</v>
      </c>
      <c r="GJ941"/>
      <c r="GK941">
        <v>53.59206056085705</v>
      </c>
      <c r="GL941">
        <v>64.341174228359208</v>
      </c>
      <c r="GM941">
        <v>45.875271539250164</v>
      </c>
      <c r="GN941">
        <v>45.311533400273809</v>
      </c>
      <c r="GO941">
        <v>41.184275431898492</v>
      </c>
      <c r="GP941">
        <v>24.555887031968862</v>
      </c>
      <c r="GQ941">
        <v>37.439052421501877</v>
      </c>
      <c r="GR941">
        <v>31.578100192329373</v>
      </c>
      <c r="GS941">
        <v>16.736746244025369</v>
      </c>
      <c r="GT941">
        <v>38.965481239506595</v>
      </c>
      <c r="GU941"/>
      <c r="GV941"/>
      <c r="GW941"/>
      <c r="GX941"/>
      <c r="GY941"/>
      <c r="GZ941"/>
      <c r="HA941"/>
      <c r="HB941"/>
      <c r="HC941"/>
    </row>
    <row r="942" spans="1:211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48.161324786324784</v>
      </c>
      <c r="AO942">
        <v>39.039479117646842</v>
      </c>
      <c r="AP942">
        <v>43.093326992363387</v>
      </c>
      <c r="AQ942">
        <v>253.16460440800302</v>
      </c>
      <c r="AR942">
        <v>37.50275910600071</v>
      </c>
      <c r="AS942">
        <v>340.30721878188837</v>
      </c>
      <c r="AT942">
        <v>29.013388542376891</v>
      </c>
      <c r="AU942">
        <v>17.671698647216651</v>
      </c>
      <c r="AV942"/>
      <c r="AW942"/>
      <c r="FY942" s="211">
        <v>937</v>
      </c>
      <c r="FZ942">
        <v>37.118172150821195</v>
      </c>
      <c r="GA942">
        <v>60.522085388187705</v>
      </c>
      <c r="GB942">
        <v>22.386439277784017</v>
      </c>
      <c r="GC942">
        <v>12.586943673291357</v>
      </c>
      <c r="GD942">
        <v>8.1609441701712306</v>
      </c>
      <c r="GE942">
        <v>9.5301866155549053</v>
      </c>
      <c r="GF942">
        <v>33.420991397277966</v>
      </c>
      <c r="GG942">
        <v>27.252455031516462</v>
      </c>
      <c r="GH942">
        <v>8.7770735481765954</v>
      </c>
      <c r="GI942">
        <v>23.938224283209429</v>
      </c>
      <c r="GJ942"/>
      <c r="GK942">
        <v>40.194051044168532</v>
      </c>
      <c r="GL942">
        <v>55.823256988628515</v>
      </c>
      <c r="GM942">
        <v>39.659110084067208</v>
      </c>
      <c r="GN942">
        <v>41.572685940087631</v>
      </c>
      <c r="GO942">
        <v>35.516368636609386</v>
      </c>
      <c r="GP942">
        <v>20.448211110668478</v>
      </c>
      <c r="GQ942">
        <v>45.028689550591913</v>
      </c>
      <c r="GR942">
        <v>40.991144681606414</v>
      </c>
      <c r="GS942">
        <v>10.51738893937593</v>
      </c>
      <c r="GT942">
        <v>34.183121650962597</v>
      </c>
      <c r="GU942"/>
      <c r="GV942"/>
      <c r="GW942"/>
      <c r="GX942"/>
      <c r="GY942"/>
      <c r="GZ942"/>
      <c r="HA942"/>
      <c r="HB942"/>
      <c r="HC942"/>
    </row>
    <row r="943" spans="1:211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54.853872863247872</v>
      </c>
      <c r="AO943">
        <v>40.720868760274605</v>
      </c>
      <c r="AP943">
        <v>12.380922840476435</v>
      </c>
      <c r="AQ943">
        <v>287.18113890380295</v>
      </c>
      <c r="AR943">
        <v>38.397756127819669</v>
      </c>
      <c r="AS943">
        <v>379.40197475817848</v>
      </c>
      <c r="AT943">
        <v>31.50181200274508</v>
      </c>
      <c r="AU943">
        <v>38.85683423610746</v>
      </c>
      <c r="AV943"/>
      <c r="AW943"/>
      <c r="FY943" s="211">
        <v>938</v>
      </c>
      <c r="FZ943">
        <v>44.164193340977931</v>
      </c>
      <c r="GA943">
        <v>67.016703805687797</v>
      </c>
      <c r="GB943">
        <v>23.268663485775505</v>
      </c>
      <c r="GC943">
        <v>12.671340551096772</v>
      </c>
      <c r="GD943">
        <v>9.1929048891647298</v>
      </c>
      <c r="GE943">
        <v>10.520093309576289</v>
      </c>
      <c r="GF943">
        <v>21.144071864804307</v>
      </c>
      <c r="GG943">
        <v>17.900659370788105</v>
      </c>
      <c r="GH943">
        <v>8.7208228256245235</v>
      </c>
      <c r="GI943">
        <v>23.396980329318986</v>
      </c>
      <c r="GJ943"/>
      <c r="GK943">
        <v>49.274763078917928</v>
      </c>
      <c r="GL943">
        <v>63.899289816931777</v>
      </c>
      <c r="GM943">
        <v>41.222030678513207</v>
      </c>
      <c r="GN943">
        <v>41.816874414818692</v>
      </c>
      <c r="GO943">
        <v>39.968420250233521</v>
      </c>
      <c r="GP943">
        <v>22.572180123633558</v>
      </c>
      <c r="GQ943">
        <v>28.487779926038424</v>
      </c>
      <c r="GR943">
        <v>26.924859331592423</v>
      </c>
      <c r="GS943">
        <v>9.7682537152874893</v>
      </c>
      <c r="GT943">
        <v>33.744249529798118</v>
      </c>
      <c r="GU943"/>
      <c r="GV943"/>
      <c r="GW943"/>
      <c r="GX943"/>
      <c r="GY943"/>
      <c r="GZ943"/>
      <c r="HA943"/>
      <c r="HB943"/>
      <c r="HC943"/>
    </row>
    <row r="944" spans="1:211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47.949919871794876</v>
      </c>
      <c r="AO944">
        <v>37.447581839165821</v>
      </c>
      <c r="AP944">
        <v>19.862366027627832</v>
      </c>
      <c r="AQ944">
        <v>264.07919032970165</v>
      </c>
      <c r="AR944">
        <v>35.194420475022078</v>
      </c>
      <c r="AS944">
        <v>330.44917833114721</v>
      </c>
      <c r="AT944">
        <v>28.327591497992859</v>
      </c>
      <c r="AU944">
        <v>24.490658992161606</v>
      </c>
      <c r="AV944"/>
      <c r="AW944"/>
      <c r="FY944" s="211">
        <v>939</v>
      </c>
      <c r="FZ944">
        <v>49.388836775352004</v>
      </c>
      <c r="GA944">
        <v>91.333485175473555</v>
      </c>
      <c r="GB944">
        <v>31.639768186603835</v>
      </c>
      <c r="GC944">
        <v>12.151694481223361</v>
      </c>
      <c r="GD944">
        <v>8.367059118795936</v>
      </c>
      <c r="GE944">
        <v>10.548109536765573</v>
      </c>
      <c r="GF944">
        <v>20.537695739005688</v>
      </c>
      <c r="GG944">
        <v>12.681601691442236</v>
      </c>
      <c r="GH944">
        <v>8.7770735481765971</v>
      </c>
      <c r="GI944">
        <v>25.679800270531679</v>
      </c>
      <c r="GJ944"/>
      <c r="GK944">
        <v>54.681208328272312</v>
      </c>
      <c r="GL944">
        <v>85.389447990564264</v>
      </c>
      <c r="GM944">
        <v>56.052015864449672</v>
      </c>
      <c r="GN944">
        <v>40.115926039756602</v>
      </c>
      <c r="GO944">
        <v>36.391693923970067</v>
      </c>
      <c r="GP944">
        <v>22.632292454189169</v>
      </c>
      <c r="GQ944">
        <v>27.670798706214388</v>
      </c>
      <c r="GR944">
        <v>19.07473543676139</v>
      </c>
      <c r="GS944">
        <v>10.517388939375934</v>
      </c>
      <c r="GT944">
        <v>37.062621152456472</v>
      </c>
      <c r="GU944"/>
      <c r="GV944"/>
      <c r="GW944"/>
      <c r="GX944"/>
      <c r="GY944"/>
      <c r="GZ944"/>
      <c r="HA944"/>
      <c r="HB944"/>
      <c r="HC944"/>
    </row>
    <row r="945" spans="1:211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48.943376068376068</v>
      </c>
      <c r="AO945">
        <v>36.488654663250841</v>
      </c>
      <c r="AP945">
        <v>12.218482765078031</v>
      </c>
      <c r="AQ945">
        <v>240.77473729914394</v>
      </c>
      <c r="AR945">
        <v>34.858341586667073</v>
      </c>
      <c r="AS945">
        <v>338.77018070142873</v>
      </c>
      <c r="AT945">
        <v>28.349906207303473</v>
      </c>
      <c r="AU945">
        <v>28.489079274111376</v>
      </c>
      <c r="AV945"/>
      <c r="AW945"/>
      <c r="FY945" s="211">
        <v>940</v>
      </c>
      <c r="FZ945">
        <v>28.935892911256687</v>
      </c>
      <c r="GA945">
        <v>48.456713420518533</v>
      </c>
      <c r="GB945">
        <v>23.378941511774446</v>
      </c>
      <c r="GC945">
        <v>13.292200789580127</v>
      </c>
      <c r="GD945">
        <v>9.2728584252326431</v>
      </c>
      <c r="GE945">
        <v>10.244600408881656</v>
      </c>
      <c r="GF945">
        <v>28.174519700150711</v>
      </c>
      <c r="GG945">
        <v>19.955220538675395</v>
      </c>
      <c r="GH945">
        <v>11.16265321679939</v>
      </c>
      <c r="GI945">
        <v>23.079855621543278</v>
      </c>
      <c r="GJ945"/>
      <c r="GK945">
        <v>29.929929383640879</v>
      </c>
      <c r="GL945">
        <v>42.824024287820365</v>
      </c>
      <c r="GM945">
        <v>41.417395752818962</v>
      </c>
      <c r="GN945">
        <v>43.902038749117729</v>
      </c>
      <c r="GO945">
        <v>40.355411246336423</v>
      </c>
      <c r="GP945">
        <v>21.981075539836667</v>
      </c>
      <c r="GQ945">
        <v>37.96002595298387</v>
      </c>
      <c r="GR945">
        <v>30.015179597883378</v>
      </c>
      <c r="GS945">
        <v>12.503364755567988</v>
      </c>
      <c r="GT945">
        <v>32.433225418269622</v>
      </c>
      <c r="GU945"/>
      <c r="GV945"/>
      <c r="GW945"/>
      <c r="GX945"/>
      <c r="GY945"/>
      <c r="GZ945"/>
      <c r="HA945"/>
      <c r="HB945"/>
      <c r="HC945"/>
    </row>
    <row r="946" spans="1:211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49.449786324786324</v>
      </c>
      <c r="AO946">
        <v>38.544077141308684</v>
      </c>
      <c r="AP946">
        <v>17.112768238934997</v>
      </c>
      <c r="AQ946">
        <v>275.00433575391253</v>
      </c>
      <c r="AR946">
        <v>38.136188288499476</v>
      </c>
      <c r="AS946">
        <v>344.59039210850602</v>
      </c>
      <c r="AT946">
        <v>30.777078979294888</v>
      </c>
      <c r="AU946">
        <v>44.465742809930909</v>
      </c>
      <c r="AV946"/>
      <c r="AW946"/>
      <c r="FY946" s="211">
        <v>941</v>
      </c>
      <c r="FZ946">
        <v>42.032106042719093</v>
      </c>
      <c r="GA946">
        <v>78.255823680946889</v>
      </c>
      <c r="GB946">
        <v>36.161167252560205</v>
      </c>
      <c r="GC946">
        <v>15.182651600439449</v>
      </c>
      <c r="GD946">
        <v>7.7562128993653383</v>
      </c>
      <c r="GE946">
        <v>4.9775496972961939</v>
      </c>
      <c r="GF946">
        <v>26.750854013493068</v>
      </c>
      <c r="GG946">
        <v>22.316785099465385</v>
      </c>
      <c r="GH946">
        <v>10.577488835853572</v>
      </c>
      <c r="GI946">
        <v>26.964326890246767</v>
      </c>
      <c r="GJ946"/>
      <c r="GK946">
        <v>43.45864258131455</v>
      </c>
      <c r="GL946">
        <v>69.159236304235435</v>
      </c>
      <c r="GM946">
        <v>64.061983910985404</v>
      </c>
      <c r="GN946">
        <v>50.130538566482308</v>
      </c>
      <c r="GO946">
        <v>33.737632786099844</v>
      </c>
      <c r="GP946">
        <v>10.67995739538099</v>
      </c>
      <c r="GQ946">
        <v>36.04189613252742</v>
      </c>
      <c r="GR946">
        <v>33.567271857987919</v>
      </c>
      <c r="GS946">
        <v>13.220174906521871</v>
      </c>
      <c r="GT946">
        <v>38.104066063489825</v>
      </c>
      <c r="GU946"/>
      <c r="GV946"/>
      <c r="GW946"/>
      <c r="GX946"/>
      <c r="GY946"/>
      <c r="GZ946"/>
      <c r="HA946"/>
      <c r="HB946"/>
      <c r="HC946"/>
    </row>
    <row r="947" spans="1:211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47.284989316239312</v>
      </c>
      <c r="AO947">
        <v>38.610808933663343</v>
      </c>
      <c r="AP947">
        <v>28.33843494516233</v>
      </c>
      <c r="AQ947">
        <v>269.88270976514559</v>
      </c>
      <c r="AR947">
        <v>36.918100340638794</v>
      </c>
      <c r="AS947">
        <v>340.72691396652095</v>
      </c>
      <c r="AT947">
        <v>29.08825360569848</v>
      </c>
      <c r="AU947">
        <v>26.948228339113044</v>
      </c>
      <c r="AV947"/>
      <c r="AW947"/>
      <c r="FY947" s="211">
        <v>942</v>
      </c>
      <c r="FZ947">
        <v>37.333174381226442</v>
      </c>
      <c r="GA947">
        <v>68.657154064625132</v>
      </c>
      <c r="GB947">
        <v>27.118369120647461</v>
      </c>
      <c r="GC947">
        <v>14.332908219062567</v>
      </c>
      <c r="GD947">
        <v>10.253458219292268</v>
      </c>
      <c r="GE947">
        <v>8.7410628830567312</v>
      </c>
      <c r="GF947">
        <v>25.757803256750385</v>
      </c>
      <c r="GG947">
        <v>25.150662572413371</v>
      </c>
      <c r="GH947">
        <v>15.404898895651236</v>
      </c>
      <c r="GI947">
        <v>26.045400463556295</v>
      </c>
      <c r="GJ947"/>
      <c r="GK947">
        <v>40.414119934819738</v>
      </c>
      <c r="GL947">
        <v>63.01269172308011</v>
      </c>
      <c r="GM947">
        <v>48.042047817913939</v>
      </c>
      <c r="GN947">
        <v>47.33165069499519</v>
      </c>
      <c r="GO947">
        <v>44.614300116015222</v>
      </c>
      <c r="GP947">
        <v>18.755047133351983</v>
      </c>
      <c r="GQ947">
        <v>34.70394138122137</v>
      </c>
      <c r="GR947">
        <v>37.829782570113373</v>
      </c>
      <c r="GS947">
        <v>17.941261762994426</v>
      </c>
      <c r="GT947">
        <v>37.143134202592933</v>
      </c>
      <c r="GU947"/>
      <c r="GV947"/>
      <c r="GW947"/>
      <c r="GX947"/>
      <c r="GY947"/>
      <c r="GZ947"/>
      <c r="HA947"/>
      <c r="HB947"/>
      <c r="HC947"/>
    </row>
    <row r="948" spans="1:211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52.913194444444436</v>
      </c>
      <c r="AO948">
        <v>40.152829630520458</v>
      </c>
      <c r="AP948">
        <v>35.828417811158836</v>
      </c>
      <c r="AQ948">
        <v>279.65989821090386</v>
      </c>
      <c r="AR948">
        <v>38.345988163499676</v>
      </c>
      <c r="AS948">
        <v>363.86442027354371</v>
      </c>
      <c r="AT948">
        <v>29.871798422038921</v>
      </c>
      <c r="AU948">
        <v>26.112914731265715</v>
      </c>
      <c r="AV948"/>
      <c r="AW948"/>
      <c r="FY948" s="211">
        <v>943</v>
      </c>
      <c r="FZ948">
        <v>33.215981182040458</v>
      </c>
      <c r="GA948">
        <v>70.73972762119493</v>
      </c>
      <c r="GB948">
        <v>33.303963851678688</v>
      </c>
      <c r="GC948">
        <v>10.960322549412902</v>
      </c>
      <c r="GD948">
        <v>6.7029173002260549</v>
      </c>
      <c r="GE948">
        <v>10.44071399920665</v>
      </c>
      <c r="GF948">
        <v>20.687092755506796</v>
      </c>
      <c r="GG948">
        <v>16.885186609648418</v>
      </c>
      <c r="GH948">
        <v>14.707233069601275</v>
      </c>
      <c r="GI948">
        <v>23.767215454404031</v>
      </c>
      <c r="GJ948"/>
      <c r="GK948">
        <v>34.344295500836836</v>
      </c>
      <c r="GL948">
        <v>62.516823777839939</v>
      </c>
      <c r="GM948">
        <v>59.000252440336439</v>
      </c>
      <c r="GN948">
        <v>36.16949245314499</v>
      </c>
      <c r="GO948">
        <v>29.136349778138001</v>
      </c>
      <c r="GP948">
        <v>22.401861853725979</v>
      </c>
      <c r="GQ948">
        <v>27.87208393428698</v>
      </c>
      <c r="GR948">
        <v>25.397459659747479</v>
      </c>
      <c r="GS948">
        <v>17.159801465771427</v>
      </c>
      <c r="GT948">
        <v>33.502556623873943</v>
      </c>
      <c r="GU948"/>
      <c r="GV948"/>
      <c r="GW948"/>
      <c r="GX948"/>
      <c r="GY948"/>
      <c r="GZ948"/>
      <c r="HA948"/>
      <c r="HB948"/>
      <c r="HC948"/>
    </row>
    <row r="949" spans="1:211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44.490491452991456</v>
      </c>
      <c r="AO949">
        <v>34.178590030411307</v>
      </c>
      <c r="AP949">
        <v>33.151778338111171</v>
      </c>
      <c r="AQ949">
        <v>233.94531277519795</v>
      </c>
      <c r="AR949">
        <v>33.24324639833798</v>
      </c>
      <c r="AS949">
        <v>317.64469544855507</v>
      </c>
      <c r="AT949">
        <v>25.763847541553336</v>
      </c>
      <c r="AU949">
        <v>31.806288155359354</v>
      </c>
      <c r="AV949"/>
      <c r="AW949"/>
      <c r="FY949" s="211">
        <v>944</v>
      </c>
      <c r="FZ949">
        <v>48.534969056392967</v>
      </c>
      <c r="GA949">
        <v>90.940168265301509</v>
      </c>
      <c r="GB949">
        <v>30.877847279702102</v>
      </c>
      <c r="GC949">
        <v>13.144456096310158</v>
      </c>
      <c r="GD949">
        <v>10.514480019170128</v>
      </c>
      <c r="GE949">
        <v>10.926328603820913</v>
      </c>
      <c r="GF949">
        <v>26.364179382549011</v>
      </c>
      <c r="GG949">
        <v>20.498380387657097</v>
      </c>
      <c r="GH949">
        <v>9.4184886516744868</v>
      </c>
      <c r="GI949">
        <v>27.946186615256963</v>
      </c>
      <c r="GJ949"/>
      <c r="GK949">
        <v>51.997251550807746</v>
      </c>
      <c r="GL949">
        <v>82.705491213099677</v>
      </c>
      <c r="GM949">
        <v>54.702220805609954</v>
      </c>
      <c r="GN949">
        <v>43.410221254577415</v>
      </c>
      <c r="GO949">
        <v>45.754602146246413</v>
      </c>
      <c r="GP949">
        <v>23.443808916689978</v>
      </c>
      <c r="GQ949">
        <v>35.52092260104542</v>
      </c>
      <c r="GR949">
        <v>30.832160817707425</v>
      </c>
      <c r="GS949">
        <v>10.54971401251049</v>
      </c>
      <c r="GT949">
        <v>39.704942223243997</v>
      </c>
      <c r="GU949"/>
      <c r="GV949"/>
      <c r="GW949"/>
      <c r="GX949"/>
      <c r="GY949"/>
      <c r="GZ949"/>
      <c r="HA949"/>
      <c r="HB949"/>
      <c r="HC949"/>
    </row>
    <row r="950" spans="1:211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54.838274572649574</v>
      </c>
      <c r="AO950">
        <v>44.586802035140963</v>
      </c>
      <c r="AP950">
        <v>31.590870484341909</v>
      </c>
      <c r="AQ950">
        <v>308.02563974185</v>
      </c>
      <c r="AR950">
        <v>42.205799008565663</v>
      </c>
      <c r="AS950">
        <v>400.55684759066156</v>
      </c>
      <c r="AT950">
        <v>33.404129540303096</v>
      </c>
      <c r="AU950">
        <v>16.684340461774749</v>
      </c>
      <c r="AV950"/>
      <c r="AW950"/>
      <c r="FY950" s="211">
        <v>945</v>
      </c>
      <c r="FZ950">
        <v>45.594146921773884</v>
      </c>
      <c r="GA950">
        <v>74.227907614794219</v>
      </c>
      <c r="GB950">
        <v>31.389136309333526</v>
      </c>
      <c r="GC950">
        <v>15.929497834710316</v>
      </c>
      <c r="GD950">
        <v>8.3728992602686745</v>
      </c>
      <c r="GE950">
        <v>9.0912657229227847</v>
      </c>
      <c r="GF950">
        <v>22.594101730844503</v>
      </c>
      <c r="GG950">
        <v>21.537468794404695</v>
      </c>
      <c r="GH950">
        <v>19.534643129398933</v>
      </c>
      <c r="GI950">
        <v>27.205877742196499</v>
      </c>
      <c r="GJ950"/>
      <c r="GK950">
        <v>48.941487230266233</v>
      </c>
      <c r="GL950">
        <v>67.935891595584991</v>
      </c>
      <c r="GM950">
        <v>55.608004331936606</v>
      </c>
      <c r="GN950">
        <v>52.608774018917366</v>
      </c>
      <c r="GO950">
        <v>36.434458531464422</v>
      </c>
      <c r="GP950">
        <v>19.506451265297173</v>
      </c>
      <c r="GQ950">
        <v>30.441430669095926</v>
      </c>
      <c r="GR950">
        <v>32.395081412153431</v>
      </c>
      <c r="GS950">
        <v>21.88088832224398</v>
      </c>
      <c r="GT950">
        <v>38.66125381700143</v>
      </c>
      <c r="GU950"/>
      <c r="GV950"/>
      <c r="GW950"/>
      <c r="GX950"/>
      <c r="GY950"/>
      <c r="GZ950"/>
      <c r="HA950"/>
      <c r="HB950"/>
      <c r="HC950"/>
    </row>
    <row r="951" spans="1:211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41.617895299145303</v>
      </c>
      <c r="AO951">
        <v>30.367780192495623</v>
      </c>
      <c r="AP951">
        <v>10.779258336043103</v>
      </c>
      <c r="AQ951">
        <v>202.00472295689826</v>
      </c>
      <c r="AR951">
        <v>29.119244279623835</v>
      </c>
      <c r="AS951">
        <v>290.65586056732781</v>
      </c>
      <c r="AT951">
        <v>23.457059308272957</v>
      </c>
      <c r="AU951">
        <v>25.168243894945732</v>
      </c>
      <c r="AV951"/>
      <c r="AW951"/>
      <c r="FY951" s="211">
        <v>946</v>
      </c>
      <c r="FZ951">
        <v>46.847045824958343</v>
      </c>
      <c r="GA951">
        <v>60.128768478015679</v>
      </c>
      <c r="GB951">
        <v>17.193346780743212</v>
      </c>
      <c r="GC951">
        <v>11.151736726000115</v>
      </c>
      <c r="GD951">
        <v>9.9801361757932643</v>
      </c>
      <c r="GE951">
        <v>13.508490876433292</v>
      </c>
      <c r="GF951">
        <v>34.87102126331817</v>
      </c>
      <c r="GG951">
        <v>29.330631845011649</v>
      </c>
      <c r="GH951">
        <v>16.507648357278249</v>
      </c>
      <c r="GI951">
        <v>26.771346419394121</v>
      </c>
      <c r="GJ951"/>
      <c r="GK951">
        <v>48.442469266454125</v>
      </c>
      <c r="GL951">
        <v>53.139300211163942</v>
      </c>
      <c r="GM951">
        <v>30.459191130396448</v>
      </c>
      <c r="GN951">
        <v>36.824743948183396</v>
      </c>
      <c r="GO951">
        <v>43.4248046053238</v>
      </c>
      <c r="GP951">
        <v>28.984162049565864</v>
      </c>
      <c r="GQ951">
        <v>46.982340293649415</v>
      </c>
      <c r="GR951">
        <v>44.116985870498411</v>
      </c>
      <c r="GS951">
        <v>19.862587432917366</v>
      </c>
      <c r="GT951">
        <v>37.834278545748234</v>
      </c>
      <c r="GU951"/>
      <c r="GV951"/>
      <c r="GW951"/>
      <c r="GX951"/>
      <c r="GY951"/>
      <c r="GZ951"/>
      <c r="HA951"/>
      <c r="HB951"/>
      <c r="HC951"/>
    </row>
    <row r="952" spans="1:211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51.159855769230766</v>
      </c>
      <c r="AO952">
        <v>39.957958228997072</v>
      </c>
      <c r="AP952">
        <v>31.418285324740726</v>
      </c>
      <c r="AQ952">
        <v>270.53428736560204</v>
      </c>
      <c r="AR952">
        <v>38.965481239506616</v>
      </c>
      <c r="AS952">
        <v>383.20326995907556</v>
      </c>
      <c r="AT952">
        <v>30.772999697144883</v>
      </c>
      <c r="AU952">
        <v>42.878608444967341</v>
      </c>
      <c r="AV952"/>
      <c r="AW952"/>
      <c r="FY952" s="211">
        <v>947</v>
      </c>
      <c r="FZ952">
        <v>28.93589291125668</v>
      </c>
      <c r="GA952">
        <v>65.257398730552325</v>
      </c>
      <c r="GB952">
        <v>23.579447013590691</v>
      </c>
      <c r="GC952">
        <v>8.9016457573576382</v>
      </c>
      <c r="GD952">
        <v>6.7645409185898888</v>
      </c>
      <c r="GE952">
        <v>8.5589574063263836</v>
      </c>
      <c r="GF952">
        <v>33.06068094571647</v>
      </c>
      <c r="GG952">
        <v>28.574931185558857</v>
      </c>
      <c r="GH952">
        <v>15.112316705178326</v>
      </c>
      <c r="GI952">
        <v>23.18141611524501</v>
      </c>
      <c r="GJ952"/>
      <c r="GK952">
        <v>29.929929383640868</v>
      </c>
      <c r="GL952">
        <v>57.671769935057341</v>
      </c>
      <c r="GM952">
        <v>41.772604978829413</v>
      </c>
      <c r="GN952">
        <v>29.377688564145483</v>
      </c>
      <c r="GO952">
        <v>29.413209486746535</v>
      </c>
      <c r="GP952">
        <v>18.364316984740487</v>
      </c>
      <c r="GQ952">
        <v>44.543236941710958</v>
      </c>
      <c r="GR952">
        <v>42.98031634726496</v>
      </c>
      <c r="GS952">
        <v>18.299666838471367</v>
      </c>
      <c r="GT952">
        <v>32.79172952587983</v>
      </c>
      <c r="GU952"/>
      <c r="GV952"/>
      <c r="GW952"/>
      <c r="GX952"/>
      <c r="GY952"/>
      <c r="GZ952"/>
      <c r="HA952"/>
      <c r="HB952"/>
      <c r="HC952"/>
    </row>
    <row r="953" spans="1:211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45.950400641025638</v>
      </c>
      <c r="AO953">
        <v>36.393402862676666</v>
      </c>
      <c r="AP953">
        <v>19.63319692562257</v>
      </c>
      <c r="AQ953">
        <v>243.69351553599083</v>
      </c>
      <c r="AR953">
        <v>34.183121650962583</v>
      </c>
      <c r="AS953">
        <v>287.97239237248903</v>
      </c>
      <c r="AT953">
        <v>27.619344553658493</v>
      </c>
      <c r="AU953">
        <v>17.903311894977747</v>
      </c>
      <c r="AV953"/>
      <c r="AW953"/>
      <c r="FY953" s="211">
        <v>948</v>
      </c>
      <c r="FZ953">
        <v>39.532793910366586</v>
      </c>
      <c r="GA953">
        <v>81.655579015019697</v>
      </c>
      <c r="GB953">
        <v>33.484418803313311</v>
      </c>
      <c r="GC953">
        <v>12.291693559165461</v>
      </c>
      <c r="GD953">
        <v>6.8249285952949039</v>
      </c>
      <c r="GE953">
        <v>10.973022315803053</v>
      </c>
      <c r="GF953">
        <v>27.937242085707776</v>
      </c>
      <c r="GG953">
        <v>20.262223931578099</v>
      </c>
      <c r="GH953">
        <v>12.32165340097848</v>
      </c>
      <c r="GI953">
        <v>25.795058496998355</v>
      </c>
      <c r="GJ953"/>
      <c r="GK953">
        <v>42.683504815338367</v>
      </c>
      <c r="GL953">
        <v>74.500158092258204</v>
      </c>
      <c r="GM953">
        <v>59.319940743745853</v>
      </c>
      <c r="GN953">
        <v>40.566800512576968</v>
      </c>
      <c r="GO953">
        <v>29.667342031379267</v>
      </c>
      <c r="GP953">
        <v>23.543996134282668</v>
      </c>
      <c r="GQ953">
        <v>37.640337649574469</v>
      </c>
      <c r="GR953">
        <v>30.476951591696977</v>
      </c>
      <c r="GS953">
        <v>15.173825649579371</v>
      </c>
      <c r="GT953">
        <v>36.896990177923456</v>
      </c>
      <c r="GU953"/>
      <c r="GV953"/>
      <c r="GW953"/>
      <c r="GX953"/>
      <c r="GY953"/>
      <c r="GZ953"/>
      <c r="HA953"/>
      <c r="HB953"/>
      <c r="HC953"/>
    </row>
    <row r="954" spans="1:211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44.519043803418796</v>
      </c>
      <c r="AO954">
        <v>35.767870086576508</v>
      </c>
      <c r="AP954">
        <v>40.114866444150188</v>
      </c>
      <c r="AQ954">
        <v>237.99643377281495</v>
      </c>
      <c r="AR954">
        <v>33.744249529798097</v>
      </c>
      <c r="AS954">
        <v>294.61310201604124</v>
      </c>
      <c r="AT954">
        <v>25.845941712667635</v>
      </c>
      <c r="AU954">
        <v>23.131441255219265</v>
      </c>
      <c r="AV954"/>
      <c r="AW954"/>
      <c r="FY954" s="211">
        <v>949</v>
      </c>
      <c r="FZ954">
        <v>51.489606325671332</v>
      </c>
      <c r="GA954">
        <v>76.654991694075605</v>
      </c>
      <c r="GB954">
        <v>29.093348313537497</v>
      </c>
      <c r="GC954">
        <v>13.429543656174376</v>
      </c>
      <c r="GD954">
        <v>7.2384220681561624</v>
      </c>
      <c r="GE954">
        <v>7.5270263715210737</v>
      </c>
      <c r="GF954">
        <v>24.668083842271692</v>
      </c>
      <c r="GG954">
        <v>21.230465401501991</v>
      </c>
      <c r="GH954">
        <v>9.4747393742265587</v>
      </c>
      <c r="GI954">
        <v>25.549829486784333</v>
      </c>
      <c r="GJ954"/>
      <c r="GK954">
        <v>56.843708782037268</v>
      </c>
      <c r="GL954">
        <v>72.417207056662477</v>
      </c>
      <c r="GM954">
        <v>51.540858694116913</v>
      </c>
      <c r="GN954">
        <v>44.3210994581924</v>
      </c>
      <c r="GO954">
        <v>31.462525476613962</v>
      </c>
      <c r="GP954">
        <v>16.150179475941986</v>
      </c>
      <c r="GQ954">
        <v>33.23574324704483</v>
      </c>
      <c r="GR954">
        <v>31.933309418339832</v>
      </c>
      <c r="GS954">
        <v>11.298849236598933</v>
      </c>
      <c r="GT954">
        <v>36.87633708728238</v>
      </c>
      <c r="GU954"/>
      <c r="GV954"/>
      <c r="GW954"/>
      <c r="GX954"/>
      <c r="GY954"/>
      <c r="GZ954"/>
      <c r="HA954"/>
      <c r="HB954"/>
      <c r="HC954"/>
    </row>
    <row r="955" spans="1:211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47.929433760683764</v>
      </c>
      <c r="AO955">
        <v>38.958812883601027</v>
      </c>
      <c r="AP955">
        <v>37.789675761346764</v>
      </c>
      <c r="AQ955">
        <v>271.10512452337048</v>
      </c>
      <c r="AR955">
        <v>37.062621152456487</v>
      </c>
      <c r="AS955">
        <v>330.61603657887372</v>
      </c>
      <c r="AT955">
        <v>28.706169639372224</v>
      </c>
      <c r="AU955">
        <v>17.727518577556985</v>
      </c>
      <c r="AV955"/>
      <c r="AW955"/>
      <c r="FY955" s="211">
        <v>950</v>
      </c>
      <c r="FZ955">
        <v>49.863418593810472</v>
      </c>
      <c r="GA955">
        <v>65.876371347237765</v>
      </c>
      <c r="GB955">
        <v>20.170853482714485</v>
      </c>
      <c r="GC955">
        <v>12.522253543979671</v>
      </c>
      <c r="GD955">
        <v>8.56529637575672</v>
      </c>
      <c r="GE955">
        <v>10.622819475937</v>
      </c>
      <c r="GF955">
        <v>17.207021077010328</v>
      </c>
      <c r="GG955">
        <v>9.6115677624152518</v>
      </c>
      <c r="GH955">
        <v>6.3914938795538028</v>
      </c>
      <c r="GI955">
        <v>22.088732782653135</v>
      </c>
      <c r="GJ955"/>
      <c r="GK955">
        <v>51.576379616717951</v>
      </c>
      <c r="GL955">
        <v>58.21879214311344</v>
      </c>
      <c r="GM955">
        <v>35.734048136651694</v>
      </c>
      <c r="GN955">
        <v>41.343664187159597</v>
      </c>
      <c r="GO955">
        <v>37.258758088039372</v>
      </c>
      <c r="GP955">
        <v>22.792592002337479</v>
      </c>
      <c r="GQ955">
        <v>23.183322150948982</v>
      </c>
      <c r="GR955">
        <v>14.457015498625488</v>
      </c>
      <c r="GS955">
        <v>8.5314131231838779</v>
      </c>
      <c r="GT955">
        <v>31.256784223108372</v>
      </c>
      <c r="GU955"/>
      <c r="GV955"/>
      <c r="GW955"/>
      <c r="GX955"/>
      <c r="GY955"/>
      <c r="GZ955"/>
      <c r="HA955"/>
      <c r="HB955"/>
      <c r="HC955"/>
    </row>
    <row r="956" spans="1:211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44.43092948717949</v>
      </c>
      <c r="AO956">
        <v>33.332167068427587</v>
      </c>
      <c r="AP956">
        <v>0</v>
      </c>
      <c r="AQ956">
        <v>215.95345654441289</v>
      </c>
      <c r="AR956">
        <v>32.433225418269608</v>
      </c>
      <c r="AS956">
        <v>275.33286702613719</v>
      </c>
      <c r="AT956">
        <v>27.027687848558021</v>
      </c>
      <c r="AU956">
        <v>19.927237579186446</v>
      </c>
      <c r="AV956"/>
      <c r="AW956"/>
      <c r="FY956" s="211">
        <v>951</v>
      </c>
      <c r="FZ956">
        <v>63.085823711736637</v>
      </c>
      <c r="GA956">
        <v>105.56066724384463</v>
      </c>
      <c r="GB956">
        <v>38.908092627442791</v>
      </c>
      <c r="GC956">
        <v>14.000955606464782</v>
      </c>
      <c r="GD956">
        <v>7.9787268462540624</v>
      </c>
      <c r="GE956">
        <v>11.276531443686967</v>
      </c>
      <c r="GF956">
        <v>10.73022100869745</v>
      </c>
      <c r="GG956">
        <v>5.4552141354248729</v>
      </c>
      <c r="GH956">
        <v>8.3719899125995436</v>
      </c>
      <c r="GI956">
        <v>27.2172919850263</v>
      </c>
      <c r="GJ956"/>
      <c r="GK956">
        <v>72.445602212015757</v>
      </c>
      <c r="GL956">
        <v>102.63555806328299</v>
      </c>
      <c r="GM956">
        <v>68.928350307328628</v>
      </c>
      <c r="GN956">
        <v>46.231423551801079</v>
      </c>
      <c r="GO956">
        <v>34.710348925085079</v>
      </c>
      <c r="GP956">
        <v>24.195213048635168</v>
      </c>
      <c r="GQ956">
        <v>14.457015498625488</v>
      </c>
      <c r="GR956">
        <v>8.2053331208414928</v>
      </c>
      <c r="GS956">
        <v>9.3775235666759915</v>
      </c>
      <c r="GT956">
        <v>39.98376810194619</v>
      </c>
      <c r="GU956"/>
      <c r="GV956"/>
      <c r="GW956"/>
      <c r="GX956"/>
      <c r="GY956"/>
      <c r="GZ956"/>
      <c r="HA956"/>
      <c r="HB956"/>
      <c r="HC956"/>
    </row>
    <row r="957" spans="1:211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52.941372863247864</v>
      </c>
      <c r="AO957">
        <v>39.21614005050256</v>
      </c>
      <c r="AP957">
        <v>20.005801108090772</v>
      </c>
      <c r="AQ957">
        <v>270.97496601238595</v>
      </c>
      <c r="AR957">
        <v>38.104066063489832</v>
      </c>
      <c r="AS957">
        <v>362.10276593386499</v>
      </c>
      <c r="AT957">
        <v>30.427941516358832</v>
      </c>
      <c r="AU957">
        <v>39.372457734114555</v>
      </c>
      <c r="AV957"/>
      <c r="AW957"/>
      <c r="FY957" s="211">
        <v>952</v>
      </c>
      <c r="FZ957">
        <v>59.713464386971722</v>
      </c>
      <c r="GA957">
        <v>96.245647836891152</v>
      </c>
      <c r="GB957">
        <v>30.747518703521539</v>
      </c>
      <c r="GC957">
        <v>12.32430830285554</v>
      </c>
      <c r="GD957">
        <v>8.2399302939886194</v>
      </c>
      <c r="GE957">
        <v>10.319310348053085</v>
      </c>
      <c r="GF957">
        <v>19.571009161645556</v>
      </c>
      <c r="GG957">
        <v>15.539094809998119</v>
      </c>
      <c r="GH957">
        <v>16.158815444253268</v>
      </c>
      <c r="GI957">
        <v>27.960294223363853</v>
      </c>
      <c r="GJ957"/>
      <c r="GK957">
        <v>63.55164476976438</v>
      </c>
      <c r="GL957">
        <v>87.394252996437672</v>
      </c>
      <c r="GM957">
        <v>54.471334808703155</v>
      </c>
      <c r="GN957">
        <v>40.678361976708651</v>
      </c>
      <c r="GO957">
        <v>35.829756041665959</v>
      </c>
      <c r="GP957">
        <v>22.141375087984983</v>
      </c>
      <c r="GQ957">
        <v>26.368364877509386</v>
      </c>
      <c r="GR957">
        <v>23.372767071487885</v>
      </c>
      <c r="GS957">
        <v>19.471857284305862</v>
      </c>
      <c r="GT957">
        <v>39.938591556389753</v>
      </c>
      <c r="GU957"/>
      <c r="GV957"/>
      <c r="GW957"/>
      <c r="GX957"/>
      <c r="GY957"/>
      <c r="GZ957"/>
      <c r="HA957"/>
      <c r="HB957"/>
      <c r="HC957"/>
    </row>
    <row r="958" spans="1:211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49.721928418803415</v>
      </c>
      <c r="AO958">
        <v>38.978797733709833</v>
      </c>
      <c r="AP958">
        <v>20.158936432021886</v>
      </c>
      <c r="AQ958">
        <v>258.79489207628194</v>
      </c>
      <c r="AR958">
        <v>37.143134202592954</v>
      </c>
      <c r="AS958">
        <v>361.24074213764931</v>
      </c>
      <c r="AT958">
        <v>29.786575588599614</v>
      </c>
      <c r="AU958">
        <v>14.579834080937669</v>
      </c>
      <c r="AV958"/>
      <c r="AW958"/>
      <c r="FY958" s="211">
        <v>953</v>
      </c>
      <c r="FZ958">
        <v>58.077159712152309</v>
      </c>
      <c r="GA958">
        <v>120.07149952158397</v>
      </c>
      <c r="GB958">
        <v>43.559820269579738</v>
      </c>
      <c r="GC958">
        <v>11.802105368344044</v>
      </c>
      <c r="GD958">
        <v>8.7329311053453154</v>
      </c>
      <c r="GE958">
        <v>11.229837731704826</v>
      </c>
      <c r="GF958">
        <v>29.77394658269202</v>
      </c>
      <c r="GG958">
        <v>23.119717050133985</v>
      </c>
      <c r="GH958">
        <v>9.4747393742265569</v>
      </c>
      <c r="GI958">
        <v>32.073603002479942</v>
      </c>
      <c r="GJ958"/>
      <c r="GK958">
        <v>63.668001746336806</v>
      </c>
      <c r="GL958">
        <v>110.78690765031172</v>
      </c>
      <c r="GM958">
        <v>77.169204350771167</v>
      </c>
      <c r="GN958">
        <v>38.965128562220364</v>
      </c>
      <c r="GO958">
        <v>37.988303190691617</v>
      </c>
      <c r="GP958">
        <v>24.095025831042477</v>
      </c>
      <c r="GQ958">
        <v>40.114961924113963</v>
      </c>
      <c r="GR958">
        <v>34.774983226423473</v>
      </c>
      <c r="GS958">
        <v>11.298849236598929</v>
      </c>
      <c r="GT958">
        <v>46.047864089702493</v>
      </c>
      <c r="GU958"/>
      <c r="GV958"/>
      <c r="GW958"/>
      <c r="GX958"/>
      <c r="GY958"/>
      <c r="GZ958"/>
      <c r="HA958"/>
      <c r="HB958"/>
      <c r="HC958"/>
    </row>
    <row r="959" spans="1:211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47.486912393162392</v>
      </c>
      <c r="AO959">
        <v>34.750097748770202</v>
      </c>
      <c r="AP959">
        <v>18.001468631994715</v>
      </c>
      <c r="AQ959">
        <v>241.41035439292023</v>
      </c>
      <c r="AR959">
        <v>33.502556623873943</v>
      </c>
      <c r="AS959">
        <v>331.85678111032212</v>
      </c>
      <c r="AT959">
        <v>26.731100624237332</v>
      </c>
      <c r="AU959">
        <v>30.668457391177522</v>
      </c>
      <c r="AV959"/>
      <c r="AW959"/>
      <c r="FY959" s="211">
        <v>954</v>
      </c>
      <c r="FZ959">
        <v>36.717608237260436</v>
      </c>
      <c r="GA959">
        <v>64.196302816234407</v>
      </c>
      <c r="GB959">
        <v>27.218621871555584</v>
      </c>
      <c r="GC959">
        <v>11.524501871622626</v>
      </c>
      <c r="GD959">
        <v>8.8822911851358821</v>
      </c>
      <c r="GE959">
        <v>11.276531443686967</v>
      </c>
      <c r="GF959">
        <v>32.770674972508424</v>
      </c>
      <c r="GG959">
        <v>26.756526473750561</v>
      </c>
      <c r="GH959">
        <v>15.697481086124144</v>
      </c>
      <c r="GI959">
        <v>26.555449806403995</v>
      </c>
      <c r="GJ959"/>
      <c r="GK959">
        <v>37.97897044503776</v>
      </c>
      <c r="GL959">
        <v>56.734017578389746</v>
      </c>
      <c r="GM959">
        <v>48.219652430919162</v>
      </c>
      <c r="GN959">
        <v>38.059768438684046</v>
      </c>
      <c r="GO959">
        <v>38.651328418924535</v>
      </c>
      <c r="GP959">
        <v>24.195213048635168</v>
      </c>
      <c r="GQ959">
        <v>44.152506793099455</v>
      </c>
      <c r="GR959">
        <v>40.24520530698446</v>
      </c>
      <c r="GS959">
        <v>17.582856687517484</v>
      </c>
      <c r="GT959">
        <v>37.317062955099679</v>
      </c>
      <c r="GU959"/>
      <c r="GV959"/>
      <c r="GW959"/>
      <c r="GX959"/>
      <c r="GY959"/>
      <c r="GZ959"/>
      <c r="HA959"/>
      <c r="HB959"/>
      <c r="HC959"/>
    </row>
    <row r="960" spans="1:211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53.939636752136757</v>
      </c>
      <c r="AO960">
        <v>41.86213355415385</v>
      </c>
      <c r="AP960">
        <v>19.01208975678394</v>
      </c>
      <c r="AQ960">
        <v>289.16548435783534</v>
      </c>
      <c r="AR960">
        <v>39.704942223244018</v>
      </c>
      <c r="AS960">
        <v>393.2243429404449</v>
      </c>
      <c r="AT960">
        <v>32.000666677004581</v>
      </c>
      <c r="AU960">
        <v>22.247768986152707</v>
      </c>
      <c r="AV960"/>
      <c r="AW960"/>
      <c r="FY960" s="211">
        <v>955</v>
      </c>
      <c r="FZ960">
        <v>42.096007004658247</v>
      </c>
      <c r="GA960">
        <v>61.897261668545575</v>
      </c>
      <c r="GB960">
        <v>24.130837143585371</v>
      </c>
      <c r="GC960">
        <v>13.028135921235481</v>
      </c>
      <c r="GD960">
        <v>7.0609787274635867</v>
      </c>
      <c r="GE960">
        <v>10.790916839072706</v>
      </c>
      <c r="GF960">
        <v>34.871021263318163</v>
      </c>
      <c r="GG960">
        <v>23.096101404526085</v>
      </c>
      <c r="GH960">
        <v>8.7770735481765971</v>
      </c>
      <c r="GI960">
        <v>24.759710746991878</v>
      </c>
      <c r="GJ960"/>
      <c r="GK960">
        <v>43.522419412521167</v>
      </c>
      <c r="GL960">
        <v>54.702220805609954</v>
      </c>
      <c r="GM960">
        <v>42.749430350358161</v>
      </c>
      <c r="GN960">
        <v>43.014513738739538</v>
      </c>
      <c r="GO960">
        <v>30.711978814800538</v>
      </c>
      <c r="GP960">
        <v>23.153265985671172</v>
      </c>
      <c r="GQ960">
        <v>46.982340293649408</v>
      </c>
      <c r="GR960">
        <v>34.739462303822421</v>
      </c>
      <c r="GS960">
        <v>10.517388939375934</v>
      </c>
      <c r="GT960">
        <v>34.896711562141036</v>
      </c>
      <c r="GU960"/>
      <c r="GV960"/>
      <c r="GW960"/>
      <c r="GX960"/>
      <c r="GY960"/>
      <c r="GZ960"/>
      <c r="HA960"/>
      <c r="HB960"/>
      <c r="HC960"/>
    </row>
    <row r="961" spans="1:211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52.734588675213672</v>
      </c>
      <c r="AO961">
        <v>40.441372119396156</v>
      </c>
      <c r="AP961">
        <v>30.700077953318715</v>
      </c>
      <c r="AQ961">
        <v>275.47694506064806</v>
      </c>
      <c r="AR961">
        <v>38.661253817001459</v>
      </c>
      <c r="AS961">
        <v>371.3174542092587</v>
      </c>
      <c r="AT961">
        <v>30.736244781501117</v>
      </c>
      <c r="AU961">
        <v>33.99512082276047</v>
      </c>
      <c r="AV961"/>
      <c r="AW961"/>
      <c r="FY961" s="211">
        <v>956</v>
      </c>
      <c r="FZ961">
        <v>40.419589314679705</v>
      </c>
      <c r="GA961">
        <v>74.276714002254678</v>
      </c>
      <c r="GB961">
        <v>28.211124105546006</v>
      </c>
      <c r="GC961">
        <v>13.635836729460369</v>
      </c>
      <c r="GD961">
        <v>9.8117314513178489</v>
      </c>
      <c r="GE961">
        <v>13.461797164451148</v>
      </c>
      <c r="GF961">
        <v>30.160621213636073</v>
      </c>
      <c r="GG961">
        <v>22.080628643386387</v>
      </c>
      <c r="GH961">
        <v>10.464987390749426</v>
      </c>
      <c r="GI961">
        <v>26.590046671418754</v>
      </c>
      <c r="GJ961"/>
      <c r="GK961">
        <v>41.808125901430465</v>
      </c>
      <c r="GL961">
        <v>65.642664966731942</v>
      </c>
      <c r="GM961">
        <v>49.977938099670908</v>
      </c>
      <c r="GN961">
        <v>45.01781335870087</v>
      </c>
      <c r="GO961">
        <v>42.678897224355104</v>
      </c>
      <c r="GP961">
        <v>28.883974831973163</v>
      </c>
      <c r="GQ961">
        <v>40.635935455595963</v>
      </c>
      <c r="GR961">
        <v>33.212062631977467</v>
      </c>
      <c r="GS961">
        <v>11.721904458344987</v>
      </c>
      <c r="GT961">
        <v>37.364560227879487</v>
      </c>
      <c r="GU961"/>
      <c r="GV961"/>
      <c r="GW961"/>
      <c r="GX961"/>
      <c r="GY961"/>
      <c r="GZ961"/>
      <c r="HA961"/>
      <c r="HB961"/>
      <c r="HC961"/>
    </row>
    <row r="962" spans="1:211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52.28004807692308</v>
      </c>
      <c r="AO962">
        <v>39.007086335390099</v>
      </c>
      <c r="AP962">
        <v>22.730782808431279</v>
      </c>
      <c r="AQ962">
        <v>266.29017274694604</v>
      </c>
      <c r="AR962">
        <v>37.834278545748255</v>
      </c>
      <c r="AS962">
        <v>364.62350896524032</v>
      </c>
      <c r="AT962">
        <v>30.436024982454953</v>
      </c>
      <c r="AU962">
        <v>44.598796148098337</v>
      </c>
      <c r="AV962"/>
      <c r="AW962"/>
      <c r="FY962" s="211">
        <v>957</v>
      </c>
      <c r="FZ962">
        <v>31.14416357677862</v>
      </c>
      <c r="GA962">
        <v>63.046782242389973</v>
      </c>
      <c r="GB962">
        <v>30.316431874616601</v>
      </c>
      <c r="GC962">
        <v>13.987731271915651</v>
      </c>
      <c r="GD962">
        <v>8.5030725459167424</v>
      </c>
      <c r="GE962">
        <v>14.918640978293936</v>
      </c>
      <c r="GF962">
        <v>26.944191328965097</v>
      </c>
      <c r="GG962">
        <v>15.302938353919123</v>
      </c>
      <c r="GH962">
        <v>11.623987574928517</v>
      </c>
      <c r="GI962">
        <v>24.555420305177201</v>
      </c>
      <c r="GJ962"/>
      <c r="GK962">
        <v>32.202464282731427</v>
      </c>
      <c r="GL962">
        <v>55.718119191999833</v>
      </c>
      <c r="GM962">
        <v>53.707634972780674</v>
      </c>
      <c r="GN962">
        <v>46.195425903654254</v>
      </c>
      <c r="GO962">
        <v>37.000971707306725</v>
      </c>
      <c r="GP962">
        <v>32.009816020865159</v>
      </c>
      <c r="GQ962">
        <v>36.302382898268419</v>
      </c>
      <c r="GR962">
        <v>23.017557845477434</v>
      </c>
      <c r="GS962">
        <v>14.39236535235637</v>
      </c>
      <c r="GT962">
        <v>34.721163842688725</v>
      </c>
      <c r="GU962"/>
      <c r="GV962"/>
      <c r="GW962"/>
      <c r="GX962"/>
      <c r="GY962"/>
      <c r="GZ962"/>
      <c r="HA962"/>
      <c r="HB962"/>
      <c r="HC962"/>
    </row>
    <row r="963" spans="1:211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46.023611111111109</v>
      </c>
      <c r="AO963">
        <v>34.514446898648721</v>
      </c>
      <c r="AP963">
        <v>12.53180458425221</v>
      </c>
      <c r="AQ963">
        <v>241.9272276893723</v>
      </c>
      <c r="AR963">
        <v>32.79172952587983</v>
      </c>
      <c r="AS963">
        <v>312.0819915421593</v>
      </c>
      <c r="AT963">
        <v>26.609135416901438</v>
      </c>
      <c r="AU963">
        <v>10.033117998849534</v>
      </c>
      <c r="AV963"/>
      <c r="AW963"/>
      <c r="FY963" s="211">
        <v>958</v>
      </c>
      <c r="FZ963">
        <v>48.976623189497367</v>
      </c>
      <c r="GA963">
        <v>95.361401241626197</v>
      </c>
      <c r="GB963">
        <v>40.462010266518718</v>
      </c>
      <c r="GC963">
        <v>11.808861497121784</v>
      </c>
      <c r="GD963">
        <v>5.7793369247163469</v>
      </c>
      <c r="GE963">
        <v>10.926328603820913</v>
      </c>
      <c r="GF963">
        <v>33.930698865340581</v>
      </c>
      <c r="GG963">
        <v>26.496754372063666</v>
      </c>
      <c r="GH963">
        <v>16.158815444253271</v>
      </c>
      <c r="GI963">
        <v>30.059603148817782</v>
      </c>
      <c r="GJ963"/>
      <c r="GK963">
        <v>52.451758530625867</v>
      </c>
      <c r="GL963">
        <v>86.612792699214666</v>
      </c>
      <c r="GM963">
        <v>71.68122180890964</v>
      </c>
      <c r="GN963">
        <v>38.987442987956918</v>
      </c>
      <c r="GO963">
        <v>25.1342831735492</v>
      </c>
      <c r="GP963">
        <v>23.443808916689978</v>
      </c>
      <c r="GQ963">
        <v>45.715427387545454</v>
      </c>
      <c r="GR963">
        <v>39.854475158372964</v>
      </c>
      <c r="GS963">
        <v>19.471857284305869</v>
      </c>
      <c r="GT963">
        <v>42.890909636987189</v>
      </c>
      <c r="GU963"/>
      <c r="GV963"/>
      <c r="GW963"/>
      <c r="GX963"/>
      <c r="GY963"/>
      <c r="GZ963"/>
      <c r="HA963"/>
      <c r="HB963"/>
      <c r="HC963"/>
    </row>
    <row r="964" spans="1:211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50.423878205128197</v>
      </c>
      <c r="AO964">
        <v>39.046984739835565</v>
      </c>
      <c r="AP964">
        <v>37.862150697995517</v>
      </c>
      <c r="AQ964">
        <v>271.07861411422567</v>
      </c>
      <c r="AR964">
        <v>36.896990177923485</v>
      </c>
      <c r="AS964">
        <v>347.62627024755665</v>
      </c>
      <c r="AT964">
        <v>28.901695349770517</v>
      </c>
      <c r="AU964">
        <v>24.190184025549595</v>
      </c>
      <c r="AV964"/>
      <c r="AW964"/>
      <c r="FY964" s="211">
        <v>959</v>
      </c>
      <c r="FZ964">
        <v>41.084896814571145</v>
      </c>
      <c r="GA964">
        <v>69.413357728297512</v>
      </c>
      <c r="GB964">
        <v>28.551983458633629</v>
      </c>
      <c r="GC964">
        <v>12.920364317267339</v>
      </c>
      <c r="GD964">
        <v>7.7834866669814797</v>
      </c>
      <c r="GE964">
        <v>9.0912657229227847</v>
      </c>
      <c r="GF964">
        <v>25.757803256750385</v>
      </c>
      <c r="GG964">
        <v>19.955220538675395</v>
      </c>
      <c r="GH964">
        <v>10.172405200276522</v>
      </c>
      <c r="GI964">
        <v>24.646515162440789</v>
      </c>
      <c r="GJ964"/>
      <c r="GK964">
        <v>42.485851790471713</v>
      </c>
      <c r="GL964">
        <v>61.344633332005436</v>
      </c>
      <c r="GM964">
        <v>50.581793783888678</v>
      </c>
      <c r="GN964">
        <v>42.647040802405058</v>
      </c>
      <c r="GO964">
        <v>33.843316754669033</v>
      </c>
      <c r="GP964">
        <v>19.506451265297173</v>
      </c>
      <c r="GQ964">
        <v>34.70394138122137</v>
      </c>
      <c r="GR964">
        <v>30.015179597883378</v>
      </c>
      <c r="GS964">
        <v>12.080309533821932</v>
      </c>
      <c r="GT964">
        <v>34.739042648814554</v>
      </c>
      <c r="GU964"/>
      <c r="GV964"/>
      <c r="GW964"/>
      <c r="GX964"/>
      <c r="GY964"/>
      <c r="GZ964"/>
      <c r="HA964"/>
      <c r="HB964"/>
      <c r="HC964"/>
    </row>
    <row r="965" spans="1:211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48.399305555555564</v>
      </c>
      <c r="AO965">
        <v>38.607981793283088</v>
      </c>
      <c r="AP965">
        <v>51.458677555357227</v>
      </c>
      <c r="AQ965">
        <v>266.35605653392059</v>
      </c>
      <c r="AR965">
        <v>36.87633708728238</v>
      </c>
      <c r="AS965">
        <v>343.65438116129752</v>
      </c>
      <c r="AT965">
        <v>28.031575604548916</v>
      </c>
      <c r="AU965">
        <v>31.2506196237971</v>
      </c>
      <c r="AV965"/>
      <c r="AW965"/>
      <c r="FY965" s="211">
        <v>960</v>
      </c>
      <c r="FZ965">
        <v>52.971178463082502</v>
      </c>
      <c r="GA965">
        <v>91.638377426119092</v>
      </c>
      <c r="GB965">
        <v>38.035893694542132</v>
      </c>
      <c r="GC965">
        <v>15.238657323990598</v>
      </c>
      <c r="GD965">
        <v>6.4907726775184109</v>
      </c>
      <c r="GE965">
        <v>7.6951237346567769</v>
      </c>
      <c r="GF965">
        <v>24.430806227828754</v>
      </c>
      <c r="GG965">
        <v>19.719064082596397</v>
      </c>
      <c r="GH965">
        <v>13.075569949580514</v>
      </c>
      <c r="GI965">
        <v>28.074463989026274</v>
      </c>
      <c r="GJ965"/>
      <c r="GK965">
        <v>60.18157219431162</v>
      </c>
      <c r="GL965">
        <v>87.995258738306518</v>
      </c>
      <c r="GM965">
        <v>67.38319017418317</v>
      </c>
      <c r="GN965">
        <v>50.288635784270198</v>
      </c>
      <c r="GO965">
        <v>28.20008668374318</v>
      </c>
      <c r="GP965">
        <v>16.510853459275673</v>
      </c>
      <c r="GQ965">
        <v>32.916054943635423</v>
      </c>
      <c r="GR965">
        <v>29.659970371872923</v>
      </c>
      <c r="GS965">
        <v>16.704421170890811</v>
      </c>
      <c r="GT965">
        <v>41.077065033352838</v>
      </c>
      <c r="GU965"/>
      <c r="GV965"/>
      <c r="GW965"/>
      <c r="GX965"/>
      <c r="GY965"/>
      <c r="GZ965"/>
      <c r="HA965"/>
      <c r="HB965"/>
      <c r="HC965"/>
    </row>
    <row r="966" spans="1:211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43.041666666666664</v>
      </c>
      <c r="AO966">
        <v>32.435276916988627</v>
      </c>
      <c r="AP966">
        <v>8.4329329344694912</v>
      </c>
      <c r="AQ966">
        <v>222.91982832106862</v>
      </c>
      <c r="AR966">
        <v>31.256784223108362</v>
      </c>
      <c r="AS966">
        <v>299.90780359335537</v>
      </c>
      <c r="AT966">
        <v>25.462201491852269</v>
      </c>
      <c r="AU966">
        <v>20.875681956860685</v>
      </c>
      <c r="AV966"/>
      <c r="AW966"/>
      <c r="FY966" s="211">
        <v>961</v>
      </c>
      <c r="FZ966">
        <v>35.162506797143806</v>
      </c>
      <c r="GA966">
        <v>78.825989910171899</v>
      </c>
      <c r="GB966">
        <v>31.639768186603835</v>
      </c>
      <c r="GC966">
        <v>15.503498777292618</v>
      </c>
      <c r="GD966">
        <v>11.097187709792662</v>
      </c>
      <c r="GE966">
        <v>14.082823533813622</v>
      </c>
      <c r="GF966">
        <v>28.780895825949344</v>
      </c>
      <c r="GG966">
        <v>21.277696692717793</v>
      </c>
      <c r="GH966">
        <v>14.302149434024219</v>
      </c>
      <c r="GI966">
        <v>27.771327177109995</v>
      </c>
      <c r="GJ966"/>
      <c r="GK966">
        <v>38.165404289960676</v>
      </c>
      <c r="GL966">
        <v>71.999485141144604</v>
      </c>
      <c r="GM966">
        <v>56.052015864449672</v>
      </c>
      <c r="GN966">
        <v>51.190246090746832</v>
      </c>
      <c r="GO966">
        <v>48.277530437461103</v>
      </c>
      <c r="GP966">
        <v>30.216464825955978</v>
      </c>
      <c r="GQ966">
        <v>38.77700717280792</v>
      </c>
      <c r="GR966">
        <v>32.004351263541928</v>
      </c>
      <c r="GS966">
        <v>16.019936093071486</v>
      </c>
      <c r="GT966">
        <v>39.458378771550166</v>
      </c>
      <c r="GU966"/>
      <c r="GV966"/>
      <c r="GW966"/>
      <c r="GX966"/>
      <c r="GY966"/>
      <c r="GZ966"/>
      <c r="HA966"/>
      <c r="HB966"/>
      <c r="HC966"/>
    </row>
    <row r="967" spans="1:211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47.958199786324784</v>
      </c>
      <c r="AO967">
        <v>42.117013639623792</v>
      </c>
      <c r="AP967">
        <v>70.802831997289459</v>
      </c>
      <c r="AQ967">
        <v>292.58551452117797</v>
      </c>
      <c r="AR967">
        <v>39.98376810194619</v>
      </c>
      <c r="AS967">
        <v>352.09890856153601</v>
      </c>
      <c r="AT967">
        <v>30.126217970765477</v>
      </c>
      <c r="AU967">
        <v>17.024611836642546</v>
      </c>
      <c r="AV967"/>
      <c r="AW967"/>
      <c r="FY967" s="211">
        <v>962</v>
      </c>
      <c r="FZ967">
        <v>55.833451427556454</v>
      </c>
      <c r="GA967">
        <v>64.668856270538512</v>
      </c>
      <c r="GB967">
        <v>18.526708367821257</v>
      </c>
      <c r="GC967">
        <v>13.536587325777461</v>
      </c>
      <c r="GD967">
        <v>10.162886578834502</v>
      </c>
      <c r="GE967">
        <v>14.222904669760043</v>
      </c>
      <c r="GF967">
        <v>21.240740522540325</v>
      </c>
      <c r="GG967">
        <v>14.00407784548463</v>
      </c>
      <c r="GH967">
        <v>14.763483792153345</v>
      </c>
      <c r="GI967">
        <v>25.492462286306743</v>
      </c>
      <c r="GJ967"/>
      <c r="GK967">
        <v>63.147971305187085</v>
      </c>
      <c r="GL967">
        <v>64.160719673005048</v>
      </c>
      <c r="GM967">
        <v>32.821332483365971</v>
      </c>
      <c r="GN967">
        <v>44.705368740184767</v>
      </c>
      <c r="GO967">
        <v>44.224470095739832</v>
      </c>
      <c r="GP967">
        <v>30.517026478734046</v>
      </c>
      <c r="GQ967">
        <v>28.618023308908928</v>
      </c>
      <c r="GR967">
        <v>21.063907102419936</v>
      </c>
      <c r="GS967">
        <v>17.908936689859864</v>
      </c>
      <c r="GT967">
        <v>37.344146776612327</v>
      </c>
      <c r="GU967"/>
      <c r="GV967"/>
      <c r="GW967"/>
      <c r="GX967"/>
      <c r="GY967"/>
      <c r="GZ967"/>
      <c r="HA967"/>
      <c r="HB967"/>
      <c r="HC967"/>
    </row>
    <row r="968" spans="1:211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53.637954059829063</v>
      </c>
      <c r="AO968">
        <v>41.321830647095773</v>
      </c>
      <c r="AP968">
        <v>38.812114906471407</v>
      </c>
      <c r="AQ968">
        <v>296.81939351154244</v>
      </c>
      <c r="AR968">
        <v>39.938591556389774</v>
      </c>
      <c r="AS968">
        <v>367.55167709578683</v>
      </c>
      <c r="AT968">
        <v>31.16896545439192</v>
      </c>
      <c r="AU968">
        <v>41.168897207427761</v>
      </c>
      <c r="AV968"/>
      <c r="AW968"/>
      <c r="FY968" s="211">
        <v>963</v>
      </c>
      <c r="FZ968">
        <v>38.074521117543178</v>
      </c>
      <c r="GA968">
        <v>73.03876876888377</v>
      </c>
      <c r="GB968">
        <v>28.110871354637887</v>
      </c>
      <c r="GC968">
        <v>12.459805985478422</v>
      </c>
      <c r="GD968">
        <v>8.4140803936316697</v>
      </c>
      <c r="GE968">
        <v>12.719367143935113</v>
      </c>
      <c r="GF968">
        <v>29.211510755864307</v>
      </c>
      <c r="GG968">
        <v>18.892516486319906</v>
      </c>
      <c r="GH968">
        <v>7.0329089830516907</v>
      </c>
      <c r="GI968">
        <v>24.646509294521962</v>
      </c>
      <c r="GJ968"/>
      <c r="GK968">
        <v>39.374379800095404</v>
      </c>
      <c r="GL968">
        <v>64.548620550619745</v>
      </c>
      <c r="GM968">
        <v>49.800333486665686</v>
      </c>
      <c r="GN968">
        <v>41.145090008646449</v>
      </c>
      <c r="GO968">
        <v>36.609341430359109</v>
      </c>
      <c r="GP968">
        <v>27.290998072249355</v>
      </c>
      <c r="GQ968">
        <v>39.357182241958327</v>
      </c>
      <c r="GR968">
        <v>28.416738080836339</v>
      </c>
      <c r="GS968">
        <v>8.5637381963184325</v>
      </c>
      <c r="GT968">
        <v>34.740995031079386</v>
      </c>
      <c r="GU968"/>
      <c r="GV968"/>
      <c r="GW968"/>
      <c r="GX968"/>
      <c r="GY968"/>
      <c r="GZ968"/>
      <c r="HA968"/>
      <c r="HB968"/>
      <c r="HC968"/>
    </row>
    <row r="969" spans="1:211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60.530261752136745</v>
      </c>
      <c r="AO969">
        <v>48.490922980821296</v>
      </c>
      <c r="AP969">
        <v>38.632794480680623</v>
      </c>
      <c r="AQ969">
        <v>347.91535971824271</v>
      </c>
      <c r="AR969">
        <v>46.047864089702529</v>
      </c>
      <c r="AS969">
        <v>441.04528319852915</v>
      </c>
      <c r="AT969">
        <v>36.223816224660901</v>
      </c>
      <c r="AU969">
        <v>26.793526506603094</v>
      </c>
      <c r="AV969"/>
      <c r="AW969"/>
      <c r="FY969" s="211">
        <v>964</v>
      </c>
      <c r="FZ969">
        <v>27.26212928583578</v>
      </c>
      <c r="GA969">
        <v>49.517809334836443</v>
      </c>
      <c r="GB969">
        <v>22.937829407778697</v>
      </c>
      <c r="GC969">
        <v>15.144758876472769</v>
      </c>
      <c r="GD969">
        <v>10.402561634120557</v>
      </c>
      <c r="GE969">
        <v>10.898312376631628</v>
      </c>
      <c r="GF969">
        <v>22.910471883435097</v>
      </c>
      <c r="GG969">
        <v>17.404730813022212</v>
      </c>
      <c r="GH969">
        <v>10.464987390749428</v>
      </c>
      <c r="GI969">
        <v>22.301411615734384</v>
      </c>
      <c r="GJ969"/>
      <c r="GK969">
        <v>28.196347531234586</v>
      </c>
      <c r="GL969">
        <v>43.761776644487952</v>
      </c>
      <c r="GM969">
        <v>40.635935455595956</v>
      </c>
      <c r="GN969">
        <v>50.020745365369599</v>
      </c>
      <c r="GO969">
        <v>45.271871251475986</v>
      </c>
      <c r="GP969">
        <v>23.383696586134363</v>
      </c>
      <c r="GQ969">
        <v>30.867681740308473</v>
      </c>
      <c r="GR969">
        <v>26.178919956970475</v>
      </c>
      <c r="GS969">
        <v>11.721904458344989</v>
      </c>
      <c r="GT969">
        <v>31.338748087391995</v>
      </c>
      <c r="GU969"/>
      <c r="GV969"/>
      <c r="GW969"/>
      <c r="GX969"/>
      <c r="GY969"/>
      <c r="GZ969"/>
      <c r="HA969"/>
      <c r="HB969"/>
      <c r="HC969"/>
    </row>
    <row r="970" spans="1:211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51.176362179487185</v>
      </c>
      <c r="AO970">
        <v>38.313658210329152</v>
      </c>
      <c r="AP970">
        <v>0.52622422912331424</v>
      </c>
      <c r="AQ970">
        <v>261.59598976428305</v>
      </c>
      <c r="AR970">
        <v>37.317062955099686</v>
      </c>
      <c r="AS970">
        <v>382.91076513982767</v>
      </c>
      <c r="AT970">
        <v>31.024902409528547</v>
      </c>
      <c r="AU970">
        <v>25.415176057411614</v>
      </c>
      <c r="AV970"/>
      <c r="AW970"/>
      <c r="FY970" s="211">
        <v>965</v>
      </c>
      <c r="FZ970">
        <v>35.136697518836186</v>
      </c>
      <c r="GA970">
        <v>67.202741240135168</v>
      </c>
      <c r="GB970">
        <v>27.559481224643203</v>
      </c>
      <c r="GC970">
        <v>12.558704607389439</v>
      </c>
      <c r="GD970">
        <v>8.4586297851497658</v>
      </c>
      <c r="GE970">
        <v>10.01580122016917</v>
      </c>
      <c r="GF970">
        <v>25.494161462924897</v>
      </c>
      <c r="GG970">
        <v>22.316785099465388</v>
      </c>
      <c r="GH970">
        <v>11.16265321679939</v>
      </c>
      <c r="GI970">
        <v>24.025936786716336</v>
      </c>
      <c r="GJ970"/>
      <c r="GK970">
        <v>36.329834659497635</v>
      </c>
      <c r="GL970">
        <v>59.390982588947935</v>
      </c>
      <c r="GM970">
        <v>48.823508115136931</v>
      </c>
      <c r="GN970">
        <v>41.452535930833996</v>
      </c>
      <c r="GO970">
        <v>36.781534608796534</v>
      </c>
      <c r="GP970">
        <v>21.49015817363248</v>
      </c>
      <c r="GQ970">
        <v>34.348732155210925</v>
      </c>
      <c r="GR970">
        <v>33.567271857987926</v>
      </c>
      <c r="GS970">
        <v>12.503364755567988</v>
      </c>
      <c r="GT970">
        <v>33.757394858842012</v>
      </c>
      <c r="GU970"/>
      <c r="GV970"/>
      <c r="GW970"/>
      <c r="GX970"/>
      <c r="GY970"/>
      <c r="GZ970"/>
      <c r="HA970"/>
      <c r="HB970"/>
      <c r="HC970"/>
    </row>
    <row r="971" spans="1:211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49.741586538461533</v>
      </c>
      <c r="AO971">
        <v>36.49897322066893</v>
      </c>
      <c r="AP971">
        <v>23.951788874621798</v>
      </c>
      <c r="AQ971">
        <v>250.50804426757369</v>
      </c>
      <c r="AR971">
        <v>34.89671156214105</v>
      </c>
      <c r="AS971">
        <v>335.16350894576959</v>
      </c>
      <c r="AT971">
        <v>28.007986150409597</v>
      </c>
      <c r="AU971">
        <v>36.097709691509394</v>
      </c>
      <c r="AV971"/>
      <c r="AW971"/>
      <c r="FY971" s="211">
        <v>966</v>
      </c>
      <c r="FZ971">
        <v>28.630691838412414</v>
      </c>
      <c r="GA971">
        <v>31.921302089064206</v>
      </c>
      <c r="GB971">
        <v>20.722243612709164</v>
      </c>
      <c r="GC971">
        <v>16.947667936227802</v>
      </c>
      <c r="GD971">
        <v>8.915938173348831</v>
      </c>
      <c r="GE971">
        <v>11.958259638626219</v>
      </c>
      <c r="GF971">
        <v>27.743904770235744</v>
      </c>
      <c r="GG971">
        <v>20.781768134951893</v>
      </c>
      <c r="GH971">
        <v>15.056065982626254</v>
      </c>
      <c r="GI971">
        <v>22.701793199088879</v>
      </c>
      <c r="GJ971"/>
      <c r="GK971">
        <v>29.606126084807912</v>
      </c>
      <c r="GL971">
        <v>28.210716729750271</v>
      </c>
      <c r="GM971">
        <v>36.710873508180441</v>
      </c>
      <c r="GN971">
        <v>55.967788851485253</v>
      </c>
      <c r="GO971">
        <v>38.793422773879804</v>
      </c>
      <c r="GP971">
        <v>25.657946425488472</v>
      </c>
      <c r="GQ971">
        <v>37.379850883833463</v>
      </c>
      <c r="GR971">
        <v>31.258411888919969</v>
      </c>
      <c r="GS971">
        <v>17.550531614382926</v>
      </c>
      <c r="GT971">
        <v>32.008160973016906</v>
      </c>
      <c r="GU971"/>
      <c r="GV971"/>
      <c r="GW971"/>
      <c r="GX971"/>
      <c r="GY971"/>
      <c r="GZ971"/>
      <c r="HA971"/>
      <c r="HB971"/>
      <c r="HC971"/>
    </row>
    <row r="972" spans="1:211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53.437767094017104</v>
      </c>
      <c r="AO972">
        <v>39.694387715666032</v>
      </c>
      <c r="AP972">
        <v>2.7380174660580581</v>
      </c>
      <c r="AQ972">
        <v>269.1130766869004</v>
      </c>
      <c r="AR972">
        <v>37.364560227879487</v>
      </c>
      <c r="AS972">
        <v>362.06045306067517</v>
      </c>
      <c r="AT972">
        <v>30.803387049713862</v>
      </c>
      <c r="AU972">
        <v>10.242165797388218</v>
      </c>
      <c r="AV972"/>
      <c r="AW972"/>
      <c r="FY972" s="211">
        <v>967</v>
      </c>
      <c r="FZ972">
        <v>36.304417447021294</v>
      </c>
      <c r="GA972">
        <v>58.753592197657838</v>
      </c>
      <c r="GB972">
        <v>32.963104498591072</v>
      </c>
      <c r="GC972">
        <v>18.912661227883113</v>
      </c>
      <c r="GD972">
        <v>10.721574244491377</v>
      </c>
      <c r="GE972">
        <v>12.7473833711244</v>
      </c>
      <c r="GF972">
        <v>28.631498809448228</v>
      </c>
      <c r="GG972">
        <v>18.113200181259202</v>
      </c>
      <c r="GH972">
        <v>10.17240520027652</v>
      </c>
      <c r="GI972">
        <v>27.374307370496425</v>
      </c>
      <c r="GJ972"/>
      <c r="GK972">
        <v>39.340744754367094</v>
      </c>
      <c r="GL972">
        <v>54.260336394182517</v>
      </c>
      <c r="GM972">
        <v>58.396396756118676</v>
      </c>
      <c r="GN972">
        <v>62.45401106227596</v>
      </c>
      <c r="GO972">
        <v>46.647200504810748</v>
      </c>
      <c r="GP972">
        <v>27.351110402804977</v>
      </c>
      <c r="GQ972">
        <v>38.575721944735328</v>
      </c>
      <c r="GR972">
        <v>27.244547635001833</v>
      </c>
      <c r="GS972">
        <v>12.080309533821929</v>
      </c>
      <c r="GT972">
        <v>39.008074698770749</v>
      </c>
      <c r="GU972"/>
      <c r="GV972"/>
      <c r="GW972"/>
      <c r="GX972"/>
      <c r="GY972"/>
      <c r="GZ972"/>
      <c r="HA972"/>
      <c r="HB972"/>
      <c r="HC972"/>
    </row>
    <row r="973" spans="1:211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48.753846153846148</v>
      </c>
      <c r="AO973">
        <v>36.526790201812901</v>
      </c>
      <c r="AP973">
        <v>21.022209787781847</v>
      </c>
      <c r="AQ973">
        <v>240.34336005290146</v>
      </c>
      <c r="AR973">
        <v>34.721163842688725</v>
      </c>
      <c r="AS973">
        <v>334.31745846352715</v>
      </c>
      <c r="AT973">
        <v>28.132831579850471</v>
      </c>
      <c r="AU973">
        <v>25.349623106691809</v>
      </c>
      <c r="AV973"/>
      <c r="AW973"/>
      <c r="FY973" s="211">
        <v>968</v>
      </c>
      <c r="FZ973">
        <v>39.832486513578935</v>
      </c>
      <c r="GA973">
        <v>59.50979586133024</v>
      </c>
      <c r="GB973">
        <v>23.469168987591754</v>
      </c>
      <c r="GC973">
        <v>13.313673609581352</v>
      </c>
      <c r="GD973">
        <v>9.25311091801305</v>
      </c>
      <c r="GE973">
        <v>11.337233269263754</v>
      </c>
      <c r="GF973">
        <v>33.394627217895412</v>
      </c>
      <c r="GG973">
        <v>32.684053521333439</v>
      </c>
      <c r="GH973">
        <v>18.13931147729901</v>
      </c>
      <c r="GI973">
        <v>26.805477863151136</v>
      </c>
      <c r="GJ973"/>
      <c r="GK973">
        <v>41.189257700795928</v>
      </c>
      <c r="GL973">
        <v>52.59227800310785</v>
      </c>
      <c r="GM973">
        <v>41.577239904523665</v>
      </c>
      <c r="GN973">
        <v>43.949919363002579</v>
      </c>
      <c r="GO973">
        <v>40.24344770851657</v>
      </c>
      <c r="GP973">
        <v>24.325456431505675</v>
      </c>
      <c r="GQ973">
        <v>44.993168627990862</v>
      </c>
      <c r="GR973">
        <v>49.160956879846864</v>
      </c>
      <c r="GS973">
        <v>20.317967727797981</v>
      </c>
      <c r="GT973">
        <v>37.664216333925005</v>
      </c>
      <c r="GU973"/>
      <c r="GV973"/>
      <c r="GW973"/>
      <c r="GX973"/>
      <c r="GY973"/>
      <c r="GZ973"/>
      <c r="HA973"/>
      <c r="HB973"/>
      <c r="HC973"/>
    </row>
    <row r="974" spans="1:211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57.4375</v>
      </c>
      <c r="AO974">
        <v>44.624397758415782</v>
      </c>
      <c r="AP974">
        <v>31.896613034303549</v>
      </c>
      <c r="AQ974">
        <v>319.96043355377662</v>
      </c>
      <c r="AR974">
        <v>42.890909636987253</v>
      </c>
      <c r="AS974">
        <v>398.06627195363262</v>
      </c>
      <c r="AT974">
        <v>34.016626703476838</v>
      </c>
      <c r="AU974">
        <v>30.821253078483835</v>
      </c>
      <c r="AV974"/>
      <c r="AW974"/>
      <c r="FY974" s="211">
        <v>969</v>
      </c>
      <c r="FZ974">
        <v>48.729670478122529</v>
      </c>
      <c r="GA974">
        <v>101.37427808942778</v>
      </c>
      <c r="GB974">
        <v>34.847856215663789</v>
      </c>
      <c r="GC974">
        <v>9.7067402859901026</v>
      </c>
      <c r="GD974">
        <v>9.231858939726342</v>
      </c>
      <c r="GE974">
        <v>12.583955379186905</v>
      </c>
      <c r="GF974">
        <v>23.824430102030128</v>
      </c>
      <c r="GG974">
        <v>19.695448436988499</v>
      </c>
      <c r="GH974">
        <v>13.66073433052633</v>
      </c>
      <c r="GI974">
        <v>28.389649882825839</v>
      </c>
      <c r="GJ974"/>
      <c r="GK974">
        <v>52.199801224371342</v>
      </c>
      <c r="GL974">
        <v>91.926722720331071</v>
      </c>
      <c r="GM974">
        <v>61.735363480616932</v>
      </c>
      <c r="GN974">
        <v>32.044468808783343</v>
      </c>
      <c r="GO974">
        <v>40.159633433791413</v>
      </c>
      <c r="GP974">
        <v>27.000455141230553</v>
      </c>
      <c r="GQ974">
        <v>32.099073723811379</v>
      </c>
      <c r="GR974">
        <v>29.624449449271879</v>
      </c>
      <c r="GS974">
        <v>15.987611019936928</v>
      </c>
      <c r="GT974">
        <v>40.43629657650559</v>
      </c>
      <c r="GU974"/>
      <c r="GV974"/>
      <c r="GW974"/>
      <c r="GX974"/>
      <c r="GY974"/>
      <c r="GZ974"/>
      <c r="HA974"/>
      <c r="HB974"/>
      <c r="HC974"/>
    </row>
    <row r="975" spans="1:211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49.192574786324784</v>
      </c>
      <c r="AO975">
        <v>36.194756089047836</v>
      </c>
      <c r="AP975">
        <v>16.541014946977064</v>
      </c>
      <c r="AQ975">
        <v>249.37729886681697</v>
      </c>
      <c r="AR975">
        <v>34.739042648814568</v>
      </c>
      <c r="AS975">
        <v>331.86949917740509</v>
      </c>
      <c r="AT975">
        <v>27.864659310002036</v>
      </c>
      <c r="AU975">
        <v>31.634074309377276</v>
      </c>
      <c r="AV975"/>
      <c r="AW975"/>
      <c r="FY975" s="211">
        <v>970</v>
      </c>
      <c r="FZ975">
        <v>44.963299836571863</v>
      </c>
      <c r="GA975">
        <v>84.790060370513018</v>
      </c>
      <c r="GB975">
        <v>30.547013201705294</v>
      </c>
      <c r="GC975">
        <v>10.649088451629995</v>
      </c>
      <c r="GD975">
        <v>9.1975841060842232</v>
      </c>
      <c r="GE975">
        <v>15.525659234061767</v>
      </c>
      <c r="GF975">
        <v>31.654591378647179</v>
      </c>
      <c r="GG975">
        <v>19.695448436988499</v>
      </c>
      <c r="GH975">
        <v>10.870071026326483</v>
      </c>
      <c r="GI975">
        <v>27.733434813810746</v>
      </c>
      <c r="GJ975"/>
      <c r="GK975">
        <v>50.102480990259927</v>
      </c>
      <c r="GL975">
        <v>79.606641791114058</v>
      </c>
      <c r="GM975">
        <v>54.116125582692703</v>
      </c>
      <c r="GN975">
        <v>35.160736007808588</v>
      </c>
      <c r="GO975">
        <v>40.014806700174518</v>
      </c>
      <c r="GP975">
        <v>33.312249849570158</v>
      </c>
      <c r="GQ975">
        <v>42.648787736321864</v>
      </c>
      <c r="GR975">
        <v>29.624449449271879</v>
      </c>
      <c r="GS975">
        <v>12.861769831044931</v>
      </c>
      <c r="GT975">
        <v>39.948794168098786</v>
      </c>
      <c r="GU975"/>
      <c r="GV975"/>
      <c r="GW975"/>
      <c r="GX975"/>
      <c r="GY975"/>
      <c r="GZ975"/>
      <c r="HA975"/>
      <c r="HB975"/>
      <c r="HC975"/>
    </row>
    <row r="976" spans="1:211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51.488461538461536</v>
      </c>
      <c r="AO976">
        <v>43.091710855384235</v>
      </c>
      <c r="AP976">
        <v>73.447565894581984</v>
      </c>
      <c r="AQ976">
        <v>297.36990756894153</v>
      </c>
      <c r="AR976">
        <v>41.077065033352866</v>
      </c>
      <c r="AS976">
        <v>379.89276223617134</v>
      </c>
      <c r="AT976">
        <v>30.726122099481859</v>
      </c>
      <c r="AU976">
        <v>16.178373599617757</v>
      </c>
      <c r="AV976"/>
      <c r="AW976"/>
      <c r="FY976" s="211">
        <v>971</v>
      </c>
      <c r="FZ976">
        <v>21.886384582995618</v>
      </c>
      <c r="GA976">
        <v>37.403630979706811</v>
      </c>
      <c r="GB976">
        <v>20.621990861801038</v>
      </c>
      <c r="GC976">
        <v>14.715049216866435</v>
      </c>
      <c r="GD976">
        <v>10.128355080230111</v>
      </c>
      <c r="GE976">
        <v>10.183898583304876</v>
      </c>
      <c r="GF976">
        <v>24.887785337126274</v>
      </c>
      <c r="GG976">
        <v>18.396587928554005</v>
      </c>
      <c r="GH976">
        <v>8.7770735481765954</v>
      </c>
      <c r="GI976">
        <v>20.886301748483298</v>
      </c>
      <c r="GJ976"/>
      <c r="GK976">
        <v>22.633610222435603</v>
      </c>
      <c r="GL976">
        <v>33.055770572532857</v>
      </c>
      <c r="GM976">
        <v>36.533268895175205</v>
      </c>
      <c r="GN976">
        <v>48.597642143660856</v>
      </c>
      <c r="GO976">
        <v>44.074189269350796</v>
      </c>
      <c r="GP976">
        <v>21.850832156966174</v>
      </c>
      <c r="GQ976">
        <v>33.531750935386881</v>
      </c>
      <c r="GR976">
        <v>27.670798706214381</v>
      </c>
      <c r="GS976">
        <v>10.51738893937593</v>
      </c>
      <c r="GT976">
        <v>29.458041652344889</v>
      </c>
      <c r="GU976"/>
      <c r="GV976"/>
      <c r="GW976"/>
      <c r="GX976"/>
      <c r="GY976"/>
      <c r="GZ976"/>
      <c r="HA976"/>
      <c r="HB976"/>
      <c r="HC976"/>
    </row>
    <row r="977" spans="1:211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54.727136752136758</v>
      </c>
      <c r="AO977">
        <v>42.21608199506904</v>
      </c>
      <c r="AP977">
        <v>21.912826344190524</v>
      </c>
      <c r="AQ977">
        <v>278.44384404461977</v>
      </c>
      <c r="AR977">
        <v>39.458378771550173</v>
      </c>
      <c r="AS977">
        <v>369.87343471117453</v>
      </c>
      <c r="AT977">
        <v>31.642454420965223</v>
      </c>
      <c r="AU977">
        <v>12.508850130000678</v>
      </c>
      <c r="AV977"/>
      <c r="AW977"/>
      <c r="FY977" s="211">
        <v>972</v>
      </c>
      <c r="FZ977">
        <v>47.032607508113848</v>
      </c>
      <c r="GA977">
        <v>97.395168410735579</v>
      </c>
      <c r="GB977">
        <v>34.847856215663796</v>
      </c>
      <c r="GC977">
        <v>11.137172123128977</v>
      </c>
      <c r="GD977">
        <v>7.7207968903695026</v>
      </c>
      <c r="GE977">
        <v>11.626734283553022</v>
      </c>
      <c r="GF977">
        <v>23.147749497878038</v>
      </c>
      <c r="GG977">
        <v>15.019550606624325</v>
      </c>
      <c r="GH977">
        <v>9.1259064612015752</v>
      </c>
      <c r="GI977">
        <v>26.350999595030942</v>
      </c>
      <c r="GJ977"/>
      <c r="GK977">
        <v>50.437480974933692</v>
      </c>
      <c r="GL977">
        <v>88.410151382827593</v>
      </c>
      <c r="GM977">
        <v>61.735363480616947</v>
      </c>
      <c r="GN977">
        <v>36.765119007724643</v>
      </c>
      <c r="GO977">
        <v>33.579165488277035</v>
      </c>
      <c r="GP977">
        <v>24.946617180580361</v>
      </c>
      <c r="GQ977">
        <v>31.187370043717884</v>
      </c>
      <c r="GR977">
        <v>22.59130677426489</v>
      </c>
      <c r="GS977">
        <v>10.90811908798743</v>
      </c>
      <c r="GT977">
        <v>37.569499815106596</v>
      </c>
      <c r="GU977"/>
      <c r="GV977"/>
      <c r="GW977"/>
      <c r="GX977"/>
      <c r="GY977"/>
      <c r="GZ977"/>
      <c r="HA977"/>
      <c r="HB977"/>
      <c r="HC977"/>
    </row>
    <row r="978" spans="1:211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44.270779914529918</v>
      </c>
      <c r="AO978">
        <v>38.451190265401777</v>
      </c>
      <c r="AP978">
        <v>56.330940777928433</v>
      </c>
      <c r="AQ978">
        <v>252.45215908677329</v>
      </c>
      <c r="AR978">
        <v>37.344146776612334</v>
      </c>
      <c r="AS978">
        <v>361.43916744038825</v>
      </c>
      <c r="AT978">
        <v>28.443559861158892</v>
      </c>
      <c r="AU978">
        <v>29.89252837337126</v>
      </c>
      <c r="AV978"/>
      <c r="AW978"/>
      <c r="FY978" s="211">
        <v>973</v>
      </c>
      <c r="FZ978">
        <v>40.13468905051112</v>
      </c>
      <c r="GA978">
        <v>54.558014927846578</v>
      </c>
      <c r="GB978">
        <v>23.699750314680436</v>
      </c>
      <c r="GC978">
        <v>17.552422564573348</v>
      </c>
      <c r="GD978">
        <v>10.766293419420151</v>
      </c>
      <c r="GE978">
        <v>10.380012173629865</v>
      </c>
      <c r="GF978">
        <v>27.550567454763723</v>
      </c>
      <c r="GG978">
        <v>20.781768134951896</v>
      </c>
      <c r="GH978">
        <v>11.916569765401425</v>
      </c>
      <c r="GI978">
        <v>25.755506163873175</v>
      </c>
      <c r="GJ978"/>
      <c r="GK978">
        <v>41.501841819685119</v>
      </c>
      <c r="GL978">
        <v>48.216100338659047</v>
      </c>
      <c r="GM978">
        <v>41.98573051443568</v>
      </c>
      <c r="GN978">
        <v>57.972878063567741</v>
      </c>
      <c r="GO978">
        <v>46.854829289440531</v>
      </c>
      <c r="GP978">
        <v>22.271618470855479</v>
      </c>
      <c r="GQ978">
        <v>37.11936411809247</v>
      </c>
      <c r="GR978">
        <v>31.258411888919973</v>
      </c>
      <c r="GS978">
        <v>14.03396027687943</v>
      </c>
      <c r="GT978">
        <v>36.299145203706637</v>
      </c>
      <c r="GU978"/>
      <c r="GV978"/>
      <c r="GW978"/>
      <c r="GX978"/>
      <c r="GY978"/>
      <c r="GZ978"/>
      <c r="HA978"/>
      <c r="HB978"/>
      <c r="HC978"/>
    </row>
    <row r="979" spans="1:211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49.604647435897448</v>
      </c>
      <c r="AO979">
        <v>36.984741689882817</v>
      </c>
      <c r="AP979">
        <v>16.811595619379425</v>
      </c>
      <c r="AQ979">
        <v>252.60086028386789</v>
      </c>
      <c r="AR979">
        <v>34.740995031079407</v>
      </c>
      <c r="AS979">
        <v>355.02266176103603</v>
      </c>
      <c r="AT979">
        <v>28.313369275554859</v>
      </c>
      <c r="AU979">
        <v>28.104227304357039</v>
      </c>
      <c r="AV979"/>
      <c r="AW979"/>
      <c r="FY979" s="211">
        <v>974</v>
      </c>
      <c r="FZ979">
        <v>39.3903437782823</v>
      </c>
      <c r="GA979">
        <v>65.385441662144871</v>
      </c>
      <c r="GB979">
        <v>28.562008733724436</v>
      </c>
      <c r="GC979">
        <v>13.929383630844292</v>
      </c>
      <c r="GD979">
        <v>9.8778645031905032</v>
      </c>
      <c r="GE979">
        <v>10.520093309576289</v>
      </c>
      <c r="GF979">
        <v>14.473934481019407</v>
      </c>
      <c r="GG979">
        <v>12.185673133676337</v>
      </c>
      <c r="GH979">
        <v>10.813820303774408</v>
      </c>
      <c r="GI979">
        <v>23.562793627863414</v>
      </c>
      <c r="GJ979"/>
      <c r="GK979">
        <v>42.530362774465701</v>
      </c>
      <c r="GL979">
        <v>60.121288623355014</v>
      </c>
      <c r="GM979">
        <v>50.599554245189196</v>
      </c>
      <c r="GN979">
        <v>45.987352387131956</v>
      </c>
      <c r="GO979">
        <v>42.96670777671229</v>
      </c>
      <c r="GP979">
        <v>22.572180123633558</v>
      </c>
      <c r="GQ979">
        <v>19.500986507973934</v>
      </c>
      <c r="GR979">
        <v>18.328796062139435</v>
      </c>
      <c r="GS979">
        <v>12.112634606956487</v>
      </c>
      <c r="GT979">
        <v>33.542049182259518</v>
      </c>
      <c r="GU979"/>
      <c r="GV979"/>
      <c r="GW979"/>
      <c r="GX979"/>
      <c r="GY979"/>
      <c r="GZ979"/>
      <c r="HA979"/>
      <c r="HB979"/>
      <c r="HC979"/>
    </row>
    <row r="980" spans="1:211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44.286591880341874</v>
      </c>
      <c r="AO980">
        <v>33.137762707731426</v>
      </c>
      <c r="AP980">
        <v>2.3467600713992161</v>
      </c>
      <c r="AQ980">
        <v>209.24500261861701</v>
      </c>
      <c r="AR980">
        <v>31.338748087391988</v>
      </c>
      <c r="AS980">
        <v>299.23726164980991</v>
      </c>
      <c r="AT980">
        <v>25.986283036619387</v>
      </c>
      <c r="AU980">
        <v>14.712543562061288</v>
      </c>
      <c r="AV980"/>
      <c r="AW980"/>
      <c r="FY980" s="211">
        <v>975</v>
      </c>
      <c r="FZ980">
        <v>46.419062695675436</v>
      </c>
      <c r="GA980">
        <v>91.687183813579523</v>
      </c>
      <c r="GB980">
        <v>38.266475021630804</v>
      </c>
      <c r="GC980">
        <v>16.488739841292379</v>
      </c>
      <c r="GD980">
        <v>9.7685996493152665</v>
      </c>
      <c r="GE980">
        <v>9.3947748508066979</v>
      </c>
      <c r="GF980">
        <v>19.887379314236142</v>
      </c>
      <c r="GG980">
        <v>16.601798862353615</v>
      </c>
      <c r="GH980">
        <v>15.809982531228286</v>
      </c>
      <c r="GI980">
        <v>28.800069333345071</v>
      </c>
      <c r="GJ980"/>
      <c r="GK980">
        <v>51.604774772071245</v>
      </c>
      <c r="GL980">
        <v>85.702032109453455</v>
      </c>
      <c r="GM980">
        <v>67.791680784095163</v>
      </c>
      <c r="GN980">
        <v>54.455861994171727</v>
      </c>
      <c r="GO980">
        <v>42.508536296243179</v>
      </c>
      <c r="GP980">
        <v>20.157668179649672</v>
      </c>
      <c r="GQ980">
        <v>26.794615948721933</v>
      </c>
      <c r="GR980">
        <v>24.971208588534932</v>
      </c>
      <c r="GS980">
        <v>19.081127135694363</v>
      </c>
      <c r="GT980">
        <v>41.556146987365175</v>
      </c>
      <c r="GU980"/>
      <c r="GV980"/>
      <c r="GW980"/>
      <c r="GX980"/>
      <c r="GY980"/>
      <c r="GZ980"/>
      <c r="HA980"/>
      <c r="HB980"/>
      <c r="HC980"/>
    </row>
    <row r="981" spans="1:211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49.205261752136764</v>
      </c>
      <c r="AO981">
        <v>35.844531770445442</v>
      </c>
      <c r="AP981">
        <v>17.799346090377416</v>
      </c>
      <c r="AQ981">
        <v>243.93159216222892</v>
      </c>
      <c r="AR981">
        <v>33.757394858842012</v>
      </c>
      <c r="AS981">
        <v>319.24337709600513</v>
      </c>
      <c r="AT981">
        <v>27.213753859265111</v>
      </c>
      <c r="AU981">
        <v>29.350601537293908</v>
      </c>
      <c r="AV981"/>
      <c r="AW981"/>
      <c r="FY981" s="211">
        <v>976</v>
      </c>
      <c r="FZ981">
        <v>34.255899186347243</v>
      </c>
      <c r="GA981">
        <v>51.679619435538349</v>
      </c>
      <c r="GB981">
        <v>26.23614491265597</v>
      </c>
      <c r="GC981">
        <v>13.573226965483823</v>
      </c>
      <c r="GD981">
        <v>8.0406940111317642</v>
      </c>
      <c r="GE981">
        <v>12.280446251302992</v>
      </c>
      <c r="GF981">
        <v>35.204967535497119</v>
      </c>
      <c r="GG981">
        <v>27.205223740300664</v>
      </c>
      <c r="GH981">
        <v>10.17240520027652</v>
      </c>
      <c r="GI981">
        <v>24.974791585544271</v>
      </c>
      <c r="GJ981"/>
      <c r="GK981">
        <v>37.227651933293068</v>
      </c>
      <c r="GL981">
        <v>48.008654016398523</v>
      </c>
      <c r="GM981">
        <v>46.479127223467934</v>
      </c>
      <c r="GN981">
        <v>44.803342962865955</v>
      </c>
      <c r="GO981">
        <v>34.962681213045563</v>
      </c>
      <c r="GP981">
        <v>26.349238226878054</v>
      </c>
      <c r="GQ981">
        <v>47.432271979929318</v>
      </c>
      <c r="GR981">
        <v>40.920102836404325</v>
      </c>
      <c r="GS981">
        <v>12.080309533821929</v>
      </c>
      <c r="GT981">
        <v>35.636408376711557</v>
      </c>
      <c r="GU981"/>
      <c r="GV981"/>
      <c r="GW981"/>
      <c r="GX981"/>
      <c r="GY981"/>
      <c r="GZ981"/>
      <c r="HA981"/>
      <c r="HB981"/>
      <c r="HC981"/>
    </row>
    <row r="982" spans="1:211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44.712152777777774</v>
      </c>
      <c r="AO982">
        <v>33.314382973374542</v>
      </c>
      <c r="AP982">
        <v>11.920967581004424</v>
      </c>
      <c r="AQ982">
        <v>205.37963537529143</v>
      </c>
      <c r="AR982">
        <v>32.008160973016906</v>
      </c>
      <c r="AS982">
        <v>315.0917372176599</v>
      </c>
      <c r="AT982">
        <v>25.995869707387161</v>
      </c>
      <c r="AU982">
        <v>19.800928120780458</v>
      </c>
      <c r="AV982"/>
      <c r="AW982"/>
      <c r="FY982" s="211">
        <v>977</v>
      </c>
      <c r="FZ982">
        <v>28.999793873195838</v>
      </c>
      <c r="GA982">
        <v>76.752604468996523</v>
      </c>
      <c r="GB982">
        <v>41.574815801598902</v>
      </c>
      <c r="GC982">
        <v>15.166168837708463</v>
      </c>
      <c r="GD982">
        <v>7.9641916350780342</v>
      </c>
      <c r="GE982">
        <v>8.55895740632638</v>
      </c>
      <c r="GF982">
        <v>23.490483829851172</v>
      </c>
      <c r="GG982">
        <v>17.144958711335313</v>
      </c>
      <c r="GH982">
        <v>5.2324936953747141</v>
      </c>
      <c r="GI982">
        <v>25.020922127878602</v>
      </c>
      <c r="GJ982"/>
      <c r="GK982">
        <v>29.993706214847482</v>
      </c>
      <c r="GL982">
        <v>67.830753798956351</v>
      </c>
      <c r="GM982">
        <v>73.652633013267689</v>
      </c>
      <c r="GN982">
        <v>50.072258486252181</v>
      </c>
      <c r="GO982">
        <v>34.638417616097954</v>
      </c>
      <c r="GP982">
        <v>18.36431698474048</v>
      </c>
      <c r="GQ982">
        <v>31.649142037531469</v>
      </c>
      <c r="GR982">
        <v>25.788189808358975</v>
      </c>
      <c r="GS982">
        <v>5.8609522291724945</v>
      </c>
      <c r="GT982">
        <v>35.158970222183413</v>
      </c>
      <c r="GU982"/>
      <c r="GV982"/>
      <c r="GW982"/>
      <c r="GX982"/>
      <c r="GY982"/>
      <c r="GZ982"/>
      <c r="HA982"/>
      <c r="HB982"/>
      <c r="HC982"/>
    </row>
    <row r="983" spans="1:211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52.361858974358974</v>
      </c>
      <c r="AO983">
        <v>40.535845368688982</v>
      </c>
      <c r="AP983">
        <v>28.494527237172008</v>
      </c>
      <c r="AQ983">
        <v>254.69414454824948</v>
      </c>
      <c r="AR983">
        <v>39.008074698770777</v>
      </c>
      <c r="AS983">
        <v>372.47138416549359</v>
      </c>
      <c r="AT983">
        <v>30.888525142121839</v>
      </c>
      <c r="AU983">
        <v>28.94572179741915</v>
      </c>
      <c r="AV983"/>
      <c r="AW983"/>
      <c r="FY983" s="211">
        <v>978</v>
      </c>
      <c r="FZ983">
        <v>32.34132405221348</v>
      </c>
      <c r="GA983">
        <v>67.910138516347146</v>
      </c>
      <c r="GB983">
        <v>30.988125305701029</v>
      </c>
      <c r="GC983">
        <v>11.387826126153035</v>
      </c>
      <c r="GD983">
        <v>7.1481070926606707</v>
      </c>
      <c r="GE983">
        <v>9.5021703883656219</v>
      </c>
      <c r="GF983">
        <v>19.500704683292085</v>
      </c>
      <c r="GG983">
        <v>14.523622048858424</v>
      </c>
      <c r="GH983">
        <v>10.521238113301502</v>
      </c>
      <c r="GI983">
        <v>22.4359420818523</v>
      </c>
      <c r="GJ983"/>
      <c r="GK983">
        <v>33.438431559772546</v>
      </c>
      <c r="GL983">
        <v>60.016150826726346</v>
      </c>
      <c r="GM983">
        <v>54.897585879915695</v>
      </c>
      <c r="GN983">
        <v>37.585309331756079</v>
      </c>
      <c r="GO983">
        <v>31.078149549110723</v>
      </c>
      <c r="GP983">
        <v>20.388098780112866</v>
      </c>
      <c r="GQ983">
        <v>26.273642417239927</v>
      </c>
      <c r="GR983">
        <v>21.845367399642932</v>
      </c>
      <c r="GS983">
        <v>12.471039682433432</v>
      </c>
      <c r="GT983">
        <v>31.631769817694462</v>
      </c>
      <c r="GU983"/>
      <c r="GV983"/>
      <c r="GW983"/>
      <c r="GX983"/>
      <c r="GY983"/>
      <c r="GZ983"/>
      <c r="HA983"/>
      <c r="HB983"/>
      <c r="HC983"/>
    </row>
    <row r="984" spans="1:211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53.993028846153848</v>
      </c>
      <c r="AO984">
        <v>39.601390868101298</v>
      </c>
      <c r="AP984">
        <v>13.967470351751722</v>
      </c>
      <c r="AQ984">
        <v>267.73893923903807</v>
      </c>
      <c r="AR984">
        <v>37.664216333925019</v>
      </c>
      <c r="AS984">
        <v>359.19598015524076</v>
      </c>
      <c r="AT984">
        <v>30.511446009737444</v>
      </c>
      <c r="AU984">
        <v>30.034326099694525</v>
      </c>
      <c r="AV984"/>
      <c r="AW984"/>
      <c r="FY984" s="211">
        <v>979</v>
      </c>
      <c r="FZ984">
        <v>66.198047923497498</v>
      </c>
      <c r="GA984">
        <v>90.086351826708238</v>
      </c>
      <c r="GB984">
        <v>25.68475478266129</v>
      </c>
      <c r="GC984">
        <v>14.636595394937146</v>
      </c>
      <c r="GD984">
        <v>9.0024189439172204</v>
      </c>
      <c r="GE984">
        <v>8.8017647086335131</v>
      </c>
      <c r="GF984">
        <v>24.74717638041934</v>
      </c>
      <c r="GG984">
        <v>23.63926125350778</v>
      </c>
      <c r="GH984">
        <v>13.604483607974258</v>
      </c>
      <c r="GI984">
        <v>28.497927871702942</v>
      </c>
      <c r="GJ984"/>
      <c r="GK984">
        <v>75.675177809089504</v>
      </c>
      <c r="GL984">
        <v>88.960002861880497</v>
      </c>
      <c r="GM984">
        <v>45.502301851939187</v>
      </c>
      <c r="GN984">
        <v>48.338521567250666</v>
      </c>
      <c r="GO984">
        <v>39.17412353618095</v>
      </c>
      <c r="GP984">
        <v>18.885290516222483</v>
      </c>
      <c r="GQ984">
        <v>33.342306014847964</v>
      </c>
      <c r="GR984">
        <v>35.556443523646465</v>
      </c>
      <c r="GS984">
        <v>15.238475795848485</v>
      </c>
      <c r="GT984">
        <v>41.786477001581218</v>
      </c>
      <c r="GU984"/>
      <c r="GV984"/>
      <c r="GW984"/>
      <c r="GX984"/>
      <c r="GY984"/>
      <c r="GZ984"/>
      <c r="HA984"/>
      <c r="HB984"/>
      <c r="HC984"/>
    </row>
    <row r="985" spans="1:211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54.50277777777778</v>
      </c>
      <c r="AO985">
        <v>42.321387557865037</v>
      </c>
      <c r="AP985">
        <v>23.125417372112988</v>
      </c>
      <c r="AQ985">
        <v>302.04462214048823</v>
      </c>
      <c r="AR985">
        <v>40.436296576505619</v>
      </c>
      <c r="AS985">
        <v>387.92029323783777</v>
      </c>
      <c r="AT985">
        <v>32.2808400325059</v>
      </c>
      <c r="AU985">
        <v>21.707703051006426</v>
      </c>
      <c r="AV985"/>
      <c r="AW985"/>
      <c r="FY985" s="211">
        <v>980</v>
      </c>
      <c r="FZ985">
        <v>32.611087505983839</v>
      </c>
      <c r="GA985">
        <v>91.382291562934</v>
      </c>
      <c r="GB985">
        <v>41.334209199419398</v>
      </c>
      <c r="GC985">
        <v>13.681712295643813</v>
      </c>
      <c r="GD985">
        <v>7.9225721888960674</v>
      </c>
      <c r="GE985">
        <v>10.804924952667346</v>
      </c>
      <c r="GF985">
        <v>45.601242272015611</v>
      </c>
      <c r="GG985">
        <v>37.3835669973055</v>
      </c>
      <c r="GH985">
        <v>15.753731808676216</v>
      </c>
      <c r="GI985">
        <v>31.352766615860158</v>
      </c>
      <c r="GJ985"/>
      <c r="GK985">
        <v>35.514739316546326</v>
      </c>
      <c r="GL985">
        <v>83.096221361711187</v>
      </c>
      <c r="GM985">
        <v>73.226381942055141</v>
      </c>
      <c r="GN985">
        <v>45.188533702296617</v>
      </c>
      <c r="GO985">
        <v>34.478975538081421</v>
      </c>
      <c r="GP985">
        <v>23.183322150948978</v>
      </c>
      <c r="GQ985">
        <v>61.439355792274895</v>
      </c>
      <c r="GR985">
        <v>56.229620477454887</v>
      </c>
      <c r="GS985">
        <v>18.331991911605925</v>
      </c>
      <c r="GT985">
        <v>44.598288900112728</v>
      </c>
      <c r="GU985"/>
      <c r="GV985"/>
      <c r="GW985"/>
      <c r="GX985"/>
      <c r="GY985"/>
      <c r="GZ985"/>
      <c r="HA985"/>
      <c r="HB985"/>
      <c r="HC985"/>
    </row>
    <row r="986" spans="1:211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51.483199786324782</v>
      </c>
      <c r="AO986">
        <v>41.739684210635737</v>
      </c>
      <c r="AP986">
        <v>41.383361000641436</v>
      </c>
      <c r="AQ986">
        <v>285.62625085633908</v>
      </c>
      <c r="AR986">
        <v>39.948794168098814</v>
      </c>
      <c r="AS986">
        <v>380.71709696559168</v>
      </c>
      <c r="AT986">
        <v>31.218483778426446</v>
      </c>
      <c r="AU986">
        <v>21.082280407153029</v>
      </c>
      <c r="AV986"/>
      <c r="AW986"/>
      <c r="FY986" s="211">
        <v>981</v>
      </c>
      <c r="FZ986">
        <v>40.442544187913029</v>
      </c>
      <c r="GA986">
        <v>91.607947269447436</v>
      </c>
      <c r="GB986">
        <v>43.549794994488913</v>
      </c>
      <c r="GC986">
        <v>13.705265480980183</v>
      </c>
      <c r="GD986">
        <v>9.0901751545434752</v>
      </c>
      <c r="GE986">
        <v>12.597963492781549</v>
      </c>
      <c r="GF986">
        <v>20.05435245032562</v>
      </c>
      <c r="GG986">
        <v>15.539094809998119</v>
      </c>
      <c r="GH986">
        <v>10.813820303774408</v>
      </c>
      <c r="GI986">
        <v>28.132770837079438</v>
      </c>
      <c r="GJ986"/>
      <c r="GK986">
        <v>41.806356777202495</v>
      </c>
      <c r="GL986">
        <v>80.95928679230272</v>
      </c>
      <c r="GM986">
        <v>77.151443889470627</v>
      </c>
      <c r="GN986">
        <v>45.250965673274585</v>
      </c>
      <c r="GO986">
        <v>39.543026649152758</v>
      </c>
      <c r="GP986">
        <v>27.030511306508362</v>
      </c>
      <c r="GQ986">
        <v>27.019581791861885</v>
      </c>
      <c r="GR986">
        <v>23.372767071487885</v>
      </c>
      <c r="GS986">
        <v>12.112634606956487</v>
      </c>
      <c r="GT986">
        <v>39.526608742928858</v>
      </c>
      <c r="GU986"/>
      <c r="GV986"/>
      <c r="GW986"/>
      <c r="GX986"/>
      <c r="GY986"/>
      <c r="GZ986"/>
      <c r="HA986"/>
      <c r="HB986"/>
      <c r="HC986"/>
    </row>
    <row r="987" spans="1:211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41.072889957264948</v>
      </c>
      <c r="AO987">
        <v>30.792329349344357</v>
      </c>
      <c r="AP987">
        <v>9.3417242499745772</v>
      </c>
      <c r="AQ987">
        <v>187.88705786724506</v>
      </c>
      <c r="AR987">
        <v>29.458041652344875</v>
      </c>
      <c r="AS987">
        <v>296.06587376209797</v>
      </c>
      <c r="AT987">
        <v>24.064356490245689</v>
      </c>
      <c r="AU987">
        <v>26.053835880924769</v>
      </c>
      <c r="AV987"/>
      <c r="AW987"/>
      <c r="FY987" s="211">
        <v>982</v>
      </c>
      <c r="FZ987">
        <v>31.144163576778627</v>
      </c>
      <c r="GA987">
        <v>48.898836718150996</v>
      </c>
      <c r="GB987">
        <v>26.356448213745718</v>
      </c>
      <c r="GC987">
        <v>15.292592799329556</v>
      </c>
      <c r="GD987">
        <v>8.2399302939886194</v>
      </c>
      <c r="GE987">
        <v>8.8017647086335131</v>
      </c>
      <c r="GF987">
        <v>21.267104701922872</v>
      </c>
      <c r="GG987">
        <v>15.58632610121392</v>
      </c>
      <c r="GH987">
        <v>6.6278253474746389</v>
      </c>
      <c r="GI987">
        <v>21.465859676852563</v>
      </c>
      <c r="GJ987"/>
      <c r="GK987">
        <v>32.202464282731434</v>
      </c>
      <c r="GL987">
        <v>43.214754436431861</v>
      </c>
      <c r="GM987">
        <v>46.692252759074208</v>
      </c>
      <c r="GN987">
        <v>50.482136614597195</v>
      </c>
      <c r="GO987">
        <v>35.829756041665959</v>
      </c>
      <c r="GP987">
        <v>18.885290516222483</v>
      </c>
      <c r="GQ987">
        <v>28.653544231509972</v>
      </c>
      <c r="GR987">
        <v>23.443808916689978</v>
      </c>
      <c r="GS987">
        <v>7.4238728236184937</v>
      </c>
      <c r="GT987">
        <v>30.160378027720011</v>
      </c>
      <c r="GU987"/>
      <c r="GV987"/>
      <c r="GW987"/>
      <c r="GX987"/>
      <c r="GY987"/>
      <c r="GZ987"/>
      <c r="HA987"/>
      <c r="HB987"/>
      <c r="HC987"/>
    </row>
    <row r="988" spans="1:211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51.608814102564111</v>
      </c>
      <c r="AO988">
        <v>39.813019323603704</v>
      </c>
      <c r="AP988">
        <v>34.057472351580131</v>
      </c>
      <c r="AQ988">
        <v>283.40454159229961</v>
      </c>
      <c r="AR988">
        <v>37.56949981510661</v>
      </c>
      <c r="AS988">
        <v>362.7752054672091</v>
      </c>
      <c r="AT988">
        <v>29.654736033944459</v>
      </c>
      <c r="AU988">
        <v>28.273652593473741</v>
      </c>
      <c r="AV988"/>
      <c r="AW988"/>
      <c r="FY988" s="211">
        <v>983</v>
      </c>
      <c r="FZ988">
        <v>32.95123759570977</v>
      </c>
      <c r="GA988">
        <v>68.834003383678123</v>
      </c>
      <c r="GB988">
        <v>31.960576989509828</v>
      </c>
      <c r="GC988">
        <v>12.346342760696265</v>
      </c>
      <c r="GD988">
        <v>6.6846702843810553</v>
      </c>
      <c r="GE988">
        <v>11.53334685958874</v>
      </c>
      <c r="GF988">
        <v>28.754531646566797</v>
      </c>
      <c r="GG988">
        <v>17.877043725180208</v>
      </c>
      <c r="GH988">
        <v>9.4184886516744868</v>
      </c>
      <c r="GI988">
        <v>24.011618954572931</v>
      </c>
      <c r="GJ988"/>
      <c r="GK988">
        <v>35.881650210926352</v>
      </c>
      <c r="GL988">
        <v>63.168983782524705</v>
      </c>
      <c r="GM988">
        <v>56.620350626066397</v>
      </c>
      <c r="GN988">
        <v>40.77801914600014</v>
      </c>
      <c r="GO988">
        <v>29.091635610256194</v>
      </c>
      <c r="GP988">
        <v>24.746242745394973</v>
      </c>
      <c r="GQ988">
        <v>38.741486250206876</v>
      </c>
      <c r="GR988">
        <v>26.889338408991385</v>
      </c>
      <c r="GS988">
        <v>10.54971401251049</v>
      </c>
      <c r="GT988">
        <v>34.176967341993254</v>
      </c>
      <c r="GU988"/>
      <c r="GV988"/>
      <c r="GW988"/>
      <c r="GX988"/>
      <c r="GY988"/>
      <c r="GZ988"/>
      <c r="HA988"/>
      <c r="HB988"/>
      <c r="HC988"/>
    </row>
    <row r="989" spans="1:211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50.588301282051283</v>
      </c>
      <c r="AO989">
        <v>37.751387998424207</v>
      </c>
      <c r="AP989">
        <v>13.467162265340061</v>
      </c>
      <c r="AQ989">
        <v>243.0955939696517</v>
      </c>
      <c r="AR989">
        <v>36.299145203706644</v>
      </c>
      <c r="AS989">
        <v>350.55983633334483</v>
      </c>
      <c r="AT989">
        <v>29.556106028342143</v>
      </c>
      <c r="AU989">
        <v>34.915952452698207</v>
      </c>
      <c r="AV989"/>
      <c r="AW989"/>
      <c r="FY989" s="211">
        <v>984</v>
      </c>
      <c r="FZ989">
        <v>50.27214504156079</v>
      </c>
      <c r="GA989">
        <v>93.986224961268348</v>
      </c>
      <c r="GB989">
        <v>39.920645411614856</v>
      </c>
      <c r="GC989">
        <v>15.038653997302356</v>
      </c>
      <c r="GD989">
        <v>9.3483617753903072</v>
      </c>
      <c r="GE989">
        <v>11.169135906128046</v>
      </c>
      <c r="GF989">
        <v>26.197206246459537</v>
      </c>
      <c r="GG989">
        <v>19.742679728204298</v>
      </c>
      <c r="GH989">
        <v>12.32165340097848</v>
      </c>
      <c r="GI989">
        <v>30.177904413710809</v>
      </c>
      <c r="GJ989"/>
      <c r="GK989">
        <v>55.590222287908539</v>
      </c>
      <c r="GL989">
        <v>87.73382888223324</v>
      </c>
      <c r="GM989">
        <v>70.722156898681433</v>
      </c>
      <c r="GN989">
        <v>49.666457596797443</v>
      </c>
      <c r="GO989">
        <v>40.679664178732949</v>
      </c>
      <c r="GP989">
        <v>23.964782448171981</v>
      </c>
      <c r="GQ989">
        <v>35.295956757905465</v>
      </c>
      <c r="GR989">
        <v>29.695491294473968</v>
      </c>
      <c r="GS989">
        <v>15.173825649579371</v>
      </c>
      <c r="GT989">
        <v>43.492365154561547</v>
      </c>
      <c r="GU989"/>
      <c r="GV989"/>
      <c r="GW989"/>
      <c r="GX989"/>
      <c r="GY989"/>
      <c r="GZ989"/>
      <c r="HA989"/>
      <c r="HB989"/>
      <c r="HC989"/>
    </row>
    <row r="990" spans="1:211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45.383627136752139</v>
      </c>
      <c r="AO990">
        <v>34.826191228981706</v>
      </c>
      <c r="AP990">
        <v>27.505235041107223</v>
      </c>
      <c r="AQ990">
        <v>228.70135716409624</v>
      </c>
      <c r="AR990">
        <v>33.542049182259518</v>
      </c>
      <c r="AS990">
        <v>312.55239635102379</v>
      </c>
      <c r="AT990">
        <v>26.333191077256149</v>
      </c>
      <c r="AU990">
        <v>28.516926399562564</v>
      </c>
      <c r="AV990"/>
      <c r="AW990"/>
      <c r="FY990" s="211">
        <v>985</v>
      </c>
      <c r="FZ990">
        <v>33.727044746715919</v>
      </c>
      <c r="GA990">
        <v>55.481879795177569</v>
      </c>
      <c r="GB990">
        <v>23.699750314680436</v>
      </c>
      <c r="GC990">
        <v>12.962942921799561</v>
      </c>
      <c r="GD990">
        <v>9.7971093585902249</v>
      </c>
      <c r="GE990">
        <v>13.536507103622576</v>
      </c>
      <c r="GF990">
        <v>45.337600478190119</v>
      </c>
      <c r="GG990">
        <v>33.250829015923024</v>
      </c>
      <c r="GH990">
        <v>9.8798230098036122</v>
      </c>
      <c r="GI990">
        <v>27.264851234042524</v>
      </c>
      <c r="GJ990"/>
      <c r="GK990">
        <v>36.680629725236969</v>
      </c>
      <c r="GL990">
        <v>51.36893329445742</v>
      </c>
      <c r="GM990">
        <v>41.98573051443568</v>
      </c>
      <c r="GN990">
        <v>42.814552041793412</v>
      </c>
      <c r="GO990">
        <v>42.636947428788183</v>
      </c>
      <c r="GP990">
        <v>29.044274380121472</v>
      </c>
      <c r="GQ990">
        <v>61.08414656626443</v>
      </c>
      <c r="GR990">
        <v>50.013459022271945</v>
      </c>
      <c r="GS990">
        <v>12.438714609298874</v>
      </c>
      <c r="GT990">
        <v>38.965233768804822</v>
      </c>
      <c r="GU990"/>
      <c r="GV990"/>
      <c r="GW990"/>
      <c r="GX990"/>
      <c r="GY990"/>
      <c r="GZ990"/>
      <c r="HA990"/>
      <c r="HB990"/>
      <c r="HC990"/>
    </row>
    <row r="991" spans="1:211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53.433894230769226</v>
      </c>
      <c r="AO991">
        <v>43.462365279600078</v>
      </c>
      <c r="AP991">
        <v>46.479532750735622</v>
      </c>
      <c r="AQ991">
        <v>293.1240659134632</v>
      </c>
      <c r="AR991">
        <v>41.556146987365217</v>
      </c>
      <c r="AS991">
        <v>383.83831306895286</v>
      </c>
      <c r="AT991">
        <v>32.400657314765517</v>
      </c>
      <c r="AU991">
        <v>19.317739333067635</v>
      </c>
      <c r="AV991"/>
      <c r="AW991"/>
      <c r="FY991" s="211">
        <v>986</v>
      </c>
      <c r="FZ991">
        <v>43.937541438278785</v>
      </c>
      <c r="GA991">
        <v>83.552115137142124</v>
      </c>
      <c r="GB991">
        <v>32.752573721684008</v>
      </c>
      <c r="GC991">
        <v>14.598954106032584</v>
      </c>
      <c r="GD991">
        <v>9.6811198528508093</v>
      </c>
      <c r="GE991">
        <v>8.1200365136942594</v>
      </c>
      <c r="GF991">
        <v>30.301230170343004</v>
      </c>
      <c r="GG991">
        <v>29.04724409771686</v>
      </c>
      <c r="GH991">
        <v>14.065817966103383</v>
      </c>
      <c r="GI991">
        <v>28.709110849430946</v>
      </c>
      <c r="GJ991"/>
      <c r="GK991">
        <v>49.040324989751028</v>
      </c>
      <c r="GL991">
        <v>78.51259737500186</v>
      </c>
      <c r="GM991">
        <v>58.023427068807692</v>
      </c>
      <c r="GN991">
        <v>48.214198338147007</v>
      </c>
      <c r="GO991">
        <v>42.127824869390956</v>
      </c>
      <c r="GP991">
        <v>17.422557139369175</v>
      </c>
      <c r="GQ991">
        <v>40.825380376134873</v>
      </c>
      <c r="GR991">
        <v>43.690734799285877</v>
      </c>
      <c r="GS991">
        <v>17.127476392636868</v>
      </c>
      <c r="GT991">
        <v>41.428886739344286</v>
      </c>
      <c r="GU991"/>
      <c r="GV991"/>
      <c r="GW991"/>
      <c r="GX991"/>
      <c r="GY991"/>
      <c r="GZ991"/>
      <c r="HA991"/>
      <c r="HB991"/>
      <c r="HC991"/>
    </row>
    <row r="992" spans="1:211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48.30243055555556</v>
      </c>
      <c r="AO992">
        <v>37.389978830281635</v>
      </c>
      <c r="AP992">
        <v>26.51838845787502</v>
      </c>
      <c r="AQ992">
        <v>243.62341882407875</v>
      </c>
      <c r="AR992">
        <v>35.636408376711572</v>
      </c>
      <c r="AS992">
        <v>351.78210037419524</v>
      </c>
      <c r="AT992">
        <v>28.098735964772327</v>
      </c>
      <c r="AU992">
        <v>19.200517888779842</v>
      </c>
      <c r="AV992"/>
      <c r="AW992"/>
      <c r="FY992" s="211">
        <v>987</v>
      </c>
      <c r="FZ992">
        <v>47.154756831522455</v>
      </c>
      <c r="GA992">
        <v>82.362976291231661</v>
      </c>
      <c r="GB992">
        <v>31.409186859515149</v>
      </c>
      <c r="GC992">
        <v>13.705490545221005</v>
      </c>
      <c r="GD992">
        <v>8.9283331832750701</v>
      </c>
      <c r="GE992">
        <v>10.622819475937</v>
      </c>
      <c r="GF992">
        <v>22.664406209197971</v>
      </c>
      <c r="GG992">
        <v>16.578183216745717</v>
      </c>
      <c r="GH992">
        <v>4.5348278693247517</v>
      </c>
      <c r="GI992">
        <v>25.406454414961612</v>
      </c>
      <c r="GJ992"/>
      <c r="GK992">
        <v>50.573103798718734</v>
      </c>
      <c r="GL992">
        <v>75.1253263300366</v>
      </c>
      <c r="GM992">
        <v>55.643525254537643</v>
      </c>
      <c r="GN992">
        <v>45.263229383598613</v>
      </c>
      <c r="GO992">
        <v>38.851702854109917</v>
      </c>
      <c r="GP992">
        <v>22.792592002337479</v>
      </c>
      <c r="GQ992">
        <v>30.536153129365381</v>
      </c>
      <c r="GR992">
        <v>24.935687665933887</v>
      </c>
      <c r="GS992">
        <v>5.0794919319494944</v>
      </c>
      <c r="GT992">
        <v>36.136795393736236</v>
      </c>
      <c r="GU992"/>
      <c r="GV992"/>
      <c r="GW992"/>
      <c r="GX992"/>
      <c r="GY992"/>
      <c r="GZ992"/>
      <c r="HA992"/>
      <c r="HB992"/>
      <c r="HC992"/>
    </row>
    <row r="993" spans="1:211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50.36215277777778</v>
      </c>
      <c r="AO993">
        <v>37.300934041140849</v>
      </c>
      <c r="AP993">
        <v>4.4851410469204778</v>
      </c>
      <c r="AQ993">
        <v>249.90539038734394</v>
      </c>
      <c r="AR993">
        <v>35.158970222183413</v>
      </c>
      <c r="AS993">
        <v>359.59971219588988</v>
      </c>
      <c r="AT993">
        <v>28.836343735565041</v>
      </c>
      <c r="AU993">
        <v>17.368659593832685</v>
      </c>
      <c r="AV993"/>
      <c r="AW993"/>
      <c r="FY993" s="211">
        <v>988</v>
      </c>
      <c r="FZ993">
        <v>35.072796556897025</v>
      </c>
      <c r="GA993">
        <v>59.244521882750739</v>
      </c>
      <c r="GB993">
        <v>20.180878757805299</v>
      </c>
      <c r="GC993">
        <v>9.7910479342086987</v>
      </c>
      <c r="GD993">
        <v>8.5397166118178944</v>
      </c>
      <c r="GE993">
        <v>11.505330632399458</v>
      </c>
      <c r="GF993">
        <v>20.950734549332285</v>
      </c>
      <c r="GG993">
        <v>16.861570964040517</v>
      </c>
      <c r="GH993">
        <v>14.763483792153345</v>
      </c>
      <c r="GI993">
        <v>21.950492026724827</v>
      </c>
      <c r="GJ993"/>
      <c r="GK993">
        <v>36.266057828291025</v>
      </c>
      <c r="GL993">
        <v>52.357839913940943</v>
      </c>
      <c r="GM993">
        <v>35.751808597952213</v>
      </c>
      <c r="GN993">
        <v>32.319083528827129</v>
      </c>
      <c r="GO993">
        <v>37.14309805591526</v>
      </c>
      <c r="GP993">
        <v>24.686130414839365</v>
      </c>
      <c r="GQ993">
        <v>28.227293160297432</v>
      </c>
      <c r="GR993">
        <v>25.361938737146435</v>
      </c>
      <c r="GS993">
        <v>17.908936689859864</v>
      </c>
      <c r="GT993">
        <v>31.059438866463161</v>
      </c>
      <c r="GU993"/>
      <c r="GV993"/>
      <c r="GW993"/>
      <c r="GX993"/>
      <c r="GY993"/>
      <c r="GZ993"/>
      <c r="HA993"/>
      <c r="HB993"/>
      <c r="HC993"/>
    </row>
    <row r="994" spans="1:211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45.056330128205119</v>
      </c>
      <c r="AO994">
        <v>32.962554524440506</v>
      </c>
      <c r="AP994">
        <v>18.355591159960248</v>
      </c>
      <c r="AQ994">
        <v>226.25919840874528</v>
      </c>
      <c r="AR994">
        <v>31.631769817694455</v>
      </c>
      <c r="AS994">
        <v>305.34300423443955</v>
      </c>
      <c r="AT994">
        <v>25.22458243675834</v>
      </c>
      <c r="AU994">
        <v>28.775746621941401</v>
      </c>
      <c r="AV994"/>
      <c r="AW994"/>
      <c r="FY994" s="211">
        <v>989</v>
      </c>
      <c r="FZ994">
        <v>37.66983733284804</v>
      </c>
      <c r="GA994">
        <v>79.130882160817436</v>
      </c>
      <c r="GB994">
        <v>38.356702497448133</v>
      </c>
      <c r="GC994">
        <v>16.179600317017826</v>
      </c>
      <c r="GD994">
        <v>8.5996659757039389</v>
      </c>
      <c r="GE994">
        <v>12.976182559836888</v>
      </c>
      <c r="GF994">
        <v>33.157349603452481</v>
      </c>
      <c r="GG994">
        <v>23.379489151820884</v>
      </c>
      <c r="GH994">
        <v>15.461149618203306</v>
      </c>
      <c r="GI994">
        <v>29.298618544556081</v>
      </c>
      <c r="GJ994"/>
      <c r="GK994">
        <v>42.5654237027439</v>
      </c>
      <c r="GL994">
        <v>74.605295888886872</v>
      </c>
      <c r="GM994">
        <v>67.951524935799895</v>
      </c>
      <c r="GN994">
        <v>53.427142757174394</v>
      </c>
      <c r="GO994">
        <v>37.412671421426147</v>
      </c>
      <c r="GP994">
        <v>27.842027769009167</v>
      </c>
      <c r="GQ994">
        <v>44.673480324581462</v>
      </c>
      <c r="GR994">
        <v>35.165713375034969</v>
      </c>
      <c r="GS994">
        <v>18.690396987082867</v>
      </c>
      <c r="GT994">
        <v>42.258699474326853</v>
      </c>
      <c r="GU994"/>
      <c r="GV994"/>
      <c r="GW994"/>
      <c r="GX994"/>
      <c r="GY994"/>
      <c r="GZ994"/>
      <c r="HA994"/>
      <c r="HB994"/>
      <c r="HC994"/>
    </row>
    <row r="995" spans="1:211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50.068910256410255</v>
      </c>
      <c r="AO995">
        <v>44.245912047848741</v>
      </c>
      <c r="AP995">
        <v>50.511935095825059</v>
      </c>
      <c r="AQ995">
        <v>304.89878269395928</v>
      </c>
      <c r="AR995">
        <v>41.786477001581225</v>
      </c>
      <c r="AS995">
        <v>380.71141654669503</v>
      </c>
      <c r="AT995">
        <v>32.157979912508104</v>
      </c>
      <c r="AU995">
        <v>12.741134224195278</v>
      </c>
      <c r="AV995"/>
      <c r="AW995"/>
      <c r="FY995" s="211">
        <v>990</v>
      </c>
      <c r="FZ995">
        <v>40.171659398920369</v>
      </c>
      <c r="GA995">
        <v>66.839854486634806</v>
      </c>
      <c r="GB995">
        <v>26.135892161747844</v>
      </c>
      <c r="GC995">
        <v>10.599978782560852</v>
      </c>
      <c r="GD995">
        <v>6.1150920798650512</v>
      </c>
      <c r="GE995">
        <v>10.258608522476301</v>
      </c>
      <c r="GF995">
        <v>23.824430102030128</v>
      </c>
      <c r="GG995">
        <v>18.656360030240908</v>
      </c>
      <c r="GH995">
        <v>12.614235591451385</v>
      </c>
      <c r="GI995">
        <v>22.781489335218772</v>
      </c>
      <c r="GJ995"/>
      <c r="GK995">
        <v>45.147392702151727</v>
      </c>
      <c r="GL995">
        <v>63.742997757487181</v>
      </c>
      <c r="GM995">
        <v>46.301522610462705</v>
      </c>
      <c r="GN995">
        <v>34.983174053007701</v>
      </c>
      <c r="GO995">
        <v>26.582475857860462</v>
      </c>
      <c r="GP995">
        <v>22.011131705114479</v>
      </c>
      <c r="GQ995">
        <v>32.099073723811379</v>
      </c>
      <c r="GR995">
        <v>28.061528854825884</v>
      </c>
      <c r="GS995">
        <v>14.815420574102426</v>
      </c>
      <c r="GT995">
        <v>32.989177093677746</v>
      </c>
      <c r="GU995"/>
      <c r="GV995"/>
      <c r="GW995"/>
      <c r="GX995"/>
      <c r="GY995"/>
      <c r="GZ995"/>
      <c r="HA995"/>
      <c r="HB995"/>
      <c r="HC995"/>
    </row>
    <row r="996" spans="1:211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61.654513888888893</v>
      </c>
      <c r="AO996">
        <v>47.528743109308813</v>
      </c>
      <c r="AP996">
        <v>35.551789062096766</v>
      </c>
      <c r="AQ996">
        <v>327.82810539940192</v>
      </c>
      <c r="AR996">
        <v>44.598288900112777</v>
      </c>
      <c r="AS996">
        <v>434.64523284594793</v>
      </c>
      <c r="AT996">
        <v>35.792579374565619</v>
      </c>
      <c r="AU996">
        <v>19.671976496802991</v>
      </c>
      <c r="AV996"/>
      <c r="AW996"/>
      <c r="FY996" s="211">
        <v>991</v>
      </c>
      <c r="FZ996">
        <v>57.231943129575093</v>
      </c>
      <c r="GA996">
        <v>88.994825755718665</v>
      </c>
      <c r="GB996">
        <v>37.935640943634006</v>
      </c>
      <c r="GC996">
        <v>19.371463605287481</v>
      </c>
      <c r="GD996">
        <v>9.1352655099391473</v>
      </c>
      <c r="GE996">
        <v>10.865626778244128</v>
      </c>
      <c r="GF996">
        <v>15.82729568932359</v>
      </c>
      <c r="GG996">
        <v>9.5879521168073509</v>
      </c>
      <c r="GH996">
        <v>9.4184886516744868</v>
      </c>
      <c r="GI996">
        <v>28.130994070649603</v>
      </c>
      <c r="GJ996"/>
      <c r="GK996">
        <v>60.987194987444184</v>
      </c>
      <c r="GL996">
        <v>80.986278559209083</v>
      </c>
      <c r="GM996">
        <v>67.205585561177941</v>
      </c>
      <c r="GN996">
        <v>63.973202933584979</v>
      </c>
      <c r="GO996">
        <v>39.747933719671998</v>
      </c>
      <c r="GP996">
        <v>23.313565533819478</v>
      </c>
      <c r="GQ996">
        <v>21.324393868160932</v>
      </c>
      <c r="GR996">
        <v>14.42149457602444</v>
      </c>
      <c r="GS996">
        <v>10.54971401251049</v>
      </c>
      <c r="GT996">
        <v>39.962964429793104</v>
      </c>
      <c r="GU996"/>
      <c r="GV996"/>
      <c r="GW996"/>
      <c r="GX996"/>
      <c r="GY996"/>
      <c r="GZ996"/>
      <c r="HA996"/>
      <c r="HB996"/>
      <c r="HC996"/>
    </row>
    <row r="997" spans="1:211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56.838621794871798</v>
      </c>
      <c r="AO997">
        <v>41.377318330114669</v>
      </c>
      <c r="AP997">
        <v>19.193360591793589</v>
      </c>
      <c r="AQ997">
        <v>285.53372898133216</v>
      </c>
      <c r="AR997">
        <v>39.526608742928907</v>
      </c>
      <c r="AS997">
        <v>388.63439400469287</v>
      </c>
      <c r="AT997">
        <v>31.813422591085956</v>
      </c>
      <c r="AU997">
        <v>42.994181708615272</v>
      </c>
      <c r="AV997"/>
      <c r="AW997"/>
      <c r="FY997" s="211">
        <v>992</v>
      </c>
      <c r="FZ997">
        <v>41.6923004243476</v>
      </c>
      <c r="GA997">
        <v>57.122330054114897</v>
      </c>
      <c r="GB997">
        <v>26.356448213745715</v>
      </c>
      <c r="GC997">
        <v>11.051035544637354</v>
      </c>
      <c r="GD997">
        <v>5.6428101676709908</v>
      </c>
      <c r="GE997">
        <v>7.1488073044657359</v>
      </c>
      <c r="GF997">
        <v>23.244418155614049</v>
      </c>
      <c r="GG997">
        <v>19.435676335301601</v>
      </c>
      <c r="GH997">
        <v>9.5309900967786305</v>
      </c>
      <c r="GI997">
        <v>22.29103959106293</v>
      </c>
      <c r="GJ997"/>
      <c r="GK997">
        <v>43.122239208193868</v>
      </c>
      <c r="GL997">
        <v>50.482335200605746</v>
      </c>
      <c r="GM997">
        <v>46.692252759074201</v>
      </c>
      <c r="GN997">
        <v>36.461422902596773</v>
      </c>
      <c r="GO997">
        <v>24.514097204668229</v>
      </c>
      <c r="GP997">
        <v>15.338663013441181</v>
      </c>
      <c r="GQ997">
        <v>31.31761342658838</v>
      </c>
      <c r="GR997">
        <v>29.233719300660383</v>
      </c>
      <c r="GS997">
        <v>12.047984460687372</v>
      </c>
      <c r="GT997">
        <v>31.538837411842415</v>
      </c>
      <c r="GU997"/>
      <c r="GV997"/>
      <c r="GW997"/>
      <c r="GX997"/>
      <c r="GY997"/>
      <c r="GZ997"/>
      <c r="HA997"/>
      <c r="HB997"/>
      <c r="HC997"/>
    </row>
    <row r="998" spans="1:211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43.56434294871795</v>
      </c>
      <c r="AO998">
        <v>31.698825865026159</v>
      </c>
      <c r="AP998">
        <v>12.205785994411361</v>
      </c>
      <c r="AQ998">
        <v>203.68085213809104</v>
      </c>
      <c r="AR998">
        <v>30.16037802771999</v>
      </c>
      <c r="AS998">
        <v>292.08374389774298</v>
      </c>
      <c r="AT998">
        <v>24.214074975961307</v>
      </c>
      <c r="AU998">
        <v>26.157284336563617</v>
      </c>
      <c r="AV998"/>
      <c r="AW998"/>
      <c r="FY998" s="211">
        <v>993</v>
      </c>
      <c r="FZ998">
        <v>42.266776348769966</v>
      </c>
      <c r="GA998">
        <v>86.646978220569395</v>
      </c>
      <c r="GB998">
        <v>35.389221070567665</v>
      </c>
      <c r="GC998">
        <v>10.857991131196654</v>
      </c>
      <c r="GD998">
        <v>6.7575596017634316</v>
      </c>
      <c r="GE998">
        <v>12.429866129645839</v>
      </c>
      <c r="GF998">
        <v>32.840979450861894</v>
      </c>
      <c r="GG998">
        <v>26.213366624768867</v>
      </c>
      <c r="GH998">
        <v>15.112316705178324</v>
      </c>
      <c r="GI998">
        <v>27.96619701681125</v>
      </c>
      <c r="GJ998"/>
      <c r="GK998">
        <v>47.317962317288504</v>
      </c>
      <c r="GL998">
        <v>81.247708415282361</v>
      </c>
      <c r="GM998">
        <v>62.694428390845175</v>
      </c>
      <c r="GN998">
        <v>35.816147471113297</v>
      </c>
      <c r="GO998">
        <v>29.356804315046258</v>
      </c>
      <c r="GP998">
        <v>26.669837323174661</v>
      </c>
      <c r="GQ998">
        <v>44.247229253368914</v>
      </c>
      <c r="GR998">
        <v>39.428224087160416</v>
      </c>
      <c r="GS998">
        <v>18.299666838471367</v>
      </c>
      <c r="GT998">
        <v>40.383218223004036</v>
      </c>
      <c r="GU998"/>
      <c r="GV998"/>
      <c r="GW998"/>
      <c r="GX998"/>
      <c r="GY998"/>
      <c r="GZ998"/>
      <c r="HA998"/>
      <c r="HB998"/>
      <c r="HC998"/>
    </row>
    <row r="999" spans="1:211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45.934027777777771</v>
      </c>
      <c r="AO999">
        <v>36.064438813487072</v>
      </c>
      <c r="AP999">
        <v>15.359230339163972</v>
      </c>
      <c r="AQ999">
        <v>244.37186085155818</v>
      </c>
      <c r="AR999">
        <v>34.176967341993269</v>
      </c>
      <c r="AS999">
        <v>326.3545170606605</v>
      </c>
      <c r="AT999">
        <v>27.646229821732323</v>
      </c>
      <c r="AU999">
        <v>13.556199637640912</v>
      </c>
      <c r="AV999"/>
      <c r="AW999"/>
      <c r="FY999" s="211">
        <v>994</v>
      </c>
      <c r="FZ999">
        <v>49.950130298145154</v>
      </c>
      <c r="GA999">
        <v>82.539825610284652</v>
      </c>
      <c r="GB999">
        <v>30.516937376432846</v>
      </c>
      <c r="GC999">
        <v>14.260371082188117</v>
      </c>
      <c r="GD999">
        <v>9.8856553133028271</v>
      </c>
      <c r="GE999">
        <v>9.8196876298441786</v>
      </c>
      <c r="GF999">
        <v>24.86142115774372</v>
      </c>
      <c r="GG999">
        <v>21.750009604875785</v>
      </c>
      <c r="GH999">
        <v>8.0231569995745602</v>
      </c>
      <c r="GI999">
        <v>27.162078122587424</v>
      </c>
      <c r="GJ999"/>
      <c r="GK999">
        <v>53.464506898443815</v>
      </c>
      <c r="GL999">
        <v>75.281618389481196</v>
      </c>
      <c r="GM999">
        <v>54.062844198791126</v>
      </c>
      <c r="GN999">
        <v>47.084391755220864</v>
      </c>
      <c r="GO999">
        <v>43.004950413423884</v>
      </c>
      <c r="GP999">
        <v>21.069371859743171</v>
      </c>
      <c r="GQ999">
        <v>33.49623001278583</v>
      </c>
      <c r="GR999">
        <v>32.714769715562831</v>
      </c>
      <c r="GS999">
        <v>8.9867934180644902</v>
      </c>
      <c r="GT999">
        <v>38.603064988301817</v>
      </c>
      <c r="GU999"/>
      <c r="GV999"/>
      <c r="GW999"/>
      <c r="GX999"/>
      <c r="GY999"/>
      <c r="GZ999"/>
      <c r="HA999"/>
      <c r="HB999"/>
      <c r="HC999"/>
    </row>
    <row r="1000" spans="1:211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55.752083333333339</v>
      </c>
      <c r="AO1000">
        <v>45.201475114904596</v>
      </c>
      <c r="AP1000">
        <v>46.535946489397332</v>
      </c>
      <c r="AQ1000">
        <v>308.17461088261786</v>
      </c>
      <c r="AR1000">
        <v>43.492365154561575</v>
      </c>
      <c r="AS1000">
        <v>411.83734515086218</v>
      </c>
      <c r="AT1000">
        <v>33.976350629251051</v>
      </c>
      <c r="AU1000">
        <v>28.682856045802581</v>
      </c>
      <c r="AV1000"/>
      <c r="AW1000"/>
      <c r="FY1000" s="211">
        <v>995</v>
      </c>
      <c r="FZ1000">
        <v>37.653167793114491</v>
      </c>
      <c r="GA1000">
        <v>64.550001454340375</v>
      </c>
      <c r="GB1000">
        <v>33.6347979296755</v>
      </c>
      <c r="GC1000">
        <v>16.647302047300606</v>
      </c>
      <c r="GD1000">
        <v>8.8184602331701889</v>
      </c>
      <c r="GE1000">
        <v>8.9838701853638607</v>
      </c>
      <c r="GF1000">
        <v>33.10462124468738</v>
      </c>
      <c r="GG1000">
        <v>29.307016199403751</v>
      </c>
      <c r="GH1000">
        <v>13.368152140053422</v>
      </c>
      <c r="GI1000">
        <v>28.004901567954299</v>
      </c>
      <c r="GJ1000"/>
      <c r="GK1000">
        <v>38.937392037364909</v>
      </c>
      <c r="GL1000">
        <v>57.046601697278952</v>
      </c>
      <c r="GM1000">
        <v>59.586347663253697</v>
      </c>
      <c r="GN1000">
        <v>54.979567904315353</v>
      </c>
      <c r="GO1000">
        <v>38.373536588326616</v>
      </c>
      <c r="GP1000">
        <v>19.276020664833979</v>
      </c>
      <c r="GQ1000">
        <v>44.602438479379366</v>
      </c>
      <c r="GR1000">
        <v>44.081464947897366</v>
      </c>
      <c r="GS1000">
        <v>16.346016095413869</v>
      </c>
      <c r="GT1000">
        <v>39.569146172747693</v>
      </c>
      <c r="GU1000"/>
      <c r="GV1000"/>
      <c r="GW1000"/>
      <c r="GX1000"/>
      <c r="GY1000"/>
      <c r="GZ1000"/>
      <c r="HA1000"/>
      <c r="HB1000"/>
      <c r="HC1000"/>
    </row>
    <row r="1001" spans="1:211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51.67499999999999</v>
      </c>
      <c r="AO1001">
        <v>40.703262135147313</v>
      </c>
      <c r="AP1001">
        <v>23.710934573186972</v>
      </c>
      <c r="AQ1001">
        <v>264.93833797854558</v>
      </c>
      <c r="AR1001">
        <v>38.965233768804836</v>
      </c>
      <c r="AS1001">
        <v>372.07575089795642</v>
      </c>
      <c r="AT1001">
        <v>31.135499898752499</v>
      </c>
      <c r="AU1001">
        <v>16.589253124423465</v>
      </c>
      <c r="AV1001"/>
      <c r="AW1001"/>
      <c r="FY1001" s="211">
        <v>996</v>
      </c>
      <c r="FZ1001">
        <v>42.680111269846925</v>
      </c>
      <c r="GA1001">
        <v>65.787946687711283</v>
      </c>
      <c r="GB1001">
        <v>31.41921213460596</v>
      </c>
      <c r="GC1001">
        <v>17.789024951973452</v>
      </c>
      <c r="GD1001">
        <v>10.676511523048733</v>
      </c>
      <c r="GE1001">
        <v>10.319310348053081</v>
      </c>
      <c r="GF1001">
        <v>23.077445019524571</v>
      </c>
      <c r="GG1001">
        <v>15.822482557292918</v>
      </c>
      <c r="GH1001">
        <v>7.3254911735246013</v>
      </c>
      <c r="GI1001">
        <v>26.411181259928693</v>
      </c>
      <c r="GJ1001"/>
      <c r="GK1001">
        <v>44.130068433211946</v>
      </c>
      <c r="GL1001">
        <v>58.140646113391142</v>
      </c>
      <c r="GM1001">
        <v>55.661285715838169</v>
      </c>
      <c r="GN1001">
        <v>58.75433836079074</v>
      </c>
      <c r="GO1001">
        <v>46.464099140829028</v>
      </c>
      <c r="GP1001">
        <v>22.141375087984976</v>
      </c>
      <c r="GQ1001">
        <v>31.092647583448425</v>
      </c>
      <c r="GR1001">
        <v>23.799018142700429</v>
      </c>
      <c r="GS1001">
        <v>8.2053331208414928</v>
      </c>
      <c r="GT1001">
        <v>37.110686798833811</v>
      </c>
      <c r="GU1001"/>
      <c r="GV1001"/>
      <c r="GW1001"/>
      <c r="GX1001"/>
      <c r="GY1001"/>
      <c r="GZ1001"/>
      <c r="HA1001"/>
      <c r="HB1001"/>
      <c r="HC1001"/>
    </row>
    <row r="1002" spans="1:211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53.557665598290598</v>
      </c>
      <c r="AO1002">
        <v>43.641340808786964</v>
      </c>
      <c r="AP1002">
        <v>46.907673890072473</v>
      </c>
      <c r="AQ1002">
        <v>294.76574385327672</v>
      </c>
      <c r="AR1002">
        <v>41.428886739344307</v>
      </c>
      <c r="AS1002">
        <v>368.885489287403</v>
      </c>
      <c r="AT1002">
        <v>32.401065548351667</v>
      </c>
      <c r="AU1002">
        <v>21.203648856663715</v>
      </c>
      <c r="AV1002"/>
      <c r="AW1002"/>
      <c r="FY1002" s="211">
        <v>997</v>
      </c>
      <c r="FZ1002">
        <v>52.625864375079104</v>
      </c>
      <c r="GA1002">
        <v>83.109991839509661</v>
      </c>
      <c r="GB1002">
        <v>26.135892161747847</v>
      </c>
      <c r="GC1002">
        <v>12.888199702058909</v>
      </c>
      <c r="GD1002">
        <v>9.3704982640684573</v>
      </c>
      <c r="GE1002">
        <v>9.0912657229227865</v>
      </c>
      <c r="GF1002">
        <v>29.87061524042803</v>
      </c>
      <c r="GG1002">
        <v>25.71743806700297</v>
      </c>
      <c r="GH1002">
        <v>8.023156999574562</v>
      </c>
      <c r="GI1002">
        <v>27.04060957443529</v>
      </c>
      <c r="GJ1002"/>
      <c r="GK1002">
        <v>58.027118407815529</v>
      </c>
      <c r="GL1002">
        <v>78.121867226390378</v>
      </c>
      <c r="GM1002">
        <v>46.301522610462712</v>
      </c>
      <c r="GN1002">
        <v>42.560006758921418</v>
      </c>
      <c r="GO1002">
        <v>40.771664924891866</v>
      </c>
      <c r="GP1002">
        <v>19.506451265297176</v>
      </c>
      <c r="GQ1002">
        <v>40.24520530698446</v>
      </c>
      <c r="GR1002">
        <v>38.682284712538461</v>
      </c>
      <c r="GS1002">
        <v>8.9867934180644919</v>
      </c>
      <c r="GT1002">
        <v>38.866460933643815</v>
      </c>
      <c r="GU1002"/>
      <c r="GV1002"/>
      <c r="GW1002"/>
      <c r="GX1002"/>
      <c r="GY1002"/>
      <c r="GZ1002"/>
      <c r="HA1002"/>
      <c r="HB1002"/>
      <c r="HC1002"/>
    </row>
    <row r="1003" spans="1:211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49.277483974358972</v>
      </c>
      <c r="AO1003">
        <v>38.493760774432403</v>
      </c>
      <c r="AP1003">
        <v>14.666435893079747</v>
      </c>
      <c r="AQ1003">
        <v>263.36743489693242</v>
      </c>
      <c r="AR1003">
        <v>36.136795393736243</v>
      </c>
      <c r="AS1003">
        <v>351.81661687318586</v>
      </c>
      <c r="AT1003">
        <v>29.186649000164874</v>
      </c>
      <c r="AU1003">
        <v>21.784764219148386</v>
      </c>
      <c r="AV1003"/>
      <c r="AW1003"/>
      <c r="FY1003" s="211">
        <v>998</v>
      </c>
      <c r="FZ1003">
        <v>60.61044365700198</v>
      </c>
      <c r="GA1003">
        <v>97.739678933447152</v>
      </c>
      <c r="GB1003">
        <v>32.973129773681883</v>
      </c>
      <c r="GC1003">
        <v>15.184794824540122</v>
      </c>
      <c r="GD1003">
        <v>9.5872668357895421</v>
      </c>
      <c r="GE1003">
        <v>12.551269780799407</v>
      </c>
      <c r="GF1003">
        <v>23.174113677260586</v>
      </c>
      <c r="GG1003">
        <v>14.263849947171529</v>
      </c>
      <c r="GH1003">
        <v>7.6743240865495812</v>
      </c>
      <c r="GI1003">
        <v>28.6811485581939</v>
      </c>
      <c r="GJ1003"/>
      <c r="GK1003">
        <v>68.077471214835839</v>
      </c>
      <c r="GL1003">
        <v>93.387334789145228</v>
      </c>
      <c r="GM1003">
        <v>58.414157217419202</v>
      </c>
      <c r="GN1003">
        <v>50.141457416577694</v>
      </c>
      <c r="GO1003">
        <v>41.710703056152646</v>
      </c>
      <c r="GP1003">
        <v>26.930324088915668</v>
      </c>
      <c r="GQ1003">
        <v>31.222890966318928</v>
      </c>
      <c r="GR1003">
        <v>21.454637251031436</v>
      </c>
      <c r="GS1003">
        <v>8.5960632694529924</v>
      </c>
      <c r="GT1003">
        <v>41.604257144835927</v>
      </c>
      <c r="GU1003"/>
      <c r="GV1003"/>
      <c r="GW1003"/>
      <c r="GX1003"/>
      <c r="GY1003"/>
      <c r="GZ1003"/>
      <c r="HA1003"/>
      <c r="HB1003"/>
      <c r="HC1003"/>
    </row>
    <row r="1004" spans="1:211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43.284855769230774</v>
      </c>
      <c r="AO1004">
        <v>32.108162579353277</v>
      </c>
      <c r="AP1004">
        <v>22.105910682624774</v>
      </c>
      <c r="AQ1004">
        <v>218.86057370813009</v>
      </c>
      <c r="AR1004">
        <v>31.05943886646314</v>
      </c>
      <c r="AS1004">
        <v>308.5569967738445</v>
      </c>
      <c r="AT1004">
        <v>24.747976530939482</v>
      </c>
      <c r="AU1004">
        <v>31.136326171424223</v>
      </c>
      <c r="AV1004"/>
      <c r="AW1004"/>
      <c r="FY1004" s="211">
        <v>999</v>
      </c>
      <c r="FZ1004">
        <v>41.119357229260558</v>
      </c>
      <c r="GA1004">
        <v>76.438524102956592</v>
      </c>
      <c r="GB1004">
        <v>27.128394395738269</v>
      </c>
      <c r="GC1004">
        <v>10.678621180786728</v>
      </c>
      <c r="GD1004">
        <v>7.7324890377609972</v>
      </c>
      <c r="GE1004">
        <v>11.990945237013719</v>
      </c>
      <c r="GF1004">
        <v>20.590424097770782</v>
      </c>
      <c r="GG1004">
        <v>12.728832982658036</v>
      </c>
      <c r="GH1004">
        <v>14.065817966103381</v>
      </c>
      <c r="GI1004">
        <v>23.856616131262012</v>
      </c>
      <c r="GJ1004"/>
      <c r="GK1004">
        <v>44.32457143950667</v>
      </c>
      <c r="GL1004">
        <v>69.889542338642514</v>
      </c>
      <c r="GM1004">
        <v>48.059808279214451</v>
      </c>
      <c r="GN1004">
        <v>35.23139710842468</v>
      </c>
      <c r="GO1004">
        <v>33.60836418342307</v>
      </c>
      <c r="GP1004">
        <v>25.72807747780336</v>
      </c>
      <c r="GQ1004">
        <v>27.741840551416477</v>
      </c>
      <c r="GR1004">
        <v>19.145777281963483</v>
      </c>
      <c r="GS1004">
        <v>17.127476392636865</v>
      </c>
      <c r="GT1004">
        <v>34.1724121692395</v>
      </c>
      <c r="GU1004"/>
      <c r="GV1004"/>
      <c r="GW1004"/>
      <c r="GX1004"/>
      <c r="GY1004"/>
      <c r="GZ1004"/>
      <c r="HA1004"/>
      <c r="HB1004"/>
      <c r="HC1004"/>
    </row>
    <row r="1005" spans="1:211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54.45657051282052</v>
      </c>
      <c r="AO1005">
        <v>44.459237663606658</v>
      </c>
      <c r="AP1005">
        <v>35.337277854333955</v>
      </c>
      <c r="AQ1005">
        <v>294.20947776170499</v>
      </c>
      <c r="AR1005">
        <v>42.258699474326868</v>
      </c>
      <c r="AS1005">
        <v>386.28573476053958</v>
      </c>
      <c r="AT1005">
        <v>33.344272521443422</v>
      </c>
      <c r="AU1005">
        <v>-2.188904284327343</v>
      </c>
      <c r="AV1005"/>
      <c r="AW1005"/>
      <c r="FY1005" s="211">
        <v>1000</v>
      </c>
      <c r="FZ1005">
        <v>58.042699297462896</v>
      </c>
      <c r="GA1005">
        <v>74.581606252900201</v>
      </c>
      <c r="GB1005">
        <v>27.790062551731886</v>
      </c>
      <c r="GC1005">
        <v>15.15205436331898</v>
      </c>
      <c r="GD1005">
        <v>10.325451161837179</v>
      </c>
      <c r="GE1005">
        <v>10.973022315803053</v>
      </c>
      <c r="GF1005">
        <v>12.566925505681695</v>
      </c>
      <c r="GG1005">
        <v>12.469060880971139</v>
      </c>
      <c r="GH1005">
        <v>15.056065982626254</v>
      </c>
      <c r="GI1005">
        <v>26.723195643192767</v>
      </c>
      <c r="GJ1005"/>
      <c r="GK1005">
        <v>61.829282097301856</v>
      </c>
      <c r="GL1005">
        <v>68.24847571447421</v>
      </c>
      <c r="GM1005">
        <v>49.231998725048953</v>
      </c>
      <c r="GN1005">
        <v>50.037160966441476</v>
      </c>
      <c r="GO1005">
        <v>44.927612869214173</v>
      </c>
      <c r="GP1005">
        <v>23.543996134282672</v>
      </c>
      <c r="GQ1005">
        <v>16.931639773164981</v>
      </c>
      <c r="GR1005">
        <v>18.755047133351983</v>
      </c>
      <c r="GS1005">
        <v>17.550531614382926</v>
      </c>
      <c r="GT1005">
        <v>38.094213015822575</v>
      </c>
      <c r="GU1005"/>
      <c r="GV1005"/>
      <c r="GW1005"/>
      <c r="GX1005"/>
      <c r="GY1005"/>
      <c r="GZ1005"/>
      <c r="HA1005"/>
      <c r="HB1005"/>
      <c r="HC1005"/>
    </row>
    <row r="1006" spans="1:211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42.427537393162389</v>
      </c>
      <c r="AO1006">
        <v>34.67338949325017</v>
      </c>
      <c r="AP1006">
        <v>42.48701597408116</v>
      </c>
      <c r="AQ1006">
        <v>237.99760049114639</v>
      </c>
      <c r="AR1006">
        <v>32.989177093677718</v>
      </c>
      <c r="AS1006">
        <v>308.71673206394939</v>
      </c>
      <c r="AT1006">
        <v>25.287089411392529</v>
      </c>
      <c r="AU1006">
        <v>14.92692266326527</v>
      </c>
      <c r="AV1006"/>
      <c r="AW1006"/>
    </row>
    <row r="1007" spans="1:211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54.845192307692308</v>
      </c>
      <c r="AO1007">
        <v>42.247232818139665</v>
      </c>
      <c r="AP1007">
        <v>27.694270440093725</v>
      </c>
      <c r="AQ1007">
        <v>286.49949625085355</v>
      </c>
      <c r="AR1007">
        <v>39.962964429793146</v>
      </c>
      <c r="AS1007">
        <v>394.87645152396004</v>
      </c>
      <c r="AT1007">
        <v>31.953805909202398</v>
      </c>
      <c r="AU1007">
        <v>33.595400834612832</v>
      </c>
      <c r="AV1007"/>
      <c r="AW1007"/>
    </row>
    <row r="1008" spans="1:211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43.307505341880344</v>
      </c>
      <c r="AO1008">
        <v>32.074916488835854</v>
      </c>
      <c r="AP1008">
        <v>14.583718203376609</v>
      </c>
      <c r="AQ1008">
        <v>223.51585588773955</v>
      </c>
      <c r="AR1008">
        <v>31.538837411842405</v>
      </c>
      <c r="AS1008">
        <v>287.65616831753965</v>
      </c>
      <c r="AT1008">
        <v>25.292602222070638</v>
      </c>
      <c r="AU1008">
        <v>31.160113156237717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52.968322649572642</v>
      </c>
      <c r="AO1009">
        <v>42.546122663475501</v>
      </c>
      <c r="AP1009">
        <v>43.234207149009393</v>
      </c>
      <c r="AQ1009">
        <v>296.48125230013324</v>
      </c>
      <c r="AR1009">
        <v>40.383218223004064</v>
      </c>
      <c r="AS1009">
        <v>404.19723262931291</v>
      </c>
      <c r="AT1009">
        <v>31.226816220685677</v>
      </c>
      <c r="AU1009">
        <v>3.1520160042225296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52.636485042735046</v>
      </c>
      <c r="AO1010">
        <v>40.776854164981906</v>
      </c>
      <c r="AP1010">
        <v>16.324827399650889</v>
      </c>
      <c r="AQ1010">
        <v>278.76927319497929</v>
      </c>
      <c r="AR1010">
        <v>38.603064988301853</v>
      </c>
      <c r="AS1010">
        <v>359.91051304422444</v>
      </c>
      <c r="AT1010">
        <v>31.037754090794962</v>
      </c>
      <c r="AU1010">
        <v>25.026974239453562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54.97475961538462</v>
      </c>
      <c r="AO1011">
        <v>41.279853225081183</v>
      </c>
      <c r="AP1011">
        <v>21.278442533054381</v>
      </c>
      <c r="AQ1011">
        <v>274.07229079506385</v>
      </c>
      <c r="AR1011">
        <v>39.569146172747715</v>
      </c>
      <c r="AS1011">
        <v>391.00613839308807</v>
      </c>
      <c r="AT1011">
        <v>32.153206869354733</v>
      </c>
      <c r="AU1011">
        <v>42.980268431790599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52.189690170940175</v>
      </c>
      <c r="AO1012">
        <v>38.549949849787012</v>
      </c>
      <c r="AP1012">
        <v>10.073319777443176</v>
      </c>
      <c r="AQ1012">
        <v>251.30871692551023</v>
      </c>
      <c r="AR1012">
        <v>37.110686798833832</v>
      </c>
      <c r="AS1012">
        <v>365.00925686118217</v>
      </c>
      <c r="AT1012">
        <v>30.210010757451354</v>
      </c>
      <c r="AU1012">
        <v>46.076579270405929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51.032558760683756</v>
      </c>
      <c r="AO1013">
        <v>41.206937556501032</v>
      </c>
      <c r="AP1013">
        <v>35.753142816307673</v>
      </c>
      <c r="AQ1013">
        <v>283.8735319468276</v>
      </c>
      <c r="AR1013">
        <v>38.866460933643836</v>
      </c>
      <c r="AS1013">
        <v>368.00861741265686</v>
      </c>
      <c r="AT1013">
        <v>30.479005132019548</v>
      </c>
      <c r="AU1013">
        <v>25.932323248491624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53.271501068376075</v>
      </c>
      <c r="AO1014">
        <v>44.153929641468551</v>
      </c>
      <c r="AP1014">
        <v>62.610992452058561</v>
      </c>
      <c r="AQ1014">
        <v>302.44002007443567</v>
      </c>
      <c r="AR1014">
        <v>41.604257144835948</v>
      </c>
      <c r="AS1014">
        <v>377.10863294803841</v>
      </c>
      <c r="AT1014">
        <v>31.82158279354643</v>
      </c>
      <c r="AU1014">
        <v>31.85093070858429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45.910202991452984</v>
      </c>
      <c r="AO1015">
        <v>35.502926722227116</v>
      </c>
      <c r="AP1015">
        <v>33.577566270544651</v>
      </c>
      <c r="AQ1015">
        <v>246.33002236131108</v>
      </c>
      <c r="AR1015">
        <v>34.172412169239493</v>
      </c>
      <c r="AS1015">
        <v>332.13564542388497</v>
      </c>
      <c r="AT1015">
        <v>26.48313669289379</v>
      </c>
      <c r="AU1015">
        <v>19.750794655282334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49.923878205128204</v>
      </c>
      <c r="AO1016">
        <v>38.914995804348578</v>
      </c>
      <c r="AP1016">
        <v>25.721528894431021</v>
      </c>
      <c r="AQ1016">
        <v>263.68014395552603</v>
      </c>
      <c r="AR1016">
        <v>38.094213015822596</v>
      </c>
      <c r="AS1016">
        <v>351.18390453154865</v>
      </c>
      <c r="AT1016">
        <v>30.268920916229948</v>
      </c>
      <c r="AU1016">
        <v>44.529589726956878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2011-01-25T00:05:39Z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