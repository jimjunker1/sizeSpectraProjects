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5040" yWindow="135" windowWidth="14340" windowHeight="798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2" i="1"/>
  <c r="DH212"/>
  <c r="DI212"/>
  <c r="DJ212"/>
  <c r="DK212"/>
  <c r="DL212"/>
  <c r="DM212"/>
  <c r="DN212"/>
  <c r="DG213"/>
  <c r="DH213"/>
  <c r="DI213"/>
  <c r="DJ213"/>
  <c r="DK213"/>
  <c r="DL213"/>
  <c r="DM213"/>
  <c r="DN213"/>
  <c r="DH214"/>
  <c r="DI214"/>
  <c r="DJ214"/>
  <c r="DK214"/>
  <c r="DL214"/>
  <c r="DM214"/>
  <c r="DN214"/>
  <c r="DG215"/>
  <c r="DI215"/>
  <c r="DJ215"/>
  <c r="DK215"/>
  <c r="DL215"/>
  <c r="DM215"/>
  <c r="DN215"/>
  <c r="DG216"/>
  <c r="DI216"/>
  <c r="DJ216"/>
  <c r="DK216"/>
  <c r="DL216"/>
  <c r="DM216"/>
  <c r="DN216"/>
  <c r="DG217"/>
  <c r="DI217"/>
  <c r="DJ217"/>
  <c r="DK217"/>
  <c r="DL217"/>
  <c r="DM217"/>
  <c r="DN217"/>
  <c r="DG218"/>
  <c r="DH218"/>
  <c r="DJ218"/>
  <c r="DK218"/>
  <c r="DL218"/>
  <c r="DM218"/>
  <c r="DN218"/>
  <c r="DJ219"/>
  <c r="DK219"/>
  <c r="DL219"/>
  <c r="DM219"/>
  <c r="DN219"/>
  <c r="DK220"/>
  <c r="DL220"/>
  <c r="DM220"/>
  <c r="DN220"/>
  <c r="DJ221"/>
  <c r="DK221"/>
  <c r="DL221"/>
  <c r="DM221"/>
  <c r="DN221"/>
  <c r="DO214"/>
  <c r="DO212"/>
  <c r="DO213"/>
  <c r="DO215"/>
  <c r="DO216"/>
  <c r="DO217"/>
  <c r="DO218"/>
  <c r="DO219"/>
  <c r="DO220"/>
  <c r="DO221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78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3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0"/>
  <c r="CX184"/>
  <c r="CZ184"/>
  <c r="DF184"/>
  <c r="DL184"/>
  <c r="DT184"/>
  <c r="EA184"/>
  <c r="EI184"/>
  <c r="DD184"/>
  <c r="BA184"/>
  <c r="CM184"/>
  <c r="CL184"/>
  <c r="CK184"/>
  <c r="AY184"/>
  <c r="B179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6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7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4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2"/>
  <c r="CX179"/>
  <c r="CZ179"/>
  <c r="DP179"/>
  <c r="DR179"/>
  <c r="EF179"/>
  <c r="EH179"/>
  <c r="DD179"/>
  <c r="DC179" s="1"/>
  <c r="BA179"/>
  <c r="CM179"/>
  <c r="CL179"/>
  <c r="CK179"/>
  <c r="AY179"/>
  <c r="B181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5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1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69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5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6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68"/>
  <c r="CZ172"/>
  <c r="DD172"/>
  <c r="DE172" s="1"/>
  <c r="DC172"/>
  <c r="BA172"/>
  <c r="CM172" s="1"/>
  <c r="CL172"/>
  <c r="CK172"/>
  <c r="AY172"/>
  <c r="B173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7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4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0"/>
  <c r="CX168"/>
  <c r="CZ168"/>
  <c r="DZ168" s="1"/>
  <c r="DJ168"/>
  <c r="DP168"/>
  <c r="EF168"/>
  <c r="DD168"/>
  <c r="DC168" s="1"/>
  <c r="DE168"/>
  <c r="CL168"/>
  <c r="CK168"/>
  <c r="AY168"/>
  <c r="B172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6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58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4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7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0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2"/>
  <c r="CX161"/>
  <c r="CZ161"/>
  <c r="DP161"/>
  <c r="DV161"/>
  <c r="DD161"/>
  <c r="BA161"/>
  <c r="CM161"/>
  <c r="CL161"/>
  <c r="CK161"/>
  <c r="AY161"/>
  <c r="B159"/>
  <c r="CW160"/>
  <c r="CX160"/>
  <c r="CZ160"/>
  <c r="EB160"/>
  <c r="ED160"/>
  <c r="DD160"/>
  <c r="DC160" s="1"/>
  <c r="DE160"/>
  <c r="BA160"/>
  <c r="CM160"/>
  <c r="CL160"/>
  <c r="CK160"/>
  <c r="AY160"/>
  <c r="B165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3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1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5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2"/>
  <c r="CZ155"/>
  <c r="DK155" s="1"/>
  <c r="DG155"/>
  <c r="DO155"/>
  <c r="DW155"/>
  <c r="EE155"/>
  <c r="DD155"/>
  <c r="DE155"/>
  <c r="DC155"/>
  <c r="BA155"/>
  <c r="CM155" s="1"/>
  <c r="CL155"/>
  <c r="CK155"/>
  <c r="AY155"/>
  <c r="B156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48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7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0"/>
  <c r="DK151"/>
  <c r="DG151"/>
  <c r="DO151"/>
  <c r="DW151"/>
  <c r="EE151"/>
  <c r="DD151"/>
  <c r="DC151" s="1"/>
  <c r="B151"/>
  <c r="DG150"/>
  <c r="DF150"/>
  <c r="DH150"/>
  <c r="DJ150"/>
  <c r="DL150"/>
  <c r="DN150"/>
  <c r="DP150"/>
  <c r="EZ150" s="1"/>
  <c r="DR150"/>
  <c r="DT150"/>
  <c r="DV150"/>
  <c r="DX150"/>
  <c r="DZ150"/>
  <c r="EB150"/>
  <c r="ED150"/>
  <c r="EF150"/>
  <c r="EH150"/>
  <c r="EJ150"/>
  <c r="DD150"/>
  <c r="DC150" s="1"/>
  <c r="B149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4"/>
  <c r="CZ148"/>
  <c r="DF148"/>
  <c r="DJ148"/>
  <c r="DN148"/>
  <c r="DR148"/>
  <c r="DV148"/>
  <c r="DZ148"/>
  <c r="ED148"/>
  <c r="EH148"/>
  <c r="DD148"/>
  <c r="CL148"/>
  <c r="CK148"/>
  <c r="AY148"/>
  <c r="B153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4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2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7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6"/>
  <c r="CZ143"/>
  <c r="DG143" s="1"/>
  <c r="DF143"/>
  <c r="DH143"/>
  <c r="DJ143"/>
  <c r="DL143"/>
  <c r="DN143"/>
  <c r="DP143"/>
  <c r="EZ143" s="1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1"/>
  <c r="CX142"/>
  <c r="CZ142"/>
  <c r="DI142"/>
  <c r="DM142"/>
  <c r="EW142" s="1"/>
  <c r="DN142"/>
  <c r="DO142"/>
  <c r="DP142"/>
  <c r="EZ142" s="1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3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39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0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5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8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2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28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7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1"/>
  <c r="CZ133"/>
  <c r="DG133" s="1"/>
  <c r="DD133"/>
  <c r="DE133"/>
  <c r="DC133"/>
  <c r="BA133"/>
  <c r="CM133" s="1"/>
  <c r="CL133"/>
  <c r="CK133"/>
  <c r="AY133"/>
  <c r="B135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6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0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4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3"/>
  <c r="CW128"/>
  <c r="CX128"/>
  <c r="CZ128"/>
  <c r="DH128"/>
  <c r="DL128"/>
  <c r="DP128"/>
  <c r="DT128"/>
  <c r="DX128"/>
  <c r="EB128"/>
  <c r="EF128"/>
  <c r="EJ128"/>
  <c r="DD128"/>
  <c r="CL128"/>
  <c r="CK128"/>
  <c r="AY128"/>
  <c r="B129"/>
  <c r="CX127"/>
  <c r="CZ127"/>
  <c r="DD127"/>
  <c r="DE127"/>
  <c r="DC127"/>
  <c r="BA127"/>
  <c r="CM127" s="1"/>
  <c r="CL127"/>
  <c r="CK127"/>
  <c r="AY127"/>
  <c r="B121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5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3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7"/>
  <c r="CX123"/>
  <c r="CZ123"/>
  <c r="DD123"/>
  <c r="DE123"/>
  <c r="DC123"/>
  <c r="BA123"/>
  <c r="CM123" s="1"/>
  <c r="CL123"/>
  <c r="CK123"/>
  <c r="AY123"/>
  <c r="B126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4"/>
  <c r="CW121"/>
  <c r="CX121"/>
  <c r="CZ121"/>
  <c r="DD121"/>
  <c r="BA121"/>
  <c r="CM121"/>
  <c r="CL121"/>
  <c r="CK121"/>
  <c r="AY121"/>
  <c r="B122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0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18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19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7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2"/>
  <c r="CZ115"/>
  <c r="DI115"/>
  <c r="DM115"/>
  <c r="EW115" s="1"/>
  <c r="DQ115"/>
  <c r="DU115"/>
  <c r="DY115"/>
  <c r="EC115"/>
  <c r="EG115"/>
  <c r="DD115"/>
  <c r="DE115"/>
  <c r="DC115"/>
  <c r="BA115"/>
  <c r="CM115" s="1"/>
  <c r="CL115"/>
  <c r="CK115"/>
  <c r="AY115"/>
  <c r="B109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08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0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5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1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3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6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4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5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0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2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98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4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99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1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7"/>
  <c r="CZ99"/>
  <c r="DG99" s="1"/>
  <c r="DF99"/>
  <c r="DH99"/>
  <c r="DJ99"/>
  <c r="DL99"/>
  <c r="DN99"/>
  <c r="DP99"/>
  <c r="EZ99" s="1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6"/>
  <c r="CZ98"/>
  <c r="DI98"/>
  <c r="DM98"/>
  <c r="DQ98"/>
  <c r="DU98"/>
  <c r="DY98"/>
  <c r="EC98"/>
  <c r="EG98"/>
  <c r="DD98"/>
  <c r="DE98" s="1"/>
  <c r="DC98"/>
  <c r="CL98"/>
  <c r="CK98"/>
  <c r="AY98"/>
  <c r="B103"/>
  <c r="CZ97"/>
  <c r="DG97" s="1"/>
  <c r="DD97"/>
  <c r="DE97" s="1"/>
  <c r="DC97"/>
  <c r="BA97"/>
  <c r="CM97" s="1"/>
  <c r="CL97"/>
  <c r="CK97"/>
  <c r="AY97"/>
  <c r="B91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3"/>
  <c r="CZ95"/>
  <c r="DD95"/>
  <c r="DE95" s="1"/>
  <c r="DC95"/>
  <c r="BA95"/>
  <c r="CM95" s="1"/>
  <c r="CL95"/>
  <c r="CK95"/>
  <c r="AY95"/>
  <c r="B90"/>
  <c r="CZ94"/>
  <c r="DF94"/>
  <c r="DG94"/>
  <c r="DH94"/>
  <c r="DI94"/>
  <c r="ES94" s="1"/>
  <c r="DJ94"/>
  <c r="DK94"/>
  <c r="DL94"/>
  <c r="DM94"/>
  <c r="EW94" s="1"/>
  <c r="DN94"/>
  <c r="DO94"/>
  <c r="DP94"/>
  <c r="EZ94" s="1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5"/>
  <c r="CZ93"/>
  <c r="DD93"/>
  <c r="DE93" s="1"/>
  <c r="DC93"/>
  <c r="BA93"/>
  <c r="CM93" s="1"/>
  <c r="CL93"/>
  <c r="CK93"/>
  <c r="AY93"/>
  <c r="B97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89"/>
  <c r="CZ91"/>
  <c r="DG91" s="1"/>
  <c r="DD91"/>
  <c r="DE91" s="1"/>
  <c r="DC91"/>
  <c r="BA91"/>
  <c r="CM91" s="1"/>
  <c r="CL91"/>
  <c r="CK91"/>
  <c r="AY91"/>
  <c r="B94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6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88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2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DE151" l="1"/>
  <c r="DE231" s="1"/>
  <c r="DE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5"/>
  <c r="N378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AI424" l="1"/>
  <c r="AI442" s="1"/>
  <c r="Z429"/>
  <c r="Z447" s="1"/>
  <c r="AI423"/>
  <c r="AI441" s="1"/>
  <c r="AK424"/>
  <c r="AK442" s="1"/>
  <c r="N431"/>
  <c r="N449" s="1"/>
  <c r="Z423"/>
  <c r="Z441" s="1"/>
  <c r="H432"/>
  <c r="H450" s="1"/>
  <c r="AA425"/>
  <c r="AA443" s="1"/>
  <c r="AC426"/>
  <c r="AC444" s="1"/>
  <c r="M427"/>
  <c r="M445" s="1"/>
  <c r="AE427"/>
  <c r="AE445" s="1"/>
  <c r="Y428"/>
  <c r="Y446" s="1"/>
  <c r="AG428"/>
  <c r="AG446" s="1"/>
  <c r="M428"/>
  <c r="M446" s="1"/>
  <c r="U429"/>
  <c r="U447" s="1"/>
  <c r="AE430"/>
  <c r="AE448" s="1"/>
  <c r="AG430"/>
  <c r="AG448" s="1"/>
  <c r="L431"/>
  <c r="L449" s="1"/>
  <c r="AB431"/>
  <c r="AB449" s="1"/>
  <c r="AA431"/>
  <c r="AA449" s="1"/>
  <c r="X424"/>
  <c r="X442" s="1"/>
  <c r="M425"/>
  <c r="M443" s="1"/>
  <c r="L427"/>
  <c r="L445" s="1"/>
  <c r="Q423"/>
  <c r="Q441" s="1"/>
  <c r="L430"/>
  <c r="L448" s="1"/>
  <c r="N424"/>
  <c r="N442" s="1"/>
  <c r="AD424"/>
  <c r="AD442" s="1"/>
  <c r="W426"/>
  <c r="W444" s="1"/>
  <c r="N426"/>
  <c r="N444" s="1"/>
  <c r="AD426"/>
  <c r="AD444" s="1"/>
  <c r="R428"/>
  <c r="R446" s="1"/>
  <c r="AH428"/>
  <c r="AH446" s="1"/>
  <c r="N425"/>
  <c r="N443" s="1"/>
  <c r="V425"/>
  <c r="V443" s="1"/>
  <c r="AD425"/>
  <c r="AD443" s="1"/>
  <c r="V430"/>
  <c r="V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V424"/>
  <c r="V442" s="1"/>
  <c r="O426"/>
  <c r="O444" s="1"/>
  <c r="AE426"/>
  <c r="AE444" s="1"/>
  <c r="V426"/>
  <c r="V444" s="1"/>
  <c r="Z428"/>
  <c r="Z446" s="1"/>
  <c r="R425"/>
  <c r="R443" s="1"/>
  <c r="Z425"/>
  <c r="Z443" s="1"/>
  <c r="AH425"/>
  <c r="AH443" s="1"/>
  <c r="N430"/>
  <c r="N448" s="1"/>
  <c r="AD430"/>
  <c r="AD448" s="1"/>
  <c r="AB423"/>
  <c r="AB441" s="1"/>
  <c r="AJ423"/>
  <c r="AJ441" s="1"/>
  <c r="W424"/>
  <c r="W442" s="1"/>
  <c r="H423"/>
  <c r="H441" s="1"/>
  <c r="V427"/>
  <c r="V445" s="1"/>
  <c r="AH429"/>
  <c r="AH447" s="1"/>
  <c r="AH431"/>
  <c r="AH449" s="1"/>
  <c r="W423"/>
  <c r="W441" s="1"/>
  <c r="T423"/>
  <c r="T441" s="1"/>
  <c r="J427"/>
  <c r="J445" s="1"/>
  <c r="N429"/>
  <c r="N447" s="1"/>
  <c r="V431"/>
  <c r="V449" s="1"/>
  <c r="S61"/>
  <c r="S432"/>
  <c r="S450" s="1"/>
  <c r="N423"/>
  <c r="N441" s="1"/>
  <c r="AD423"/>
  <c r="AD441" s="1"/>
  <c r="M423"/>
  <c r="M441" s="1"/>
  <c r="AC432"/>
  <c r="AC450" s="1"/>
  <c r="T432"/>
  <c r="T450" s="1"/>
  <c r="AA432"/>
  <c r="AA450" s="1"/>
  <c r="Q425"/>
  <c r="Q443" s="1"/>
  <c r="AC424"/>
  <c r="AC442" s="1"/>
  <c r="AB425"/>
  <c r="AB443" s="1"/>
  <c r="AE425"/>
  <c r="AE443" s="1"/>
  <c r="Q426"/>
  <c r="Q444" s="1"/>
  <c r="AG426"/>
  <c r="AG444" s="1"/>
  <c r="H427"/>
  <c r="H445" s="1"/>
  <c r="Q427"/>
  <c r="Q445" s="1"/>
  <c r="AK427"/>
  <c r="AK445" s="1"/>
  <c r="S427"/>
  <c r="S445" s="1"/>
  <c r="AI427"/>
  <c r="AI445" s="1"/>
  <c r="X429"/>
  <c r="X447" s="1"/>
  <c r="AC428"/>
  <c r="AC446" s="1"/>
  <c r="AF428"/>
  <c r="AF446" s="1"/>
  <c r="P428"/>
  <c r="P446" s="1"/>
  <c r="K428"/>
  <c r="K446" s="1"/>
  <c r="AA428"/>
  <c r="AA446" s="1"/>
  <c r="U428"/>
  <c r="U446" s="1"/>
  <c r="S429"/>
  <c r="S447" s="1"/>
  <c r="I429"/>
  <c r="I447" s="1"/>
  <c r="Y429"/>
  <c r="Y447" s="1"/>
  <c r="H430"/>
  <c r="H448" s="1"/>
  <c r="O430"/>
  <c r="O448" s="1"/>
  <c r="AI430"/>
  <c r="AI448" s="1"/>
  <c r="AK430"/>
  <c r="AK448" s="1"/>
  <c r="M430"/>
  <c r="M448" s="1"/>
  <c r="P431"/>
  <c r="P449" s="1"/>
  <c r="Q431"/>
  <c r="Q449" s="1"/>
  <c r="H431"/>
  <c r="H449" s="1"/>
  <c r="K431"/>
  <c r="K449" s="1"/>
  <c r="AI431"/>
  <c r="AI449" s="1"/>
  <c r="X428"/>
  <c r="X446" s="1"/>
  <c r="L424"/>
  <c r="L442" s="1"/>
  <c r="AB424"/>
  <c r="AB442" s="1"/>
  <c r="K425"/>
  <c r="K443" s="1"/>
  <c r="U425"/>
  <c r="U443" s="1"/>
  <c r="AK425"/>
  <c r="AK443" s="1"/>
  <c r="AB426"/>
  <c r="AB444" s="1"/>
  <c r="AJ427"/>
  <c r="AJ445" s="1"/>
  <c r="AF430"/>
  <c r="AF448" s="1"/>
  <c r="AF425"/>
  <c r="AF443" s="1"/>
  <c r="AK423"/>
  <c r="AK441" s="1"/>
  <c r="X426"/>
  <c r="X444" s="1"/>
  <c r="P430"/>
  <c r="P448" s="1"/>
  <c r="R424"/>
  <c r="R442" s="1"/>
  <c r="AH424"/>
  <c r="AH442" s="1"/>
  <c r="K426"/>
  <c r="K444" s="1"/>
  <c r="AA426"/>
  <c r="AA444" s="1"/>
  <c r="R426"/>
  <c r="R444" s="1"/>
  <c r="AH426"/>
  <c r="AH444" s="1"/>
  <c r="V428"/>
  <c r="V446" s="1"/>
  <c r="Z430"/>
  <c r="Z448" s="1"/>
  <c r="AF423"/>
  <c r="AF441" s="1"/>
  <c r="S424"/>
  <c r="S442" s="1"/>
  <c r="N427"/>
  <c r="N445" s="1"/>
  <c r="Z431"/>
  <c r="Z449" s="1"/>
  <c r="S423"/>
  <c r="S441" s="1"/>
  <c r="M61"/>
  <c r="M432"/>
  <c r="M450" s="1"/>
  <c r="AH427"/>
  <c r="AH445" s="1"/>
  <c r="K432"/>
  <c r="K450" s="1"/>
  <c r="AG432"/>
  <c r="AG450" s="1"/>
  <c r="I423"/>
  <c r="I441" s="1"/>
  <c r="Y432"/>
  <c r="Y450" s="1"/>
  <c r="O432"/>
  <c r="O450" s="1"/>
  <c r="U61"/>
  <c r="U432"/>
  <c r="U450" s="1"/>
  <c r="P425"/>
  <c r="P443" s="1"/>
  <c r="M426"/>
  <c r="M444" s="1"/>
  <c r="AG427"/>
  <c r="AG445" s="1"/>
  <c r="K427"/>
  <c r="K445" s="1"/>
  <c r="H428"/>
  <c r="H446" s="1"/>
  <c r="AJ429"/>
  <c r="AJ447" s="1"/>
  <c r="W428"/>
  <c r="W446" s="1"/>
  <c r="O429"/>
  <c r="O447" s="1"/>
  <c r="AI429"/>
  <c r="AI447" s="1"/>
  <c r="AK429"/>
  <c r="AK447" s="1"/>
  <c r="K430"/>
  <c r="K448" s="1"/>
  <c r="AA430"/>
  <c r="AA448" s="1"/>
  <c r="X431"/>
  <c r="X449" s="1"/>
  <c r="M431"/>
  <c r="M449" s="1"/>
  <c r="AG431"/>
  <c r="AG449" s="1"/>
  <c r="AE431"/>
  <c r="AE449" s="1"/>
  <c r="T428"/>
  <c r="T446" s="1"/>
  <c r="P427"/>
  <c r="P445" s="1"/>
  <c r="T425"/>
  <c r="T443" s="1"/>
  <c r="AG425"/>
  <c r="AG443" s="1"/>
  <c r="T426"/>
  <c r="T444" s="1"/>
  <c r="U427"/>
  <c r="U445" s="1"/>
  <c r="X425"/>
  <c r="X443" s="1"/>
  <c r="P426"/>
  <c r="P444" s="1"/>
  <c r="AK431"/>
  <c r="AK449" s="1"/>
  <c r="J424"/>
  <c r="J442" s="1"/>
  <c r="Z424"/>
  <c r="Z442" s="1"/>
  <c r="S426"/>
  <c r="S444" s="1"/>
  <c r="AI426"/>
  <c r="AI444" s="1"/>
  <c r="J426"/>
  <c r="J444" s="1"/>
  <c r="Z426"/>
  <c r="Z444" s="1"/>
  <c r="N428"/>
  <c r="N446" s="1"/>
  <c r="AD428"/>
  <c r="AD446" s="1"/>
  <c r="R430"/>
  <c r="R448" s="1"/>
  <c r="AH430"/>
  <c r="AH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EU98"/>
  <c r="ER118"/>
  <c r="EY88"/>
  <c r="EX98"/>
  <c r="EU168"/>
  <c r="EY98"/>
  <c r="EQ148"/>
  <c r="EW88"/>
  <c r="EV98"/>
  <c r="DP212"/>
  <c r="FA88"/>
  <c r="DQ212"/>
  <c r="EZ98"/>
  <c r="DP213"/>
  <c r="EU88"/>
  <c r="EQ128"/>
  <c r="DQ213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F216"/>
  <c r="EH221"/>
  <c r="EH214"/>
  <c r="DP219"/>
  <c r="DT217"/>
  <c r="DR212"/>
  <c r="DS221"/>
  <c r="DV217"/>
  <c r="FU131"/>
  <c r="EG213"/>
  <c r="EA221"/>
  <c r="EH212"/>
  <c r="EA215"/>
  <c r="EI219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FM88"/>
  <c r="EC212"/>
  <c r="FE88"/>
  <c r="DU212"/>
  <c r="FQ128"/>
  <c r="EG216"/>
  <c r="ES128"/>
  <c r="FT98"/>
  <c r="EJ213"/>
  <c r="FD98"/>
  <c r="DT213"/>
  <c r="FK108"/>
  <c r="EA214"/>
  <c r="ER168"/>
  <c r="FR118"/>
  <c r="EH215"/>
  <c r="FB118"/>
  <c r="DR215"/>
  <c r="FB128"/>
  <c r="DR216"/>
  <c r="FK98"/>
  <c r="EA213"/>
  <c r="EZ148"/>
  <c r="DP218"/>
  <c r="FI148"/>
  <c r="DY218"/>
  <c r="FK128"/>
  <c r="EA216"/>
  <c r="EU128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FT118"/>
  <c r="EJ215"/>
  <c r="FL118"/>
  <c r="EB215"/>
  <c r="FD118"/>
  <c r="DT215"/>
  <c r="EX128"/>
  <c r="FN128"/>
  <c r="ED216"/>
  <c r="FA118"/>
  <c r="DQ215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FM128"/>
  <c r="EC216"/>
  <c r="FE128"/>
  <c r="DU216"/>
  <c r="EW128"/>
  <c r="FP98"/>
  <c r="EF213"/>
  <c r="FH98"/>
  <c r="DX213"/>
  <c r="ER98"/>
  <c r="DF215"/>
  <c r="DU221"/>
  <c r="EF221"/>
  <c r="DU219"/>
  <c r="EE219"/>
  <c r="DY213"/>
  <c r="DU213"/>
  <c r="EJ221"/>
  <c r="DT212"/>
  <c r="DX214"/>
  <c r="FU102"/>
  <c r="DP214"/>
  <c r="DW219"/>
  <c r="DS215"/>
  <c r="EB214"/>
  <c r="DS217"/>
  <c r="EA217"/>
  <c r="DY221"/>
  <c r="DR218"/>
  <c r="EE215"/>
  <c r="EI221"/>
  <c r="EC217"/>
  <c r="DZ214"/>
  <c r="FU162"/>
  <c r="EF220"/>
  <c r="EF217"/>
  <c r="EG219"/>
  <c r="EG217"/>
  <c r="EF219"/>
  <c r="EE221"/>
  <c r="DR219"/>
  <c r="DX219"/>
  <c r="DZ218"/>
  <c r="DU217"/>
  <c r="DZ212"/>
  <c r="ED214"/>
  <c r="EF212"/>
  <c r="EC221"/>
  <c r="EH218"/>
  <c r="EF216"/>
  <c r="DV214"/>
  <c r="DY219"/>
  <c r="DY217"/>
  <c r="EC213"/>
  <c r="EJ212"/>
  <c r="ED221"/>
  <c r="DP221"/>
  <c r="ED219"/>
  <c r="EJ217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FS128"/>
  <c r="EI216"/>
  <c r="FC128"/>
  <c r="DS216"/>
  <c r="FN98"/>
  <c r="ED213"/>
  <c r="EY108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ET128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FR98"/>
  <c r="EH213"/>
  <c r="FJ98"/>
  <c r="DZ213"/>
  <c r="FB98"/>
  <c r="DR213"/>
  <c r="ET98"/>
  <c r="FU170"/>
  <c r="FU173"/>
  <c r="DW215"/>
  <c r="DP217"/>
  <c r="DX216"/>
  <c r="DP220"/>
  <c r="DX217"/>
  <c r="EB212"/>
  <c r="FU125"/>
  <c r="FU106"/>
  <c r="DF220"/>
  <c r="DF213"/>
  <c r="FU129"/>
  <c r="FU158"/>
  <c r="DQ221"/>
  <c r="EF214"/>
  <c r="DQ217"/>
  <c r="DV221"/>
  <c r="EG221"/>
  <c r="DR217"/>
  <c r="EJ219"/>
  <c r="DV219"/>
  <c r="DZ221"/>
  <c r="DV218"/>
  <c r="DT216"/>
  <c r="DR214"/>
  <c r="EK171"/>
  <c r="EK156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T221"/>
  <c r="EA219"/>
  <c r="EE217"/>
  <c r="EJ216"/>
  <c r="EI215"/>
  <c r="DP216"/>
  <c r="DV212"/>
  <c r="DR221"/>
  <c r="DZ220"/>
  <c r="EC219"/>
  <c r="EI217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J449" s="1"/>
  <c r="C449" s="1"/>
  <c r="J429"/>
  <c r="J447" s="1"/>
  <c r="C447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C429" l="1"/>
  <c r="C431"/>
  <c r="K482"/>
  <c r="AE7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7" l="1"/>
  <c r="AF6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<sst xmlns="http://schemas.openxmlformats.org/spreadsheetml/2006/main" count="1094" uniqueCount="150">
  <si>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</si>
  <si>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</si>
  <si>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</si>
  <si>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</si>
  <si>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</si>
  <si>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</si>
  <si>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</si>
  <si>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</si>
  <si>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</si>
  <si>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</si>
  <si>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</si>
  <si>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</si>
  <si>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</si>
  <si>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</si>
  <si>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</si>
  <si>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</si>
  <si>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</si>
  <si>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</si>
  <si>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</si>
  <si>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</si>
  <si>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</si>
  <si>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</si>
  <si>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</si>
  <si>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</si>
  <si>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</si>
  <si>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</si>
  <si>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</si>
  <si>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</si>
  <si>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</si>
  <si>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</si>
  <si>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</si>
  <si>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</si>
  <si>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</si>
  <si>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</si>
  <si>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</si>
  <si>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</si>
  <si>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</si>
  <si>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</si>
  <si>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</si>
  <si>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</si>
  <si>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</si>
  <si>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</si>
  <si>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</si>
  <si>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</si>
  <si>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</si>
  <si>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</si>
  <si>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</si>
  <si>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</si>
  <si>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</si>
  <si>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</si>
  <si>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</si>
  <si>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</si>
  <si>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</si>
  <si>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</si>
  <si>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</si>
  <si>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</si>
  <si>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</si>
  <si>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</si>
  <si>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</si>
  <si>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</si>
  <si>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</si>
  <si>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</si>
  <si>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</si>
  <si>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</si>
  <si>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</si>
  <si>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</si>
  <si>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</si>
  <si>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</si>
  <si>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</si>
  <si>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</si>
  <si>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</si>
  <si>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</si>
  <si>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</si>
  <si>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</si>
  <si>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</si>
  <si>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</si>
  <si>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</si>
  <si>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</si>
  <si>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</si>
  <si>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</si>
  <si>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</si>
  <si>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</si>
  <si>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</si>
  <si>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</si>
  <si>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</si>
  <si>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</si>
  <si>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</si>
  <si>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</si>
  <si>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</si>
  <si>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</si>
  <si>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</si>
  <si>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</si>
  <si>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</si>
  <si>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</si>
  <si>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</si>
  <si>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</si>
  <si>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</si>
  <si>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</si>
  <si>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</si>
  <si>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</si>
  <si>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</si>
  <si>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</si>
  <si>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</si>
  <si>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</si>
  <si>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</si>
  <si>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</si>
  <si>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</si>
  <si>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</si>
  <si>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</si>
  <si>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</si>
  <si>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</si>
  <si>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</si>
  <si>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</si>
  <si>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</si>
  <si>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</si>
  <si>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</si>
  <si>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</si>
  <si>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</si>
  <si>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</si>
  <si>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</si>
  <si>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</si>
  <si>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</si>
  <si>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</si>
  <si>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</si>
  <si>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</si>
  <si>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</si>
  <si>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</si>
  <si>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</si>
  <si>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</si>
  <si>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</si>
  <si>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</si>
  <si>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</si>
  <si>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</si>
  <si>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</si>
  <si>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</si>
  <si>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</si>
  <si>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</si>
  <si>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</si>
  <si>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</si>
  <si>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</si>
  <si>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</si>
  <si>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</si>
  <si>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</si>
  <si>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</si>
  <si>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</si>
  <si>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</si>
  <si>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</si>
  <si>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</si>
  <si>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</si>
  <si>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Suwallia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</si>
</sst>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3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DD211" zoomScale="85" zoomScaleNormal="85" workbookViewId="0">
      <selection activeCell="DE225" sqref="DE225:DH234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9" t="s">
        <v>144</v>
      </c>
      <c r="GD2" s="229"/>
      <c r="GE2" s="229"/>
      <c r="GF2" s="229"/>
      <c r="GG2" s="229"/>
      <c r="GH2" s="229"/>
      <c r="GI2" s="229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25.011867719901201</v>
      </c>
      <c r="N4" s="130">
        <v>5.0831509237905843</v>
      </c>
      <c r="O4" s="130">
        <v>37.670859803731105</v>
      </c>
      <c r="P4" s="130">
        <v>32.120524625724187</v>
      </c>
      <c r="Q4" s="130">
        <v>4.7724301425700872</v>
      </c>
      <c r="R4" s="130">
        <v>23.244747190520471</v>
      </c>
      <c r="S4" s="131">
        <v>3.0022307410340647</v>
      </c>
      <c r="T4" s="131">
        <v>2.4052380993736677</v>
      </c>
      <c r="U4" s="5"/>
      <c r="V4" s="4"/>
      <c r="W4" s="127">
        <f t="shared" ref="W4:W13" si="0">C4</f>
        <v>39646</v>
      </c>
      <c r="X4" s="132">
        <f>AVERAGE(EK88:EK97)</f>
        <v>18.750000000000004</v>
      </c>
      <c r="Y4" s="131">
        <f>COUNT(EK88:EK97)</f>
        <v>10</v>
      </c>
      <c r="Z4" s="130">
        <f>STDEV(EK88:EK97)</f>
        <v>20.126912147485328</v>
      </c>
      <c r="AA4" s="130">
        <f>Z4/SQRT(Y4)</f>
        <v>6.3646884652164433</v>
      </c>
      <c r="AB4" s="131"/>
      <c r="AC4" s="130">
        <f>AVERAGE($FU88:$FU97)</f>
        <v>1.4131471840419494</v>
      </c>
      <c r="AD4" s="132">
        <f>COUNT($FU88:$FU97)</f>
        <v>10</v>
      </c>
      <c r="AE4" s="130">
        <f>STDEV($FU88:$FU97)</f>
        <v>1.4794205704247232</v>
      </c>
      <c r="AF4" s="130">
        <f>AE4/SQRT(AD4)</f>
        <v>0.46783386198476623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2" t="s">
        <v>148</v>
      </c>
      <c r="FK4" s="232"/>
      <c r="FL4" s="232"/>
      <c r="FM4" s="232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25.217862766122241</v>
      </c>
      <c r="N5" s="130">
        <f t="shared" si="1"/>
        <v>5.1147470081671234</v>
      </c>
      <c r="O5" s="130">
        <f t="shared" si="1"/>
        <v>37.940066714222162</v>
      </c>
      <c r="P5" s="130">
        <f t="shared" si="1"/>
        <v>32.340728955580069</v>
      </c>
      <c r="Q5" s="130">
        <f t="shared" si="1"/>
        <v>4.7960401576033673</v>
      </c>
      <c r="R5" s="130">
        <f t="shared" si="1"/>
        <v>23.169856363189218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11.458333333333332</v>
      </c>
      <c r="Y5" s="131">
        <f>COUNT(EK98:EK107)</f>
        <v>10</v>
      </c>
      <c r="Z5" s="130">
        <f>STDEV(EK98:EK107)</f>
        <v>19.916153332916647</v>
      </c>
      <c r="AA5" s="130">
        <f t="shared" ref="AA5:AA13" si="2">Z5/SQRT(Y5)</f>
        <v>6.298040676117032</v>
      </c>
      <c r="AB5" s="131"/>
      <c r="AC5" s="130">
        <f>AVERAGE($FU98:$FU107)</f>
        <v>0.78201712866003326</v>
      </c>
      <c r="AD5" s="132">
        <f>COUNT($FU98:$FU107)</f>
        <v>10</v>
      </c>
      <c r="AE5" s="130">
        <f>STDEV($FU98:$FU107)</f>
        <v>1.171704495429529</v>
      </c>
      <c r="AF5" s="130">
        <f t="shared" ref="AF5:AF13" si="3">AE5/SQRT(AD5)</f>
        <v>0.37052549502156623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35.465825778563378</v>
      </c>
      <c r="N6" s="130">
        <f t="shared" si="4"/>
        <v>6.839179488168142</v>
      </c>
      <c r="O6" s="130">
        <f t="shared" si="4"/>
        <v>52.20432352032774</v>
      </c>
      <c r="P6" s="130">
        <f t="shared" si="4"/>
        <v>43.850576776131696</v>
      </c>
      <c r="Q6" s="130">
        <f t="shared" si="4"/>
        <v>6.3507316231206987</v>
      </c>
      <c r="R6" s="130">
        <f t="shared" si="4"/>
        <v>30.415724499277577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36.272321428571431</v>
      </c>
      <c r="Y6" s="131">
        <f>COUNT(EK108:EK117)</f>
        <v>10</v>
      </c>
      <c r="Z6" s="130">
        <f>STDEV(EK108:EK117)</f>
        <v>35.542175993442775</v>
      </c>
      <c r="AA6" s="130">
        <f t="shared" si="2"/>
        <v>11.239422913783695</v>
      </c>
      <c r="AB6" s="131"/>
      <c r="AC6" s="130">
        <f>AVERAGE($FU108:$FU117)</f>
        <v>3.2922180901119118</v>
      </c>
      <c r="AD6" s="132">
        <f>COUNT($FU108:$FU117)</f>
        <v>10</v>
      </c>
      <c r="AE6" s="130">
        <f>STDEV($FU108:$FU117)</f>
        <v>3.6147135329430689</v>
      </c>
      <c r="AF6" s="130">
        <f t="shared" si="3"/>
        <v>1.1430727853134184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0" t="s">
        <v>145</v>
      </c>
      <c r="FJ6" s="230"/>
      <c r="FK6" s="231" t="s">
        <v>146</v>
      </c>
      <c r="FL6" s="231"/>
      <c r="FM6" s="231" t="s">
        <v>147</v>
      </c>
      <c r="FN6" s="231"/>
      <c r="FO6" s="5"/>
      <c r="FY6" s="210">
        <v>1</v>
      </c>
      <c r="FZ6">
        <v>1.1924264893006196</v>
      </c>
      <c r="GA6">
        <v>1.7791669528630638</v>
      </c>
      <c r="GB6">
        <v>0.69828161645994768</v>
      </c>
      <c r="GC6">
        <v>0.5236236448329783</v>
      </c>
      <c r="GD6">
        <v>1.5172375785032373</v>
      </c>
      <c r="GE6">
        <v>3.9433749956585462</v>
      </c>
      <c r="GF6">
        <v>5.0573384310882767</v>
      </c>
      <c r="GG6">
        <v>7.2641135058527952</v>
      </c>
      <c r="GH6">
        <v>8.6821530728410679</v>
      </c>
      <c r="GI6">
        <v>3.57650662305171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16.339276175213673</v>
      </c>
      <c r="N7" s="130">
        <f t="shared" si="5"/>
        <v>3.5755717193405507</v>
      </c>
      <c r="O7" s="130">
        <f t="shared" si="5"/>
        <v>26.009046690799391</v>
      </c>
      <c r="P7" s="130">
        <f t="shared" si="5"/>
        <v>23.109242331613906</v>
      </c>
      <c r="Q7" s="130">
        <f t="shared" si="5"/>
        <v>3.3941000596099808</v>
      </c>
      <c r="R7" s="130">
        <f t="shared" si="5"/>
        <v>16.573761420717066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9.8484848484848477</v>
      </c>
      <c r="Y7" s="131">
        <f>COUNT(EK118:EK127)</f>
        <v>10</v>
      </c>
      <c r="Z7" s="130">
        <f>STDEV(EK118:EK127)</f>
        <v>17.979682711581479</v>
      </c>
      <c r="AA7" s="130">
        <f t="shared" si="2"/>
        <v>5.685674897574974</v>
      </c>
      <c r="AB7" s="131"/>
      <c r="AC7" s="130">
        <f>AVERAGE($FU118:$FU127)</f>
        <v>2.4143237415896257</v>
      </c>
      <c r="AD7" s="132">
        <f>COUNT($FU118:$FU127)</f>
        <v>10</v>
      </c>
      <c r="AE7" s="130">
        <f>STDEV($FU118:$FU127)</f>
        <v>4.5989727785823078</v>
      </c>
      <c r="AF7" s="130">
        <f t="shared" si="3"/>
        <v>1.454322887743333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6">
        <f>AVERAGE(FZ6:FZ1005)</f>
        <v>1.0985569761995657</v>
      </c>
      <c r="FJ7" s="226"/>
      <c r="FK7" s="226">
        <f>PERCENTILE($FZ$6:$FZ$1005,0.975)</f>
        <v>1.6247105914365441</v>
      </c>
      <c r="FL7" s="226"/>
      <c r="FM7" s="226">
        <f>PERCENTILE($FZ$6:$FZ$1005,0.025)</f>
        <v>0.59708274389567428</v>
      </c>
      <c r="FN7" s="226"/>
      <c r="FO7" s="5"/>
      <c r="FY7" s="210">
        <v>2</v>
      </c>
      <c r="FZ7">
        <v>1.4540606647940524</v>
      </c>
      <c r="GA7">
        <v>2.8163616563884775</v>
      </c>
      <c r="GB7">
        <v>1.6244383180477606</v>
      </c>
      <c r="GC7">
        <v>0.76792252882798695</v>
      </c>
      <c r="GD7">
        <v>1.97678653093713</v>
      </c>
      <c r="GE7">
        <v>3.9564832604281368</v>
      </c>
      <c r="GF7">
        <v>4.6066324099147753</v>
      </c>
      <c r="GG7">
        <v>5.8955756759072155</v>
      </c>
      <c r="GH7">
        <v>3.859991167939945</v>
      </c>
      <c r="GI7">
        <v>3.2625239673753748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11.805555555555555</v>
      </c>
      <c r="Y8" s="131">
        <f>COUNT(EK128:EK137)</f>
        <v>10</v>
      </c>
      <c r="Z8" s="130">
        <f>STDEV(EK128:EK137)</f>
        <v>13.115014327977125</v>
      </c>
      <c r="AA8" s="130">
        <f t="shared" si="2"/>
        <v>4.147331682215027</v>
      </c>
      <c r="AB8" s="131"/>
      <c r="AC8" s="130">
        <f>AVERAGE($FU128:$FU137)</f>
        <v>2.7728562664620218</v>
      </c>
      <c r="AD8" s="132">
        <f>COUNT($FU128:$FU137)</f>
        <v>10</v>
      </c>
      <c r="AE8" s="130">
        <f>STDEV($FU128:$FU137)</f>
        <v>3.0587798953268774</v>
      </c>
      <c r="AF8" s="130">
        <f t="shared" si="3"/>
        <v>0.96727113303643575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6">
        <f>AVERAGE(GA6:GA1005)</f>
        <v>2.3479513420260179</v>
      </c>
      <c r="FJ8" s="226"/>
      <c r="FK8" s="226">
        <f>PERCENTILE($GA$6:$GA$1005,0.975)</f>
        <v>3.6525536538646137</v>
      </c>
      <c r="FL8" s="226"/>
      <c r="FM8" s="226">
        <f>PERCENTILE($GA$6:$GA$1005,0.025)</f>
        <v>1.2376837896852106</v>
      </c>
      <c r="FN8" s="226"/>
      <c r="FO8" s="5"/>
      <c r="FY8" s="210">
        <v>3</v>
      </c>
      <c r="FZ8">
        <v>1.1165263464826172</v>
      </c>
      <c r="GA8">
        <v>2.9906374466342776</v>
      </c>
      <c r="GB8">
        <v>1.4360323530790762</v>
      </c>
      <c r="GC8">
        <v>0.50779493170187928</v>
      </c>
      <c r="GD8">
        <v>2.1761541223949075</v>
      </c>
      <c r="GE8">
        <v>5.2733063090204055</v>
      </c>
      <c r="GF8">
        <v>7.9409417584455682</v>
      </c>
      <c r="GG8">
        <v>8.2564583519192567</v>
      </c>
      <c r="GH8">
        <v>4.7345047210538347</v>
      </c>
      <c r="GI8">
        <v>4.0440014576130672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66.438188037452747</v>
      </c>
      <c r="Y9" s="131">
        <f>COUNT(EK138:EK147)</f>
        <v>10</v>
      </c>
      <c r="Z9" s="130">
        <f>STDEV(EK138:EK147)</f>
        <v>123.60351839446693</v>
      </c>
      <c r="AA9" s="130">
        <f t="shared" si="2"/>
        <v>39.086864493703409</v>
      </c>
      <c r="AB9" s="131"/>
      <c r="AC9" s="130">
        <f>AVERAGE($FU138:$FU147)</f>
        <v>11.482311479912228</v>
      </c>
      <c r="AD9" s="132">
        <f>COUNT($FU138:$FU147)</f>
        <v>10</v>
      </c>
      <c r="AE9" s="130">
        <f>STDEV($FU138:$FU147)</f>
        <v>15.147989251149257</v>
      </c>
      <c r="AF9" s="130">
        <f t="shared" si="3"/>
        <v>4.7902148005380027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6">
        <f>AVERAGE(GB6:GB1005)</f>
        <v>1.6818604008506131</v>
      </c>
      <c r="FJ9" s="226"/>
      <c r="FK9" s="226">
        <f>PERCENTILE($GB$6:$GB$1005,0.975)</f>
        <v>2.8193993472387802</v>
      </c>
      <c r="FL9" s="226"/>
      <c r="FM9" s="226">
        <f>PERCENTILE($GB$6:$GB$1005,0.025)</f>
        <v>0.75195678692908297</v>
      </c>
      <c r="FN9" s="226"/>
      <c r="FO9" s="5"/>
      <c r="FY9" s="210">
        <v>4</v>
      </c>
      <c r="FZ9">
        <v>1.0829308935099855</v>
      </c>
      <c r="GA9">
        <v>1.7011707761289863</v>
      </c>
      <c r="GB9">
        <v>1.4459029110500019</v>
      </c>
      <c r="GC9">
        <v>1.0957068606540084</v>
      </c>
      <c r="GD9">
        <v>3.4242175095732486</v>
      </c>
      <c r="GE9">
        <v>6.8939616767359295</v>
      </c>
      <c r="GF9">
        <v>7.2733033384651771</v>
      </c>
      <c r="GG9">
        <v>6.3300014360328429</v>
      </c>
      <c r="GH9">
        <v>3.0679259322996204</v>
      </c>
      <c r="GI9">
        <v>4.4033842417256315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16.927083333333336</v>
      </c>
      <c r="Y10" s="131">
        <f>COUNT(EK148:EK157)</f>
        <v>8</v>
      </c>
      <c r="Z10" s="130">
        <f>STDEV(EK148:EK157)</f>
        <v>31.95509117781609</v>
      </c>
      <c r="AA10" s="130">
        <f t="shared" si="2"/>
        <v>11.297830832634087</v>
      </c>
      <c r="AB10" s="131"/>
      <c r="AC10" s="130">
        <f>AVERAGE($FU148:$FU157)</f>
        <v>5.4510225396700971</v>
      </c>
      <c r="AD10" s="132">
        <f>COUNT($FU148:$FU157)</f>
        <v>8</v>
      </c>
      <c r="AE10" s="130">
        <f>STDEV($FU148:$FU157)</f>
        <v>8.8270784276045511</v>
      </c>
      <c r="AF10" s="130">
        <f t="shared" si="3"/>
        <v>3.1208435071123324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6">
        <f>AVERAGE(GC6:GC1005)</f>
        <v>0.84625918293502833</v>
      </c>
      <c r="FJ10" s="226"/>
      <c r="FK10" s="226">
        <f>PERCENTILE($GC$6:$GC$1005,0.975)</f>
        <v>1.4113295352262865</v>
      </c>
      <c r="FL10" s="226"/>
      <c r="FM10" s="226">
        <f>PERCENTILE($GC$6:$GC$1005,0.025)</f>
        <v>0.40157099704573973</v>
      </c>
      <c r="FN10" s="226"/>
      <c r="FO10" s="5"/>
      <c r="FY10" s="210">
        <v>5</v>
      </c>
      <c r="FZ10">
        <v>1.0563596389826495</v>
      </c>
      <c r="GA10">
        <v>1.5286933788412376</v>
      </c>
      <c r="GB10">
        <v>1.0726635141270067</v>
      </c>
      <c r="GC10">
        <v>0.84534724358066105</v>
      </c>
      <c r="GD10">
        <v>1.6464193030725287</v>
      </c>
      <c r="GE10">
        <v>4.6479988609659308</v>
      </c>
      <c r="GF10">
        <v>5.9970846353547724</v>
      </c>
      <c r="GG10">
        <v>6.6513397131638525</v>
      </c>
      <c r="GH10">
        <v>7.1144370112465651</v>
      </c>
      <c r="GI10">
        <v>3.642975567026463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25.757575757575758</v>
      </c>
      <c r="Y11" s="131">
        <f>COUNT(EK158:EK167)</f>
        <v>10</v>
      </c>
      <c r="Z11" s="130">
        <f>STDEV(EK158:EK167)</f>
        <v>41.997272723750022</v>
      </c>
      <c r="AA11" s="130">
        <f t="shared" si="2"/>
        <v>13.280703732231352</v>
      </c>
      <c r="AB11" s="131"/>
      <c r="AC11" s="130">
        <f>AVERAGE($FU158:$FU167)</f>
        <v>9.9974493021928712</v>
      </c>
      <c r="AD11" s="132">
        <f>COUNT($FU158:$FU167)</f>
        <v>10</v>
      </c>
      <c r="AE11" s="130">
        <f>STDEV($FU158:$FU167)</f>
        <v>11.99536053322932</v>
      </c>
      <c r="AF11" s="130">
        <f t="shared" si="3"/>
        <v>3.7932660639896536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6">
        <f>AVERAGE(GD5:GD1005)</f>
        <v>1.7817345989186262</v>
      </c>
      <c r="FJ11" s="226"/>
      <c r="FK11" s="226">
        <f>PERCENTILE($GD$6:$GD$1005,0.975)</f>
        <v>3.026208957090605</v>
      </c>
      <c r="FL11" s="226"/>
      <c r="FM11" s="226">
        <f>PERCENTILE($GD$6:$GD$1005,0.025)</f>
        <v>0.76007997015962248</v>
      </c>
      <c r="FN11" s="226"/>
      <c r="FO11" s="5"/>
      <c r="FY11" s="210">
        <v>6</v>
      </c>
      <c r="FZ11">
        <v>1.1386073921123561</v>
      </c>
      <c r="GA11">
        <v>1.7315074217641322</v>
      </c>
      <c r="GB11">
        <v>1.3058775514020637</v>
      </c>
      <c r="GC11">
        <v>0.88791853979634383</v>
      </c>
      <c r="GD11">
        <v>2.0268166937219876</v>
      </c>
      <c r="GE11">
        <v>4.7584829523743029</v>
      </c>
      <c r="GF11">
        <v>7.0453078570317915</v>
      </c>
      <c r="GG11">
        <v>7.8329900569369215</v>
      </c>
      <c r="GH11">
        <v>5.6304880841868101</v>
      </c>
      <c r="GI11">
        <v>3.8908676369711248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30.787037037037031</v>
      </c>
      <c r="Y12" s="131">
        <f>COUNT(EK168:EK177)</f>
        <v>10</v>
      </c>
      <c r="Z12" s="130">
        <f>STDEV(EK168:EK177)</f>
        <v>58.395763183216836</v>
      </c>
      <c r="AA12" s="130">
        <f t="shared" si="2"/>
        <v>18.466361736276973</v>
      </c>
      <c r="AB12" s="131"/>
      <c r="AC12" s="130">
        <f>AVERAGE($FU168:$FU177)</f>
        <v>8.0387960410678492</v>
      </c>
      <c r="AD12" s="132">
        <f>COUNT($FU168:$FU177)</f>
        <v>10</v>
      </c>
      <c r="AE12" s="130">
        <f>STDEV($FU168:$FU177)</f>
        <v>13.346422897598814</v>
      </c>
      <c r="AF12" s="130">
        <f t="shared" si="3"/>
        <v>4.2205094972236452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6">
        <f>AVERAGE(GE6:GE1005)</f>
        <v>4.2996339127377876</v>
      </c>
      <c r="FJ12" s="226"/>
      <c r="FK12" s="226">
        <f>PERCENTILE($GE$6:$GE$1005,0.975)</f>
        <v>6.9638421100821581</v>
      </c>
      <c r="FL12" s="226"/>
      <c r="FM12" s="226">
        <f>PERCENTILE($GE$6:$GE$1005,0.025)</f>
        <v>1.8940353403275343</v>
      </c>
      <c r="FN12" s="226"/>
      <c r="FO12" s="5"/>
      <c r="FY12" s="210">
        <v>7</v>
      </c>
      <c r="FZ12">
        <v>1.4884986369804061</v>
      </c>
      <c r="GA12">
        <v>2.3701550947078589</v>
      </c>
      <c r="GB12">
        <v>1.8124316012020336</v>
      </c>
      <c r="GC12">
        <v>0.95729477557050224</v>
      </c>
      <c r="GD12">
        <v>1.544507132512793</v>
      </c>
      <c r="GE12">
        <v>5.0547568171427439</v>
      </c>
      <c r="GF12">
        <v>7.4138488593810061</v>
      </c>
      <c r="GG12">
        <v>5.2701854104443218</v>
      </c>
      <c r="GH12">
        <v>4.0692149365135943</v>
      </c>
      <c r="GI12">
        <v>3.6043889017968493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14.407733224222586</v>
      </c>
      <c r="Y13" s="131">
        <f>COUNT(EK178:EK187)</f>
        <v>10</v>
      </c>
      <c r="Z13" s="130">
        <f>STDEV(EK178:EK187)</f>
        <v>28.276386794821978</v>
      </c>
      <c r="AA13" s="130">
        <f t="shared" si="2"/>
        <v>8.9417786271545694</v>
      </c>
      <c r="AB13" s="131"/>
      <c r="AC13" s="130">
        <f>AVERAGE($FU178:$FU187)</f>
        <v>2.215878131412286</v>
      </c>
      <c r="AD13" s="132">
        <f>COUNT($FU178:$FU187)</f>
        <v>10</v>
      </c>
      <c r="AE13" s="130">
        <f>STDEV($FU178:$FU187)</f>
        <v>4.2087806675972583</v>
      </c>
      <c r="AF13" s="130">
        <f t="shared" si="3"/>
        <v>1.3309333081691366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6">
        <f>AVERAGE(GF6:GF1005)</f>
        <v>6.0321261275915807</v>
      </c>
      <c r="FJ13" s="226"/>
      <c r="FK13" s="226">
        <f>PERCENTILE($GF$6:$GF$1005,0.975)</f>
        <v>9.7848284760991362</v>
      </c>
      <c r="FL13" s="226"/>
      <c r="FM13" s="226">
        <f>PERCENTILE($GF$6:$GF$1005,0.025)</f>
        <v>2.9117734260014765</v>
      </c>
      <c r="FN13" s="226"/>
      <c r="FO13" s="5"/>
      <c r="FY13" s="210">
        <v>8</v>
      </c>
      <c r="FZ13">
        <v>0.93287524459915727</v>
      </c>
      <c r="GA13">
        <v>2.2768552191818552</v>
      </c>
      <c r="GB13">
        <v>1.3441634309523651</v>
      </c>
      <c r="GC13">
        <v>0.56334880813097366</v>
      </c>
      <c r="GD13">
        <v>1.967276740499023</v>
      </c>
      <c r="GE13">
        <v>4.9356044969684616</v>
      </c>
      <c r="GF13">
        <v>7.8145254670824533</v>
      </c>
      <c r="GG13">
        <v>7.1571749370656361</v>
      </c>
      <c r="GH13">
        <v>4.1239759008310628</v>
      </c>
      <c r="GI13">
        <v>3.739043271540583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6">
        <f>AVERAGE(GG6:GG1005)</f>
        <v>6.1568435973289759</v>
      </c>
      <c r="FJ14" s="226"/>
      <c r="FK14" s="226">
        <f>PERCENTILE($GG$6:$GG$1005,0.975)</f>
        <v>9.8842027966319481</v>
      </c>
      <c r="FL14" s="226"/>
      <c r="FM14" s="226">
        <f>PERCENTILE($GG$6:$GG$1005,0.025)</f>
        <v>2.9275871926751313</v>
      </c>
      <c r="FN14" s="226"/>
      <c r="FO14" s="5"/>
      <c r="FY14" s="210">
        <v>9</v>
      </c>
      <c r="FZ14">
        <v>1.4414782088595748</v>
      </c>
      <c r="GA14">
        <v>1.6018164487741364</v>
      </c>
      <c r="GB14">
        <v>1.0660661612184539</v>
      </c>
      <c r="GC14">
        <v>0.67013764590502078</v>
      </c>
      <c r="GD14">
        <v>0.81694771017051782</v>
      </c>
      <c r="GE14">
        <v>1.7900654113911836</v>
      </c>
      <c r="GF14">
        <v>6.6696637628439968</v>
      </c>
      <c r="GG14">
        <v>5.9310064911344584</v>
      </c>
      <c r="GH14">
        <v>2.6032886735839416</v>
      </c>
      <c r="GI14">
        <v>2.6274958691381678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31.698421489322222</v>
      </c>
      <c r="AO15" s="163">
        <f>D48</f>
        <v>6.0553415189943331</v>
      </c>
      <c r="AP15" s="163">
        <f>D63</f>
        <v>43.477329538247723</v>
      </c>
      <c r="AQ15" s="163">
        <f>C453</f>
        <v>37.716896349297258</v>
      </c>
      <c r="AR15" s="163">
        <f>G520</f>
        <v>5.6024001423116605</v>
      </c>
      <c r="AS15" s="163">
        <f>I523</f>
        <v>28.440011041053776</v>
      </c>
      <c r="AT15" s="122">
        <f>G556</f>
        <v>3.7033118227399022</v>
      </c>
      <c r="AU15" s="122">
        <f>I556</f>
        <v>5.5923128497044283</v>
      </c>
      <c r="AV15" s="23"/>
      <c r="AW15" s="23"/>
      <c r="FG15" s="5"/>
      <c r="FH15" s="213">
        <f t="shared" si="6"/>
        <v>39949</v>
      </c>
      <c r="FI15" s="226">
        <f>AVERAGE(GH6:GH1005)</f>
        <v>4.6078156072094627</v>
      </c>
      <c r="FJ15" s="226"/>
      <c r="FK15" s="226">
        <f>PERCENTILE($GH$6:$GH$1005,0.975)</f>
        <v>8.8485645518919558</v>
      </c>
      <c r="FL15" s="226"/>
      <c r="FM15" s="226">
        <f>PERCENTILE($GH$6:$GH$1005,0.025)</f>
        <v>1.2249006166407885</v>
      </c>
      <c r="FN15" s="226"/>
      <c r="FO15" s="5"/>
      <c r="FY15" s="210">
        <v>10</v>
      </c>
      <c r="FZ15">
        <v>1.357034760248965</v>
      </c>
      <c r="GA15">
        <v>1.9215337338329062</v>
      </c>
      <c r="GB15">
        <v>1.0312171592772685</v>
      </c>
      <c r="GC15">
        <v>0.56920410954269629</v>
      </c>
      <c r="GD15">
        <v>3.1707029022519064</v>
      </c>
      <c r="GE15">
        <v>6.9074198732925405</v>
      </c>
      <c r="GF15">
        <v>5.2382134054617087</v>
      </c>
      <c r="GG15">
        <v>8.0487830420642528</v>
      </c>
      <c r="GH15">
        <v>7.2374118081877157</v>
      </c>
      <c r="GI15">
        <v>4.4391438643963808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6">
        <f>AVERAGE(GI6:GI1005)</f>
        <v>3.4879472097824054</v>
      </c>
      <c r="FJ16" s="226"/>
      <c r="FK16" s="226">
        <f>PERCENTILE($GI$6:$GI$1005,0.975)</f>
        <v>4.6410416846297391</v>
      </c>
      <c r="FL16" s="226"/>
      <c r="FM16" s="226">
        <f>PERCENTILE($GI$6:$GI$1005,0.025)</f>
        <v>2.4853605372529168</v>
      </c>
      <c r="FN16" s="226"/>
      <c r="FO16" s="5"/>
      <c r="FY16" s="210">
        <v>11</v>
      </c>
      <c r="FZ16">
        <v>1.1528217200830784</v>
      </c>
      <c r="GA16">
        <v>1.3006617442321542</v>
      </c>
      <c r="GB16">
        <v>1.0730219249212607</v>
      </c>
      <c r="GC16">
        <v>0.97445102206453149</v>
      </c>
      <c r="GD16">
        <v>2.4565372426282392</v>
      </c>
      <c r="GE16">
        <v>5.8702458772593937</v>
      </c>
      <c r="GF16">
        <v>4.9096670112009928</v>
      </c>
      <c r="GG16">
        <v>3.4815488461157744</v>
      </c>
      <c r="GH16">
        <v>2.1789602474476011</v>
      </c>
      <c r="GI16">
        <v>3.1156924570506495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19.519462886650388</v>
      </c>
      <c r="AO17">
        <v>5.1661529273913551</v>
      </c>
      <c r="AP17">
        <v>40.663536376441833</v>
      </c>
      <c r="AQ17">
        <v>34.234222910452246</v>
      </c>
      <c r="AR17">
        <v>4.9317534086569967</v>
      </c>
      <c r="AS17">
        <v>23.013267405062049</v>
      </c>
      <c r="AT17">
        <v>3.231224157878271</v>
      </c>
      <c r="AU17">
        <v>-2.3239435497643113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1.2147330643082221</v>
      </c>
      <c r="GA17">
        <v>2.9453802315832247</v>
      </c>
      <c r="GB17">
        <v>1.970439597337915</v>
      </c>
      <c r="GC17">
        <v>0.67924531667753485</v>
      </c>
      <c r="GD17">
        <v>1.2330976631661807</v>
      </c>
      <c r="GE17">
        <v>4.2411402020040745</v>
      </c>
      <c r="GF17">
        <v>7.7761789763490654</v>
      </c>
      <c r="GG17">
        <v>9.2208286503235151</v>
      </c>
      <c r="GH17">
        <v>8.0634621864920941</v>
      </c>
      <c r="GI17">
        <v>4.1409517802145865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23.168871306592287</v>
      </c>
      <c r="AO18">
        <v>4.8430956957402831</v>
      </c>
      <c r="AP18">
        <v>34.827154789670765</v>
      </c>
      <c r="AQ18">
        <v>30.220776180560858</v>
      </c>
      <c r="AR18">
        <v>4.5343901404094291</v>
      </c>
      <c r="AS18">
        <v>20.403795854699617</v>
      </c>
      <c r="AT18">
        <v>2.7649303206946905</v>
      </c>
      <c r="AU18">
        <v>3.7927781125641178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1.1941711260257952</v>
      </c>
      <c r="GA18">
        <v>2.4974377768018345</v>
      </c>
      <c r="GB18">
        <v>1.7034247440660688</v>
      </c>
      <c r="GC18">
        <v>0.64360408473445385</v>
      </c>
      <c r="GD18">
        <v>2.1963366558316793</v>
      </c>
      <c r="GE18">
        <v>4.665341224314651</v>
      </c>
      <c r="GF18">
        <v>3.3932910631760844</v>
      </c>
      <c r="GG18">
        <v>6.9042567243984756</v>
      </c>
      <c r="GH18">
        <v>6.8340805622918248</v>
      </c>
      <c r="GI18">
        <v>3.6136457184504756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29.192090725178957</v>
      </c>
      <c r="AO19">
        <v>6.0358187384209376</v>
      </c>
      <c r="AP19">
        <v>45.237867884033754</v>
      </c>
      <c r="AQ19">
        <v>38.476357798344893</v>
      </c>
      <c r="AR19">
        <v>5.5733623833212569</v>
      </c>
      <c r="AS19">
        <v>25.79443879884661</v>
      </c>
      <c r="AT19">
        <v>3.495651930550677</v>
      </c>
      <c r="AU19">
        <v>2.615406374981553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0.74736674130158953</v>
      </c>
      <c r="GA19">
        <v>1.955979083430248</v>
      </c>
      <c r="GB19">
        <v>1.8852548693579987</v>
      </c>
      <c r="GC19">
        <v>1.028800073417045</v>
      </c>
      <c r="GD19">
        <v>1.9899308922602164</v>
      </c>
      <c r="GE19">
        <v>4.0874844365086034</v>
      </c>
      <c r="GF19">
        <v>4.5818972402815863</v>
      </c>
      <c r="GG19">
        <v>5.5628879379969192</v>
      </c>
      <c r="GH19">
        <v>3.9285919468874466</v>
      </c>
      <c r="GI19">
        <v>3.2157738185673552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30.120503169216398</v>
      </c>
      <c r="AO20">
        <v>6.451523342281595</v>
      </c>
      <c r="AP20">
        <v>40.203114473274205</v>
      </c>
      <c r="AQ20">
        <v>36.718505576175431</v>
      </c>
      <c r="AR20">
        <v>6.1223111777744315</v>
      </c>
      <c r="AS20">
        <v>28.042453849590018</v>
      </c>
      <c r="AT20">
        <v>4.1187414541890561</v>
      </c>
      <c r="AU20">
        <v>8.5858451987880908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0.96708768740764706</v>
      </c>
      <c r="GA20">
        <v>2.8622150924332947</v>
      </c>
      <c r="GB20">
        <v>1.3452005599104742</v>
      </c>
      <c r="GC20">
        <v>0.59824175488862219</v>
      </c>
      <c r="GD20">
        <v>2.309056982926728</v>
      </c>
      <c r="GE20">
        <v>4.8911246407190685</v>
      </c>
      <c r="GF20">
        <v>5.6130721166129458</v>
      </c>
      <c r="GG20">
        <v>9.3153198440413476</v>
      </c>
      <c r="GH20">
        <v>8.6102715887757775</v>
      </c>
      <c r="GI20">
        <v>4.2522700082882521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12.5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4.6875</v>
      </c>
      <c r="J21" s="18">
        <f t="shared" si="9"/>
        <v>7.8125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28.752738625000831</v>
      </c>
      <c r="AO21">
        <v>5.3198637875713235</v>
      </c>
      <c r="AP21">
        <v>39.907448595824235</v>
      </c>
      <c r="AQ21">
        <v>34.20331886636167</v>
      </c>
      <c r="AR21">
        <v>4.9521844495293195</v>
      </c>
      <c r="AS21">
        <v>24.188740309957748</v>
      </c>
      <c r="AT21">
        <v>3.0617120478592432</v>
      </c>
      <c r="AU21">
        <v>-12.540693045177784</v>
      </c>
      <c r="AV21"/>
      <c r="AW21"/>
      <c r="FY21" s="210">
        <v>16</v>
      </c>
      <c r="FZ21">
        <v>1.4272638808888529</v>
      </c>
      <c r="GA21">
        <v>2.0238025170173679</v>
      </c>
      <c r="GB21">
        <v>1.4676999628622069</v>
      </c>
      <c r="GC21">
        <v>0.859902317044276</v>
      </c>
      <c r="GD21">
        <v>2.9994934256634398</v>
      </c>
      <c r="GE21">
        <v>6.4507753982533842</v>
      </c>
      <c r="GF21">
        <v>4.1399877942508185</v>
      </c>
      <c r="GG21">
        <v>7.6209388648900882</v>
      </c>
      <c r="GH21">
        <v>8.5402960356673567</v>
      </c>
      <c r="GI21">
        <v>4.4712883218363411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21.093749999999996</v>
      </c>
      <c r="E22" s="18">
        <f t="shared" si="8"/>
        <v>41</v>
      </c>
      <c r="F22" s="50"/>
      <c r="G22" s="18">
        <f t="shared" ref="G22:AK22" si="10">AVERAGE(G71:G72)</f>
        <v>6.510416666666667</v>
      </c>
      <c r="H22" s="18">
        <f t="shared" si="10"/>
        <v>0</v>
      </c>
      <c r="I22" s="18">
        <f t="shared" si="10"/>
        <v>0.52083333333333326</v>
      </c>
      <c r="J22" s="18">
        <f t="shared" si="10"/>
        <v>13.541666666666666</v>
      </c>
      <c r="K22" s="18">
        <f t="shared" si="10"/>
        <v>0</v>
      </c>
      <c r="L22" s="18">
        <f t="shared" si="10"/>
        <v>0</v>
      </c>
      <c r="M22" s="18">
        <f t="shared" si="10"/>
        <v>0.52083333333333326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26.651848934018052</v>
      </c>
      <c r="AO22">
        <v>5.7426817312766536</v>
      </c>
      <c r="AP22">
        <v>42.217290462324172</v>
      </c>
      <c r="AQ22">
        <v>36.24886418629783</v>
      </c>
      <c r="AR22">
        <v>5.3591214664748295</v>
      </c>
      <c r="AS22">
        <v>26.053261039043136</v>
      </c>
      <c r="AT22">
        <v>3.4795360099282733</v>
      </c>
      <c r="AU22">
        <v>5.3608213480593232</v>
      </c>
      <c r="AV22"/>
      <c r="AW22"/>
      <c r="FY22" s="210">
        <v>17</v>
      </c>
      <c r="FZ22">
        <v>1.2418681422802171</v>
      </c>
      <c r="GA22">
        <v>1.6891251115732826</v>
      </c>
      <c r="GB22">
        <v>1.1598931633885365</v>
      </c>
      <c r="GC22">
        <v>0.72720891629677975</v>
      </c>
      <c r="GD22">
        <v>0.85391961903860181</v>
      </c>
      <c r="GE22">
        <v>1.6582730577377069</v>
      </c>
      <c r="GF22">
        <v>5.9262006472547126</v>
      </c>
      <c r="GG22">
        <v>8.9892979093301335</v>
      </c>
      <c r="GH22">
        <v>7.2752524203292301</v>
      </c>
      <c r="GI22">
        <v>3.2450686942803988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23.129734848484848</v>
      </c>
      <c r="E23" s="18">
        <f t="shared" si="8"/>
        <v>33</v>
      </c>
      <c r="F23" s="50"/>
      <c r="G23" s="18">
        <f t="shared" ref="G23:AK23" si="11">AVERAGE(G72:G73)</f>
        <v>6.510416666666667</v>
      </c>
      <c r="H23" s="18">
        <f t="shared" si="11"/>
        <v>0</v>
      </c>
      <c r="I23" s="18">
        <f t="shared" si="11"/>
        <v>0.52083333333333326</v>
      </c>
      <c r="J23" s="18">
        <f t="shared" si="11"/>
        <v>9.375</v>
      </c>
      <c r="K23" s="18">
        <f t="shared" si="11"/>
        <v>6.2026515151515147</v>
      </c>
      <c r="L23" s="18">
        <f t="shared" si="11"/>
        <v>0</v>
      </c>
      <c r="M23" s="18">
        <f t="shared" si="11"/>
        <v>0.52083333333333326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30.136013871474212</v>
      </c>
      <c r="AO23">
        <v>5.2573498427456995</v>
      </c>
      <c r="AP23">
        <v>39.486563539618864</v>
      </c>
      <c r="AQ23">
        <v>33.585282166252114</v>
      </c>
      <c r="AR23">
        <v>4.8464618628960743</v>
      </c>
      <c r="AS23">
        <v>23.715024974353181</v>
      </c>
      <c r="AT23">
        <v>3.2382784735888612</v>
      </c>
      <c r="AU23">
        <v>8.7458042786725105</v>
      </c>
      <c r="AV23"/>
      <c r="AW23"/>
      <c r="FY23" s="210">
        <v>18</v>
      </c>
      <c r="FZ23">
        <v>0.90596569600502563</v>
      </c>
      <c r="GA23">
        <v>1.4665108841349896</v>
      </c>
      <c r="GB23">
        <v>2.7993508341097977</v>
      </c>
      <c r="GC23">
        <v>1.7371693490681734</v>
      </c>
      <c r="GD23">
        <v>1.1102284667293745</v>
      </c>
      <c r="GE23">
        <v>1.6235200219669181</v>
      </c>
      <c r="GF23">
        <v>2.7349967330634652</v>
      </c>
      <c r="GG23">
        <v>6.2016300935543525</v>
      </c>
      <c r="GH23">
        <v>5.6631497841496969</v>
      </c>
      <c r="GI23">
        <v>2.8841341337258046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12.626262626262625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0.52083333333333326</v>
      </c>
      <c r="J24" s="18">
        <f t="shared" si="12"/>
        <v>2.083333333333333</v>
      </c>
      <c r="K24" s="18">
        <f t="shared" si="12"/>
        <v>10.022095959595958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28.69423532506292</v>
      </c>
      <c r="AO24">
        <v>5.4960131732790733</v>
      </c>
      <c r="AP24">
        <v>40.919118946297743</v>
      </c>
      <c r="AQ24">
        <v>34.854843516851574</v>
      </c>
      <c r="AR24">
        <v>5.1369871080846687</v>
      </c>
      <c r="AS24">
        <v>24.785544976310597</v>
      </c>
      <c r="AT24">
        <v>3.4280644043861845</v>
      </c>
      <c r="AU24">
        <v>8.1558381683789243</v>
      </c>
      <c r="AV24"/>
      <c r="AW24"/>
      <c r="FY24" s="210">
        <v>19</v>
      </c>
      <c r="FZ24">
        <v>1.1242802994527028</v>
      </c>
      <c r="GA24">
        <v>1.948451786585542</v>
      </c>
      <c r="GB24">
        <v>1.0460768900762294</v>
      </c>
      <c r="GC24">
        <v>0.7366538399721283</v>
      </c>
      <c r="GD24">
        <v>1.775788574931537</v>
      </c>
      <c r="GE24">
        <v>2.9848237123516403</v>
      </c>
      <c r="GF24">
        <v>3.7028625200479333</v>
      </c>
      <c r="GG24">
        <v>3.89888887560942</v>
      </c>
      <c r="GH24">
        <v>3.5912699339050294</v>
      </c>
      <c r="GI24">
        <v>2.7453714752273304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63.767247866512569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29.765485739750442</v>
      </c>
      <c r="J25" s="18">
        <f t="shared" si="13"/>
        <v>11.927655677655679</v>
      </c>
      <c r="K25" s="18">
        <f t="shared" si="13"/>
        <v>19.670260295260292</v>
      </c>
      <c r="L25" s="18">
        <f t="shared" si="13"/>
        <v>2.4038461538461537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16.031846090522951</v>
      </c>
      <c r="AO25">
        <v>3.7548680129003209</v>
      </c>
      <c r="AP25">
        <v>31.50716605694058</v>
      </c>
      <c r="AQ25">
        <v>25.217966383019455</v>
      </c>
      <c r="AR25">
        <v>3.6451380741036994</v>
      </c>
      <c r="AS25">
        <v>19.886849309444536</v>
      </c>
      <c r="AT25">
        <v>2.5924023338803512</v>
      </c>
      <c r="AU25">
        <v>1.4642136846125757</v>
      </c>
      <c r="AV25"/>
      <c r="AW25"/>
      <c r="FY25" s="210">
        <v>20</v>
      </c>
      <c r="FZ25">
        <v>0.92664039897638417</v>
      </c>
      <c r="GA25">
        <v>2.6890225095290217</v>
      </c>
      <c r="GB25">
        <v>1.7698328414763633</v>
      </c>
      <c r="GC25">
        <v>0.66617300153842018</v>
      </c>
      <c r="GD25">
        <v>1.2311127049416561</v>
      </c>
      <c r="GE25">
        <v>3.762317140236429</v>
      </c>
      <c r="GF25">
        <v>3.942496017105217</v>
      </c>
      <c r="GG25">
        <v>5.7548063701639371</v>
      </c>
      <c r="GH25">
        <v>7.3115190046791536</v>
      </c>
      <c r="GI25">
        <v>3.196863294543812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71.015511755401462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29.24465240641711</v>
      </c>
      <c r="J26" s="18">
        <f t="shared" si="14"/>
        <v>12.448489010989011</v>
      </c>
      <c r="K26" s="18">
        <f t="shared" si="14"/>
        <v>23.012274184149184</v>
      </c>
      <c r="L26" s="18">
        <f t="shared" si="14"/>
        <v>6.3100961538461533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34.692797730794446</v>
      </c>
      <c r="AO26">
        <v>6.5689098867525049</v>
      </c>
      <c r="AP26">
        <v>43.77307727153817</v>
      </c>
      <c r="AQ26">
        <v>39.920664658556333</v>
      </c>
      <c r="AR26">
        <v>6.1578296219075108</v>
      </c>
      <c r="AS26">
        <v>30.196627049331216</v>
      </c>
      <c r="AT26">
        <v>4.0920736093938581</v>
      </c>
      <c r="AU26">
        <v>-2.1448459054153419</v>
      </c>
      <c r="AV26"/>
      <c r="AW26"/>
      <c r="FY26" s="210">
        <v>21</v>
      </c>
      <c r="FZ26">
        <v>0.96776427554123767</v>
      </c>
      <c r="GA26">
        <v>1.9055701203921875</v>
      </c>
      <c r="GB26">
        <v>1.9655499938904275</v>
      </c>
      <c r="GC26">
        <v>1.1526086373524083</v>
      </c>
      <c r="GD26">
        <v>1.281009569515914</v>
      </c>
      <c r="GE26">
        <v>3.7583808294084724</v>
      </c>
      <c r="GF26">
        <v>8.0407764195039046</v>
      </c>
      <c r="GG26">
        <v>5.2970181302355304</v>
      </c>
      <c r="GH26">
        <v>1.6112430600770742</v>
      </c>
      <c r="GI26">
        <v>3.1376961135909864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26.929450757575758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8.3333333333333339</v>
      </c>
      <c r="K27" s="18">
        <f t="shared" si="15"/>
        <v>8.203125</v>
      </c>
      <c r="L27" s="18">
        <f t="shared" si="15"/>
        <v>5.989583333333333</v>
      </c>
      <c r="M27" s="18">
        <f t="shared" si="15"/>
        <v>3.8825757575757569</v>
      </c>
      <c r="N27" s="18">
        <f t="shared" si="15"/>
        <v>0.52083333333333326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32.023420479302828</v>
      </c>
      <c r="AO27">
        <v>4.6213735777964233</v>
      </c>
      <c r="AP27">
        <v>27.566883239375976</v>
      </c>
      <c r="AQ27">
        <v>26.513608093003675</v>
      </c>
      <c r="AR27">
        <v>4.2010135077955209</v>
      </c>
      <c r="AS27">
        <v>22.99207767770228</v>
      </c>
      <c r="AT27" t="e">
        <v>#DIV/0!</v>
      </c>
      <c r="AU27" t="e">
        <v>#DIV/0!</v>
      </c>
      <c r="AV27"/>
      <c r="AW27"/>
      <c r="FY27" s="210">
        <v>22</v>
      </c>
      <c r="FZ27">
        <v>1.2561952349398708</v>
      </c>
      <c r="GA27">
        <v>3.3804127540358682</v>
      </c>
      <c r="GB27">
        <v>2.1730803121476643</v>
      </c>
      <c r="GC27">
        <v>0.5041705770570899</v>
      </c>
      <c r="GD27">
        <v>1.4814790672959446</v>
      </c>
      <c r="GE27">
        <v>5.0308591373594167</v>
      </c>
      <c r="GF27">
        <v>6.2991137972866458</v>
      </c>
      <c r="GG27">
        <v>3.332814092127923</v>
      </c>
      <c r="GH27">
        <v>1.728170527257985</v>
      </c>
      <c r="GI27">
        <v>3.0365711976972474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30.213594276094273</v>
      </c>
      <c r="E28" s="18">
        <f>C12-C11</f>
        <v>39</v>
      </c>
      <c r="F28" s="50"/>
      <c r="G28" s="18">
        <f t="shared" si="15"/>
        <v>0</v>
      </c>
      <c r="H28" s="18">
        <f t="shared" si="15"/>
        <v>4.0509259259259256</v>
      </c>
      <c r="I28" s="18">
        <f t="shared" si="15"/>
        <v>4.0509259259259256</v>
      </c>
      <c r="J28" s="18">
        <f t="shared" si="15"/>
        <v>8.3333333333333339</v>
      </c>
      <c r="K28" s="18">
        <f t="shared" si="15"/>
        <v>2.083333333333333</v>
      </c>
      <c r="L28" s="18">
        <f t="shared" si="15"/>
        <v>4.6875</v>
      </c>
      <c r="M28" s="18">
        <f t="shared" si="15"/>
        <v>5.4450757575757569</v>
      </c>
      <c r="N28" s="18">
        <f t="shared" si="15"/>
        <v>1.5624999999999998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23.498657593492933</v>
      </c>
      <c r="AO28">
        <v>6.1328362803572976</v>
      </c>
      <c r="AP28">
        <v>51.31096627052009</v>
      </c>
      <c r="AQ28">
        <v>41.485457668456412</v>
      </c>
      <c r="AR28">
        <v>5.6781375374250276</v>
      </c>
      <c r="AS28">
        <v>23.378993073179874</v>
      </c>
      <c r="AT28">
        <v>4.0776290622450517</v>
      </c>
      <c r="AU28">
        <v>-0.48245776756290115</v>
      </c>
      <c r="AV28"/>
      <c r="AW28"/>
      <c r="FY28" s="210">
        <v>23</v>
      </c>
      <c r="FZ28">
        <v>1.2684393968075534</v>
      </c>
      <c r="GA28">
        <v>3.1633270091540009</v>
      </c>
      <c r="GB28">
        <v>2.2034302507569068</v>
      </c>
      <c r="GC28">
        <v>0.98720165536769222</v>
      </c>
      <c r="GD28">
        <v>1.8642951340205685</v>
      </c>
      <c r="GE28">
        <v>4.2778362090500845</v>
      </c>
      <c r="GF28">
        <v>4.7719431018390193</v>
      </c>
      <c r="GG28">
        <v>5.2476240689009446</v>
      </c>
      <c r="GH28">
        <v>4.7359688903683583</v>
      </c>
      <c r="GI28">
        <v>3.473921910744231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25.369480056980059</v>
      </c>
      <c r="E29" s="18">
        <f>C13-C12</f>
        <v>38</v>
      </c>
      <c r="F29" s="50"/>
      <c r="G29" s="18">
        <f t="shared" si="15"/>
        <v>0</v>
      </c>
      <c r="H29" s="18">
        <f t="shared" si="15"/>
        <v>4.0509259259259256</v>
      </c>
      <c r="I29" s="18">
        <f t="shared" si="15"/>
        <v>4.0509259259259256</v>
      </c>
      <c r="J29" s="18">
        <f t="shared" si="15"/>
        <v>11.017628205128204</v>
      </c>
      <c r="K29" s="18">
        <f t="shared" si="15"/>
        <v>1.0416666666666665</v>
      </c>
      <c r="L29" s="18">
        <f t="shared" si="15"/>
        <v>2.6041666666666665</v>
      </c>
      <c r="M29" s="18">
        <f t="shared" si="15"/>
        <v>1.5625</v>
      </c>
      <c r="N29" s="18">
        <f t="shared" si="15"/>
        <v>1.0416666666666665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26.448025516353113</v>
      </c>
      <c r="AO29">
        <v>5.3616405306958592</v>
      </c>
      <c r="AP29">
        <v>38.569301892352783</v>
      </c>
      <c r="AQ29">
        <v>33.645589680091341</v>
      </c>
      <c r="AR29">
        <v>5.0394707197561575</v>
      </c>
      <c r="AS29">
        <v>24.105626300835326</v>
      </c>
      <c r="AT29">
        <v>3.1597759966862693</v>
      </c>
      <c r="AU29">
        <v>-0.67255230087457707</v>
      </c>
      <c r="AV29"/>
      <c r="AW29"/>
      <c r="FY29" s="210">
        <v>24</v>
      </c>
      <c r="FZ29">
        <v>1.13883292149022</v>
      </c>
      <c r="GA29">
        <v>2.460324985423004</v>
      </c>
      <c r="GB29">
        <v>2.8983988040832553</v>
      </c>
      <c r="GC29">
        <v>1.2711579969188866</v>
      </c>
      <c r="GD29">
        <v>2.0519273868319265</v>
      </c>
      <c r="GE29">
        <v>5.1751561258241017</v>
      </c>
      <c r="GF29">
        <v>7.6161824064222543</v>
      </c>
      <c r="GG29">
        <v>7.4427634173052493</v>
      </c>
      <c r="GH29">
        <v>4.0320887760612107</v>
      </c>
      <c r="GI29">
        <v>4.1598925486187044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30.339182705910641</v>
      </c>
      <c r="E30" s="18">
        <v>24</v>
      </c>
      <c r="F30" s="50"/>
      <c r="G30" s="18">
        <f>AVERAGE(G70:G79)</f>
        <v>1.3020833333333335</v>
      </c>
      <c r="H30" s="18">
        <f t="shared" ref="H30:AK30" si="16">AVERAGE(H70:H79)</f>
        <v>0.81018518518518512</v>
      </c>
      <c r="I30" s="18">
        <f t="shared" si="16"/>
        <v>7.8049489998019395</v>
      </c>
      <c r="J30" s="18">
        <f t="shared" si="16"/>
        <v>9.6932234432234434</v>
      </c>
      <c r="K30" s="18">
        <f t="shared" si="16"/>
        <v>7.0235406954156945</v>
      </c>
      <c r="L30" s="18">
        <f t="shared" si="16"/>
        <v>2.1995192307692304</v>
      </c>
      <c r="M30" s="18">
        <f t="shared" si="16"/>
        <v>1.1931818181818179</v>
      </c>
      <c r="N30" s="18">
        <f t="shared" si="16"/>
        <v>0.31249999999999994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29.270136232911966</v>
      </c>
      <c r="AO30">
        <v>4.7560660453036467</v>
      </c>
      <c r="AP30">
        <v>33.216015408472273</v>
      </c>
      <c r="AQ30">
        <v>28.983967040009009</v>
      </c>
      <c r="AR30">
        <v>4.4510084353619925</v>
      </c>
      <c r="AS30">
        <v>22.676745501245009</v>
      </c>
      <c r="AT30">
        <v>2.8780403460342714</v>
      </c>
      <c r="AU30">
        <v>9.3368159987083654</v>
      </c>
      <c r="AV30"/>
      <c r="AW30"/>
      <c r="FY30" s="210">
        <v>25</v>
      </c>
      <c r="FZ30">
        <v>0.88562928710046229</v>
      </c>
      <c r="GA30">
        <v>2.5949352033790336</v>
      </c>
      <c r="GB30">
        <v>1.2893935564176353</v>
      </c>
      <c r="GC30">
        <v>0.52226193251730901</v>
      </c>
      <c r="GD30">
        <v>1.6640250758932797</v>
      </c>
      <c r="GE30">
        <v>3.2066005110540843</v>
      </c>
      <c r="GF30">
        <v>5.1118476500028143</v>
      </c>
      <c r="GG30">
        <v>4.9235079303624261</v>
      </c>
      <c r="GH30">
        <v>2.6974015107799429</v>
      </c>
      <c r="GI30">
        <v>2.8195819092131624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31.541651508416599</v>
      </c>
      <c r="AO31">
        <v>6.311343037467366</v>
      </c>
      <c r="AP31">
        <v>47.720318780796219</v>
      </c>
      <c r="AQ31">
        <v>40.763860276004152</v>
      </c>
      <c r="AR31">
        <v>5.9205515761045655</v>
      </c>
      <c r="AS31">
        <v>27.599998011908252</v>
      </c>
      <c r="AT31">
        <v>3.6529284944518055</v>
      </c>
      <c r="AU31">
        <v>-0.76097915792882198</v>
      </c>
      <c r="AV31"/>
      <c r="AW31"/>
      <c r="FY31" s="210">
        <v>26</v>
      </c>
      <c r="FZ31">
        <v>1.0088881521060911</v>
      </c>
      <c r="GA31">
        <v>2.3152666199860543</v>
      </c>
      <c r="GB31">
        <v>1.8273862431738428</v>
      </c>
      <c r="GC31">
        <v>0.81687448093744441</v>
      </c>
      <c r="GD31">
        <v>2.1272847060382225</v>
      </c>
      <c r="GE31">
        <v>3.8108702672276693</v>
      </c>
      <c r="GF31">
        <v>2.188293691924049</v>
      </c>
      <c r="GG31">
        <v>3.860733205560678</v>
      </c>
      <c r="GH31">
        <v>4.2104673804752366</v>
      </c>
      <c r="GI31">
        <v>2.939072165055046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31.698421489322222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31.750126439464673</v>
      </c>
      <c r="AO32">
        <v>6.5580633705240192</v>
      </c>
      <c r="AP32">
        <v>44.419819502967094</v>
      </c>
      <c r="AQ32">
        <v>40.001448518374133</v>
      </c>
      <c r="AR32">
        <v>6.2056664948706484</v>
      </c>
      <c r="AS32">
        <v>31.252278690669815</v>
      </c>
      <c r="AT32">
        <v>3.7770450197492891</v>
      </c>
      <c r="AU32">
        <v>-1.080114140580446</v>
      </c>
      <c r="AV32"/>
      <c r="AW32"/>
      <c r="FY32" s="210">
        <v>27</v>
      </c>
      <c r="FZ32">
        <v>1.3240031307209921</v>
      </c>
      <c r="GA32">
        <v>3.1249649044693926</v>
      </c>
      <c r="GB32">
        <v>1.6160840995267405</v>
      </c>
      <c r="GC32">
        <v>0.74816021672105038</v>
      </c>
      <c r="GD32">
        <v>1.6047034822891608</v>
      </c>
      <c r="GE32">
        <v>3.2129638404968621</v>
      </c>
      <c r="GF32">
        <v>3.1967480046561634</v>
      </c>
      <c r="GG32">
        <v>5.9359319733667224</v>
      </c>
      <c r="GH32">
        <v>6.8060108884518931</v>
      </c>
      <c r="GI32">
        <v>3.2140369044231525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23.436733491587216</v>
      </c>
      <c r="AO33">
        <v>4.7316029168358424</v>
      </c>
      <c r="AP33">
        <v>41.127435859445022</v>
      </c>
      <c r="AQ33">
        <v>32.766107681509602</v>
      </c>
      <c r="AR33">
        <v>4.5362400143110921</v>
      </c>
      <c r="AS33">
        <v>21.344294267316556</v>
      </c>
      <c r="AT33">
        <v>2.6845032348163227</v>
      </c>
      <c r="AU33">
        <v>-5.6492283267662255</v>
      </c>
      <c r="AV33"/>
      <c r="AW33"/>
      <c r="FY33" s="210">
        <v>28</v>
      </c>
      <c r="FZ33">
        <v>0.69989525442503131</v>
      </c>
      <c r="GA33">
        <v>2.7841675765255087</v>
      </c>
      <c r="GB33">
        <v>1.9875887725361348</v>
      </c>
      <c r="GC33">
        <v>0.68622392537766441</v>
      </c>
      <c r="GD33">
        <v>1.5073731710813898</v>
      </c>
      <c r="GE33">
        <v>3.8152740238029632</v>
      </c>
      <c r="GF33">
        <v>6.4844912687660567</v>
      </c>
      <c r="GG33">
        <v>6.0659709136082283</v>
      </c>
      <c r="GH33">
        <v>4.808038067126799</v>
      </c>
      <c r="GI33">
        <v>3.4663679174742716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21.50093780579153</v>
      </c>
      <c r="AO34">
        <v>4.2785483958607493</v>
      </c>
      <c r="AP34">
        <v>33.031709194559504</v>
      </c>
      <c r="AQ34">
        <v>27.126655996507598</v>
      </c>
      <c r="AR34">
        <v>4.0399953071442569</v>
      </c>
      <c r="AS34">
        <v>19.999491672972461</v>
      </c>
      <c r="AT34">
        <v>2.6140251172899602</v>
      </c>
      <c r="AU34">
        <v>1.8571382180673408</v>
      </c>
      <c r="AV34"/>
      <c r="AW34"/>
      <c r="FY34" s="210">
        <v>29</v>
      </c>
      <c r="FZ34">
        <v>1.0973707508585711</v>
      </c>
      <c r="GA34">
        <v>2.3782437139621773</v>
      </c>
      <c r="GB34">
        <v>1.5007326733020114</v>
      </c>
      <c r="GC34">
        <v>0.69743855683230283</v>
      </c>
      <c r="GD34">
        <v>0.60262264595914905</v>
      </c>
      <c r="GE34">
        <v>0.97393407378814145</v>
      </c>
      <c r="GF34">
        <v>3.8354716741832169</v>
      </c>
      <c r="GG34">
        <v>4.8965912463953858</v>
      </c>
      <c r="GH34">
        <v>4.3632187564225315</v>
      </c>
      <c r="GI34">
        <v>2.3131502590211999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18.038539339403702</v>
      </c>
      <c r="AO35">
        <v>3.8478981042948215</v>
      </c>
      <c r="AP35">
        <v>27.080716798151691</v>
      </c>
      <c r="AQ35">
        <v>23.554467908159491</v>
      </c>
      <c r="AR35">
        <v>3.8444554937568642</v>
      </c>
      <c r="AS35">
        <v>18.215671932188194</v>
      </c>
      <c r="AT35">
        <v>2.4969218678242266</v>
      </c>
      <c r="AU35">
        <v>-2.9091013839196593</v>
      </c>
      <c r="AV35"/>
      <c r="AW35"/>
      <c r="FY35" s="210">
        <v>30</v>
      </c>
      <c r="FZ35">
        <v>1.2888885704010482</v>
      </c>
      <c r="GA35">
        <v>2.0384862720883712</v>
      </c>
      <c r="GB35">
        <v>1.5369229439754029</v>
      </c>
      <c r="GC35">
        <v>0.87927210801147304</v>
      </c>
      <c r="GD35">
        <v>1.7193111508315237</v>
      </c>
      <c r="GE35">
        <v>4.0421505743081712</v>
      </c>
      <c r="GF35">
        <v>5.902695018471487</v>
      </c>
      <c r="GG35">
        <v>6.1590787744152804</v>
      </c>
      <c r="GH35">
        <v>3.8880060264613512</v>
      </c>
      <c r="GI35">
        <v>3.2962988799945818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9.0179821009927358E-4</v>
      </c>
      <c r="H36" s="59">
        <f t="shared" ref="H36:AK36" si="17">(1-($A$43/100))*($A$39*(H35^$A$41))</f>
        <v>5.9581999999999994E-3</v>
      </c>
      <c r="I36" s="59">
        <f t="shared" si="17"/>
        <v>3.9365954425760054E-2</v>
      </c>
      <c r="J36" s="59">
        <f t="shared" si="17"/>
        <v>0.11879369063332791</v>
      </c>
      <c r="K36" s="59">
        <f t="shared" si="17"/>
        <v>0.26009170015290151</v>
      </c>
      <c r="L36" s="59">
        <f t="shared" si="17"/>
        <v>0.47764954565651402</v>
      </c>
      <c r="M36" s="59">
        <f t="shared" si="17"/>
        <v>0.78487244663479294</v>
      </c>
      <c r="N36" s="59">
        <f t="shared" si="17"/>
        <v>1.1944339475291872</v>
      </c>
      <c r="O36" s="59">
        <f t="shared" si="17"/>
        <v>1.7184314079315166</v>
      </c>
      <c r="P36" s="59">
        <f t="shared" si="17"/>
        <v>2.3684906405100232</v>
      </c>
      <c r="Q36" s="59">
        <f t="shared" si="17"/>
        <v>3.1558407313952781</v>
      </c>
      <c r="R36" s="59">
        <f t="shared" si="17"/>
        <v>4.0913699544533273</v>
      </c>
      <c r="S36" s="59">
        <f t="shared" si="17"/>
        <v>5.1856689879930276</v>
      </c>
      <c r="T36" s="59">
        <f t="shared" si="17"/>
        <v>6.4490652174806335</v>
      </c>
      <c r="U36" s="59">
        <f t="shared" si="17"/>
        <v>7.8916505560428751</v>
      </c>
      <c r="V36" s="59">
        <f t="shared" si="17"/>
        <v>9.5233044137272334</v>
      </c>
      <c r="W36" s="59">
        <f t="shared" si="17"/>
        <v>11.353712948277471</v>
      </c>
      <c r="X36" s="59">
        <f t="shared" si="17"/>
        <v>13.392385407473196</v>
      </c>
      <c r="Y36" s="59">
        <f t="shared" si="17"/>
        <v>15.648668156852196</v>
      </c>
      <c r="Z36" s="59">
        <f t="shared" si="17"/>
        <v>18.131756837509794</v>
      </c>
      <c r="AA36" s="59">
        <f t="shared" si="17"/>
        <v>20.850706993230137</v>
      </c>
      <c r="AB36" s="59">
        <f t="shared" si="17"/>
        <v>23.814443430016944</v>
      </c>
      <c r="AC36" s="59">
        <f t="shared" si="17"/>
        <v>27.031768514976598</v>
      </c>
      <c r="AD36" s="59">
        <f t="shared" si="17"/>
        <v>30.511369579468642</v>
      </c>
      <c r="AE36" s="59">
        <f t="shared" si="17"/>
        <v>34.261825559466111</v>
      </c>
      <c r="AF36" s="59">
        <f t="shared" si="17"/>
        <v>38.291612981416243</v>
      </c>
      <c r="AG36" s="59">
        <f t="shared" si="17"/>
        <v>42.609111382648663</v>
      </c>
      <c r="AH36" s="59">
        <f t="shared" si="17"/>
        <v>47.222608240186645</v>
      </c>
      <c r="AI36" s="59">
        <f t="shared" si="17"/>
        <v>52.140303469706964</v>
      </c>
      <c r="AJ36" s="59">
        <f t="shared" si="17"/>
        <v>57.370313546634669</v>
      </c>
      <c r="AK36" s="59">
        <f t="shared" si="17"/>
        <v>62.920675293448724</v>
      </c>
      <c r="AL36" s="42"/>
      <c r="AM36" s="43">
        <v>20</v>
      </c>
      <c r="AN36">
        <v>18.251057145671506</v>
      </c>
      <c r="AO36">
        <v>4.6972562380796159</v>
      </c>
      <c r="AP36">
        <v>37.322551108579191</v>
      </c>
      <c r="AQ36">
        <v>31.250783283190394</v>
      </c>
      <c r="AR36">
        <v>4.3663355826346857</v>
      </c>
      <c r="AS36">
        <v>21.643430566372395</v>
      </c>
      <c r="AT36">
        <v>2.9471243699061733</v>
      </c>
      <c r="AU36">
        <v>-2.1605568619255164</v>
      </c>
      <c r="AV36"/>
      <c r="AW36"/>
      <c r="FY36" s="210">
        <v>31</v>
      </c>
      <c r="FZ36">
        <v>0.93276247991022543</v>
      </c>
      <c r="GA36">
        <v>1.9791721739440125</v>
      </c>
      <c r="GB36">
        <v>1.3032023719146335</v>
      </c>
      <c r="GC36">
        <v>0.67599294731674353</v>
      </c>
      <c r="GD36">
        <v>2.8988451748481978</v>
      </c>
      <c r="GE36">
        <v>6.0333890644831261</v>
      </c>
      <c r="GF36">
        <v>5.9621301852704756</v>
      </c>
      <c r="GG36">
        <v>7.8637439619508456</v>
      </c>
      <c r="GH36">
        <v>5.9919012037755115</v>
      </c>
      <c r="GI36">
        <v>4.2227774015362591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1.1126036194436246</v>
      </c>
      <c r="E37" s="107">
        <f t="shared" ref="E37:E46" si="19">+D37/D21</f>
        <v>8.9008289555489964E-2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0.18452791137075025</v>
      </c>
      <c r="J37" s="49">
        <f t="shared" si="21"/>
        <v>0.92807570807287432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22.949903599260217</v>
      </c>
      <c r="AO37">
        <v>4.6300598732414215</v>
      </c>
      <c r="AP37">
        <v>35.080556873838205</v>
      </c>
      <c r="AQ37">
        <v>29.117617149508142</v>
      </c>
      <c r="AR37">
        <v>4.2375570087846297</v>
      </c>
      <c r="AS37">
        <v>21.110339338770213</v>
      </c>
      <c r="AT37">
        <v>3.0772982658382531</v>
      </c>
      <c r="AU37">
        <v>10.726442616706453</v>
      </c>
      <c r="AV37"/>
      <c r="AW37"/>
      <c r="FY37" s="210">
        <v>32</v>
      </c>
      <c r="FZ37">
        <v>0.94697680788094729</v>
      </c>
      <c r="GA37">
        <v>3.0124777734232904</v>
      </c>
      <c r="GB37">
        <v>1.8172892308046162</v>
      </c>
      <c r="GC37">
        <v>0.88196135369007223</v>
      </c>
      <c r="GD37">
        <v>1.3844096891467885</v>
      </c>
      <c r="GE37">
        <v>3.2443492164552152</v>
      </c>
      <c r="GF37">
        <v>8.5467406935943036</v>
      </c>
      <c r="GG37">
        <v>8.4013340812459969</v>
      </c>
      <c r="GH37">
        <v>4.2004965024418022</v>
      </c>
      <c r="GI37">
        <v>3.6849341809948366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2.0438264766423542</v>
      </c>
      <c r="E38" s="107">
        <f t="shared" si="19"/>
        <v>9.6892514448230146E-2</v>
      </c>
      <c r="F38" s="18"/>
      <c r="G38" s="49">
        <f t="shared" si="20"/>
        <v>5.8710820970004794E-3</v>
      </c>
      <c r="H38" s="49">
        <f t="shared" si="21"/>
        <v>0</v>
      </c>
      <c r="I38" s="49">
        <f t="shared" si="21"/>
        <v>2.0503101263416691E-2</v>
      </c>
      <c r="J38" s="49">
        <f t="shared" si="21"/>
        <v>1.6086645606596488</v>
      </c>
      <c r="K38" s="49">
        <f t="shared" si="21"/>
        <v>0</v>
      </c>
      <c r="L38" s="49">
        <f t="shared" si="21"/>
        <v>0</v>
      </c>
      <c r="M38" s="49">
        <f t="shared" si="21"/>
        <v>0.40878773262228796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24.588970176745914</v>
      </c>
      <c r="AO38">
        <v>4.4287151910287221</v>
      </c>
      <c r="AP38">
        <v>32.892133446990371</v>
      </c>
      <c r="AQ38">
        <v>28.222866697205653</v>
      </c>
      <c r="AR38">
        <v>4.0855572511716929</v>
      </c>
      <c r="AS38">
        <v>21.226782394841798</v>
      </c>
      <c r="AT38">
        <v>2.8531728096045872</v>
      </c>
      <c r="AU38">
        <v>10.07923690013131</v>
      </c>
      <c r="AV38"/>
      <c r="AW38"/>
      <c r="FY38" s="210">
        <v>33</v>
      </c>
      <c r="FZ38">
        <v>1.4622656765198652</v>
      </c>
      <c r="GA38">
        <v>2.1670624894962662</v>
      </c>
      <c r="GB38">
        <v>1.4789061937997883</v>
      </c>
      <c r="GC38">
        <v>0.63482113261687001</v>
      </c>
      <c r="GD38">
        <v>1.5687895072328604</v>
      </c>
      <c r="GE38">
        <v>3.6912839750911708</v>
      </c>
      <c r="GF38">
        <v>4.3016466676342446</v>
      </c>
      <c r="GG38">
        <v>6.0631435328885672</v>
      </c>
      <c r="GH38">
        <v>5.2273445309840696</v>
      </c>
      <c r="GI38">
        <v>3.1439453159866733</v>
      </c>
      <c r="GJ38"/>
      <c r="GK38"/>
      <c r="GL38"/>
      <c r="GM38"/>
    </row>
    <row r="39" spans="1:195" s="7" customFormat="1">
      <c r="A39" s="114">
        <v>6.1999999999999998E-3</v>
      </c>
      <c r="B39" s="57"/>
      <c r="C39" s="48" t="s">
        <v>40</v>
      </c>
      <c r="D39" s="49">
        <f t="shared" si="18"/>
        <v>3.1621109437018822</v>
      </c>
      <c r="E39" s="107">
        <f t="shared" si="19"/>
        <v>0.13671194090273031</v>
      </c>
      <c r="F39" s="18"/>
      <c r="G39" s="49">
        <f t="shared" si="20"/>
        <v>5.8710820970004794E-3</v>
      </c>
      <c r="H39" s="49">
        <f t="shared" si="21"/>
        <v>0</v>
      </c>
      <c r="I39" s="49">
        <f t="shared" si="21"/>
        <v>2.0503101263416691E-2</v>
      </c>
      <c r="J39" s="49">
        <f t="shared" si="21"/>
        <v>1.1136908496874491</v>
      </c>
      <c r="K39" s="49">
        <f t="shared" si="21"/>
        <v>1.6132581780317279</v>
      </c>
      <c r="L39" s="49">
        <f t="shared" si="21"/>
        <v>0</v>
      </c>
      <c r="M39" s="49">
        <f t="shared" si="21"/>
        <v>0.40878773262228796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26.715016466101808</v>
      </c>
      <c r="AO39">
        <v>5.0718685287237646</v>
      </c>
      <c r="AP39">
        <v>37.260394546438746</v>
      </c>
      <c r="AQ39">
        <v>31.993987627009361</v>
      </c>
      <c r="AR39">
        <v>4.7836901208283393</v>
      </c>
      <c r="AS39">
        <v>22.248647218052593</v>
      </c>
      <c r="AT39">
        <v>3.1159069096846133</v>
      </c>
      <c r="AU39">
        <v>1.4027619790449293</v>
      </c>
      <c r="AV39"/>
      <c r="AW39"/>
      <c r="FY39" s="210">
        <v>34</v>
      </c>
      <c r="FZ39">
        <v>0.86484181944017213</v>
      </c>
      <c r="GA39">
        <v>2.4496808472614711</v>
      </c>
      <c r="GB39">
        <v>1.6923171153629006</v>
      </c>
      <c r="GC39">
        <v>0.88842841995451405</v>
      </c>
      <c r="GD39">
        <v>1.2907200179346452</v>
      </c>
      <c r="GE39">
        <v>3.2005640037703964</v>
      </c>
      <c r="GF39">
        <v>4.3083061751822989</v>
      </c>
      <c r="GG39">
        <v>4.5818168413611531</v>
      </c>
      <c r="GH39">
        <v>5.1707747547593685</v>
      </c>
      <c r="GI39">
        <v>2.9303289692381176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2.8746539339763544</v>
      </c>
      <c r="E40" s="107">
        <f t="shared" si="19"/>
        <v>0.22767259157092729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2.0503101263416691E-2</v>
      </c>
      <c r="J40" s="49">
        <f t="shared" si="21"/>
        <v>0.24748685548609978</v>
      </c>
      <c r="K40" s="49">
        <f t="shared" si="21"/>
        <v>2.6066639772268378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31.265437935494255</v>
      </c>
      <c r="AO40">
        <v>6.1682948149555283</v>
      </c>
      <c r="AP40">
        <v>45.335577152508122</v>
      </c>
      <c r="AQ40">
        <v>38.246725368978815</v>
      </c>
      <c r="AR40">
        <v>5.729043792800665</v>
      </c>
      <c r="AS40">
        <v>28.632149402305807</v>
      </c>
      <c r="AT40">
        <v>3.7330888284598758</v>
      </c>
      <c r="AU40">
        <v>0.46313859659762158</v>
      </c>
      <c r="AV40"/>
      <c r="AW40"/>
      <c r="FY40" s="210">
        <v>35</v>
      </c>
      <c r="FZ40">
        <v>1.0148974683510004</v>
      </c>
      <c r="GA40">
        <v>1.9934690293369568</v>
      </c>
      <c r="GB40">
        <v>1.669206091386112</v>
      </c>
      <c r="GC40">
        <v>0.88093993109621416</v>
      </c>
      <c r="GD40">
        <v>1.7519178922461685</v>
      </c>
      <c r="GE40">
        <v>4.7256192337743519</v>
      </c>
      <c r="GF40">
        <v>5.7170822811185218</v>
      </c>
      <c r="GG40">
        <v>4.3240939765674433</v>
      </c>
      <c r="GH40">
        <v>3.8866398901376593</v>
      </c>
      <c r="GI40">
        <v>3.2599279402172852</v>
      </c>
      <c r="GJ40"/>
      <c r="GK40"/>
      <c r="GL40"/>
      <c r="GM40"/>
    </row>
    <row r="41" spans="1:195" s="7" customFormat="1">
      <c r="A41" s="114">
        <v>2.7240000000000002</v>
      </c>
      <c r="B41" s="57"/>
      <c r="C41" s="48" t="s">
        <v>42</v>
      </c>
      <c r="D41" s="49">
        <f t="shared" si="18"/>
        <v>8.8529444595010496</v>
      </c>
      <c r="E41" s="107">
        <f t="shared" si="19"/>
        <v>0.13883215531009582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1.1717467550916267</v>
      </c>
      <c r="J41" s="49">
        <f t="shared" si="22"/>
        <v>1.4169302385522859</v>
      </c>
      <c r="K41" s="49">
        <f t="shared" si="22"/>
        <v>5.1160714426443636</v>
      </c>
      <c r="L41" s="49">
        <f t="shared" si="22"/>
        <v>1.1481960232127741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16.005427731990231</v>
      </c>
      <c r="AO41">
        <v>4.0858703965341547</v>
      </c>
      <c r="AP41">
        <v>30.171530591249585</v>
      </c>
      <c r="AQ41">
        <v>25.715184566720151</v>
      </c>
      <c r="AR41">
        <v>3.9240248665221817</v>
      </c>
      <c r="AS41">
        <v>22.168905473018686</v>
      </c>
      <c r="AT41">
        <v>2.7778222847058966</v>
      </c>
      <c r="AU41">
        <v>4.0995169555747903</v>
      </c>
      <c r="AV41"/>
      <c r="AW41"/>
      <c r="FY41" s="210">
        <v>36</v>
      </c>
      <c r="FZ41">
        <v>1.440914385414916</v>
      </c>
      <c r="GA41">
        <v>2.7626840318807959</v>
      </c>
      <c r="GB41">
        <v>1.5295927850855173</v>
      </c>
      <c r="GC41">
        <v>0.52105544516321045</v>
      </c>
      <c r="GD41">
        <v>2.9522839605918523</v>
      </c>
      <c r="GE41">
        <v>6.3976215733753543</v>
      </c>
      <c r="GF41">
        <v>5.1399275740976433</v>
      </c>
      <c r="GG41">
        <v>4.1014472525035348</v>
      </c>
      <c r="GH41">
        <v>1.5632225608511057</v>
      </c>
      <c r="GI41">
        <v>3.5291218875732797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11.629361684125639</v>
      </c>
      <c r="E42" s="107">
        <f t="shared" si="19"/>
        <v>0.16375804942701278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1.15124365382821</v>
      </c>
      <c r="J42" s="49">
        <f t="shared" si="22"/>
        <v>1.4788019524238107</v>
      </c>
      <c r="K42" s="49">
        <f t="shared" si="22"/>
        <v>5.9853015169400861</v>
      </c>
      <c r="L42" s="49">
        <f t="shared" si="22"/>
        <v>3.0140145609335316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23.220247260228877</v>
      </c>
      <c r="AO42">
        <v>4.2135834007621042</v>
      </c>
      <c r="AP42">
        <v>28.044263362159342</v>
      </c>
      <c r="AQ42">
        <v>25.105136912484333</v>
      </c>
      <c r="AR42">
        <v>4.1245219852707278</v>
      </c>
      <c r="AS42">
        <v>20.857021769824193</v>
      </c>
      <c r="AT42">
        <v>2.5612707445420262</v>
      </c>
      <c r="AU42">
        <v>3.7011835177467303</v>
      </c>
      <c r="AV42"/>
      <c r="AW42"/>
      <c r="FY42" s="210">
        <v>37</v>
      </c>
      <c r="FZ42">
        <v>1.1180454538299296</v>
      </c>
      <c r="GA42">
        <v>1.6048911626172635</v>
      </c>
      <c r="GB42">
        <v>1.2969846687740405</v>
      </c>
      <c r="GC42">
        <v>0.80672981650419129</v>
      </c>
      <c r="GD42">
        <v>1.6041467996304539</v>
      </c>
      <c r="GE42">
        <v>3.1559964535116642</v>
      </c>
      <c r="GF42">
        <v>6.9585805846129389</v>
      </c>
      <c r="GG42">
        <v>7.1171205184952662</v>
      </c>
      <c r="GH42">
        <v>3.3303022854040822</v>
      </c>
      <c r="GI42">
        <v>3.2638503398024001</v>
      </c>
      <c r="GJ42"/>
      <c r="GK42"/>
      <c r="GL42"/>
      <c r="GM42"/>
    </row>
    <row r="43" spans="1:195" s="7" customFormat="1">
      <c r="A43" s="95">
        <v>3.9</v>
      </c>
      <c r="B43" s="1"/>
      <c r="C43" s="48" t="s">
        <v>119</v>
      </c>
      <c r="D43" s="49">
        <f>IF(SUM(G43:AK43)&lt;0.0001, 0, SUM(G43:AK43))</f>
        <v>9.6538616560312018</v>
      </c>
      <c r="E43" s="107">
        <f t="shared" si="19"/>
        <v>0.35848713525341358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0.98994742194439933</v>
      </c>
      <c r="K43" s="49">
        <f t="shared" si="22"/>
        <v>2.1335647278167702</v>
      </c>
      <c r="L43" s="49">
        <f t="shared" si="22"/>
        <v>2.8609217578384953</v>
      </c>
      <c r="M43" s="49">
        <f t="shared" si="22"/>
        <v>3.0473267340934189</v>
      </c>
      <c r="N43" s="49">
        <f t="shared" si="22"/>
        <v>0.62210101433811826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28.008956408645467</v>
      </c>
      <c r="AO43">
        <v>4.6692997697301619</v>
      </c>
      <c r="AP43">
        <v>36.181355333156567</v>
      </c>
      <c r="AQ43">
        <v>30.783607445122129</v>
      </c>
      <c r="AR43">
        <v>4.4508286344155028</v>
      </c>
      <c r="AS43">
        <v>23.522298939843086</v>
      </c>
      <c r="AT43">
        <v>2.7002702515268897</v>
      </c>
      <c r="AU43">
        <v>-4.1878812595489343</v>
      </c>
      <c r="AV43"/>
      <c r="AW43"/>
      <c r="FY43" s="210">
        <v>38</v>
      </c>
      <c r="FZ43">
        <v>1.091586963991525</v>
      </c>
      <c r="GA43">
        <v>2.8121320236465364</v>
      </c>
      <c r="GB43">
        <v>2.0509017226534372</v>
      </c>
      <c r="GC43">
        <v>0.77108858456111051</v>
      </c>
      <c r="GD43">
        <v>1.3510478132251975</v>
      </c>
      <c r="GE43">
        <v>3.2428402171422119</v>
      </c>
      <c r="GF43">
        <v>4.8024455585264825</v>
      </c>
      <c r="GG43">
        <v>5.1001418617126388</v>
      </c>
      <c r="GH43">
        <v>4.1402368444764264</v>
      </c>
      <c r="GI43">
        <v>3.016289659896747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10.094385143069807</v>
      </c>
      <c r="E44" s="107">
        <f t="shared" si="19"/>
        <v>0.33410077102467511</v>
      </c>
      <c r="F44" s="18"/>
      <c r="G44" s="49">
        <f>G28*G36</f>
        <v>0</v>
      </c>
      <c r="H44" s="49">
        <f t="shared" ref="H44:AK44" si="23">H28*H36</f>
        <v>2.4136226851851846E-2</v>
      </c>
      <c r="I44" s="49">
        <f t="shared" si="23"/>
        <v>0.15946856538212983</v>
      </c>
      <c r="J44" s="49">
        <f t="shared" si="23"/>
        <v>0.98994742194439933</v>
      </c>
      <c r="K44" s="49">
        <f t="shared" si="23"/>
        <v>0.5418577086518781</v>
      </c>
      <c r="L44" s="49">
        <f t="shared" si="23"/>
        <v>2.2389822452649093</v>
      </c>
      <c r="M44" s="49">
        <f t="shared" si="23"/>
        <v>4.2736899319602832</v>
      </c>
      <c r="N44" s="49">
        <f t="shared" si="23"/>
        <v>1.8663030430143548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23.422254497475471</v>
      </c>
      <c r="AO44">
        <v>4.9830714588981726</v>
      </c>
      <c r="AP44">
        <v>39.180448451587402</v>
      </c>
      <c r="AQ44">
        <v>32.305390890724048</v>
      </c>
      <c r="AR44">
        <v>4.7882697074245426</v>
      </c>
      <c r="AS44">
        <v>22.435871485257557</v>
      </c>
      <c r="AT44">
        <v>3.1506680487232352</v>
      </c>
      <c r="AU44">
        <v>4.3832484478362925</v>
      </c>
      <c r="AV44"/>
      <c r="AW44"/>
      <c r="FY44" s="210">
        <v>39</v>
      </c>
      <c r="FZ44">
        <v>1.4068147072953581</v>
      </c>
      <c r="GA44">
        <v>3.597507824109456</v>
      </c>
      <c r="GB44">
        <v>1.9250276883944815</v>
      </c>
      <c r="GC44">
        <v>0.69115968889007806</v>
      </c>
      <c r="GD44">
        <v>1.5275666863440005</v>
      </c>
      <c r="GE44">
        <v>3.8628948445306945</v>
      </c>
      <c r="GF44">
        <v>4.7787155411507811</v>
      </c>
      <c r="GG44">
        <v>6.9771278500204144</v>
      </c>
      <c r="GH44">
        <v>7.276771404962278</v>
      </c>
      <c r="GI44">
        <v>3.6460868688477062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5.4778026147632204</v>
      </c>
      <c r="E45" s="107">
        <f t="shared" si="19"/>
        <v>0.21592096497287414</v>
      </c>
      <c r="F45" s="18"/>
      <c r="G45" s="49">
        <f>G29*G36</f>
        <v>0</v>
      </c>
      <c r="H45" s="49">
        <f t="shared" ref="H45:AK45" si="24">H29*H36</f>
        <v>2.4136226851851846E-2</v>
      </c>
      <c r="I45" s="49">
        <f t="shared" si="24"/>
        <v>0.15946856538212983</v>
      </c>
      <c r="J45" s="49">
        <f t="shared" si="24"/>
        <v>1.3088247165130278</v>
      </c>
      <c r="K45" s="49">
        <f t="shared" si="24"/>
        <v>0.27092885432593905</v>
      </c>
      <c r="L45" s="49">
        <f t="shared" si="24"/>
        <v>1.2438790251471719</v>
      </c>
      <c r="M45" s="49">
        <f t="shared" si="24"/>
        <v>1.2263631978668639</v>
      </c>
      <c r="N45" s="49">
        <f t="shared" si="24"/>
        <v>1.2442020286762365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14.587296716286076</v>
      </c>
      <c r="AO45">
        <v>3.2752835323059122</v>
      </c>
      <c r="AP45">
        <v>28.944358857266511</v>
      </c>
      <c r="AQ45">
        <v>22.658774350724684</v>
      </c>
      <c r="AR45">
        <v>3.2396639940550589</v>
      </c>
      <c r="AS45">
        <v>14.10325085721912</v>
      </c>
      <c r="AT45">
        <v>2.2010107053265004</v>
      </c>
      <c r="AU45">
        <v>1.1576765784062095</v>
      </c>
      <c r="AV45"/>
      <c r="AW45"/>
      <c r="FY45" s="210">
        <v>40</v>
      </c>
      <c r="FZ45">
        <v>0.78248130162153329</v>
      </c>
      <c r="GA45">
        <v>2.9236599860853212</v>
      </c>
      <c r="GB45">
        <v>1.902689769367047</v>
      </c>
      <c r="GC45">
        <v>0.67910879634482157</v>
      </c>
      <c r="GD45">
        <v>1.4195593743038268</v>
      </c>
      <c r="GE45">
        <v>3.7507484143455008</v>
      </c>
      <c r="GF45">
        <v>7.9449022434513941</v>
      </c>
      <c r="GG45">
        <v>5.0889028756309385</v>
      </c>
      <c r="GH45">
        <v>0.72041374799929692</v>
      </c>
      <c r="GI45">
        <v>3.0227558684657456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5.6518646586881953</v>
      </c>
      <c r="E46" s="107">
        <f t="shared" si="19"/>
        <v>0.18628928516215784</v>
      </c>
      <c r="F46" s="18"/>
      <c r="G46" s="49">
        <f>G30*G36</f>
        <v>1.1742164194000959E-3</v>
      </c>
      <c r="H46" s="49">
        <f t="shared" ref="H46:AK46" si="25">H30*H36</f>
        <v>4.8272453703703698E-3</v>
      </c>
      <c r="I46" s="49">
        <f t="shared" si="25"/>
        <v>0.30724926662158464</v>
      </c>
      <c r="J46" s="49">
        <f t="shared" si="25"/>
        <v>1.1514937869540074</v>
      </c>
      <c r="K46" s="49">
        <f t="shared" si="25"/>
        <v>1.8267646405637601</v>
      </c>
      <c r="L46" s="49">
        <f t="shared" si="25"/>
        <v>1.050599361239688</v>
      </c>
      <c r="M46" s="49">
        <f t="shared" si="25"/>
        <v>0.93649553291651411</v>
      </c>
      <c r="N46" s="49">
        <f t="shared" si="25"/>
        <v>0.37326060860287091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30.038327040331502</v>
      </c>
      <c r="AO46">
        <v>4.8725554317672435</v>
      </c>
      <c r="AP46">
        <v>35.879408125748668</v>
      </c>
      <c r="AQ46">
        <v>30.751110318958691</v>
      </c>
      <c r="AR46">
        <v>4.5235240372256467</v>
      </c>
      <c r="AS46">
        <v>23.046432338300214</v>
      </c>
      <c r="AT46">
        <v>2.9016912925913996</v>
      </c>
      <c r="AU46">
        <v>4.6276032584491702</v>
      </c>
      <c r="AV46"/>
      <c r="AW46"/>
      <c r="FY46" s="210">
        <v>41</v>
      </c>
      <c r="FZ46">
        <v>1.1656297053954197</v>
      </c>
      <c r="GA46">
        <v>2.4177153732200329</v>
      </c>
      <c r="GB46">
        <v>1.7298281277524161</v>
      </c>
      <c r="GC46">
        <v>0.80621827406850333</v>
      </c>
      <c r="GD46">
        <v>1.3298377034286442</v>
      </c>
      <c r="GE46">
        <v>3.3362755641764257</v>
      </c>
      <c r="GF46">
        <v>5.4387343156777224</v>
      </c>
      <c r="GG46">
        <v>4.5617659549171004</v>
      </c>
      <c r="GH46">
        <v>2.8284962979561969</v>
      </c>
      <c r="GI46">
        <v>2.852010777680702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37.442347703083769</v>
      </c>
      <c r="AO47">
        <v>6.2205148548811753</v>
      </c>
      <c r="AP47">
        <v>42.45163900459945</v>
      </c>
      <c r="AQ47">
        <v>37.863916964950036</v>
      </c>
      <c r="AR47">
        <v>5.8603046819550446</v>
      </c>
      <c r="AS47">
        <v>30.478985566744807</v>
      </c>
      <c r="AT47">
        <v>3.5616570973414832</v>
      </c>
      <c r="AU47">
        <v>10.313172958732101</v>
      </c>
      <c r="AV47"/>
      <c r="AW47"/>
      <c r="FY47" s="210">
        <v>42</v>
      </c>
      <c r="FZ47">
        <v>1.6537834960623421</v>
      </c>
      <c r="GA47">
        <v>2.4572701105132841</v>
      </c>
      <c r="GB47">
        <v>1.5961576102360737</v>
      </c>
      <c r="GC47">
        <v>0.89527041157893095</v>
      </c>
      <c r="GD47">
        <v>2.1902524961770808</v>
      </c>
      <c r="GE47">
        <v>4.6360329962016831</v>
      </c>
      <c r="GF47">
        <v>5.2029184671824993</v>
      </c>
      <c r="GG47">
        <v>9.1254309465071923</v>
      </c>
      <c r="GH47">
        <v>8.3129947876450814</v>
      </c>
      <c r="GI47">
        <v>4.2241260902189355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6.0553415189943331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25.297491282951626</v>
      </c>
      <c r="AO48">
        <v>5.4837265260283621</v>
      </c>
      <c r="AP48">
        <v>44.662229948446928</v>
      </c>
      <c r="AQ48">
        <v>36.120969529677872</v>
      </c>
      <c r="AR48">
        <v>5.0864860126629887</v>
      </c>
      <c r="AS48">
        <v>22.621026652923923</v>
      </c>
      <c r="AT48">
        <v>3.2386918296476792</v>
      </c>
      <c r="AU48">
        <v>-0.79647579659769807</v>
      </c>
      <c r="AV48"/>
      <c r="AW48"/>
      <c r="FY48" s="210">
        <v>43</v>
      </c>
      <c r="FZ48">
        <v>0.7002335484918264</v>
      </c>
      <c r="GA48">
        <v>1.777289679701834</v>
      </c>
      <c r="GB48">
        <v>1.2739600451387001</v>
      </c>
      <c r="GC48">
        <v>0.57312020948176934</v>
      </c>
      <c r="GD48">
        <v>1.0991219900460236</v>
      </c>
      <c r="GE48">
        <v>2.1720727504366066</v>
      </c>
      <c r="GF48">
        <v>5.4121482901474565</v>
      </c>
      <c r="GG48">
        <v>6.9277119347908922</v>
      </c>
      <c r="GH48">
        <v>5.1853924742342823</v>
      </c>
      <c r="GI48">
        <v>2.9165249148353172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24.926545591527209</v>
      </c>
      <c r="AO49">
        <v>4.6176292497919649</v>
      </c>
      <c r="AP49">
        <v>34.698768490044799</v>
      </c>
      <c r="AQ49">
        <v>29.739209022250375</v>
      </c>
      <c r="AR49">
        <v>4.3513984160807073</v>
      </c>
      <c r="AS49">
        <v>20.240371674224896</v>
      </c>
      <c r="AT49">
        <v>2.7056271488349943</v>
      </c>
      <c r="AU49">
        <v>6.4568595019323247</v>
      </c>
      <c r="AV49"/>
      <c r="AW49"/>
      <c r="FY49" s="210">
        <v>44</v>
      </c>
      <c r="FZ49">
        <v>1.445517359001445</v>
      </c>
      <c r="GA49">
        <v>3.3895912158274308</v>
      </c>
      <c r="GB49">
        <v>2.5513975522749459</v>
      </c>
      <c r="GC49">
        <v>0.89881148941502909</v>
      </c>
      <c r="GD49">
        <v>0.56279982049684885</v>
      </c>
      <c r="GE49">
        <v>2.1853771709746352</v>
      </c>
      <c r="GF49">
        <v>5.6482841245036735</v>
      </c>
      <c r="GG49">
        <v>5.03119752330098</v>
      </c>
      <c r="GH49">
        <v>4.5862006683686376</v>
      </c>
      <c r="GI49">
        <v>2.9731408721808741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21.227461775422114</v>
      </c>
      <c r="AO50">
        <v>4.2272310476574457</v>
      </c>
      <c r="AP50">
        <v>32.672548629346061</v>
      </c>
      <c r="AQ50">
        <v>27.377778964265037</v>
      </c>
      <c r="AR50">
        <v>4.0083475981867336</v>
      </c>
      <c r="AS50">
        <v>17.978945306916248</v>
      </c>
      <c r="AT50">
        <v>2.7837740098766641</v>
      </c>
      <c r="AU50">
        <v>1.5080907844144138</v>
      </c>
      <c r="AV50"/>
      <c r="AW50"/>
      <c r="FY50" s="210">
        <v>45</v>
      </c>
      <c r="FZ50">
        <v>1.8385026465373877</v>
      </c>
      <c r="GA50">
        <v>2.9654552869824142</v>
      </c>
      <c r="GB50">
        <v>1.7010699439340708</v>
      </c>
      <c r="GC50">
        <v>0.80989587223731474</v>
      </c>
      <c r="GD50">
        <v>1.9394331861810086</v>
      </c>
      <c r="GE50">
        <v>5.0089557922548922</v>
      </c>
      <c r="GF50">
        <v>5.3799110891468676</v>
      </c>
      <c r="GG50">
        <v>5.5315026375047811</v>
      </c>
      <c r="GH50">
        <v>5.1087190243141869</v>
      </c>
      <c r="GI50">
        <v>3.6468232911356071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28.987059399136989</v>
      </c>
      <c r="AO51">
        <v>4.6894383404867002</v>
      </c>
      <c r="AP51">
        <v>33.437513126548112</v>
      </c>
      <c r="AQ51">
        <v>29.223793734231712</v>
      </c>
      <c r="AR51">
        <v>4.4252151928864638</v>
      </c>
      <c r="AS51">
        <v>22.879215979855928</v>
      </c>
      <c r="AT51">
        <v>2.832453239243403</v>
      </c>
      <c r="AU51">
        <v>3.9346236938328976</v>
      </c>
      <c r="AV51"/>
      <c r="AW51"/>
      <c r="FY51" s="210">
        <v>46</v>
      </c>
      <c r="FZ51">
        <v>0.73337794270873113</v>
      </c>
      <c r="GA51">
        <v>1.930321631564365</v>
      </c>
      <c r="GB51">
        <v>2.4352166189583095</v>
      </c>
      <c r="GC51">
        <v>1.1964380021686936</v>
      </c>
      <c r="GD51">
        <v>1.7024196257897626</v>
      </c>
      <c r="GE51">
        <v>5.4693876780353872</v>
      </c>
      <c r="GF51">
        <v>10.453142585942031</v>
      </c>
      <c r="GG51">
        <v>12.23812405801602</v>
      </c>
      <c r="GH51">
        <v>9.9710029830426912</v>
      </c>
      <c r="GI51">
        <v>5.2647657508893877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1.1648763107178708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0.19319745942362127</v>
      </c>
      <c r="J52" s="49">
        <f t="shared" si="26"/>
        <v>0.97167885129424958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35.108330565132036</v>
      </c>
      <c r="AO52">
        <v>5.1646293371140999</v>
      </c>
      <c r="AP52">
        <v>31.909188877318073</v>
      </c>
      <c r="AQ52">
        <v>29.937871456537209</v>
      </c>
      <c r="AR52">
        <v>4.8682958158448226</v>
      </c>
      <c r="AS52">
        <v>27.201338695718242</v>
      </c>
      <c r="AT52">
        <v>3.2404521726104725</v>
      </c>
      <c r="AU52">
        <v>23.572714313678837</v>
      </c>
      <c r="AV52"/>
      <c r="AW52"/>
      <c r="FY52" s="210">
        <v>47</v>
      </c>
      <c r="FZ52">
        <v>1.2213062039977904</v>
      </c>
      <c r="GA52">
        <v>1.1744622694797053</v>
      </c>
      <c r="GB52">
        <v>1.0093935948408952</v>
      </c>
      <c r="GC52">
        <v>0.69032342779946021</v>
      </c>
      <c r="GD52">
        <v>1.0182145204651127</v>
      </c>
      <c r="GE52">
        <v>1.8625860323968402</v>
      </c>
      <c r="GF52">
        <v>5.3358195757249236</v>
      </c>
      <c r="GG52">
        <v>9.4695570700272409</v>
      </c>
      <c r="GH52">
        <v>7.4047722657726975</v>
      </c>
      <c r="GI52">
        <v>3.2110837421988818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2.8127245533413596</v>
      </c>
      <c r="E53" s="19">
        <v>3.3565979632026934E-2</v>
      </c>
      <c r="F53" s="8"/>
      <c r="G53" s="49">
        <f>$E$53*$E$22*G38</f>
        <v>8.0798135055209185E-3</v>
      </c>
      <c r="H53" s="49">
        <f t="shared" ref="H53:AK53" si="28">$E$53*$E$22*H38</f>
        <v>0</v>
      </c>
      <c r="I53" s="49">
        <f t="shared" si="28"/>
        <v>2.8216473855450442E-2</v>
      </c>
      <c r="J53" s="49">
        <f t="shared" si="28"/>
        <v>2.2138524769924781</v>
      </c>
      <c r="K53" s="49">
        <f t="shared" si="28"/>
        <v>0</v>
      </c>
      <c r="L53" s="49">
        <f t="shared" si="28"/>
        <v>0</v>
      </c>
      <c r="M53" s="49">
        <f t="shared" si="28"/>
        <v>0.56257578898790972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22.868239774655997</v>
      </c>
      <c r="AO53">
        <v>4.7596990439878049</v>
      </c>
      <c r="AP53">
        <v>36.033612266498231</v>
      </c>
      <c r="AQ53">
        <v>30.256648083182231</v>
      </c>
      <c r="AR53">
        <v>4.5335973926323554</v>
      </c>
      <c r="AS53">
        <v>22.674507981152985</v>
      </c>
      <c r="AT53">
        <v>3.036989363299647</v>
      </c>
      <c r="AU53">
        <v>-3.5420858682927125</v>
      </c>
      <c r="AV53"/>
      <c r="AW53"/>
      <c r="FY53" s="210">
        <v>48</v>
      </c>
      <c r="FZ53">
        <v>0.88540375772259883</v>
      </c>
      <c r="GA53">
        <v>1.4106516583961046</v>
      </c>
      <c r="GB53">
        <v>1.6936835963362098</v>
      </c>
      <c r="GC53">
        <v>1.1465148341704237</v>
      </c>
      <c r="GD53">
        <v>1.8291954473728727</v>
      </c>
      <c r="GE53">
        <v>3.7007879859523687</v>
      </c>
      <c r="GF53">
        <v>4.3853541817616648</v>
      </c>
      <c r="GG53">
        <v>6.0019385028982093</v>
      </c>
      <c r="GH53">
        <v>5.7022253577799686</v>
      </c>
      <c r="GI53">
        <v>3.3599885695463998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3.7417331162437693</v>
      </c>
      <c r="E54" s="19">
        <v>3.5857645106735621E-2</v>
      </c>
      <c r="F54" s="8"/>
      <c r="G54" s="49">
        <f>$E$54*$E$23*G39</f>
        <v>6.9472648814828276E-3</v>
      </c>
      <c r="H54" s="49">
        <f t="shared" ref="H54:AK54" si="29">$E$54*$E$23*H39</f>
        <v>0</v>
      </c>
      <c r="I54" s="49">
        <f t="shared" si="29"/>
        <v>2.4261366646804929E-2</v>
      </c>
      <c r="J54" s="49">
        <f t="shared" si="29"/>
        <v>1.317832931141476</v>
      </c>
      <c r="K54" s="49">
        <f t="shared" si="29"/>
        <v>1.9089720940422201</v>
      </c>
      <c r="L54" s="49">
        <f t="shared" si="29"/>
        <v>0</v>
      </c>
      <c r="M54" s="49">
        <f t="shared" si="29"/>
        <v>0.48371945953178541</v>
      </c>
      <c r="N54" s="49">
        <f t="shared" si="29"/>
        <v>0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24.744200984403584</v>
      </c>
      <c r="AO54">
        <v>4.3681606152426884</v>
      </c>
      <c r="AP54">
        <v>34.081650385430322</v>
      </c>
      <c r="AQ54">
        <v>28.378711249832314</v>
      </c>
      <c r="AR54">
        <v>4.1650491336929782</v>
      </c>
      <c r="AS54">
        <v>20.493894790942729</v>
      </c>
      <c r="AT54">
        <v>2.780508117816773</v>
      </c>
      <c r="AU54">
        <v>10.04431333285034</v>
      </c>
      <c r="AV54"/>
      <c r="AW54"/>
      <c r="FY54" s="210">
        <v>49</v>
      </c>
      <c r="FZ54">
        <v>1.2356332966574439</v>
      </c>
      <c r="GA54">
        <v>1.6199531120936272</v>
      </c>
      <c r="GB54">
        <v>1.9057365477574129</v>
      </c>
      <c r="GC54">
        <v>1.3702684852348996</v>
      </c>
      <c r="GD54">
        <v>1.6229938857349384</v>
      </c>
      <c r="GE54">
        <v>4.0673824315056617</v>
      </c>
      <c r="GF54">
        <v>7.4920921730441528</v>
      </c>
      <c r="GG54">
        <v>6.5953219659827438</v>
      </c>
      <c r="GH54">
        <v>3.2455770493873182</v>
      </c>
      <c r="GI54">
        <v>3.5278820196343763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0.40245155075668965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2.8704341768783369E-3</v>
      </c>
      <c r="J55" s="49">
        <f t="shared" si="30"/>
        <v>3.4648159768053972E-2</v>
      </c>
      <c r="K55" s="49">
        <f t="shared" si="30"/>
        <v>0.36493295681175736</v>
      </c>
      <c r="L55" s="49">
        <f t="shared" si="30"/>
        <v>0</v>
      </c>
      <c r="M55" s="49">
        <f t="shared" si="30"/>
        <v>0</v>
      </c>
      <c r="N55" s="49">
        <f t="shared" si="30"/>
        <v>0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20.563253586691086</v>
      </c>
      <c r="AO55">
        <v>5.3758611159273739</v>
      </c>
      <c r="AP55">
        <v>42.98898226107864</v>
      </c>
      <c r="AQ55">
        <v>35.689673104545243</v>
      </c>
      <c r="AR55">
        <v>5.0508954097823082</v>
      </c>
      <c r="AS55">
        <v>21.445252354261161</v>
      </c>
      <c r="AT55">
        <v>3.6920560489772618</v>
      </c>
      <c r="AU55">
        <v>17.455944717378827</v>
      </c>
      <c r="AV55"/>
      <c r="AW55"/>
      <c r="FY55" s="210">
        <v>50</v>
      </c>
      <c r="FZ55">
        <v>0.8360748694319331</v>
      </c>
      <c r="GA55">
        <v>2.9630073662198515</v>
      </c>
      <c r="GB55">
        <v>1.5572219993151402</v>
      </c>
      <c r="GC55">
        <v>0.52226193251730912</v>
      </c>
      <c r="GD55">
        <v>1.7056741734665803</v>
      </c>
      <c r="GE55">
        <v>4.552639422490234</v>
      </c>
      <c r="GF55">
        <v>8.9901413510380124</v>
      </c>
      <c r="GG55">
        <v>6.5915097632570374</v>
      </c>
      <c r="GH55">
        <v>2.9775029768442929</v>
      </c>
      <c r="GI55">
        <v>3.6740740565412384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1.062353335140126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0.14060961061099519</v>
      </c>
      <c r="J56" s="49">
        <f t="shared" si="31"/>
        <v>0.1700316286262743</v>
      </c>
      <c r="K56" s="49">
        <f t="shared" si="31"/>
        <v>0.61392857311732363</v>
      </c>
      <c r="L56" s="49">
        <f t="shared" si="31"/>
        <v>0.13778352278553288</v>
      </c>
      <c r="M56" s="49">
        <f t="shared" si="31"/>
        <v>0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22.358141988382915</v>
      </c>
      <c r="AO56">
        <v>4.4478175493766114</v>
      </c>
      <c r="AP56">
        <v>34.072274528019697</v>
      </c>
      <c r="AQ56">
        <v>28.235222377615422</v>
      </c>
      <c r="AR56">
        <v>4.1242603004735576</v>
      </c>
      <c r="AS56">
        <v>20.593995979420402</v>
      </c>
      <c r="AT56" t="e">
        <v>#DIV/0!</v>
      </c>
      <c r="AU56" t="e">
        <v>#DIV/0!</v>
      </c>
      <c r="AV56"/>
      <c r="AW56"/>
      <c r="FY56" s="210">
        <v>51</v>
      </c>
      <c r="FZ56">
        <v>1.2972063468157924</v>
      </c>
      <c r="GA56">
        <v>2.3195622298262579</v>
      </c>
      <c r="GB56">
        <v>1.1546883631806661</v>
      </c>
      <c r="GC56">
        <v>0.81910239088540104</v>
      </c>
      <c r="GD56">
        <v>2.5044902786130079</v>
      </c>
      <c r="GE56">
        <v>4.6518132086161579</v>
      </c>
      <c r="GF56">
        <v>6.9817401406983262</v>
      </c>
      <c r="GG56">
        <v>8.0458738621631802</v>
      </c>
      <c r="GH56">
        <v>4.414809788040472</v>
      </c>
      <c r="GI56">
        <v>3.9536916823961725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2.7910468041901528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0.27629847691877041</v>
      </c>
      <c r="J57" s="49">
        <f t="shared" si="32"/>
        <v>0.35491246858171455</v>
      </c>
      <c r="K57" s="49">
        <f t="shared" si="32"/>
        <v>1.4364723640656205</v>
      </c>
      <c r="L57" s="49">
        <f t="shared" si="32"/>
        <v>0.72336349462404759</v>
      </c>
      <c r="M57" s="49">
        <f t="shared" si="32"/>
        <v>0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20.9139156571885</v>
      </c>
      <c r="AO57">
        <v>4.1514298558751062</v>
      </c>
      <c r="AP57">
        <v>31.497236835353029</v>
      </c>
      <c r="AQ57">
        <v>26.466512094273163</v>
      </c>
      <c r="AR57">
        <v>3.9065457015619387</v>
      </c>
      <c r="AS57">
        <v>18.340221147391382</v>
      </c>
      <c r="AT57">
        <v>2.6571076750736968</v>
      </c>
      <c r="AU57">
        <v>1.2825667059731927</v>
      </c>
      <c r="AV57"/>
      <c r="AW57"/>
      <c r="FY57" s="210">
        <v>52</v>
      </c>
      <c r="FZ57">
        <v>0.87742427537465006</v>
      </c>
      <c r="GA57">
        <v>2.7896085929317453</v>
      </c>
      <c r="GB57">
        <v>1.8300660999385545</v>
      </c>
      <c r="GC57">
        <v>0.5836381369974798</v>
      </c>
      <c r="GD57">
        <v>1.4861183748935343</v>
      </c>
      <c r="GE57">
        <v>3.1824094218792025</v>
      </c>
      <c r="GF57">
        <v>6.6006885667749202</v>
      </c>
      <c r="GG57">
        <v>7.0506112146023794</v>
      </c>
      <c r="GH57">
        <v>3.0658323086496004</v>
      </c>
      <c r="GI57">
        <v>3.1839691953812412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12.058264235338672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1.2365049363888763</v>
      </c>
      <c r="K58" s="49">
        <f t="shared" si="33"/>
        <v>2.6649529657533657</v>
      </c>
      <c r="L58" s="49">
        <f t="shared" si="33"/>
        <v>3.5734664263697913</v>
      </c>
      <c r="M58" s="49">
        <f t="shared" si="33"/>
        <v>3.8062976537636133</v>
      </c>
      <c r="N58" s="49">
        <f t="shared" si="33"/>
        <v>0.7770422530630261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28.514989802067397</v>
      </c>
      <c r="AO58">
        <v>6.2670944646188023</v>
      </c>
      <c r="AP58">
        <v>47.071314109012711</v>
      </c>
      <c r="AQ58">
        <v>40.294237412323106</v>
      </c>
      <c r="AR58">
        <v>5.875928964009641</v>
      </c>
      <c r="AS58">
        <v>27.749782023857502</v>
      </c>
      <c r="AT58">
        <v>3.7160336744519742</v>
      </c>
      <c r="AU58">
        <v>-1.5023384365076604</v>
      </c>
      <c r="AV58"/>
      <c r="AW58"/>
      <c r="FY58" s="210">
        <v>53</v>
      </c>
      <c r="FZ58">
        <v>1.056585168360513</v>
      </c>
      <c r="GA58">
        <v>1.9827814430065707</v>
      </c>
      <c r="GB58">
        <v>1.5140784901622562</v>
      </c>
      <c r="GC58">
        <v>0.7723484121822306</v>
      </c>
      <c r="GD58">
        <v>2.3596260335512191</v>
      </c>
      <c r="GE58">
        <v>5.2694577020420024</v>
      </c>
      <c r="GF58">
        <v>6.0214922063797882</v>
      </c>
      <c r="GG58">
        <v>7.1988444459420791</v>
      </c>
      <c r="GH58">
        <v>4.9976298778424946</v>
      </c>
      <c r="GI58">
        <v>3.8428143550566589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7.8051199140135772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1.8662468509027773E-2</v>
      </c>
      <c r="I59" s="49">
        <f t="shared" si="34"/>
        <v>0.12330332731337813</v>
      </c>
      <c r="J59" s="49">
        <f t="shared" si="34"/>
        <v>0.7654412059113167</v>
      </c>
      <c r="K59" s="49">
        <f t="shared" si="34"/>
        <v>0.41897196633755324</v>
      </c>
      <c r="L59" s="49">
        <f t="shared" si="34"/>
        <v>1.7312124177902615</v>
      </c>
      <c r="M59" s="49">
        <f t="shared" si="34"/>
        <v>3.3044768870507384</v>
      </c>
      <c r="N59" s="49">
        <f t="shared" si="34"/>
        <v>1.4430516411013012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17.909656563002539</v>
      </c>
      <c r="AO59">
        <v>4.2209875498862086</v>
      </c>
      <c r="AP59">
        <v>34.91731196300249</v>
      </c>
      <c r="AQ59">
        <v>28.037575837304711</v>
      </c>
      <c r="AR59">
        <v>4.0915047881849409</v>
      </c>
      <c r="AS59">
        <v>17.790310427209498</v>
      </c>
      <c r="AT59">
        <v>2.6377333899300539</v>
      </c>
      <c r="AU59">
        <v>-0.45330011654653424</v>
      </c>
      <c r="AV59"/>
      <c r="AW59"/>
      <c r="FY59" s="210">
        <v>54</v>
      </c>
      <c r="FZ59">
        <v>0.82315411943065997</v>
      </c>
      <c r="GA59">
        <v>2.800131189966228</v>
      </c>
      <c r="GB59">
        <v>1.7713035413812088</v>
      </c>
      <c r="GC59">
        <v>0.91988383584813127</v>
      </c>
      <c r="GD59">
        <v>0.75795549035446186</v>
      </c>
      <c r="GE59">
        <v>3.0573077833283184</v>
      </c>
      <c r="GF59">
        <v>6.4421174320453414</v>
      </c>
      <c r="GG59">
        <v>3.9844795322858024</v>
      </c>
      <c r="GH59">
        <v>2.8319560579299088</v>
      </c>
      <c r="GI59">
        <v>2.6460151484540333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6.8911934052074191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3.0363892057702631E-2</v>
      </c>
      <c r="I60" s="49">
        <f t="shared" si="35"/>
        <v>0.20061488216780565</v>
      </c>
      <c r="J60" s="49">
        <f t="shared" si="35"/>
        <v>1.6465296195045376</v>
      </c>
      <c r="K60" s="49">
        <f t="shared" si="35"/>
        <v>0.34083432089712401</v>
      </c>
      <c r="L60" s="49">
        <f t="shared" si="35"/>
        <v>1.5648265441087899</v>
      </c>
      <c r="M60" s="49">
        <f t="shared" si="35"/>
        <v>1.5427912569818865</v>
      </c>
      <c r="N60" s="49">
        <f t="shared" si="35"/>
        <v>1.5652328894895728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17.972493984295848</v>
      </c>
      <c r="AO60">
        <v>4.2326527900853899</v>
      </c>
      <c r="AP60">
        <v>37.52700420283692</v>
      </c>
      <c r="AQ60">
        <v>29.272317796344502</v>
      </c>
      <c r="AR60">
        <v>4.087617495268975</v>
      </c>
      <c r="AS60">
        <v>18.543228959021953</v>
      </c>
      <c r="AT60">
        <v>2.7464423717918347</v>
      </c>
      <c r="AU60">
        <v>6.3918394874079176</v>
      </c>
      <c r="AV60"/>
      <c r="AW60"/>
      <c r="FY60" s="210">
        <v>55</v>
      </c>
      <c r="FZ60">
        <v>0.98843897851259621</v>
      </c>
      <c r="GA60">
        <v>2.0596156110930757</v>
      </c>
      <c r="GB60">
        <v>1.9065478396219748</v>
      </c>
      <c r="GC60">
        <v>1.3572308057339495</v>
      </c>
      <c r="GD60">
        <v>2.3574264191123842</v>
      </c>
      <c r="GE60">
        <v>4.2913069168100542</v>
      </c>
      <c r="GF60">
        <v>4.1034688949966549</v>
      </c>
      <c r="GG60">
        <v>4.581877505978543</v>
      </c>
      <c r="GH60">
        <v>3.6999245625414785</v>
      </c>
      <c r="GI60">
        <v>3.3761068873000366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4.7475663132980852</v>
      </c>
      <c r="E61" s="19">
        <v>3.5000000000000003E-2</v>
      </c>
      <c r="F61" s="8"/>
      <c r="G61" s="49">
        <f>$E$61*$E$30*G46</f>
        <v>9.8634179229608069E-4</v>
      </c>
      <c r="H61" s="49">
        <f t="shared" ref="H61:AK61" si="36">$E$61*$E$30*H46</f>
        <v>4.0548861111111114E-3</v>
      </c>
      <c r="I61" s="49">
        <f t="shared" si="36"/>
        <v>0.2580893839621311</v>
      </c>
      <c r="J61" s="49">
        <f t="shared" si="36"/>
        <v>0.96725478104136631</v>
      </c>
      <c r="K61" s="49">
        <f t="shared" si="36"/>
        <v>1.5344822980735586</v>
      </c>
      <c r="L61" s="49">
        <f t="shared" si="36"/>
        <v>0.88250346344133801</v>
      </c>
      <c r="M61" s="49">
        <f t="shared" si="36"/>
        <v>0.78665624764987196</v>
      </c>
      <c r="N61" s="49">
        <f t="shared" si="36"/>
        <v>0.31353891122641159</v>
      </c>
      <c r="O61" s="49">
        <f t="shared" si="36"/>
        <v>0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31.56890480835451</v>
      </c>
      <c r="AO61">
        <v>5.3252751312730249</v>
      </c>
      <c r="AP61">
        <v>38.739771816515344</v>
      </c>
      <c r="AQ61">
        <v>33.93026877022853</v>
      </c>
      <c r="AR61">
        <v>4.969999414169914</v>
      </c>
      <c r="AS61">
        <v>25.966591035947154</v>
      </c>
      <c r="AT61">
        <v>3.0879525162958399</v>
      </c>
      <c r="AU61">
        <v>0.80806756196896234</v>
      </c>
      <c r="AV61"/>
      <c r="AW61"/>
      <c r="FY61" s="210">
        <v>56</v>
      </c>
      <c r="FZ61">
        <v>1.1861916436778464</v>
      </c>
      <c r="GA61">
        <v>2.2903382967190944</v>
      </c>
      <c r="GB61">
        <v>1.6536728250183454</v>
      </c>
      <c r="GC61">
        <v>0.88805339785153925</v>
      </c>
      <c r="GD61">
        <v>1.7931352728747785</v>
      </c>
      <c r="GE61">
        <v>4.7309068162516619</v>
      </c>
      <c r="GF61">
        <v>5.3207858364132097</v>
      </c>
      <c r="GG61">
        <v>6.4724226861712548</v>
      </c>
      <c r="GH61">
        <v>7.3586586114447954</v>
      </c>
      <c r="GI61">
        <v>3.8067108286170765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33.42482554999178</v>
      </c>
      <c r="AO62">
        <v>7.8181991706100842</v>
      </c>
      <c r="AP62">
        <v>63.143116220650356</v>
      </c>
      <c r="AQ62">
        <v>51.394196877115384</v>
      </c>
      <c r="AR62">
        <v>7.2373634714447999</v>
      </c>
      <c r="AS62">
        <v>34.884758128060049</v>
      </c>
      <c r="AT62">
        <v>4.4898289996553169</v>
      </c>
      <c r="AU62">
        <v>-8.9104740064887356</v>
      </c>
      <c r="AV62"/>
      <c r="AW62"/>
      <c r="FY62" s="210">
        <v>57</v>
      </c>
      <c r="FZ62">
        <v>1.5301863369899185</v>
      </c>
      <c r="GA62">
        <v>2.3950876158070362</v>
      </c>
      <c r="GB62">
        <v>1.3475312060029165</v>
      </c>
      <c r="GC62">
        <v>0.57344492813669923</v>
      </c>
      <c r="GD62">
        <v>1.944805308342791</v>
      </c>
      <c r="GE62">
        <v>6.8532634913651478</v>
      </c>
      <c r="GF62">
        <v>10.62190720457129</v>
      </c>
      <c r="GG62">
        <v>8.8580688233380158</v>
      </c>
      <c r="GH62">
        <v>6.1488399523655461</v>
      </c>
      <c r="GI62">
        <v>4.6777846710993094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43.477329538247723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18.455815018315018</v>
      </c>
      <c r="AO63">
        <v>4.765414481726344</v>
      </c>
      <c r="AP63">
        <v>40.138403258695426</v>
      </c>
      <c r="AQ63">
        <v>32.39751870270355</v>
      </c>
      <c r="AR63">
        <v>4.5096201231861839</v>
      </c>
      <c r="AS63">
        <v>18.8624893079588</v>
      </c>
      <c r="AT63">
        <v>3.1661360433420449</v>
      </c>
      <c r="AU63">
        <v>5.0633699418364468</v>
      </c>
      <c r="AV63"/>
      <c r="AW63"/>
      <c r="FY63" s="210">
        <v>58</v>
      </c>
      <c r="FZ63">
        <v>1.262317315873712</v>
      </c>
      <c r="GA63">
        <v>1.6965966040000846</v>
      </c>
      <c r="GB63">
        <v>1.5222333842138966</v>
      </c>
      <c r="GC63">
        <v>1.1815096656226212</v>
      </c>
      <c r="GD63">
        <v>2.5409499969365177</v>
      </c>
      <c r="GE63">
        <v>6.3860223079187666</v>
      </c>
      <c r="GF63">
        <v>6.4492021974587121</v>
      </c>
      <c r="GG63">
        <v>4.6776690016592557</v>
      </c>
      <c r="GH63">
        <v>3.7370932912736854</v>
      </c>
      <c r="GI63">
        <v>3.8492093662621447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20.225380940474025</v>
      </c>
      <c r="AO64">
        <v>4.8887794107103719</v>
      </c>
      <c r="AP64">
        <v>35.007468001459394</v>
      </c>
      <c r="AQ64">
        <v>30.115743891936823</v>
      </c>
      <c r="AR64">
        <v>4.6626465535209753</v>
      </c>
      <c r="AS64">
        <v>21.383744203340427</v>
      </c>
      <c r="AT64">
        <v>3.1206607168561553</v>
      </c>
      <c r="AU64">
        <v>-4.1565430374254113</v>
      </c>
      <c r="AV64"/>
      <c r="AW64"/>
      <c r="FY64" s="210">
        <v>59</v>
      </c>
      <c r="FZ64">
        <v>1.3303507410326971</v>
      </c>
      <c r="GA64">
        <v>2.3490850976056987</v>
      </c>
      <c r="GB64">
        <v>2.9899174573361491</v>
      </c>
      <c r="GC64">
        <v>1.3188015769796964</v>
      </c>
      <c r="GD64">
        <v>1.0706207858853656</v>
      </c>
      <c r="GE64">
        <v>2.4800727981590343</v>
      </c>
      <c r="GF64">
        <v>7.9556726660690646</v>
      </c>
      <c r="GG64">
        <v>10.916656324379694</v>
      </c>
      <c r="GH64">
        <v>7.1674362550792949</v>
      </c>
      <c r="GI64">
        <v>4.2034341935949326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22.496702660765159</v>
      </c>
      <c r="AO65">
        <v>5.2640822443538458</v>
      </c>
      <c r="AP65">
        <v>38.658747814071468</v>
      </c>
      <c r="AQ65">
        <v>32.682840967032575</v>
      </c>
      <c r="AR65">
        <v>4.8168708858923974</v>
      </c>
      <c r="AS65">
        <v>21.034564256615848</v>
      </c>
      <c r="AT65" t="e">
        <v>#DIV/0!</v>
      </c>
      <c r="AU65" t="e">
        <v>#DIV/0!</v>
      </c>
      <c r="AV65"/>
      <c r="AW65"/>
      <c r="FY65" s="210">
        <v>60</v>
      </c>
      <c r="FZ65">
        <v>1.5237259619892818</v>
      </c>
      <c r="GA65">
        <v>2.2489893643000087</v>
      </c>
      <c r="GB65">
        <v>1.6567252201058338</v>
      </c>
      <c r="GC65">
        <v>0.91532133541817484</v>
      </c>
      <c r="GD65">
        <v>2.0859753664768537</v>
      </c>
      <c r="GE65">
        <v>5.0797443212702218</v>
      </c>
      <c r="GF65">
        <v>4.3355821341450591</v>
      </c>
      <c r="GG65">
        <v>1.9302390743034732</v>
      </c>
      <c r="GH65">
        <v>0.65154027900500999</v>
      </c>
      <c r="GI65">
        <v>2.7889754641610627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23.904439976004038</v>
      </c>
      <c r="AO66">
        <v>5.3398954090342627</v>
      </c>
      <c r="AP66">
        <v>41.396491308068477</v>
      </c>
      <c r="AQ66">
        <v>34.370107911121629</v>
      </c>
      <c r="AR66">
        <v>5.0362591656838838</v>
      </c>
      <c r="AS66">
        <v>22.655782175796503</v>
      </c>
      <c r="AT66">
        <v>3.4097605749009454</v>
      </c>
      <c r="AU66">
        <v>0.13078841550260545</v>
      </c>
      <c r="AV66"/>
      <c r="AW66"/>
      <c r="FY66" s="210">
        <v>61</v>
      </c>
      <c r="FZ66">
        <v>1.3241158954099239</v>
      </c>
      <c r="GA66">
        <v>3.0801341400658084</v>
      </c>
      <c r="GB66">
        <v>1.7835203886527313</v>
      </c>
      <c r="GC66">
        <v>0.75154920315755436</v>
      </c>
      <c r="GD66">
        <v>1.3387226530259067</v>
      </c>
      <c r="GE66">
        <v>3.0310356605913613</v>
      </c>
      <c r="GF66">
        <v>7.6133211362452577</v>
      </c>
      <c r="GG66">
        <v>6.5477786537754854</v>
      </c>
      <c r="GH66">
        <v>3.1998802955783319</v>
      </c>
      <c r="GI66">
        <v>3.3531175812104812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36.329220668081739</v>
      </c>
      <c r="AO67">
        <v>5.8170279770771671</v>
      </c>
      <c r="AP67">
        <v>41.518421889064641</v>
      </c>
      <c r="AQ67">
        <v>36.142978291235437</v>
      </c>
      <c r="AR67">
        <v>5.5040056865337084</v>
      </c>
      <c r="AS67">
        <v>27.84751819238393</v>
      </c>
      <c r="AT67">
        <v>3.3919308529841463</v>
      </c>
      <c r="AU67">
        <v>2.4079459518449049</v>
      </c>
      <c r="AV67"/>
      <c r="AW67"/>
      <c r="FY67" s="210">
        <v>62</v>
      </c>
      <c r="FZ67">
        <v>1.0771471066429397</v>
      </c>
      <c r="GA67">
        <v>1.629633007536393</v>
      </c>
      <c r="GB67">
        <v>1.6247133990428027</v>
      </c>
      <c r="GC67">
        <v>1.0121883427193499</v>
      </c>
      <c r="GD67">
        <v>1.209710185129782</v>
      </c>
      <c r="GE67">
        <v>2.7423765406906506</v>
      </c>
      <c r="GF67">
        <v>4.5286810506587702</v>
      </c>
      <c r="GG67">
        <v>5.0164511549904223</v>
      </c>
      <c r="GH67">
        <v>3.5798348865570704</v>
      </c>
      <c r="GI67">
        <v>2.6899035652071608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23.035812279085121</v>
      </c>
      <c r="AO68">
        <v>4.7345313875212387</v>
      </c>
      <c r="AP68">
        <v>37.303086807368977</v>
      </c>
      <c r="AQ68">
        <v>30.650366187423309</v>
      </c>
      <c r="AR68">
        <v>4.4345390283335728</v>
      </c>
      <c r="AS68">
        <v>21.693916096908421</v>
      </c>
      <c r="AT68">
        <v>2.8978975991222735</v>
      </c>
      <c r="AU68">
        <v>8.4216312644967903</v>
      </c>
      <c r="AV68"/>
      <c r="AW68"/>
      <c r="FY68" s="210">
        <v>63</v>
      </c>
      <c r="FZ68">
        <v>0.88506546365580363</v>
      </c>
      <c r="GA68">
        <v>2.5896388038851219</v>
      </c>
      <c r="GB68">
        <v>1.6889123670750754</v>
      </c>
      <c r="GC68">
        <v>0.73735358073003299</v>
      </c>
      <c r="GD68">
        <v>2.3577838629284904</v>
      </c>
      <c r="GE68">
        <v>5.7997325997082472</v>
      </c>
      <c r="GF68">
        <v>7.7277084643669456</v>
      </c>
      <c r="GG68">
        <v>6.7284085805486491</v>
      </c>
      <c r="GH68">
        <v>3.4572219469762979</v>
      </c>
      <c r="GI68">
        <v>3.954419436428724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25.092903828197944</v>
      </c>
      <c r="AO69">
        <v>5.706025531583748</v>
      </c>
      <c r="AP69">
        <v>39.966813850826377</v>
      </c>
      <c r="AQ69">
        <v>35.015658134525815</v>
      </c>
      <c r="AR69">
        <v>5.3240656356294513</v>
      </c>
      <c r="AS69">
        <v>27.672881191271582</v>
      </c>
      <c r="AT69">
        <v>3.6608560658714624</v>
      </c>
      <c r="AU69">
        <v>11.287037054567314</v>
      </c>
      <c r="AV69"/>
      <c r="AW69"/>
      <c r="FY69" s="210">
        <v>64</v>
      </c>
      <c r="FZ69">
        <v>1.5091733399517644</v>
      </c>
      <c r="GA69">
        <v>3.3306762676901878</v>
      </c>
      <c r="GB69">
        <v>2.8476932413530207</v>
      </c>
      <c r="GC69">
        <v>1.1620565978467328</v>
      </c>
      <c r="GD69">
        <v>2.0041322140649509</v>
      </c>
      <c r="GE69">
        <v>5.0768661656001948</v>
      </c>
      <c r="GF69">
        <v>5.9037871477346453</v>
      </c>
      <c r="GG69">
        <v>8.7596105357432386</v>
      </c>
      <c r="GH69">
        <v>9.4852106802458103</v>
      </c>
      <c r="GI69">
        <v>4.7306377462744722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16.666666666666668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9.375</v>
      </c>
      <c r="J70" s="18">
        <f t="shared" si="39"/>
        <v>7.291666666666667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22.148578894755751</v>
      </c>
      <c r="AO70">
        <v>3.8890322892834597</v>
      </c>
      <c r="AP70">
        <v>31.623624280190146</v>
      </c>
      <c r="AQ70">
        <v>26.034304131024093</v>
      </c>
      <c r="AR70">
        <v>3.5125028814843824</v>
      </c>
      <c r="AS70">
        <v>18.79530129478146</v>
      </c>
      <c r="AT70">
        <v>2.439655612598274</v>
      </c>
      <c r="AU70">
        <v>-0.38809194961645088</v>
      </c>
      <c r="AV70"/>
      <c r="AW70"/>
      <c r="FY70" s="210">
        <v>65</v>
      </c>
      <c r="FZ70">
        <v>1.0088881521060911</v>
      </c>
      <c r="GA70">
        <v>2.8529788620668421</v>
      </c>
      <c r="GB70">
        <v>1.6576112380208039</v>
      </c>
      <c r="GC70">
        <v>0.6443679409867672</v>
      </c>
      <c r="GD70">
        <v>1.7135514123777293</v>
      </c>
      <c r="GE70">
        <v>3.2348806870200182</v>
      </c>
      <c r="GF70">
        <v>1.9915853453815204</v>
      </c>
      <c r="GG70">
        <v>3.863141776094773</v>
      </c>
      <c r="GH70">
        <v>3.8542970577028566</v>
      </c>
      <c r="GI70">
        <v>2.54238948856728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8.3333333333333321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0</v>
      </c>
      <c r="J71" s="18">
        <f t="shared" si="40"/>
        <v>8.3333333333333321</v>
      </c>
      <c r="K71" s="18">
        <f t="shared" si="40"/>
        <v>0</v>
      </c>
      <c r="L71" s="18">
        <f t="shared" si="40"/>
        <v>0</v>
      </c>
      <c r="M71" s="18">
        <f t="shared" si="40"/>
        <v>0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20.328566602923221</v>
      </c>
      <c r="AO71">
        <v>4.9359420906018716</v>
      </c>
      <c r="AP71">
        <v>32.258621205971636</v>
      </c>
      <c r="AQ71">
        <v>28.721944421700748</v>
      </c>
      <c r="AR71">
        <v>4.6979267520959294</v>
      </c>
      <c r="AS71">
        <v>21.47927577808521</v>
      </c>
      <c r="AT71">
        <v>3.2855777232717043</v>
      </c>
      <c r="AU71">
        <v>6.0812341331773538</v>
      </c>
      <c r="AV71"/>
      <c r="AW71"/>
      <c r="FY71" s="210">
        <v>66</v>
      </c>
      <c r="FZ71">
        <v>0.76158106927231151</v>
      </c>
      <c r="GA71">
        <v>2.2577503813495743</v>
      </c>
      <c r="GB71">
        <v>1.5625670090562491</v>
      </c>
      <c r="GC71">
        <v>0.82603079288048531</v>
      </c>
      <c r="GD71">
        <v>2.7002049537236661</v>
      </c>
      <c r="GE71">
        <v>5.7076367986630849</v>
      </c>
      <c r="GF71">
        <v>5.3780602332497924</v>
      </c>
      <c r="GG71">
        <v>5.8109154355244428</v>
      </c>
      <c r="GH71">
        <v>4.1733412200228539</v>
      </c>
      <c r="GI71">
        <v>3.754157129571932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33.854166666666664</v>
      </c>
      <c r="E72" s="64"/>
      <c r="F72" s="64"/>
      <c r="G72" s="18">
        <f>AVERAGE(E248:E257)</f>
        <v>13.020833333333334</v>
      </c>
      <c r="H72" s="18">
        <f t="shared" ref="H72:AK72" si="41">AVERAGE(F248:F257)</f>
        <v>0</v>
      </c>
      <c r="I72" s="18">
        <f t="shared" si="41"/>
        <v>1.0416666666666665</v>
      </c>
      <c r="J72" s="18">
        <f t="shared" si="41"/>
        <v>18.75</v>
      </c>
      <c r="K72" s="18">
        <f t="shared" si="41"/>
        <v>0</v>
      </c>
      <c r="L72" s="18">
        <f t="shared" si="41"/>
        <v>0</v>
      </c>
      <c r="M72" s="18">
        <f t="shared" si="41"/>
        <v>1.0416666666666665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28.161699241662472</v>
      </c>
      <c r="AO72">
        <v>5.5297155961372528</v>
      </c>
      <c r="AP72">
        <v>41.651664875660302</v>
      </c>
      <c r="AQ72">
        <v>35.500876215039604</v>
      </c>
      <c r="AR72">
        <v>5.2239459201207676</v>
      </c>
      <c r="AS72">
        <v>25.532197826000711</v>
      </c>
      <c r="AT72">
        <v>3.2271909491506352</v>
      </c>
      <c r="AU72">
        <v>-3.0601245489289837</v>
      </c>
      <c r="AV72"/>
      <c r="AW72"/>
      <c r="FY72" s="210">
        <v>67</v>
      </c>
      <c r="FZ72">
        <v>1.4946207179142474</v>
      </c>
      <c r="GA72">
        <v>2.3063019101598132</v>
      </c>
      <c r="GB72">
        <v>1.3509068955116874</v>
      </c>
      <c r="GC72">
        <v>0.79389590639233909</v>
      </c>
      <c r="GD72">
        <v>1.5611884983193858</v>
      </c>
      <c r="GE72">
        <v>3.6873175612523181</v>
      </c>
      <c r="GF72">
        <v>7.2096217298645389</v>
      </c>
      <c r="GG72">
        <v>6.4416829423246336</v>
      </c>
      <c r="GH72">
        <v>3.4285476799243</v>
      </c>
      <c r="GI72">
        <v>3.3628673059944365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12.405303030303029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0</v>
      </c>
      <c r="J73" s="18">
        <f t="shared" si="42"/>
        <v>0</v>
      </c>
      <c r="K73" s="18">
        <f t="shared" si="42"/>
        <v>12.405303030303029</v>
      </c>
      <c r="L73" s="18">
        <f t="shared" si="42"/>
        <v>0</v>
      </c>
      <c r="M73" s="18">
        <f t="shared" si="42"/>
        <v>0</v>
      </c>
      <c r="N73" s="18">
        <f t="shared" si="42"/>
        <v>0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27.057361245780363</v>
      </c>
      <c r="AO73">
        <v>6.9558536829647917</v>
      </c>
      <c r="AP73">
        <v>53.223625242362395</v>
      </c>
      <c r="AQ73">
        <v>44.950919538018674</v>
      </c>
      <c r="AR73">
        <v>6.3267553915176515</v>
      </c>
      <c r="AS73">
        <v>31.05956035305087</v>
      </c>
      <c r="AT73">
        <v>4.5057032220267077</v>
      </c>
      <c r="AU73">
        <v>24.856368527490336</v>
      </c>
      <c r="AV73"/>
      <c r="AW73"/>
      <c r="FY73" s="210">
        <v>68</v>
      </c>
      <c r="FZ73">
        <v>1.3237776013431288</v>
      </c>
      <c r="GA73">
        <v>1.7729646915725792</v>
      </c>
      <c r="GB73">
        <v>0.9437258445915957</v>
      </c>
      <c r="GC73">
        <v>0.52226193251730901</v>
      </c>
      <c r="GD73">
        <v>1.0981597177582842</v>
      </c>
      <c r="GE73">
        <v>3.3392103206296215</v>
      </c>
      <c r="GF73">
        <v>6.8322922072346772</v>
      </c>
      <c r="GG73">
        <v>6.8233530293157267</v>
      </c>
      <c r="GH73">
        <v>5.8421329817757899</v>
      </c>
      <c r="GI73">
        <v>3.2816806503660398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12.847222222222221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1.0416666666666665</v>
      </c>
      <c r="J74" s="18">
        <f t="shared" si="43"/>
        <v>4.1666666666666661</v>
      </c>
      <c r="K74" s="18">
        <f t="shared" si="43"/>
        <v>7.6388888888888884</v>
      </c>
      <c r="L74" s="18">
        <f t="shared" si="43"/>
        <v>0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31.241091246918849</v>
      </c>
      <c r="AO74">
        <v>5.6379753064030211</v>
      </c>
      <c r="AP74">
        <v>36.576183533826679</v>
      </c>
      <c r="AQ74">
        <v>33.302803131219399</v>
      </c>
      <c r="AR74">
        <v>5.2173131959960948</v>
      </c>
      <c r="AS74">
        <v>24.931645774132786</v>
      </c>
      <c r="AT74">
        <v>3.7288355284500718</v>
      </c>
      <c r="AU74">
        <v>8.80861956356636</v>
      </c>
      <c r="AV74"/>
      <c r="AW74"/>
      <c r="FY74" s="210">
        <v>69</v>
      </c>
      <c r="FZ74">
        <v>1.5501844518276862</v>
      </c>
      <c r="GA74">
        <v>3.5541796759463806</v>
      </c>
      <c r="GB74">
        <v>1.8539211700856426</v>
      </c>
      <c r="GC74">
        <v>0.82556945714984287</v>
      </c>
      <c r="GD74">
        <v>2.0728260420628386</v>
      </c>
      <c r="GE74">
        <v>5.1869473782725182</v>
      </c>
      <c r="GF74">
        <v>6.5216494427255212</v>
      </c>
      <c r="GG74">
        <v>7.7154759672621527</v>
      </c>
      <c r="GH74">
        <v>7.7609425885450776</v>
      </c>
      <c r="GI74">
        <v>4.3624730768497271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114.68727351080291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58.48930481283422</v>
      </c>
      <c r="J75" s="18">
        <f t="shared" si="44"/>
        <v>19.68864468864469</v>
      </c>
      <c r="K75" s="18">
        <f t="shared" si="44"/>
        <v>31.701631701631698</v>
      </c>
      <c r="L75" s="18">
        <f t="shared" si="44"/>
        <v>4.8076923076923075</v>
      </c>
      <c r="M75" s="18">
        <f t="shared" si="44"/>
        <v>0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24.212714947089946</v>
      </c>
      <c r="AO75">
        <v>6.2093657438275756</v>
      </c>
      <c r="AP75">
        <v>52.855704093419291</v>
      </c>
      <c r="AQ75">
        <v>41.782047896121625</v>
      </c>
      <c r="AR75">
        <v>5.8831301435144052</v>
      </c>
      <c r="AS75">
        <v>28.867675786787306</v>
      </c>
      <c r="AT75">
        <v>3.8967125244194647</v>
      </c>
      <c r="AU75">
        <v>-0.30494767320652172</v>
      </c>
      <c r="AV75"/>
      <c r="AW75"/>
      <c r="FY75" s="210">
        <v>70</v>
      </c>
      <c r="FZ75">
        <v>1.1243930641416344</v>
      </c>
      <c r="GA75">
        <v>1.5673026244713741</v>
      </c>
      <c r="GB75">
        <v>1.6112811818411097</v>
      </c>
      <c r="GC75">
        <v>0.92783356369407399</v>
      </c>
      <c r="GD75">
        <v>0.7876733758736989</v>
      </c>
      <c r="GE75">
        <v>1.5748099528550865</v>
      </c>
      <c r="GF75">
        <v>1.9309262176075772</v>
      </c>
      <c r="GG75">
        <v>5.3911647329158106</v>
      </c>
      <c r="GH75">
        <v>6.9211766351480648</v>
      </c>
      <c r="GI75">
        <v>2.4904830385861763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27.34375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5.208333333333333</v>
      </c>
      <c r="K76" s="18">
        <f t="shared" si="45"/>
        <v>14.322916666666668</v>
      </c>
      <c r="L76" s="18">
        <f t="shared" si="45"/>
        <v>7.8125</v>
      </c>
      <c r="M76" s="18">
        <f t="shared" si="45"/>
        <v>0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16.96505837912088</v>
      </c>
      <c r="AO76">
        <v>4.0841031301134283</v>
      </c>
      <c r="AP76">
        <v>24.884935609293194</v>
      </c>
      <c r="AQ76">
        <v>23.216818521174979</v>
      </c>
      <c r="AR76">
        <v>3.8007218423512663</v>
      </c>
      <c r="AS76">
        <v>19.540538710746681</v>
      </c>
      <c r="AT76">
        <v>2.8898819638400464</v>
      </c>
      <c r="AU76">
        <v>10.320345859454237</v>
      </c>
      <c r="AV76"/>
      <c r="AW76"/>
      <c r="FY76" s="210">
        <v>71</v>
      </c>
      <c r="FZ76">
        <v>0.86450352537337705</v>
      </c>
      <c r="GA76">
        <v>2.1367974765212758</v>
      </c>
      <c r="GB76">
        <v>1.1295483796480492</v>
      </c>
      <c r="GC76">
        <v>0.52872899878175084</v>
      </c>
      <c r="GD76">
        <v>1.9068913806839842</v>
      </c>
      <c r="GE76">
        <v>4.7295555446023094</v>
      </c>
      <c r="GF76">
        <v>3.6180672411271191</v>
      </c>
      <c r="GG76">
        <v>4.887767287446624</v>
      </c>
      <c r="GH76">
        <v>6.4621900044484546</v>
      </c>
      <c r="GI76">
        <v>3.233984349672089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26.515151515151519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11.458333333333334</v>
      </c>
      <c r="K77" s="18">
        <f t="shared" si="46"/>
        <v>2.083333333333333</v>
      </c>
      <c r="L77" s="18">
        <f t="shared" si="46"/>
        <v>4.1666666666666661</v>
      </c>
      <c r="M77" s="18">
        <f t="shared" si="46"/>
        <v>7.7651515151515138</v>
      </c>
      <c r="N77" s="18">
        <f t="shared" si="46"/>
        <v>1.0416666666666665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29.156621446769286</v>
      </c>
      <c r="AO77">
        <v>4.8226573758254236</v>
      </c>
      <c r="AP77">
        <v>39.121716090456147</v>
      </c>
      <c r="AQ77">
        <v>32.023175607712844</v>
      </c>
      <c r="AR77">
        <v>4.6330520278092324</v>
      </c>
      <c r="AS77">
        <v>22.340123219289445</v>
      </c>
      <c r="AT77">
        <v>2.8478146715322743</v>
      </c>
      <c r="AU77">
        <v>-1.0841946005600929</v>
      </c>
      <c r="AV77"/>
      <c r="AW77"/>
      <c r="FY77" s="210">
        <v>72</v>
      </c>
      <c r="FZ77">
        <v>0.43247729206455199</v>
      </c>
      <c r="GA77">
        <v>2.8568475148322672</v>
      </c>
      <c r="GB77">
        <v>2.4822121407722046</v>
      </c>
      <c r="GC77">
        <v>1.2010490470261774</v>
      </c>
      <c r="GD77">
        <v>1.184461939268771</v>
      </c>
      <c r="GE77">
        <v>2.9237138065133426</v>
      </c>
      <c r="GF77">
        <v>7.7930650740599567</v>
      </c>
      <c r="GG77">
        <v>8.981937636810061</v>
      </c>
      <c r="GH77">
        <v>6.2848586688300365</v>
      </c>
      <c r="GI77">
        <v>3.8386220273307265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33.912037037037031</v>
      </c>
      <c r="E78" s="64"/>
      <c r="F78" s="64"/>
      <c r="G78" s="18">
        <f>AVERAGE(E308:E317)</f>
        <v>0</v>
      </c>
      <c r="H78" s="18">
        <f t="shared" ref="H78:AK78" si="47">AVERAGE(F308:F317)</f>
        <v>8.1018518518518512</v>
      </c>
      <c r="I78" s="18">
        <f t="shared" si="47"/>
        <v>8.1018518518518512</v>
      </c>
      <c r="J78" s="18">
        <f t="shared" si="47"/>
        <v>5.208333333333333</v>
      </c>
      <c r="K78" s="18">
        <f t="shared" si="47"/>
        <v>2.083333333333333</v>
      </c>
      <c r="L78" s="18">
        <f t="shared" si="47"/>
        <v>5.208333333333333</v>
      </c>
      <c r="M78" s="18">
        <f t="shared" si="47"/>
        <v>3.125</v>
      </c>
      <c r="N78" s="18">
        <f t="shared" si="47"/>
        <v>2.083333333333333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20.234691277743135</v>
      </c>
      <c r="AO78">
        <v>3.9589409891533527</v>
      </c>
      <c r="AP78">
        <v>29.867371674872537</v>
      </c>
      <c r="AQ78">
        <v>25.110639239175338</v>
      </c>
      <c r="AR78">
        <v>3.7003477916642193</v>
      </c>
      <c r="AS78">
        <v>18.813856809767817</v>
      </c>
      <c r="AT78">
        <v>2.4980771878751233</v>
      </c>
      <c r="AU78">
        <v>-4.1722280882492724</v>
      </c>
      <c r="AV78"/>
      <c r="AW78"/>
      <c r="FY78" s="210">
        <v>73</v>
      </c>
      <c r="FZ78">
        <v>1.2477646938361948</v>
      </c>
      <c r="GA78">
        <v>2.0212855880992131</v>
      </c>
      <c r="GB78">
        <v>1.0203470419586882</v>
      </c>
      <c r="GC78">
        <v>0.30851642555337311</v>
      </c>
      <c r="GD78">
        <v>3.3218373844529658</v>
      </c>
      <c r="GE78">
        <v>8.7275188914203774</v>
      </c>
      <c r="GF78">
        <v>6.9402061682124918</v>
      </c>
      <c r="GG78">
        <v>3.909070604632638</v>
      </c>
      <c r="GH78">
        <v>1.5288841377571156</v>
      </c>
      <c r="GI78">
        <v>3.9322592114409409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16.826923076923077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16.826923076923077</v>
      </c>
      <c r="K79" s="18">
        <f t="shared" si="48"/>
        <v>0</v>
      </c>
      <c r="L79" s="18">
        <f t="shared" si="48"/>
        <v>0</v>
      </c>
      <c r="M79" s="18">
        <f t="shared" si="48"/>
        <v>0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21.429072128373992</v>
      </c>
      <c r="AO79">
        <v>5.9030433346722448</v>
      </c>
      <c r="AP79">
        <v>41.460072138314182</v>
      </c>
      <c r="AQ79">
        <v>35.926245106303384</v>
      </c>
      <c r="AR79">
        <v>5.4524443027634417</v>
      </c>
      <c r="AS79">
        <v>25.282083064709209</v>
      </c>
      <c r="AT79">
        <v>3.9643330878177214</v>
      </c>
      <c r="AU79">
        <v>5.5797336848233678</v>
      </c>
      <c r="AV79"/>
      <c r="AW79"/>
      <c r="FY79" s="210">
        <v>74</v>
      </c>
      <c r="FZ79">
        <v>1.6536707313734103</v>
      </c>
      <c r="GA79">
        <v>3.9666337371056173</v>
      </c>
      <c r="GB79">
        <v>2.2749945217783312</v>
      </c>
      <c r="GC79">
        <v>0.88791853979634383</v>
      </c>
      <c r="GD79">
        <v>1.3395157268340441</v>
      </c>
      <c r="GE79">
        <v>4.9516814944595069</v>
      </c>
      <c r="GF79">
        <v>7.2923529360273314</v>
      </c>
      <c r="GG79">
        <v>5.5051508381800316</v>
      </c>
      <c r="GH79">
        <v>4.9768328651739093</v>
      </c>
      <c r="GI79">
        <v>3.7464531885558721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27.886680289273375</v>
      </c>
      <c r="AO80">
        <v>6.8986404621212642</v>
      </c>
      <c r="AP80">
        <v>53.674508491648112</v>
      </c>
      <c r="AQ80">
        <v>44.809843936505018</v>
      </c>
      <c r="AR80">
        <v>6.5681918528125989</v>
      </c>
      <c r="AS80">
        <v>29.575794729008404</v>
      </c>
      <c r="AT80">
        <v>4.5889132905802539</v>
      </c>
      <c r="AU80">
        <v>3.0164068756667213</v>
      </c>
      <c r="AV80"/>
      <c r="AW80"/>
      <c r="FY80" s="210">
        <v>75</v>
      </c>
      <c r="FZ80">
        <v>1.2419809069691488</v>
      </c>
      <c r="GA80">
        <v>2.260526693970597</v>
      </c>
      <c r="GB80">
        <v>1.2045640967039066</v>
      </c>
      <c r="GC80">
        <v>0.72940385288409015</v>
      </c>
      <c r="GD80">
        <v>1.620443175167259</v>
      </c>
      <c r="GE80">
        <v>2.9338391175281635</v>
      </c>
      <c r="GF80">
        <v>4.1642933107932061</v>
      </c>
      <c r="GG80">
        <v>4.7653424715027501</v>
      </c>
      <c r="GH80">
        <v>4.1676557476229918</v>
      </c>
      <c r="GI80">
        <v>2.8870031748660234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22.733563430714167</v>
      </c>
      <c r="AO81">
        <v>3.7468606562606075</v>
      </c>
      <c r="AP81">
        <v>26.405993153391016</v>
      </c>
      <c r="AQ81">
        <v>23.363691960324687</v>
      </c>
      <c r="AR81">
        <v>3.5335226089214062</v>
      </c>
      <c r="AS81">
        <v>17.396383889799289</v>
      </c>
      <c r="AT81">
        <v>2.1941249544838404</v>
      </c>
      <c r="AU81">
        <v>6.1824003845083286</v>
      </c>
      <c r="AV81"/>
      <c r="AW81"/>
      <c r="FY81" s="210">
        <v>76</v>
      </c>
      <c r="FZ81">
        <v>0.3909023567439715</v>
      </c>
      <c r="GA81">
        <v>2.3695747808534779</v>
      </c>
      <c r="GB81">
        <v>1.831559097018653</v>
      </c>
      <c r="GC81">
        <v>0.70283565607535914</v>
      </c>
      <c r="GD81">
        <v>1.8888271036823374</v>
      </c>
      <c r="GE81">
        <v>4.715249286629601</v>
      </c>
      <c r="GF81">
        <v>4.7333130663460867</v>
      </c>
      <c r="GG81">
        <v>3.5422037474269983</v>
      </c>
      <c r="GH81">
        <v>1.9655065379513885</v>
      </c>
      <c r="GI81">
        <v>2.8211526798114668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31.403166440244036</v>
      </c>
      <c r="AO82">
        <v>5.5361808673812281</v>
      </c>
      <c r="AP82">
        <v>36.576419297543865</v>
      </c>
      <c r="AQ82">
        <v>32.932245023314387</v>
      </c>
      <c r="AR82">
        <v>5.1957377157397318</v>
      </c>
      <c r="AS82">
        <v>26.241013779646121</v>
      </c>
      <c r="AT82">
        <v>3.2121081919660743</v>
      </c>
      <c r="AU82">
        <v>-1.2717288068431567</v>
      </c>
      <c r="AV82"/>
      <c r="AW82"/>
      <c r="FY82" s="210">
        <v>77</v>
      </c>
      <c r="FZ82">
        <v>0.91197501224993527</v>
      </c>
      <c r="GA82">
        <v>2.550642891394324</v>
      </c>
      <c r="GB82">
        <v>1.3536299385839765</v>
      </c>
      <c r="GC82">
        <v>0.51868788132056465</v>
      </c>
      <c r="GD82">
        <v>2.5822890278337747</v>
      </c>
      <c r="GE82">
        <v>6.5245988105469017</v>
      </c>
      <c r="GF82">
        <v>7.0501895269215566</v>
      </c>
      <c r="GG82">
        <v>3.7941482368562762</v>
      </c>
      <c r="GH82">
        <v>0.53547238792655683</v>
      </c>
      <c r="GI82">
        <v>3.4063763391015645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30.465070520843362</v>
      </c>
      <c r="AO83">
        <v>4.8909153288420795</v>
      </c>
      <c r="AP83">
        <v>37.570723572573371</v>
      </c>
      <c r="AQ83">
        <v>31.636951147657697</v>
      </c>
      <c r="AR83">
        <v>4.6234378394031834</v>
      </c>
      <c r="AS83">
        <v>23.596882401037973</v>
      </c>
      <c r="AT83">
        <v>2.9738058638155156</v>
      </c>
      <c r="AU83">
        <v>-3.1902825448583703</v>
      </c>
      <c r="AV83"/>
      <c r="AW83"/>
      <c r="FY83" s="210">
        <v>78</v>
      </c>
      <c r="FZ83">
        <v>1.4274894102667164</v>
      </c>
      <c r="GA83">
        <v>2.0507560018043289</v>
      </c>
      <c r="GB83">
        <v>1.3075264922789691</v>
      </c>
      <c r="GC83">
        <v>0.66821584672613621</v>
      </c>
      <c r="GD83">
        <v>1.7416603119931979</v>
      </c>
      <c r="GE83">
        <v>3.2747165899413884</v>
      </c>
      <c r="GF83">
        <v>5.8693365536294593</v>
      </c>
      <c r="GG83">
        <v>5.4746437372926007</v>
      </c>
      <c r="GH83">
        <v>1.4808636385311471</v>
      </c>
      <c r="GI83">
        <v>2.899678143463762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23.690633483685342</v>
      </c>
      <c r="AO84">
        <v>4.7149022518478656</v>
      </c>
      <c r="AP84">
        <v>38.630172174990058</v>
      </c>
      <c r="AQ84">
        <v>31.779558977104756</v>
      </c>
      <c r="AR84">
        <v>4.48873999844424</v>
      </c>
      <c r="AS84">
        <v>21.304192109135183</v>
      </c>
      <c r="AT84">
        <v>3.1301594300959876</v>
      </c>
      <c r="AU84">
        <v>6.3363824312097581</v>
      </c>
      <c r="AV84"/>
      <c r="AW84"/>
      <c r="AX84" s="157" t="s">
        <v>111</v>
      </c>
      <c r="CJ84" s="157" t="s">
        <v>112</v>
      </c>
      <c r="FY84" s="210">
        <v>79</v>
      </c>
      <c r="FZ84">
        <v>1.5914210930814716</v>
      </c>
      <c r="GA84">
        <v>3.1177354273963469</v>
      </c>
      <c r="GB84">
        <v>1.6419057882748942</v>
      </c>
      <c r="GC84">
        <v>0.58600570084012571</v>
      </c>
      <c r="GD84">
        <v>1.8749630884755539</v>
      </c>
      <c r="GE84">
        <v>5.1934690014987837</v>
      </c>
      <c r="GF84">
        <v>9.4925088927353531</v>
      </c>
      <c r="GG84">
        <v>7.1322742332008362</v>
      </c>
      <c r="GH84">
        <v>3.122500117865135</v>
      </c>
      <c r="GI84">
        <v>4.0155958838438943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27.12779139433551</v>
      </c>
      <c r="AO85">
        <v>6.3605929686461264</v>
      </c>
      <c r="AP85">
        <v>48.870591235996656</v>
      </c>
      <c r="AQ85">
        <v>41.404169250727385</v>
      </c>
      <c r="AR85">
        <v>5.9913363968050186</v>
      </c>
      <c r="AS85">
        <v>27.595719056503516</v>
      </c>
      <c r="AT85">
        <v>3.8021313646443549</v>
      </c>
      <c r="AU85">
        <v>5.3616886240130341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0.96753874616337399</v>
      </c>
      <c r="GA85">
        <v>3.8130436207882092</v>
      </c>
      <c r="GB85">
        <v>2.6806714909057439</v>
      </c>
      <c r="GC85">
        <v>0.9125302050450268</v>
      </c>
      <c r="GD85">
        <v>1.0009323354457638</v>
      </c>
      <c r="GE85">
        <v>2.5566337425343324</v>
      </c>
      <c r="GF85">
        <v>3.9228353391261424</v>
      </c>
      <c r="GG85">
        <v>4.4670845119031775</v>
      </c>
      <c r="GH85">
        <v>4.1063836652458008</v>
      </c>
      <c r="GI85">
        <v>2.7844048870828457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18.983319139735364</v>
      </c>
      <c r="AO86">
        <v>3.6022973216315757</v>
      </c>
      <c r="AP86">
        <v>29.755418038106143</v>
      </c>
      <c r="AQ86">
        <v>24.32704438713461</v>
      </c>
      <c r="AR86">
        <v>3.4770887761282161</v>
      </c>
      <c r="AS86">
        <v>16.331584725590645</v>
      </c>
      <c r="AT86">
        <v>2.1860956543661172</v>
      </c>
      <c r="AU86">
        <v>-4.3163909449480773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7" t="s">
        <v>123</v>
      </c>
      <c r="CX86" s="227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1.1115850788292929</v>
      </c>
      <c r="GA86">
        <v>1.7413877385371268</v>
      </c>
      <c r="GB86">
        <v>1.2674243212272869</v>
      </c>
      <c r="GC86">
        <v>0.7980833847193205</v>
      </c>
      <c r="GD86">
        <v>1.1316459776259653</v>
      </c>
      <c r="GE86">
        <v>3.8353225941247451</v>
      </c>
      <c r="GF86">
        <v>5.5788393062216688</v>
      </c>
      <c r="GG86">
        <v>1.8268497024888646</v>
      </c>
      <c r="GH86">
        <v>1.1395881230804383</v>
      </c>
      <c r="GI86">
        <v>2.3476236709370624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22.699582450501566</v>
      </c>
      <c r="AO87">
        <v>4.7012395531381586</v>
      </c>
      <c r="AP87">
        <v>33.452136771275057</v>
      </c>
      <c r="AQ87">
        <v>29.498034188305034</v>
      </c>
      <c r="AR87">
        <v>4.4388859469609114</v>
      </c>
      <c r="AS87">
        <v>20.941559345744114</v>
      </c>
      <c r="AT87">
        <v>2.77974609261909</v>
      </c>
      <c r="AU87">
        <v>3.3566219862425259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1.0091136814839547</v>
      </c>
      <c r="GA87">
        <v>3.1389140625206413</v>
      </c>
      <c r="GB87">
        <v>2.0935634474333451</v>
      </c>
      <c r="GC87">
        <v>1.1402329294092222</v>
      </c>
      <c r="GD87">
        <v>2.1900613890209231</v>
      </c>
      <c r="GE87">
        <v>5.0234721439694354</v>
      </c>
      <c r="GF87">
        <v>5.1961541826165538</v>
      </c>
      <c r="GG87">
        <v>3.5590220717507948</v>
      </c>
      <c r="GH87">
        <v>2.8013410155372482</v>
      </c>
      <c r="GI87">
        <v>3.3634408993972476</v>
      </c>
      <c r="GJ87"/>
      <c r="GK87"/>
      <c r="GL87"/>
      <c r="GM87"/>
    </row>
    <row r="88" spans="1:195" s="7" customFormat="1">
      <c r="A88" s="128"/>
      <c r="B88" s="76">
        <f t="shared" ref="B88:B119" ca="1" si="49">IF(C88="", "", RAND())</f>
        <v>0.94638872926495998</v>
      </c>
      <c r="C88">
        <v>8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21.996627633595718</v>
      </c>
      <c r="AO88">
        <v>5.7217668618927009</v>
      </c>
      <c r="AP88">
        <v>47.645320364102083</v>
      </c>
      <c r="AQ88">
        <v>37.979245147508095</v>
      </c>
      <c r="AR88">
        <v>5.3119983591610627</v>
      </c>
      <c r="AS88">
        <v>25.659372001152832</v>
      </c>
      <c r="AT88">
        <v>3.6862618423555866</v>
      </c>
      <c r="AU88">
        <v>1.0581614641582093</v>
      </c>
      <c r="AV88"/>
      <c r="AW88"/>
      <c r="AX88" s="128"/>
      <c r="AY88" s="76">
        <f ca="1">IF(AZ88="", "", RAND())</f>
        <v>0.7810249789916015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0.84263195316724482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1</v>
      </c>
      <c r="CQ88">
        <v>1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0.97912358941457178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20.833333333333332</v>
      </c>
      <c r="DI88" s="161">
        <f t="shared" si="52"/>
        <v>20.833333333333332</v>
      </c>
      <c r="DJ88" s="161">
        <f t="shared" si="52"/>
        <v>0</v>
      </c>
      <c r="DK88" s="161">
        <f t="shared" si="52"/>
        <v>0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41.666666666666664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0.8201240505366677</v>
      </c>
      <c r="ES88" s="139">
        <f t="shared" ref="ES88:ES119" si="58">IF(DI88="", "", DI88*J$36)</f>
        <v>2.4748685548609979</v>
      </c>
      <c r="ET88" s="139">
        <f t="shared" ref="ET88:ET119" si="59">IF(DJ88="", "", DJ88*K$36)</f>
        <v>0</v>
      </c>
      <c r="EU88" s="139">
        <f t="shared" ref="EU88:EU119" si="60">IF(DK88="", "", DK88*L$36)</f>
        <v>0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3.2949926053976655</v>
      </c>
      <c r="FV88" s="149"/>
      <c r="FY88" s="210">
        <v>83</v>
      </c>
      <c r="FZ88">
        <v>0.92618934022065713</v>
      </c>
      <c r="GA88">
        <v>3.1823760425683774</v>
      </c>
      <c r="GB88">
        <v>2.4949676521507302</v>
      </c>
      <c r="GC88">
        <v>1.0342959237926741</v>
      </c>
      <c r="GD88">
        <v>2.489606469705774</v>
      </c>
      <c r="GE88">
        <v>5.2612353631114974</v>
      </c>
      <c r="GF88">
        <v>5.0034105461172134</v>
      </c>
      <c r="GG88">
        <v>5.302467277162247</v>
      </c>
      <c r="GH88">
        <v>4.2176170221896232</v>
      </c>
      <c r="GI88">
        <v>3.8185994288934837</v>
      </c>
      <c r="GJ88"/>
      <c r="GK88"/>
      <c r="GL88"/>
      <c r="GM88"/>
    </row>
    <row r="89" spans="1:195" s="7" customFormat="1">
      <c r="A89" s="115"/>
      <c r="B89" s="76">
        <f t="shared" ca="1" si="49"/>
        <v>0.21849882342971227</v>
      </c>
      <c r="C89">
        <v>4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29.748002203131659</v>
      </c>
      <c r="AO89">
        <v>5.8288089974831125</v>
      </c>
      <c r="AP89">
        <v>33.880420020409424</v>
      </c>
      <c r="AQ89">
        <v>32.957690147364005</v>
      </c>
      <c r="AR89">
        <v>5.3286058777197844</v>
      </c>
      <c r="AS89">
        <v>25.140524311368793</v>
      </c>
      <c r="AT89">
        <v>3.5157836545308858</v>
      </c>
      <c r="AU89">
        <v>8.8385719044012134</v>
      </c>
      <c r="AV89"/>
      <c r="AW89"/>
      <c r="AX89" s="150"/>
      <c r="AY89" s="76">
        <f t="shared" ref="AY89:AY149" ca="1" si="87">IF(AZ89="", "", RAND())</f>
        <v>0.4633329639451742</v>
      </c>
      <c r="AZ89">
        <v>2</v>
      </c>
      <c r="BA89" s="129">
        <f t="shared" ref="BA89:BA97" si="88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9">IF(AZ89="", "", RAND())</f>
        <v>0.57568698625695092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>
        <v>0</v>
      </c>
      <c r="CP89">
        <v>1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0.533370289845013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20.833333333333332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20.833333333333332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0.8201240505366677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0.8201240505366677</v>
      </c>
      <c r="FV89" s="149"/>
      <c r="FY89" s="210">
        <v>84</v>
      </c>
      <c r="FZ89">
        <v>1.0294500903885178</v>
      </c>
      <c r="GA89">
        <v>2.7688007175287268</v>
      </c>
      <c r="GB89">
        <v>1.9981898664535906</v>
      </c>
      <c r="GC89">
        <v>0.62760411888947798</v>
      </c>
      <c r="GD89">
        <v>1.374433262841344</v>
      </c>
      <c r="GE89">
        <v>3.5146132746520844</v>
      </c>
      <c r="GF89">
        <v>5.0063754086625778</v>
      </c>
      <c r="GG89">
        <v>9.6977527230022051</v>
      </c>
      <c r="GH89">
        <v>10.114226156540095</v>
      </c>
      <c r="GI89">
        <v>4.0086549018139017</v>
      </c>
      <c r="GJ89"/>
      <c r="GK89"/>
      <c r="GL89"/>
      <c r="GM89"/>
    </row>
    <row r="90" spans="1:195" s="7" customFormat="1">
      <c r="A90" s="115"/>
      <c r="B90" s="76">
        <f t="shared" ca="1" si="49"/>
        <v>0.91822029302325969</v>
      </c>
      <c r="C90">
        <v>6</v>
      </c>
      <c r="D90">
        <v>39646</v>
      </c>
      <c r="E90">
        <v>0</v>
      </c>
      <c r="F90">
        <v>20.833333333333332</v>
      </c>
      <c r="G90">
        <v>0</v>
      </c>
      <c r="H90">
        <v>20.833333333333332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27.861824850189215</v>
      </c>
      <c r="AO90">
        <v>5.510454967137564</v>
      </c>
      <c r="AP90">
        <v>43.731730303876311</v>
      </c>
      <c r="AQ90">
        <v>36.595204579284399</v>
      </c>
      <c r="AR90">
        <v>5.0245196048135199</v>
      </c>
      <c r="AS90">
        <v>24.567514718884262</v>
      </c>
      <c r="AT90">
        <v>3.276060522884626</v>
      </c>
      <c r="AU90">
        <v>-3.6323597315185125</v>
      </c>
      <c r="AV90"/>
      <c r="AW90"/>
      <c r="AX90" s="150"/>
      <c r="AY90" s="76">
        <f t="shared" ca="1" si="87"/>
        <v>0.28761048878126338</v>
      </c>
      <c r="AZ90">
        <v>3</v>
      </c>
      <c r="BA90" s="129">
        <f t="shared" si="88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9"/>
        <v>0.24282849859181632</v>
      </c>
      <c r="CL90" s="179">
        <f t="shared" si="90"/>
        <v>3</v>
      </c>
      <c r="CM90" s="180">
        <f t="shared" si="91"/>
        <v>39646</v>
      </c>
      <c r="CN90">
        <v>0</v>
      </c>
      <c r="CO90">
        <v>0</v>
      </c>
      <c r="CP90">
        <v>0</v>
      </c>
      <c r="CQ90">
        <v>1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0.17358098867836436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10.416666666666666</v>
      </c>
      <c r="DJ90" s="161">
        <f t="shared" si="98"/>
        <v>0</v>
      </c>
      <c r="DK90" s="161">
        <f t="shared" si="99"/>
        <v>0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10.416666666666666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1.2374342774304989</v>
      </c>
      <c r="ET90" s="139">
        <f t="shared" si="59"/>
        <v>0</v>
      </c>
      <c r="EU90" s="139">
        <f t="shared" si="60"/>
        <v>0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1.2374342774304989</v>
      </c>
      <c r="FV90" s="149"/>
      <c r="FY90" s="210">
        <v>85</v>
      </c>
      <c r="FZ90">
        <v>1.1321470171117196</v>
      </c>
      <c r="GA90">
        <v>2.2378356974556119</v>
      </c>
      <c r="GB90">
        <v>1.2309319951063187</v>
      </c>
      <c r="GC90">
        <v>0.60610516910689727</v>
      </c>
      <c r="GD90">
        <v>1.4997033332702785</v>
      </c>
      <c r="GE90">
        <v>2.4215092104944205</v>
      </c>
      <c r="GF90">
        <v>4.8080753019151423</v>
      </c>
      <c r="GG90">
        <v>8.3231325362221646</v>
      </c>
      <c r="GH90">
        <v>6.4960780280628727</v>
      </c>
      <c r="GI90">
        <v>3.2944254947105023</v>
      </c>
      <c r="GJ90"/>
      <c r="GK90"/>
      <c r="GL90"/>
      <c r="GM90"/>
    </row>
    <row r="91" spans="1:195" s="7" customFormat="1">
      <c r="A91" s="77"/>
      <c r="B91" s="76">
        <f t="shared" ca="1" si="49"/>
        <v>0.19153007506434516</v>
      </c>
      <c r="C91">
        <v>1</v>
      </c>
      <c r="D91">
        <v>39646</v>
      </c>
      <c r="E91">
        <v>0</v>
      </c>
      <c r="F91">
        <v>0</v>
      </c>
      <c r="G91">
        <v>20.833333333333332</v>
      </c>
      <c r="H91">
        <v>20.833333333333332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21.181415186323669</v>
      </c>
      <c r="AO91">
        <v>4.1102409277119776</v>
      </c>
      <c r="AP91">
        <v>30.595950916231075</v>
      </c>
      <c r="AQ91">
        <v>25.975052548008133</v>
      </c>
      <c r="AR91">
        <v>4.0360014015075096</v>
      </c>
      <c r="AS91">
        <v>18.30207470871699</v>
      </c>
      <c r="AT91">
        <v>2.4771554457484748</v>
      </c>
      <c r="AU91">
        <v>2.8991050588746976</v>
      </c>
      <c r="AV91"/>
      <c r="AW91"/>
      <c r="AX91" s="151"/>
      <c r="AY91" s="76">
        <f t="shared" ca="1" si="87"/>
        <v>6.7201262102943637E-2</v>
      </c>
      <c r="AZ91">
        <v>4</v>
      </c>
      <c r="BA91" s="129">
        <f t="shared" si="88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9"/>
        <v>0.71425940624884543</v>
      </c>
      <c r="CL91" s="179">
        <f t="shared" si="90"/>
        <v>4</v>
      </c>
      <c r="CM91" s="180">
        <f t="shared" si="91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0.6284448905787603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0</v>
      </c>
      <c r="DJ91" s="161">
        <f t="shared" si="98"/>
        <v>0</v>
      </c>
      <c r="DK91" s="161">
        <f t="shared" si="99"/>
        <v>0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0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0</v>
      </c>
      <c r="ET91" s="139">
        <f t="shared" si="59"/>
        <v>0</v>
      </c>
      <c r="EU91" s="139">
        <f t="shared" si="60"/>
        <v>0</v>
      </c>
      <c r="EV91" s="139">
        <f t="shared" si="61"/>
        <v>0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0</v>
      </c>
      <c r="FV91" s="149"/>
      <c r="FY91" s="210">
        <v>86</v>
      </c>
      <c r="FZ91">
        <v>1.2004059716485682</v>
      </c>
      <c r="GA91">
        <v>2.4011774207730747</v>
      </c>
      <c r="GB91">
        <v>2.0325940572590739</v>
      </c>
      <c r="GC91">
        <v>1.3025756436123639</v>
      </c>
      <c r="GD91">
        <v>2.1942237115145948</v>
      </c>
      <c r="GE91">
        <v>5.5613444118274131</v>
      </c>
      <c r="GF91">
        <v>7.4761965324664601</v>
      </c>
      <c r="GG91">
        <v>7.6790491543896744</v>
      </c>
      <c r="GH91">
        <v>5.6351349256282903</v>
      </c>
      <c r="GI91">
        <v>4.2488181828388187</v>
      </c>
      <c r="GJ91"/>
      <c r="GK91"/>
      <c r="GL91"/>
      <c r="GM91"/>
    </row>
    <row r="92" spans="1:195" s="7" customFormat="1">
      <c r="A92" s="77"/>
      <c r="B92" s="76">
        <f t="shared" ca="1" si="49"/>
        <v>6.521014062957331E-2</v>
      </c>
      <c r="C92">
        <v>5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19.769109566903687</v>
      </c>
      <c r="AO92">
        <v>4.2148303851782352</v>
      </c>
      <c r="AP92">
        <v>28.164278536592029</v>
      </c>
      <c r="AQ92">
        <v>24.961124312539337</v>
      </c>
      <c r="AR92">
        <v>3.8524115316107252</v>
      </c>
      <c r="AS92">
        <v>18.627232439617959</v>
      </c>
      <c r="AT92">
        <v>2.6468361280604737</v>
      </c>
      <c r="AU92">
        <v>8.6736802232849186</v>
      </c>
      <c r="AV92"/>
      <c r="AW92"/>
      <c r="AX92" s="151"/>
      <c r="AY92" s="76">
        <f t="shared" ca="1" si="87"/>
        <v>4.2907016215008698E-2</v>
      </c>
      <c r="AZ92">
        <v>5</v>
      </c>
      <c r="BA92" s="129">
        <f t="shared" si="88"/>
        <v>39646</v>
      </c>
      <c r="BB92" s="216">
        <v>0</v>
      </c>
      <c r="BC92" s="216">
        <v>0</v>
      </c>
      <c r="BD92" s="216">
        <v>0</v>
      </c>
      <c r="BE92" s="216">
        <v>0</v>
      </c>
      <c r="BF92" s="216">
        <v>0</v>
      </c>
      <c r="BG92" s="216">
        <v>0</v>
      </c>
      <c r="BH92" s="216">
        <v>0</v>
      </c>
      <c r="BI92" s="216">
        <v>0</v>
      </c>
      <c r="BJ92" s="216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9"/>
        <v>0.3408557071237226</v>
      </c>
      <c r="CL92" s="179">
        <f t="shared" si="90"/>
        <v>5</v>
      </c>
      <c r="CM92" s="180">
        <f t="shared" si="91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0.25979776789317399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0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</v>
      </c>
      <c r="FV92" s="149"/>
      <c r="FY92" s="210">
        <v>87</v>
      </c>
      <c r="FZ92">
        <v>0.72045719270745801</v>
      </c>
      <c r="GA92">
        <v>2.2956143238294269</v>
      </c>
      <c r="GB92">
        <v>1.8236200135495273</v>
      </c>
      <c r="GC92">
        <v>0.52789743678762746</v>
      </c>
      <c r="GD92">
        <v>0.7376919047683228</v>
      </c>
      <c r="GE92">
        <v>2.7229874155673608</v>
      </c>
      <c r="GF92">
        <v>7.3984971511418749</v>
      </c>
      <c r="GG92">
        <v>7.5704777511884922</v>
      </c>
      <c r="GH92">
        <v>4.5756251971231361</v>
      </c>
      <c r="GI92">
        <v>3.0985695354249994</v>
      </c>
      <c r="GJ92"/>
      <c r="GK92"/>
      <c r="GL92"/>
      <c r="GM92"/>
    </row>
    <row r="93" spans="1:195" s="7" customFormat="1">
      <c r="A93" s="77"/>
      <c r="B93" s="76">
        <f t="shared" ca="1" si="49"/>
        <v>0.7153228693282625</v>
      </c>
      <c r="C93">
        <v>7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24.428421609028227</v>
      </c>
      <c r="AO93">
        <v>5.0654862364664774</v>
      </c>
      <c r="AP93">
        <v>31.995630342380075</v>
      </c>
      <c r="AQ93">
        <v>29.228010052735435</v>
      </c>
      <c r="AR93">
        <v>4.6502540194124578</v>
      </c>
      <c r="AS93">
        <v>21.085003708703177</v>
      </c>
      <c r="AT93" t="e">
        <v>#DIV/0!</v>
      </c>
      <c r="AU93" t="e">
        <v>#DIV/0!</v>
      </c>
      <c r="AV93"/>
      <c r="AW93"/>
      <c r="AX93" s="151"/>
      <c r="AY93" s="76">
        <f t="shared" ca="1" si="87"/>
        <v>0.46300651260134296</v>
      </c>
      <c r="AZ93">
        <v>6</v>
      </c>
      <c r="BA93" s="129">
        <f t="shared" si="88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9"/>
        <v>0.15777691802105842</v>
      </c>
      <c r="CL93" s="179">
        <f t="shared" si="90"/>
        <v>6</v>
      </c>
      <c r="CM93" s="180">
        <f t="shared" si="91"/>
        <v>39646</v>
      </c>
      <c r="CN93" s="219">
        <v>0</v>
      </c>
      <c r="CO93" s="219">
        <v>1</v>
      </c>
      <c r="CP93" s="219">
        <v>0</v>
      </c>
      <c r="CQ93" s="219">
        <v>1</v>
      </c>
      <c r="CR93" s="219">
        <v>0</v>
      </c>
      <c r="CS93" s="219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0.85566595886920838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20.833333333333332</v>
      </c>
      <c r="DH93" s="161">
        <f t="shared" si="96"/>
        <v>0</v>
      </c>
      <c r="DI93" s="161">
        <f t="shared" si="97"/>
        <v>20.833333333333332</v>
      </c>
      <c r="DJ93" s="161">
        <f t="shared" si="98"/>
        <v>0</v>
      </c>
      <c r="DK93" s="161">
        <f t="shared" si="99"/>
        <v>0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41.666666666666664</v>
      </c>
      <c r="EL93" s="149"/>
      <c r="EN93" s="151"/>
      <c r="EO93" s="151"/>
      <c r="EP93" s="139">
        <f t="shared" si="55"/>
        <v>0</v>
      </c>
      <c r="EQ93" s="139">
        <f t="shared" si="56"/>
        <v>0.12412916666666665</v>
      </c>
      <c r="ER93" s="139">
        <f t="shared" si="57"/>
        <v>0</v>
      </c>
      <c r="ES93" s="139">
        <f t="shared" si="58"/>
        <v>2.4748685548609979</v>
      </c>
      <c r="ET93" s="139">
        <f t="shared" si="59"/>
        <v>0</v>
      </c>
      <c r="EU93" s="139">
        <f t="shared" si="60"/>
        <v>0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2.5989977215276645</v>
      </c>
      <c r="FV93" s="149"/>
      <c r="FY93" s="210">
        <v>88</v>
      </c>
      <c r="FZ93">
        <v>0.89764791959028145</v>
      </c>
      <c r="GA93">
        <v>1.9007922554866108</v>
      </c>
      <c r="GB93">
        <v>1.5848426817817909</v>
      </c>
      <c r="GC93">
        <v>0.87583291486992387</v>
      </c>
      <c r="GD93">
        <v>1.6106688378438114</v>
      </c>
      <c r="GE93">
        <v>4.2067371764080113</v>
      </c>
      <c r="GF93">
        <v>7.07628266582104</v>
      </c>
      <c r="GG93">
        <v>4.7320316079394136</v>
      </c>
      <c r="GH93">
        <v>2.0686758617598424</v>
      </c>
      <c r="GI93">
        <v>3.1278237829239464</v>
      </c>
      <c r="GJ93"/>
      <c r="GK93"/>
      <c r="GL93"/>
      <c r="GM93"/>
    </row>
    <row r="94" spans="1:195" s="7" customFormat="1">
      <c r="A94" s="77"/>
      <c r="B94" s="76">
        <f t="shared" ca="1" si="49"/>
        <v>0.1474605115638199</v>
      </c>
      <c r="C94">
        <v>10</v>
      </c>
      <c r="D94">
        <v>39646</v>
      </c>
      <c r="E94">
        <v>0</v>
      </c>
      <c r="F94">
        <v>0</v>
      </c>
      <c r="G94">
        <v>0</v>
      </c>
      <c r="H94">
        <v>20.833333333333332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24.800791801877139</v>
      </c>
      <c r="AO94">
        <v>4.2311719885147419</v>
      </c>
      <c r="AP94">
        <v>30.58111298960921</v>
      </c>
      <c r="AQ94">
        <v>26.194886725927706</v>
      </c>
      <c r="AR94">
        <v>4.0455015747950736</v>
      </c>
      <c r="AS94">
        <v>20.791693709969618</v>
      </c>
      <c r="AT94">
        <v>2.6618666569203158</v>
      </c>
      <c r="AU94">
        <v>4.1873003135994988</v>
      </c>
      <c r="AV94"/>
      <c r="AW94"/>
      <c r="AX94" s="151"/>
      <c r="AY94" s="76">
        <f t="shared" ca="1" si="87"/>
        <v>0.96493027498181494</v>
      </c>
      <c r="AZ94">
        <v>7</v>
      </c>
      <c r="BA94" s="129">
        <f t="shared" si="88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9"/>
        <v>0.58023405096435177</v>
      </c>
      <c r="CL94" s="179">
        <f t="shared" si="90"/>
        <v>7</v>
      </c>
      <c r="CM94" s="180">
        <f t="shared" si="91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0.85921863916575369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0</v>
      </c>
      <c r="DJ94" s="161">
        <f t="shared" si="98"/>
        <v>0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0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0</v>
      </c>
      <c r="ET94" s="139">
        <f t="shared" si="59"/>
        <v>0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0</v>
      </c>
      <c r="FV94" s="149"/>
      <c r="FY94" s="210">
        <v>89</v>
      </c>
      <c r="FZ94">
        <v>0.95332441819265212</v>
      </c>
      <c r="GA94">
        <v>2.7550218632739463</v>
      </c>
      <c r="GB94">
        <v>1.7672140173356103</v>
      </c>
      <c r="GC94">
        <v>0.82752902552886753</v>
      </c>
      <c r="GD94">
        <v>1.5231513922390096</v>
      </c>
      <c r="GE94">
        <v>3.0134362282970573</v>
      </c>
      <c r="GF94">
        <v>6.1440388107745223</v>
      </c>
      <c r="GG94">
        <v>7.2149680127935216</v>
      </c>
      <c r="GH94">
        <v>4.8183278126883167</v>
      </c>
      <c r="GI94">
        <v>3.398292853512781</v>
      </c>
      <c r="GJ94"/>
      <c r="GK94"/>
      <c r="GL94"/>
      <c r="GM94"/>
    </row>
    <row r="95" spans="1:195" s="7" customFormat="1">
      <c r="A95" s="77"/>
      <c r="B95" s="76">
        <f t="shared" ca="1" si="49"/>
        <v>0.57434930739598755</v>
      </c>
      <c r="C95">
        <v>2</v>
      </c>
      <c r="D95">
        <v>39646</v>
      </c>
      <c r="E95">
        <v>0</v>
      </c>
      <c r="F95">
        <v>0</v>
      </c>
      <c r="G95">
        <v>20.833333333333332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30.456426259128854</v>
      </c>
      <c r="AO95">
        <v>5.8493098628324471</v>
      </c>
      <c r="AP95">
        <v>44.914013524080858</v>
      </c>
      <c r="AQ95">
        <v>37.768379227212392</v>
      </c>
      <c r="AR95">
        <v>5.5050003353786332</v>
      </c>
      <c r="AS95">
        <v>26.255938333103046</v>
      </c>
      <c r="AT95">
        <v>3.703335031154591</v>
      </c>
      <c r="AU95">
        <v>8.4685496387346433</v>
      </c>
      <c r="AV95"/>
      <c r="AW95"/>
      <c r="AX95" s="151"/>
      <c r="AY95" s="76">
        <f t="shared" ca="1" si="87"/>
        <v>0.97972225397090273</v>
      </c>
      <c r="AZ95">
        <v>8</v>
      </c>
      <c r="BA95" s="129">
        <f t="shared" si="88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9"/>
        <v>0.7310028074779984</v>
      </c>
      <c r="CL95" s="179">
        <f t="shared" si="90"/>
        <v>8</v>
      </c>
      <c r="CM95" s="180">
        <f t="shared" si="91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0.98276393537261875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0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0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0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0</v>
      </c>
      <c r="FV95" s="149"/>
      <c r="FY95" s="210">
        <v>90</v>
      </c>
      <c r="FZ95">
        <v>1.7296836388803443</v>
      </c>
      <c r="GA95">
        <v>2.1163806986285336</v>
      </c>
      <c r="GB95">
        <v>0.85754192803697882</v>
      </c>
      <c r="GC95">
        <v>0.62401145980687578</v>
      </c>
      <c r="GD95">
        <v>1.2260395832818891</v>
      </c>
      <c r="GE95">
        <v>3.4083671675395335</v>
      </c>
      <c r="GF95">
        <v>5.8068734857747319</v>
      </c>
      <c r="GG95">
        <v>6.8377486219381263</v>
      </c>
      <c r="GH95">
        <v>6.226220130078743</v>
      </c>
      <c r="GI95">
        <v>3.2624430734234928</v>
      </c>
      <c r="GJ95"/>
      <c r="GK95"/>
      <c r="GL95"/>
      <c r="GM95"/>
    </row>
    <row r="96" spans="1:195" s="7" customFormat="1">
      <c r="A96" s="77"/>
      <c r="B96" s="76">
        <f t="shared" ca="1" si="49"/>
        <v>0.62728984016991718</v>
      </c>
      <c r="C96">
        <v>9</v>
      </c>
      <c r="D96">
        <v>39646</v>
      </c>
      <c r="E96">
        <v>0</v>
      </c>
      <c r="F96">
        <v>0</v>
      </c>
      <c r="G96">
        <v>31.25</v>
      </c>
      <c r="H96">
        <v>20.833333333333332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20.148311597779685</v>
      </c>
      <c r="AO96">
        <v>4.0849102452934574</v>
      </c>
      <c r="AP96">
        <v>33.438658742666249</v>
      </c>
      <c r="AQ96">
        <v>27.212058544240417</v>
      </c>
      <c r="AR96">
        <v>3.8243801327044933</v>
      </c>
      <c r="AS96">
        <v>18.6108354388683</v>
      </c>
      <c r="AT96">
        <v>2.4870311500910121</v>
      </c>
      <c r="AU96">
        <v>3.6200414411662551E-2</v>
      </c>
      <c r="AV96"/>
      <c r="AW96"/>
      <c r="AX96" s="151"/>
      <c r="AY96" s="76">
        <f t="shared" ca="1" si="87"/>
        <v>0.83824188565054225</v>
      </c>
      <c r="AZ96">
        <v>9</v>
      </c>
      <c r="BA96" s="129">
        <f t="shared" si="88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9"/>
        <v>1.0944189724472864E-2</v>
      </c>
      <c r="CL96" s="179">
        <f t="shared" si="90"/>
        <v>9</v>
      </c>
      <c r="CM96" s="180">
        <f t="shared" si="91"/>
        <v>39646</v>
      </c>
      <c r="CN96">
        <v>0</v>
      </c>
      <c r="CO96">
        <v>0</v>
      </c>
      <c r="CP96">
        <v>3</v>
      </c>
      <c r="CQ96">
        <v>2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0.15558550507250324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31.25</v>
      </c>
      <c r="DI96" s="161">
        <f t="shared" si="97"/>
        <v>20.833333333333332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52.083333333333329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1.2301860758050016</v>
      </c>
      <c r="ES96" s="139">
        <f t="shared" si="58"/>
        <v>2.4748685548609979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3.7050546306659995</v>
      </c>
      <c r="FV96" s="149"/>
      <c r="FY96" s="210">
        <v>91</v>
      </c>
      <c r="FZ96">
        <v>0.94708957256987913</v>
      </c>
      <c r="GA96">
        <v>3.3008056236719194</v>
      </c>
      <c r="GB96">
        <v>2.5062825806050131</v>
      </c>
      <c r="GC96">
        <v>0.85428542065981539</v>
      </c>
      <c r="GD96">
        <v>0.91204783903139686</v>
      </c>
      <c r="GE96">
        <v>1.5448588811358896</v>
      </c>
      <c r="GF96">
        <v>4.0714378560470603</v>
      </c>
      <c r="GG96">
        <v>7.3502192397079522</v>
      </c>
      <c r="GH96">
        <v>6.4032964828067707</v>
      </c>
      <c r="GI96">
        <v>3.092265800988323</v>
      </c>
      <c r="GJ96"/>
      <c r="GK96"/>
      <c r="GL96"/>
      <c r="GM96"/>
    </row>
    <row r="97" spans="1:195" s="7" customFormat="1">
      <c r="A97" s="77"/>
      <c r="B97" s="76">
        <f t="shared" ca="1" si="49"/>
        <v>0.85540829957444875</v>
      </c>
      <c r="C97">
        <v>3</v>
      </c>
      <c r="D97">
        <v>39646</v>
      </c>
      <c r="E97">
        <v>0</v>
      </c>
      <c r="F97">
        <v>0</v>
      </c>
      <c r="G97">
        <v>0</v>
      </c>
      <c r="H97">
        <v>10.416666666666666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23.220722522506001</v>
      </c>
      <c r="AO97">
        <v>3.3347361959160464</v>
      </c>
      <c r="AP97">
        <v>23.575823575732969</v>
      </c>
      <c r="AQ97">
        <v>20.778349897791774</v>
      </c>
      <c r="AR97">
        <v>3.0846859250794951</v>
      </c>
      <c r="AS97">
        <v>16.807124704295539</v>
      </c>
      <c r="AT97">
        <v>2.3084333239366734</v>
      </c>
      <c r="AU97">
        <v>7.1903539641706375</v>
      </c>
      <c r="AV97"/>
      <c r="AW97"/>
      <c r="AX97" s="151"/>
      <c r="AY97" s="76">
        <f t="shared" ca="1" si="87"/>
        <v>0.59647426082348964</v>
      </c>
      <c r="AZ97">
        <v>10</v>
      </c>
      <c r="BA97" s="129">
        <f t="shared" si="88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9"/>
        <v>0.60791358323607625</v>
      </c>
      <c r="CL97" s="179">
        <f t="shared" si="90"/>
        <v>10</v>
      </c>
      <c r="CM97" s="180">
        <f t="shared" si="91"/>
        <v>39646</v>
      </c>
      <c r="CN97">
        <v>0</v>
      </c>
      <c r="CO97">
        <v>0</v>
      </c>
      <c r="CP97">
        <v>0</v>
      </c>
      <c r="CQ97">
        <v>1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0.61082756829622675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0</v>
      </c>
      <c r="DI97" s="161">
        <f t="shared" si="97"/>
        <v>20.833333333333332</v>
      </c>
      <c r="DJ97" s="161">
        <f t="shared" si="98"/>
        <v>0</v>
      </c>
      <c r="DK97" s="161">
        <f t="shared" si="99"/>
        <v>0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20.833333333333332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0</v>
      </c>
      <c r="ES97" s="139">
        <f t="shared" si="58"/>
        <v>2.4748685548609979</v>
      </c>
      <c r="ET97" s="139">
        <f t="shared" si="59"/>
        <v>0</v>
      </c>
      <c r="EU97" s="139">
        <f t="shared" si="60"/>
        <v>0</v>
      </c>
      <c r="EV97" s="139">
        <f t="shared" si="61"/>
        <v>0</v>
      </c>
      <c r="EW97" s="139">
        <f t="shared" si="62"/>
        <v>0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2.4748685548609979</v>
      </c>
      <c r="FV97" s="149"/>
      <c r="FY97" s="210">
        <v>92</v>
      </c>
      <c r="FZ97">
        <v>1.1119233728960882</v>
      </c>
      <c r="GA97">
        <v>1.7946389123973399</v>
      </c>
      <c r="GB97">
        <v>1.4685426112669204</v>
      </c>
      <c r="GC97">
        <v>0.9819064408191851</v>
      </c>
      <c r="GD97">
        <v>2.5257614810529074</v>
      </c>
      <c r="GE97">
        <v>4.8883818837170283</v>
      </c>
      <c r="GF97">
        <v>5.2691919737712869</v>
      </c>
      <c r="GG97">
        <v>6.213934041262994</v>
      </c>
      <c r="GH97">
        <v>4.1187670344573393</v>
      </c>
      <c r="GI97">
        <v>3.64809418179127</v>
      </c>
      <c r="GJ97"/>
      <c r="GK97"/>
      <c r="GL97"/>
      <c r="GM97"/>
    </row>
    <row r="98" spans="1:195" s="7" customFormat="1">
      <c r="A98" s="128"/>
      <c r="B98" s="76">
        <f t="shared" ca="1" si="49"/>
        <v>0.74833679067315351</v>
      </c>
      <c r="C98">
        <v>3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25.585703317174296</v>
      </c>
      <c r="AO98">
        <v>4.9075632061505612</v>
      </c>
      <c r="AP98">
        <v>33.045025665535462</v>
      </c>
      <c r="AQ98">
        <v>29.515315823139364</v>
      </c>
      <c r="AR98">
        <v>4.5855719049905463</v>
      </c>
      <c r="AS98">
        <v>23.050850761774811</v>
      </c>
      <c r="AT98">
        <v>3.0965378379000623</v>
      </c>
      <c r="AU98">
        <v>1.9539036432812247</v>
      </c>
      <c r="AV98"/>
      <c r="AW98"/>
      <c r="AX98" s="128"/>
      <c r="AY98" s="76">
        <f t="shared" ca="1" si="87"/>
        <v>0.51592862823823982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2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9"/>
        <v>0.39288707649679666</v>
      </c>
      <c r="CL98" s="179">
        <f t="shared" si="90"/>
        <v>1</v>
      </c>
      <c r="CM98" s="180">
        <f t="shared" si="91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0.98238354802371308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20.833333333333332</v>
      </c>
      <c r="DJ98" s="161">
        <f t="shared" si="98"/>
        <v>0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20.833333333333332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2.4748685548609979</v>
      </c>
      <c r="ET98" s="139">
        <f t="shared" si="59"/>
        <v>0</v>
      </c>
      <c r="EU98" s="139">
        <f t="shared" si="60"/>
        <v>0</v>
      </c>
      <c r="EV98" s="139">
        <f t="shared" si="61"/>
        <v>0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2.4748685548609979</v>
      </c>
      <c r="FV98" s="149"/>
      <c r="FY98" s="210">
        <v>93</v>
      </c>
      <c r="FZ98">
        <v>1.48271485011336</v>
      </c>
      <c r="GA98">
        <v>2.9854954437974501</v>
      </c>
      <c r="GB98">
        <v>1.7298521871391013</v>
      </c>
      <c r="GC98">
        <v>1.0481512564983841</v>
      </c>
      <c r="GD98">
        <v>2.3782256702736397</v>
      </c>
      <c r="GE98">
        <v>4.677513297104043</v>
      </c>
      <c r="GF98">
        <v>6.0505017250061535</v>
      </c>
      <c r="GG98">
        <v>6.6775954897263601</v>
      </c>
      <c r="GH98">
        <v>4.3897694456294136</v>
      </c>
      <c r="GI98">
        <v>3.8863916590690724</v>
      </c>
      <c r="GJ98"/>
      <c r="GK98"/>
      <c r="GL98"/>
      <c r="GM98"/>
    </row>
    <row r="99" spans="1:195" s="7" customFormat="1">
      <c r="A99" s="1"/>
      <c r="B99" s="76">
        <f t="shared" ca="1" si="49"/>
        <v>0.25419115159234384</v>
      </c>
      <c r="C99">
        <v>2</v>
      </c>
      <c r="D99">
        <v>39673</v>
      </c>
      <c r="E99">
        <v>0</v>
      </c>
      <c r="F99">
        <v>0</v>
      </c>
      <c r="G99">
        <v>62.5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33.266094643099102</v>
      </c>
      <c r="AO99">
        <v>5.5597321058091023</v>
      </c>
      <c r="AP99">
        <v>38.31240558577241</v>
      </c>
      <c r="AQ99">
        <v>33.73076506591228</v>
      </c>
      <c r="AR99">
        <v>5.2834443592410025</v>
      </c>
      <c r="AS99">
        <v>27.503882151842131</v>
      </c>
      <c r="AT99">
        <v>3.3023521164924028</v>
      </c>
      <c r="AU99">
        <v>2.6327682928762806</v>
      </c>
      <c r="AV99"/>
      <c r="AW99"/>
      <c r="AX99" s="146"/>
      <c r="AY99" s="76">
        <f t="shared" ca="1" si="87"/>
        <v>0.51790174799281363</v>
      </c>
      <c r="AZ99">
        <v>2</v>
      </c>
      <c r="BA99" s="129">
        <f t="shared" ref="BA99:BA107" si="126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9"/>
        <v>0.4926839683869757</v>
      </c>
      <c r="CL99" s="179">
        <f t="shared" si="90"/>
        <v>2</v>
      </c>
      <c r="CM99" s="180">
        <f t="shared" si="91"/>
        <v>39673</v>
      </c>
      <c r="CN99">
        <v>0</v>
      </c>
      <c r="CO99">
        <v>0</v>
      </c>
      <c r="CP99">
        <v>1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0.24468279073620458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62.5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62.5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2.4603721516100032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2.4603721516100032</v>
      </c>
      <c r="FV99" s="149"/>
      <c r="FY99" s="210">
        <v>94</v>
      </c>
      <c r="FZ99">
        <v>0.84405435177988175</v>
      </c>
      <c r="GA99">
        <v>1.2558706096951124</v>
      </c>
      <c r="GB99">
        <v>0.72916506430743788</v>
      </c>
      <c r="GC99">
        <v>0.50146272349263288</v>
      </c>
      <c r="GD99">
        <v>1.6818157363251367</v>
      </c>
      <c r="GE99">
        <v>4.0435721626717545</v>
      </c>
      <c r="GF99">
        <v>7.4396611760562061</v>
      </c>
      <c r="GG99">
        <v>7.7952134227894101</v>
      </c>
      <c r="GH99">
        <v>4.6979405855336953</v>
      </c>
      <c r="GI99">
        <v>3.4267898958720493</v>
      </c>
      <c r="GJ99"/>
      <c r="GK99"/>
      <c r="GL99"/>
      <c r="GM99"/>
    </row>
    <row r="100" spans="1:195" s="7" customFormat="1">
      <c r="A100" s="1"/>
      <c r="B100" s="76">
        <f t="shared" ca="1" si="49"/>
        <v>0.41484612210206118</v>
      </c>
      <c r="C100">
        <v>4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26.374250878406464</v>
      </c>
      <c r="AO100">
        <v>5.9113084614667626</v>
      </c>
      <c r="AP100">
        <v>49.087028118781596</v>
      </c>
      <c r="AQ100">
        <v>40.140100520772521</v>
      </c>
      <c r="AR100">
        <v>5.5742670000067243</v>
      </c>
      <c r="AS100">
        <v>25.497969378449255</v>
      </c>
      <c r="AT100">
        <v>3.2646025270473698</v>
      </c>
      <c r="AU100">
        <v>-6.9139964584795948</v>
      </c>
      <c r="AV100"/>
      <c r="AW100"/>
      <c r="AX100" s="146"/>
      <c r="AY100" s="76">
        <f t="shared" ca="1" si="87"/>
        <v>0.62429568457544526</v>
      </c>
      <c r="AZ100">
        <v>3</v>
      </c>
      <c r="BA100" s="129">
        <f t="shared" si="126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9"/>
        <v>0.12825596578766962</v>
      </c>
      <c r="CL100" s="179">
        <f t="shared" si="90"/>
        <v>3</v>
      </c>
      <c r="CM100" s="180">
        <f t="shared" si="91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0.82022218723961782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0</v>
      </c>
      <c r="DI100" s="161">
        <f t="shared" si="97"/>
        <v>0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0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0</v>
      </c>
      <c r="ES100" s="139">
        <f t="shared" si="58"/>
        <v>0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0</v>
      </c>
      <c r="FV100" s="149"/>
      <c r="FY100" s="210">
        <v>95</v>
      </c>
      <c r="FZ100">
        <v>0.86495458412910398</v>
      </c>
      <c r="GA100">
        <v>2.793969673442902</v>
      </c>
      <c r="GB100">
        <v>2.0669655831936016</v>
      </c>
      <c r="GC100">
        <v>0.93016335833657959</v>
      </c>
      <c r="GD100">
        <v>2.1806396645355597</v>
      </c>
      <c r="GE100">
        <v>4.204012796756567</v>
      </c>
      <c r="GF100">
        <v>3.0398871651723343</v>
      </c>
      <c r="GG100">
        <v>5.8927901564683252</v>
      </c>
      <c r="GH100">
        <v>7.1571465095177764</v>
      </c>
      <c r="GI100">
        <v>3.6195958669045352</v>
      </c>
      <c r="GJ100"/>
      <c r="GK100"/>
      <c r="GL100"/>
      <c r="GM100"/>
    </row>
    <row r="101" spans="1:195" s="7" customFormat="1">
      <c r="A101" s="1"/>
      <c r="B101" s="76">
        <f t="shared" ca="1" si="49"/>
        <v>0.77356016259346894</v>
      </c>
      <c r="C101">
        <v>8</v>
      </c>
      <c r="D101">
        <v>39673</v>
      </c>
      <c r="E101">
        <v>0</v>
      </c>
      <c r="F101">
        <v>0</v>
      </c>
      <c r="G101">
        <v>0</v>
      </c>
      <c r="H101">
        <v>20.833333333333332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21.855071187185544</v>
      </c>
      <c r="AO101">
        <v>4.8305765299525802</v>
      </c>
      <c r="AP101">
        <v>38.710153386254817</v>
      </c>
      <c r="AQ101">
        <v>32.04994378345593</v>
      </c>
      <c r="AR101">
        <v>4.6321276799036548</v>
      </c>
      <c r="AS101">
        <v>22.445538315930527</v>
      </c>
      <c r="AT101">
        <v>2.9277948767039419</v>
      </c>
      <c r="AU101">
        <v>-1.6220857571709888</v>
      </c>
      <c r="AV101"/>
      <c r="AW101"/>
      <c r="AX101" s="146"/>
      <c r="AY101" s="76">
        <f t="shared" ca="1" si="87"/>
        <v>0.79123903328117517</v>
      </c>
      <c r="AZ101">
        <v>4</v>
      </c>
      <c r="BA101" s="129">
        <f t="shared" si="126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9"/>
        <v>0.31256169002261114</v>
      </c>
      <c r="CL101" s="179">
        <f t="shared" si="90"/>
        <v>4</v>
      </c>
      <c r="CM101" s="180">
        <f t="shared" si="91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0.38501109826674096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0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0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0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0</v>
      </c>
      <c r="FV101" s="149"/>
      <c r="FY101" s="210">
        <v>96</v>
      </c>
      <c r="FZ101">
        <v>1.0772598713318713</v>
      </c>
      <c r="GA101">
        <v>2.0029689547302056</v>
      </c>
      <c r="GB101">
        <v>2.5224111518468679</v>
      </c>
      <c r="GC101">
        <v>1.2629212228751545</v>
      </c>
      <c r="GD101">
        <v>1.1310942116531479</v>
      </c>
      <c r="GE101">
        <v>3.103730893912851</v>
      </c>
      <c r="GF101">
        <v>6.4504608301497228</v>
      </c>
      <c r="GG101">
        <v>4.084189515812481</v>
      </c>
      <c r="GH101">
        <v>1.0220647005246875</v>
      </c>
      <c r="GI101">
        <v>2.8236078840646623</v>
      </c>
      <c r="GJ101"/>
      <c r="GK101"/>
      <c r="GL101"/>
      <c r="GM101"/>
    </row>
    <row r="102" spans="1:195" s="7" customFormat="1">
      <c r="A102" s="1"/>
      <c r="B102" s="76">
        <f t="shared" ca="1" si="49"/>
        <v>0.49825530817057051</v>
      </c>
      <c r="C102">
        <v>1</v>
      </c>
      <c r="D102">
        <v>39673</v>
      </c>
      <c r="E102">
        <v>0</v>
      </c>
      <c r="F102">
        <v>0</v>
      </c>
      <c r="G102">
        <v>0</v>
      </c>
      <c r="H102">
        <v>20.833333333333332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32.735752546267648</v>
      </c>
      <c r="AO102">
        <v>6.3457780632986029</v>
      </c>
      <c r="AP102">
        <v>45.981296155344467</v>
      </c>
      <c r="AQ102">
        <v>39.731520011958331</v>
      </c>
      <c r="AR102">
        <v>5.7868930406705523</v>
      </c>
      <c r="AS102">
        <v>28.734679443990455</v>
      </c>
      <c r="AT102">
        <v>3.7973178131921035</v>
      </c>
      <c r="AU102">
        <v>3.3613140548698452</v>
      </c>
      <c r="AV102"/>
      <c r="AW102"/>
      <c r="AX102" s="146"/>
      <c r="AY102" s="76">
        <f t="shared" ca="1" si="87"/>
        <v>0.12824700115140786</v>
      </c>
      <c r="AZ102">
        <v>5</v>
      </c>
      <c r="BA102" s="129">
        <f t="shared" si="126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9"/>
        <v>4.0956130746154118E-2</v>
      </c>
      <c r="CL102" s="179">
        <f t="shared" si="90"/>
        <v>5</v>
      </c>
      <c r="CM102" s="180">
        <f t="shared" si="91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0.20563093573129732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0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0</v>
      </c>
      <c r="ET102" s="139">
        <f t="shared" si="59"/>
        <v>0</v>
      </c>
      <c r="EU102" s="139">
        <f t="shared" si="60"/>
        <v>0</v>
      </c>
      <c r="EV102" s="139">
        <f t="shared" si="61"/>
        <v>0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0</v>
      </c>
      <c r="FV102" s="149"/>
      <c r="FY102" s="210">
        <v>97</v>
      </c>
      <c r="FZ102">
        <v>0.9675387461633741</v>
      </c>
      <c r="GA102">
        <v>2.1604501392507371</v>
      </c>
      <c r="GB102">
        <v>2.1758632220056611</v>
      </c>
      <c r="GC102">
        <v>1.1037584731945</v>
      </c>
      <c r="GD102">
        <v>1.8412802071638548</v>
      </c>
      <c r="GE102">
        <v>4.9345113628676707</v>
      </c>
      <c r="GF102">
        <v>7.1775894755097003</v>
      </c>
      <c r="GG102">
        <v>6.4161083713205347</v>
      </c>
      <c r="GH102">
        <v>4.0992340235314142</v>
      </c>
      <c r="GI102">
        <v>3.7510893842324036</v>
      </c>
      <c r="GJ102"/>
      <c r="GK102"/>
      <c r="GL102"/>
      <c r="GM102"/>
    </row>
    <row r="103" spans="1:195" s="7" customFormat="1">
      <c r="A103" s="1"/>
      <c r="B103" s="76">
        <f t="shared" ca="1" si="49"/>
        <v>0.24080252121945733</v>
      </c>
      <c r="C103">
        <v>7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22.960652442123425</v>
      </c>
      <c r="AO103">
        <v>4.5817023777012871</v>
      </c>
      <c r="AP103">
        <v>39.632731470778197</v>
      </c>
      <c r="AQ103">
        <v>31.471437922088228</v>
      </c>
      <c r="AR103">
        <v>4.2547278182812072</v>
      </c>
      <c r="AS103">
        <v>19.864810622116764</v>
      </c>
      <c r="AT103">
        <v>2.7240982826025082</v>
      </c>
      <c r="AU103">
        <v>2.5981456138876795</v>
      </c>
      <c r="AV103"/>
      <c r="AW103"/>
      <c r="AX103" s="146"/>
      <c r="AY103" s="76">
        <f ca="1">IF(AZ103="", "", RAND())</f>
        <v>0.13904133389677575</v>
      </c>
      <c r="AZ103">
        <v>6</v>
      </c>
      <c r="BA103" s="129">
        <f t="shared" si="126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9"/>
        <v>0.89571762368630381</v>
      </c>
      <c r="CL103" s="179">
        <f t="shared" si="90"/>
        <v>6</v>
      </c>
      <c r="CM103" s="180">
        <f t="shared" si="91"/>
        <v>39673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0.37359138514758872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0</v>
      </c>
      <c r="DI103" s="161">
        <f t="shared" si="97"/>
        <v>0</v>
      </c>
      <c r="DJ103" s="161">
        <f t="shared" si="98"/>
        <v>0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0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</v>
      </c>
      <c r="ES103" s="139">
        <f t="shared" si="58"/>
        <v>0</v>
      </c>
      <c r="ET103" s="139">
        <f t="shared" si="59"/>
        <v>0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0</v>
      </c>
      <c r="FV103" s="149"/>
      <c r="FY103" s="210">
        <v>98</v>
      </c>
      <c r="FZ103">
        <v>0.78248130162153329</v>
      </c>
      <c r="GA103">
        <v>4.1772740115454958</v>
      </c>
      <c r="GB103">
        <v>2.5514889520087638</v>
      </c>
      <c r="GC103">
        <v>0.88340624607143303</v>
      </c>
      <c r="GD103">
        <v>1.1823505843288582</v>
      </c>
      <c r="GE103">
        <v>2.9027814102895437</v>
      </c>
      <c r="GF103">
        <v>4.0067604975350699</v>
      </c>
      <c r="GG103">
        <v>7.4312198084205887</v>
      </c>
      <c r="GH103">
        <v>9.0364088268193523</v>
      </c>
      <c r="GI103">
        <v>3.6334403035104796</v>
      </c>
      <c r="GJ103"/>
      <c r="GK103"/>
      <c r="GL103"/>
      <c r="GM103"/>
    </row>
    <row r="104" spans="1:195" s="7" customFormat="1">
      <c r="A104" s="1"/>
      <c r="B104" s="76">
        <f t="shared" ca="1" si="49"/>
        <v>0.23954104172339363</v>
      </c>
      <c r="C104">
        <v>10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21.05240597045783</v>
      </c>
      <c r="AO104">
        <v>4.5517148943601953</v>
      </c>
      <c r="AP104">
        <v>32.81590859468897</v>
      </c>
      <c r="AQ104">
        <v>28.081335704424674</v>
      </c>
      <c r="AR104">
        <v>4.2695710233096076</v>
      </c>
      <c r="AS104">
        <v>22.628723420831626</v>
      </c>
      <c r="AT104">
        <v>2.9639652443409297</v>
      </c>
      <c r="AU104">
        <v>-0.80522819274265145</v>
      </c>
      <c r="AV104"/>
      <c r="AW104"/>
      <c r="AX104" s="146"/>
      <c r="AY104" s="76">
        <f ca="1">IF(AZ104="", "", RAND())</f>
        <v>6.6307068028206295E-3</v>
      </c>
      <c r="AZ104">
        <v>7</v>
      </c>
      <c r="BA104" s="129">
        <f t="shared" si="126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9"/>
        <v>0.57893912918456447</v>
      </c>
      <c r="CL104" s="179">
        <f t="shared" si="90"/>
        <v>7</v>
      </c>
      <c r="CM104" s="180">
        <f t="shared" si="91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0.85342898212978224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0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0</v>
      </c>
      <c r="FV104" s="149"/>
      <c r="FY104" s="210">
        <v>99</v>
      </c>
      <c r="FZ104">
        <v>0.63022995722980224</v>
      </c>
      <c r="GA104">
        <v>3.0608000360644212</v>
      </c>
      <c r="GB104">
        <v>1.651646936004753</v>
      </c>
      <c r="GC104">
        <v>0.83925519941919402</v>
      </c>
      <c r="GD104">
        <v>3.4415256283620761</v>
      </c>
      <c r="GE104">
        <v>6.573081128180986</v>
      </c>
      <c r="GF104">
        <v>3.0192307372819078</v>
      </c>
      <c r="GG104">
        <v>4.7066416842438397</v>
      </c>
      <c r="GH104">
        <v>4.6979405855336953</v>
      </c>
      <c r="GI104">
        <v>3.8356497746168601</v>
      </c>
      <c r="GJ104"/>
      <c r="GK104"/>
      <c r="GL104"/>
      <c r="GM104"/>
    </row>
    <row r="105" spans="1:195" s="7" customFormat="1">
      <c r="A105" s="1"/>
      <c r="B105" s="76">
        <f t="shared" ca="1" si="49"/>
        <v>3.2838041018841579E-2</v>
      </c>
      <c r="C105">
        <v>9</v>
      </c>
      <c r="D105">
        <v>39673</v>
      </c>
      <c r="E105">
        <v>0</v>
      </c>
      <c r="F105">
        <v>0</v>
      </c>
      <c r="G105">
        <v>10.416666666666666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23.793415496540497</v>
      </c>
      <c r="AO105">
        <v>4.9796983555260805</v>
      </c>
      <c r="AP105">
        <v>39.337096116625268</v>
      </c>
      <c r="AQ105">
        <v>32.415304434636283</v>
      </c>
      <c r="AR105">
        <v>4.733454082703326</v>
      </c>
      <c r="AS105">
        <v>24.86660195354154</v>
      </c>
      <c r="AT105">
        <v>2.9801561244799917</v>
      </c>
      <c r="AU105">
        <v>2.6235033310837648</v>
      </c>
      <c r="AV105"/>
      <c r="AW105"/>
      <c r="AX105" s="146"/>
      <c r="AY105" s="76">
        <f ca="1">IF(AZ105="", "", RAND())</f>
        <v>0.42123783535283321</v>
      </c>
      <c r="AZ105">
        <v>8</v>
      </c>
      <c r="BA105" s="129">
        <f t="shared" si="126"/>
        <v>39673</v>
      </c>
      <c r="BB105">
        <v>0</v>
      </c>
      <c r="BC105" s="215">
        <v>0</v>
      </c>
      <c r="BD105" s="215">
        <v>0</v>
      </c>
      <c r="BE105" s="215">
        <v>0</v>
      </c>
      <c r="BF105" s="215">
        <v>0</v>
      </c>
      <c r="BG105" s="215">
        <v>0</v>
      </c>
      <c r="BH105" s="21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9"/>
        <v>0.7727090049012606</v>
      </c>
      <c r="CL105" s="179">
        <f t="shared" si="90"/>
        <v>8</v>
      </c>
      <c r="CM105" s="180">
        <f t="shared" si="91"/>
        <v>39673</v>
      </c>
      <c r="CN105" s="223">
        <v>0</v>
      </c>
      <c r="CO105" s="223">
        <v>0</v>
      </c>
      <c r="CP105" s="223">
        <v>0</v>
      </c>
      <c r="CQ105" s="223">
        <v>1</v>
      </c>
      <c r="CR105" s="223">
        <v>0</v>
      </c>
      <c r="CS105" s="223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2.7857926016451096E-2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0</v>
      </c>
      <c r="DI105" s="161">
        <f t="shared" si="97"/>
        <v>20.833333333333332</v>
      </c>
      <c r="DJ105" s="161">
        <f t="shared" si="98"/>
        <v>0</v>
      </c>
      <c r="DK105" s="161">
        <f t="shared" si="99"/>
        <v>0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20.833333333333332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0</v>
      </c>
      <c r="ES105" s="139">
        <f t="shared" si="58"/>
        <v>2.4748685548609979</v>
      </c>
      <c r="ET105" s="139">
        <f t="shared" si="59"/>
        <v>0</v>
      </c>
      <c r="EU105" s="139">
        <f t="shared" si="60"/>
        <v>0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2.4748685548609979</v>
      </c>
      <c r="FV105" s="149"/>
      <c r="FY105" s="210">
        <v>100</v>
      </c>
      <c r="FZ105">
        <v>0.91174948287207169</v>
      </c>
      <c r="GA105">
        <v>1.7094860850481211</v>
      </c>
      <c r="GB105">
        <v>0.8114322686616684</v>
      </c>
      <c r="GC105">
        <v>0.55725676396950674</v>
      </c>
      <c r="GD105">
        <v>1.6186925913521697</v>
      </c>
      <c r="GE105">
        <v>4.2576514545172568</v>
      </c>
      <c r="GF105">
        <v>5.4761957312452365</v>
      </c>
      <c r="GG105">
        <v>6.5227677659811416</v>
      </c>
      <c r="GH105">
        <v>5.7737112576842122</v>
      </c>
      <c r="GI105">
        <v>3.2150871956534961</v>
      </c>
      <c r="GJ105"/>
      <c r="GK105"/>
      <c r="GL105"/>
      <c r="GM105"/>
    </row>
    <row r="106" spans="1:195" s="7" customFormat="1">
      <c r="A106" s="1"/>
      <c r="B106" s="76">
        <f t="shared" ca="1" si="49"/>
        <v>2.5063943631805863E-2</v>
      </c>
      <c r="C106">
        <v>5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23.413453487755344</v>
      </c>
      <c r="AO106">
        <v>4.7685272914262722</v>
      </c>
      <c r="AP106">
        <v>38.210541121910857</v>
      </c>
      <c r="AQ106">
        <v>32.095309787389247</v>
      </c>
      <c r="AR106">
        <v>4.4530993438296136</v>
      </c>
      <c r="AS106">
        <v>22.38574745866336</v>
      </c>
      <c r="AT106">
        <v>2.7809005979585746</v>
      </c>
      <c r="AU106">
        <v>-1.107901332446227</v>
      </c>
      <c r="AV106"/>
      <c r="AW106"/>
      <c r="AX106" s="146"/>
      <c r="AY106" s="76">
        <f t="shared" ca="1" si="87"/>
        <v>0.65653674234632842</v>
      </c>
      <c r="AZ106">
        <v>9</v>
      </c>
      <c r="BA106" s="129">
        <f t="shared" si="126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9"/>
        <v>0.47775904856290552</v>
      </c>
      <c r="CL106" s="179">
        <f t="shared" si="90"/>
        <v>9</v>
      </c>
      <c r="CM106" s="180">
        <f t="shared" si="91"/>
        <v>39673</v>
      </c>
      <c r="CN106">
        <v>0</v>
      </c>
      <c r="CO106">
        <v>0</v>
      </c>
      <c r="CP106">
        <v>1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0.26211604476837724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10.416666666666666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10.416666666666666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0.41006202526833385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0.41006202526833385</v>
      </c>
      <c r="FV106" s="149"/>
      <c r="FY106" s="210">
        <v>101</v>
      </c>
      <c r="FZ106">
        <v>1.3379919293138507</v>
      </c>
      <c r="GA106">
        <v>4.2249559580821234</v>
      </c>
      <c r="GB106">
        <v>3.2197796370269032</v>
      </c>
      <c r="GC106">
        <v>0.85958063520832251</v>
      </c>
      <c r="GD106">
        <v>3.1519429707024558</v>
      </c>
      <c r="GE106">
        <v>6.9637263223808326</v>
      </c>
      <c r="GF106">
        <v>3.9316610061099233</v>
      </c>
      <c r="GG106">
        <v>4.3850012374556524</v>
      </c>
      <c r="GH106">
        <v>4.3840839732295516</v>
      </c>
      <c r="GI106">
        <v>4.2832627368531355</v>
      </c>
      <c r="GJ106"/>
      <c r="GK106"/>
      <c r="GL106"/>
      <c r="GM106"/>
    </row>
    <row r="107" spans="1:195" s="7" customFormat="1">
      <c r="A107" s="1"/>
      <c r="B107" s="76">
        <f t="shared" ca="1" si="49"/>
        <v>0.30696106419816171</v>
      </c>
      <c r="C107">
        <v>6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16.363181089743584</v>
      </c>
      <c r="AO107">
        <v>4.5315660063282523</v>
      </c>
      <c r="AP107">
        <v>39.405021969395825</v>
      </c>
      <c r="AQ107">
        <v>30.982589297224017</v>
      </c>
      <c r="AR107">
        <v>4.3528654120798853</v>
      </c>
      <c r="AS107">
        <v>22.338197248371497</v>
      </c>
      <c r="AT107">
        <v>3.1264880807045814</v>
      </c>
      <c r="AU107">
        <v>4.5085404283893009</v>
      </c>
      <c r="AV107"/>
      <c r="AW107"/>
      <c r="AX107" s="146"/>
      <c r="AY107" s="76">
        <f t="shared" ca="1" si="87"/>
        <v>0.51892676280245542</v>
      </c>
      <c r="AZ107">
        <v>10</v>
      </c>
      <c r="BA107" s="129">
        <f t="shared" si="126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9"/>
        <v>0.15651834093858463</v>
      </c>
      <c r="CL107" s="179">
        <f t="shared" si="90"/>
        <v>10</v>
      </c>
      <c r="CM107" s="180">
        <f t="shared" si="91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0.50622966250924795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0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0</v>
      </c>
      <c r="FV107" s="149"/>
      <c r="FY107" s="210">
        <v>102</v>
      </c>
      <c r="FZ107">
        <v>0.69191577207708232</v>
      </c>
      <c r="GA107">
        <v>1.5080011966145326</v>
      </c>
      <c r="GB107">
        <v>1.873956180485052</v>
      </c>
      <c r="GC107">
        <v>1.273251048811648</v>
      </c>
      <c r="GD107">
        <v>1.3662086545129168</v>
      </c>
      <c r="GE107">
        <v>3.1155395334965892</v>
      </c>
      <c r="GF107">
        <v>6.1080986825745365</v>
      </c>
      <c r="GG107">
        <v>6.8396685792781255</v>
      </c>
      <c r="GH107">
        <v>4.7987861639251665</v>
      </c>
      <c r="GI107">
        <v>3.2676396897468742</v>
      </c>
      <c r="GJ107"/>
      <c r="GK107"/>
      <c r="GL107"/>
      <c r="GM107"/>
    </row>
    <row r="108" spans="1:195" s="7" customFormat="1">
      <c r="A108" s="128"/>
      <c r="B108" s="76">
        <f t="shared" ca="1" si="49"/>
        <v>0.62536361010776975</v>
      </c>
      <c r="C108">
        <v>2</v>
      </c>
      <c r="D108">
        <v>39714</v>
      </c>
      <c r="E108">
        <v>0</v>
      </c>
      <c r="F108">
        <v>0</v>
      </c>
      <c r="G108">
        <v>0</v>
      </c>
      <c r="H108">
        <v>31.25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34.258924269494116</v>
      </c>
      <c r="AO108">
        <v>5.3443095178020892</v>
      </c>
      <c r="AP108">
        <v>35.818365450230743</v>
      </c>
      <c r="AQ108">
        <v>32.021141933432361</v>
      </c>
      <c r="AR108">
        <v>5.0644952947790269</v>
      </c>
      <c r="AS108">
        <v>26.404235750815431</v>
      </c>
      <c r="AT108">
        <v>3.1499835565530216</v>
      </c>
      <c r="AU108">
        <v>12.451459261944292</v>
      </c>
      <c r="AV108"/>
      <c r="AW108"/>
      <c r="AX108" s="128"/>
      <c r="AY108" s="76">
        <f t="shared" ca="1" si="87"/>
        <v>0.53786296828227043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3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9"/>
        <v>0.17243461204005772</v>
      </c>
      <c r="CL108" s="179">
        <f t="shared" si="90"/>
        <v>1</v>
      </c>
      <c r="CM108" s="180">
        <f t="shared" si="91"/>
        <v>39714</v>
      </c>
      <c r="CN108">
        <v>1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0.71943155675762038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65.104166666666671</v>
      </c>
      <c r="DG108" s="161">
        <f t="shared" si="95"/>
        <v>0</v>
      </c>
      <c r="DH108" s="161">
        <f t="shared" si="96"/>
        <v>0</v>
      </c>
      <c r="DI108" s="161">
        <f t="shared" si="97"/>
        <v>31.25</v>
      </c>
      <c r="DJ108" s="161">
        <f t="shared" si="98"/>
        <v>0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96.354166666666671</v>
      </c>
      <c r="EL108" s="149"/>
      <c r="EN108" s="146"/>
      <c r="EO108" s="146"/>
      <c r="EP108" s="139">
        <f t="shared" si="55"/>
        <v>5.8710820970004796E-2</v>
      </c>
      <c r="EQ108" s="139">
        <f t="shared" si="56"/>
        <v>0</v>
      </c>
      <c r="ER108" s="139">
        <f t="shared" si="57"/>
        <v>0</v>
      </c>
      <c r="ES108" s="139">
        <f t="shared" si="58"/>
        <v>3.7123028322914973</v>
      </c>
      <c r="ET108" s="139">
        <f t="shared" si="59"/>
        <v>0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3.7710136532615022</v>
      </c>
      <c r="FV108" s="149"/>
      <c r="FY108" s="210">
        <v>103</v>
      </c>
      <c r="FZ108">
        <v>1.0151229977288643</v>
      </c>
      <c r="GA108">
        <v>2.2732651287051273</v>
      </c>
      <c r="GB108">
        <v>1.7512309404397719</v>
      </c>
      <c r="GC108">
        <v>0.6649131739173002</v>
      </c>
      <c r="GD108">
        <v>2.389382385916706</v>
      </c>
      <c r="GE108">
        <v>4.7643575632177306</v>
      </c>
      <c r="GF108">
        <v>4.5925749785676873</v>
      </c>
      <c r="GG108">
        <v>6.9379813872120364</v>
      </c>
      <c r="GH108">
        <v>4.9976298778424946</v>
      </c>
      <c r="GI108">
        <v>3.6659789286156133</v>
      </c>
      <c r="GJ108"/>
      <c r="GK108"/>
      <c r="GL108"/>
      <c r="GM108"/>
    </row>
    <row r="109" spans="1:195" s="7" customFormat="1">
      <c r="A109" s="1"/>
      <c r="B109" s="76">
        <f t="shared" ca="1" si="49"/>
        <v>0.91221895744327419</v>
      </c>
      <c r="C109">
        <v>4</v>
      </c>
      <c r="D109">
        <v>39714</v>
      </c>
      <c r="E109">
        <v>0</v>
      </c>
      <c r="F109">
        <v>0</v>
      </c>
      <c r="G109">
        <v>0</v>
      </c>
      <c r="H109">
        <v>52.083333333333336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26.443372514604128</v>
      </c>
      <c r="AO109">
        <v>5.7237851039880265</v>
      </c>
      <c r="AP109">
        <v>40.727748190177294</v>
      </c>
      <c r="AQ109">
        <v>35.306211024356976</v>
      </c>
      <c r="AR109">
        <v>5.3976152644676194</v>
      </c>
      <c r="AS109">
        <v>26.682518747768569</v>
      </c>
      <c r="AT109">
        <v>3.3792833573904364</v>
      </c>
      <c r="AU109">
        <v>3.2257228172059453</v>
      </c>
      <c r="AV109"/>
      <c r="AW109"/>
      <c r="AX109" s="146"/>
      <c r="AY109" s="76">
        <f t="shared" ca="1" si="87"/>
        <v>0.28822951148029929</v>
      </c>
      <c r="AZ109">
        <v>2</v>
      </c>
      <c r="BA109" s="129">
        <f t="shared" ref="BA109:BA117" si="128">IF(AZ109="", "",$C$6)</f>
        <v>39714</v>
      </c>
      <c r="BB109">
        <v>0</v>
      </c>
      <c r="BC109">
        <v>0</v>
      </c>
      <c r="BD109">
        <v>0</v>
      </c>
      <c r="BE109">
        <v>3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9"/>
        <v>0.71788387468345238</v>
      </c>
      <c r="CL109" s="179">
        <f t="shared" si="90"/>
        <v>2</v>
      </c>
      <c r="CM109" s="180">
        <f t="shared" si="91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0.74581640606806077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31.25</v>
      </c>
      <c r="DJ109" s="161">
        <f t="shared" si="98"/>
        <v>10.416666666666666</v>
      </c>
      <c r="DK109" s="161">
        <f t="shared" si="99"/>
        <v>0</v>
      </c>
      <c r="DL109" s="161">
        <f t="shared" si="100"/>
        <v>0</v>
      </c>
      <c r="DM109" s="161">
        <f t="shared" si="101"/>
        <v>0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41.666666666666664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3.7123028322914973</v>
      </c>
      <c r="ET109" s="139">
        <f t="shared" si="59"/>
        <v>2.7092885432593907</v>
      </c>
      <c r="EU109" s="139">
        <f t="shared" si="60"/>
        <v>0</v>
      </c>
      <c r="EV109" s="139">
        <f t="shared" si="61"/>
        <v>0</v>
      </c>
      <c r="EW109" s="139">
        <f t="shared" si="62"/>
        <v>0</v>
      </c>
      <c r="EX109" s="139">
        <f t="shared" si="63"/>
        <v>0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6.4215913755508875</v>
      </c>
      <c r="FV109" s="149"/>
      <c r="FY109" s="210">
        <v>104</v>
      </c>
      <c r="FZ109">
        <v>1.5710846841769082</v>
      </c>
      <c r="GA109">
        <v>3.3834285055063562</v>
      </c>
      <c r="GB109">
        <v>2.4100605790470366</v>
      </c>
      <c r="GC109">
        <v>1.3043297803247726</v>
      </c>
      <c r="GD109">
        <v>1.9747631098370535</v>
      </c>
      <c r="GE109">
        <v>5.238487405752803</v>
      </c>
      <c r="GF109">
        <v>8.0217506283582392</v>
      </c>
      <c r="GG109">
        <v>5.9069792981679736</v>
      </c>
      <c r="GH109">
        <v>2.5975051681932468</v>
      </c>
      <c r="GI109">
        <v>3.9115353599439531</v>
      </c>
      <c r="GJ109"/>
      <c r="GK109"/>
      <c r="GL109"/>
      <c r="GM109"/>
    </row>
    <row r="110" spans="1:195" s="7" customFormat="1">
      <c r="A110" s="1"/>
      <c r="B110" s="76">
        <f t="shared" ca="1" si="49"/>
        <v>0.76106608029585954</v>
      </c>
      <c r="C110">
        <v>8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23.505273041431519</v>
      </c>
      <c r="AO110">
        <v>5.0530527606252802</v>
      </c>
      <c r="AP110">
        <v>38.225083058332977</v>
      </c>
      <c r="AQ110">
        <v>32.415545728523313</v>
      </c>
      <c r="AR110">
        <v>4.7218424861537178</v>
      </c>
      <c r="AS110">
        <v>23.147028430999654</v>
      </c>
      <c r="AT110">
        <v>3.2350346983846365</v>
      </c>
      <c r="AU110">
        <v>8.0576888163305469</v>
      </c>
      <c r="AV110"/>
      <c r="AW110"/>
      <c r="AX110" s="146"/>
      <c r="AY110" s="76">
        <f t="shared" ca="1" si="87"/>
        <v>0.85194646620349168</v>
      </c>
      <c r="AZ110">
        <v>3</v>
      </c>
      <c r="BA110" s="129">
        <f t="shared" si="128"/>
        <v>39714</v>
      </c>
      <c r="BB110">
        <v>0</v>
      </c>
      <c r="BC110">
        <v>0</v>
      </c>
      <c r="BD110">
        <v>1</v>
      </c>
      <c r="BE110">
        <v>3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9"/>
        <v>0.34843542415026363</v>
      </c>
      <c r="CL110" s="179">
        <f t="shared" si="90"/>
        <v>3</v>
      </c>
      <c r="CM110" s="180">
        <f t="shared" si="91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0.33758779452646492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0</v>
      </c>
      <c r="DH110" s="161">
        <f t="shared" si="96"/>
        <v>10.416666666666666</v>
      </c>
      <c r="DI110" s="161">
        <f t="shared" si="97"/>
        <v>31.25</v>
      </c>
      <c r="DJ110" s="161">
        <f t="shared" si="98"/>
        <v>0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41.666666666666664</v>
      </c>
      <c r="EL110" s="149"/>
      <c r="EN110" s="146"/>
      <c r="EO110" s="146"/>
      <c r="EP110" s="139">
        <f t="shared" si="55"/>
        <v>0</v>
      </c>
      <c r="EQ110" s="139">
        <f t="shared" si="56"/>
        <v>0</v>
      </c>
      <c r="ER110" s="139">
        <f t="shared" si="57"/>
        <v>0.41006202526833385</v>
      </c>
      <c r="ES110" s="139">
        <f t="shared" si="58"/>
        <v>3.7123028322914973</v>
      </c>
      <c r="ET110" s="139">
        <f t="shared" si="59"/>
        <v>0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4.1223648575598313</v>
      </c>
      <c r="FV110" s="149"/>
      <c r="FY110" s="210">
        <v>105</v>
      </c>
      <c r="FZ110">
        <v>0.99478658882430104</v>
      </c>
      <c r="GA110">
        <v>1.7428251515186615</v>
      </c>
      <c r="GB110">
        <v>1.0330111536033961</v>
      </c>
      <c r="GC110">
        <v>0.26130111111956011</v>
      </c>
      <c r="GD110">
        <v>1.2672583629811989</v>
      </c>
      <c r="GE110">
        <v>3.0655266730968975</v>
      </c>
      <c r="GF110">
        <v>3.102938251409328</v>
      </c>
      <c r="GG110">
        <v>6.5811101195205133</v>
      </c>
      <c r="GH110">
        <v>7.8189765340843049</v>
      </c>
      <c r="GI110">
        <v>2.9721061585610067</v>
      </c>
      <c r="GJ110"/>
      <c r="GK110"/>
      <c r="GL110"/>
      <c r="GM110"/>
    </row>
    <row r="111" spans="1:195" s="7" customFormat="1">
      <c r="A111" s="1"/>
      <c r="B111" s="76">
        <f t="shared" ca="1" si="49"/>
        <v>0.63701249523595349</v>
      </c>
      <c r="C111">
        <v>7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28.414320795148392</v>
      </c>
      <c r="AO111">
        <v>5.2269723775665202</v>
      </c>
      <c r="AP111">
        <v>37.785195157913513</v>
      </c>
      <c r="AQ111">
        <v>32.750125358457282</v>
      </c>
      <c r="AR111">
        <v>5.0524977776817348</v>
      </c>
      <c r="AS111">
        <v>23.577209188316925</v>
      </c>
      <c r="AT111">
        <v>3.2670150360414816</v>
      </c>
      <c r="AU111">
        <v>9.6077388929394409</v>
      </c>
      <c r="AV111"/>
      <c r="AW111"/>
      <c r="AX111" s="146"/>
      <c r="AY111" s="76">
        <f t="shared" ca="1" si="87"/>
        <v>0.81151290162736189</v>
      </c>
      <c r="AZ111">
        <v>4</v>
      </c>
      <c r="BA111" s="129">
        <f t="shared" si="128"/>
        <v>39714</v>
      </c>
      <c r="BB111">
        <v>0</v>
      </c>
      <c r="BC111">
        <v>0</v>
      </c>
      <c r="BD111">
        <v>0</v>
      </c>
      <c r="BE111">
        <v>5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9"/>
        <v>0.86817060982304683</v>
      </c>
      <c r="CL111" s="179">
        <f t="shared" si="90"/>
        <v>4</v>
      </c>
      <c r="CM111" s="180">
        <f t="shared" si="91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0.76732417350550297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52.083333333333336</v>
      </c>
      <c r="DJ111" s="161">
        <f t="shared" si="98"/>
        <v>0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52.083333333333336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6.187171387152496</v>
      </c>
      <c r="ET111" s="139">
        <f t="shared" si="59"/>
        <v>0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6.187171387152496</v>
      </c>
      <c r="FV111" s="149"/>
      <c r="FY111" s="210">
        <v>106</v>
      </c>
      <c r="FZ111">
        <v>1.2622045511847801</v>
      </c>
      <c r="GA111">
        <v>1.8744913295614913</v>
      </c>
      <c r="GB111">
        <v>1.106254115306831</v>
      </c>
      <c r="GC111">
        <v>0.57985865413411941</v>
      </c>
      <c r="GD111">
        <v>1.650955879291744</v>
      </c>
      <c r="GE111">
        <v>5.121604656970498</v>
      </c>
      <c r="GF111">
        <v>7.3470974208154232</v>
      </c>
      <c r="GG111">
        <v>6.0024265212964485</v>
      </c>
      <c r="GH111">
        <v>4.6499200863077252</v>
      </c>
      <c r="GI111">
        <v>3.5502274786456218</v>
      </c>
      <c r="GJ111"/>
      <c r="GK111"/>
      <c r="GL111"/>
      <c r="GM111"/>
    </row>
    <row r="112" spans="1:195" s="7" customFormat="1">
      <c r="A112" s="1"/>
      <c r="B112" s="76">
        <f t="shared" ca="1" si="49"/>
        <v>0.34359838759457784</v>
      </c>
      <c r="C112">
        <v>6</v>
      </c>
      <c r="D112">
        <v>39714</v>
      </c>
      <c r="E112">
        <v>0</v>
      </c>
      <c r="F112">
        <v>0</v>
      </c>
      <c r="G112">
        <v>0</v>
      </c>
      <c r="H112">
        <v>20.833333333333332</v>
      </c>
      <c r="I112">
        <v>0</v>
      </c>
      <c r="J112">
        <v>0</v>
      </c>
      <c r="K112">
        <v>10.416666666666666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20.209442671299286</v>
      </c>
      <c r="AO112">
        <v>4.1113223678455935</v>
      </c>
      <c r="AP112">
        <v>31.098561827259292</v>
      </c>
      <c r="AQ112">
        <v>25.480709236901653</v>
      </c>
      <c r="AR112">
        <v>3.8625707213711094</v>
      </c>
      <c r="AS112">
        <v>19.917224581546343</v>
      </c>
      <c r="AT112">
        <v>2.780495436701321</v>
      </c>
      <c r="AU112">
        <v>6.614571676238743</v>
      </c>
      <c r="AV112"/>
      <c r="AW112"/>
      <c r="AX112" s="146"/>
      <c r="AY112" s="76">
        <f t="shared" ca="1" si="87"/>
        <v>0.41538212195966917</v>
      </c>
      <c r="AZ112">
        <v>5</v>
      </c>
      <c r="BA112" s="129">
        <f t="shared" si="128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9"/>
        <v>0.61386483693836724</v>
      </c>
      <c r="CL112" s="179">
        <f t="shared" si="90"/>
        <v>5</v>
      </c>
      <c r="CM112" s="180">
        <f t="shared" si="91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0.40859639964912642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0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0</v>
      </c>
      <c r="ET112" s="139">
        <f t="shared" si="59"/>
        <v>0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0</v>
      </c>
      <c r="FV112" s="149"/>
      <c r="FY112" s="210">
        <v>107</v>
      </c>
      <c r="FZ112">
        <v>0.76191936333910659</v>
      </c>
      <c r="GA112">
        <v>1.488256816517038</v>
      </c>
      <c r="GB112">
        <v>1.6275445223270397</v>
      </c>
      <c r="GC112">
        <v>0.95282025104573165</v>
      </c>
      <c r="GD112">
        <v>2.2028085871982279</v>
      </c>
      <c r="GE112">
        <v>5.2380676548238991</v>
      </c>
      <c r="GF112">
        <v>3.8045630837245836</v>
      </c>
      <c r="GG112">
        <v>3.2007527151853314</v>
      </c>
      <c r="GH112">
        <v>3.4615412830524672</v>
      </c>
      <c r="GI112">
        <v>3.0624966536189455</v>
      </c>
      <c r="GJ112"/>
      <c r="GK112"/>
      <c r="GL112"/>
      <c r="GM112"/>
    </row>
    <row r="113" spans="1:195" s="7" customFormat="1">
      <c r="A113" s="1"/>
      <c r="B113" s="76">
        <f t="shared" ca="1" si="49"/>
        <v>9.2894786470760771E-2</v>
      </c>
      <c r="C113">
        <v>3</v>
      </c>
      <c r="D113">
        <v>39714</v>
      </c>
      <c r="E113">
        <v>0</v>
      </c>
      <c r="F113">
        <v>0</v>
      </c>
      <c r="G113">
        <v>10.416666666666666</v>
      </c>
      <c r="H113">
        <v>31.25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26.531966544687521</v>
      </c>
      <c r="AO113">
        <v>5.5452781083910825</v>
      </c>
      <c r="AP113">
        <v>40.530414837502128</v>
      </c>
      <c r="AQ113">
        <v>34.627423405239846</v>
      </c>
      <c r="AR113">
        <v>5.1241670203479135</v>
      </c>
      <c r="AS113">
        <v>23.498894056847845</v>
      </c>
      <c r="AT113">
        <v>3.3461892968254001</v>
      </c>
      <c r="AU113">
        <v>0.55646319656530574</v>
      </c>
      <c r="AV113"/>
      <c r="AW113"/>
      <c r="AX113" s="146"/>
      <c r="AY113" s="76">
        <f t="shared" ca="1" si="87"/>
        <v>0.69133949980569298</v>
      </c>
      <c r="AZ113">
        <v>6</v>
      </c>
      <c r="BA113" s="129">
        <f t="shared" si="128"/>
        <v>39714</v>
      </c>
      <c r="BB113">
        <v>0</v>
      </c>
      <c r="BC113">
        <v>0</v>
      </c>
      <c r="BD113">
        <v>0</v>
      </c>
      <c r="BE113">
        <v>2</v>
      </c>
      <c r="BF113">
        <v>0</v>
      </c>
      <c r="BG113">
        <v>0</v>
      </c>
      <c r="BH113">
        <v>1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9"/>
        <v>0.30361067724274093</v>
      </c>
      <c r="CL113" s="179">
        <f t="shared" si="90"/>
        <v>6</v>
      </c>
      <c r="CM113" s="180">
        <f t="shared" si="91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0.93863084162788368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20.833333333333332</v>
      </c>
      <c r="DJ113" s="161">
        <f t="shared" si="98"/>
        <v>0</v>
      </c>
      <c r="DK113" s="161">
        <f t="shared" si="99"/>
        <v>0</v>
      </c>
      <c r="DL113" s="161">
        <f t="shared" si="100"/>
        <v>10.416666666666666</v>
      </c>
      <c r="DM113" s="161">
        <f t="shared" si="101"/>
        <v>0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31.25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2.4748685548609979</v>
      </c>
      <c r="ET113" s="139">
        <f t="shared" si="59"/>
        <v>0</v>
      </c>
      <c r="EU113" s="139">
        <f t="shared" si="60"/>
        <v>0</v>
      </c>
      <c r="EV113" s="139">
        <f t="shared" si="61"/>
        <v>8.1757546524457592</v>
      </c>
      <c r="EW113" s="139">
        <f t="shared" si="62"/>
        <v>0</v>
      </c>
      <c r="EX113" s="139">
        <f t="shared" si="63"/>
        <v>0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10.650623207306758</v>
      </c>
      <c r="FV113" s="149"/>
      <c r="FY113" s="210">
        <v>108</v>
      </c>
      <c r="FZ113">
        <v>1.5772067651107498</v>
      </c>
      <c r="GA113">
        <v>2.509788884328128</v>
      </c>
      <c r="GB113">
        <v>1.0462601304406591</v>
      </c>
      <c r="GC113">
        <v>0.77103524429408909</v>
      </c>
      <c r="GD113">
        <v>2.0359402406010672</v>
      </c>
      <c r="GE113">
        <v>3.846699049963926</v>
      </c>
      <c r="GF113">
        <v>3.6145172221671511</v>
      </c>
      <c r="GG113">
        <v>4.6616361740678052</v>
      </c>
      <c r="GH113">
        <v>5.2290636831889845</v>
      </c>
      <c r="GI113">
        <v>3.1852614226026996</v>
      </c>
      <c r="GJ113"/>
      <c r="GK113"/>
      <c r="GL113"/>
      <c r="GM113"/>
    </row>
    <row r="114" spans="1:195" s="7" customFormat="1">
      <c r="A114" s="1"/>
      <c r="B114" s="76">
        <f t="shared" ca="1" si="49"/>
        <v>0.1234368973742479</v>
      </c>
      <c r="C114">
        <v>10</v>
      </c>
      <c r="D114">
        <v>39714</v>
      </c>
      <c r="E114">
        <v>0</v>
      </c>
      <c r="F114">
        <v>89.285714285714278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22.406051167853029</v>
      </c>
      <c r="AO114">
        <v>5.3404870763040755</v>
      </c>
      <c r="AP114">
        <v>45.312385890520659</v>
      </c>
      <c r="AQ114">
        <v>36.587611942151121</v>
      </c>
      <c r="AR114">
        <v>5.0242571655359622</v>
      </c>
      <c r="AS114">
        <v>22.95925544902536</v>
      </c>
      <c r="AT114">
        <v>3.0501520551951686</v>
      </c>
      <c r="AU114">
        <v>-9.0043735617314145</v>
      </c>
      <c r="AV114"/>
      <c r="AW114"/>
      <c r="AX114" s="146"/>
      <c r="AY114" s="76">
        <f t="shared" ca="1" si="87"/>
        <v>0.77221431553877284</v>
      </c>
      <c r="AZ114">
        <v>7</v>
      </c>
      <c r="BA114" s="129">
        <f t="shared" si="128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9"/>
        <v>0.68514594085457503</v>
      </c>
      <c r="CL114" s="179">
        <f t="shared" si="90"/>
        <v>7</v>
      </c>
      <c r="CM114" s="180">
        <f t="shared" si="91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0.40981969134463903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0">
        <v>109</v>
      </c>
      <c r="FZ114">
        <v>0.88529099303366721</v>
      </c>
      <c r="GA114">
        <v>2.3865065688069866</v>
      </c>
      <c r="GB114">
        <v>1.7647061884726556</v>
      </c>
      <c r="GC114">
        <v>0.80989587223731474</v>
      </c>
      <c r="GD114">
        <v>0.71949087013445112</v>
      </c>
      <c r="GE114">
        <v>3.305878087679357</v>
      </c>
      <c r="GF114">
        <v>6.6845378569589116</v>
      </c>
      <c r="GG114">
        <v>4.628213680911422</v>
      </c>
      <c r="GH114">
        <v>5.0090649251904535</v>
      </c>
      <c r="GI114">
        <v>3.0346111170243772</v>
      </c>
      <c r="GJ114"/>
      <c r="GK114"/>
      <c r="GL114"/>
      <c r="GM114"/>
    </row>
    <row r="115" spans="1:195" s="7" customFormat="1">
      <c r="A115" s="1"/>
      <c r="B115" s="76">
        <f t="shared" ca="1" si="49"/>
        <v>0.47528896349119432</v>
      </c>
      <c r="C115">
        <v>1</v>
      </c>
      <c r="D115">
        <v>39714</v>
      </c>
      <c r="E115">
        <v>65.104166666666671</v>
      </c>
      <c r="F115">
        <v>0</v>
      </c>
      <c r="G115">
        <v>0</v>
      </c>
      <c r="H115">
        <v>31.25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29.733558185617397</v>
      </c>
      <c r="AO115">
        <v>5.6982050620580269</v>
      </c>
      <c r="AP115">
        <v>34.193553194164501</v>
      </c>
      <c r="AQ115">
        <v>32.456001666937539</v>
      </c>
      <c r="AR115">
        <v>5.3356832372720486</v>
      </c>
      <c r="AS115">
        <v>24.098284057226678</v>
      </c>
      <c r="AT115">
        <v>3.4729960441491063</v>
      </c>
      <c r="AU115">
        <v>16.852769482245819</v>
      </c>
      <c r="AV115"/>
      <c r="AW115"/>
      <c r="AX115" s="146"/>
      <c r="AY115" s="76">
        <f t="shared" ca="1" si="87"/>
        <v>0.27392786964275317</v>
      </c>
      <c r="AZ115">
        <v>8</v>
      </c>
      <c r="BA115" s="129">
        <f t="shared" si="128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9"/>
        <v>0.36641011999331741</v>
      </c>
      <c r="CL115" s="179">
        <f t="shared" si="90"/>
        <v>8</v>
      </c>
      <c r="CM115" s="180">
        <f t="shared" si="91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0.90031098719413105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0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0</v>
      </c>
      <c r="FV115" s="149"/>
      <c r="FY115" s="210">
        <v>110</v>
      </c>
      <c r="FZ115">
        <v>1.2624300805626436</v>
      </c>
      <c r="GA115">
        <v>1.5360438635911613</v>
      </c>
      <c r="GB115">
        <v>1.5828172336649931</v>
      </c>
      <c r="GC115">
        <v>1.0107919947655168</v>
      </c>
      <c r="GD115">
        <v>1.5336165797325354</v>
      </c>
      <c r="GE115">
        <v>4.7677594823583451</v>
      </c>
      <c r="GF115">
        <v>5.1686856567912223</v>
      </c>
      <c r="GG115">
        <v>3.7483946906736385</v>
      </c>
      <c r="GH115">
        <v>3.8114854248506118</v>
      </c>
      <c r="GI115">
        <v>3.0470096757902119</v>
      </c>
      <c r="GJ115"/>
      <c r="GK115"/>
      <c r="GL115"/>
      <c r="GM115"/>
    </row>
    <row r="116" spans="1:195" s="7" customFormat="1">
      <c r="A116" s="1"/>
      <c r="B116" s="76">
        <f t="shared" ca="1" si="49"/>
        <v>0.46323927178513991</v>
      </c>
      <c r="C116">
        <v>9</v>
      </c>
      <c r="D116">
        <v>39714</v>
      </c>
      <c r="E116">
        <v>0</v>
      </c>
      <c r="F116">
        <v>0</v>
      </c>
      <c r="G116">
        <v>0</v>
      </c>
      <c r="H116">
        <v>10.416666666666666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24.048542272200748</v>
      </c>
      <c r="AO116">
        <v>4.7817032359268783</v>
      </c>
      <c r="AP116">
        <v>35.658490384409191</v>
      </c>
      <c r="AQ116">
        <v>30.854030596984877</v>
      </c>
      <c r="AR116">
        <v>4.3870567767779587</v>
      </c>
      <c r="AS116">
        <v>20.176954219904545</v>
      </c>
      <c r="AT116">
        <v>3.0729276505460867</v>
      </c>
      <c r="AU116">
        <v>4.5112520938070624</v>
      </c>
      <c r="AV116"/>
      <c r="AW116"/>
      <c r="AX116" s="146"/>
      <c r="AY116" s="76">
        <f t="shared" ca="1" si="87"/>
        <v>0.34749792159018611</v>
      </c>
      <c r="AZ116">
        <v>9</v>
      </c>
      <c r="BA116" s="129">
        <f t="shared" si="128"/>
        <v>39714</v>
      </c>
      <c r="BB116">
        <v>0</v>
      </c>
      <c r="BC116">
        <v>0</v>
      </c>
      <c r="BD116">
        <v>0</v>
      </c>
      <c r="BE116">
        <v>1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9"/>
        <v>0.21686053463298105</v>
      </c>
      <c r="CL116" s="179">
        <f t="shared" si="90"/>
        <v>9</v>
      </c>
      <c r="CM116" s="180">
        <f t="shared" si="91"/>
        <v>39714</v>
      </c>
      <c r="CN116" s="220">
        <v>0</v>
      </c>
      <c r="CO116" s="220">
        <v>0</v>
      </c>
      <c r="CP116" s="220">
        <v>0</v>
      </c>
      <c r="CQ116" s="220">
        <v>0</v>
      </c>
      <c r="CR116" s="220">
        <v>0</v>
      </c>
      <c r="CS116" s="220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5.1394841904298882E-2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0</v>
      </c>
      <c r="DI116" s="161">
        <f t="shared" si="97"/>
        <v>10.416666666666666</v>
      </c>
      <c r="DJ116" s="161">
        <f t="shared" si="98"/>
        <v>0</v>
      </c>
      <c r="DK116" s="161">
        <f t="shared" si="99"/>
        <v>0</v>
      </c>
      <c r="DL116" s="161">
        <f t="shared" si="100"/>
        <v>0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10.416666666666666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</v>
      </c>
      <c r="ES116" s="139">
        <f t="shared" si="58"/>
        <v>1.2374342774304989</v>
      </c>
      <c r="ET116" s="139">
        <f t="shared" si="59"/>
        <v>0</v>
      </c>
      <c r="EU116" s="139">
        <f t="shared" si="60"/>
        <v>0</v>
      </c>
      <c r="EV116" s="139">
        <f t="shared" si="61"/>
        <v>0</v>
      </c>
      <c r="EW116" s="139">
        <f t="shared" si="62"/>
        <v>0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1.2374342774304989</v>
      </c>
      <c r="FV116" s="149"/>
      <c r="FY116" s="210">
        <v>111</v>
      </c>
      <c r="FZ116">
        <v>0.74113189567881654</v>
      </c>
      <c r="GA116">
        <v>2.1966570688329954</v>
      </c>
      <c r="GB116">
        <v>1.2224813774591115</v>
      </c>
      <c r="GC116">
        <v>0.53645755494483049</v>
      </c>
      <c r="GD116">
        <v>2.4568936700024357</v>
      </c>
      <c r="GE116">
        <v>5.5927476774042297</v>
      </c>
      <c r="GF116">
        <v>4.1467602335625813</v>
      </c>
      <c r="GG116">
        <v>2.9278955364352064</v>
      </c>
      <c r="GH116">
        <v>1.8922589175624069</v>
      </c>
      <c r="GI116">
        <v>2.9563443091442663</v>
      </c>
      <c r="GJ116"/>
      <c r="GK116"/>
      <c r="GL116"/>
      <c r="GM116"/>
    </row>
    <row r="117" spans="1:195" s="7" customFormat="1">
      <c r="A117" s="1"/>
      <c r="B117" s="76">
        <f t="shared" ca="1" si="49"/>
        <v>0.65878837615550623</v>
      </c>
      <c r="C117">
        <v>5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33.299251912303383</v>
      </c>
      <c r="AO117">
        <v>6.2089130576072673</v>
      </c>
      <c r="AP117">
        <v>40.95274136288986</v>
      </c>
      <c r="AQ117">
        <v>36.741986406362756</v>
      </c>
      <c r="AR117">
        <v>5.9636521723872082</v>
      </c>
      <c r="AS117">
        <v>29.340566868387455</v>
      </c>
      <c r="AT117">
        <v>3.9975736190224325</v>
      </c>
      <c r="AU117">
        <v>31.282597461115227</v>
      </c>
      <c r="AV117"/>
      <c r="AW117"/>
      <c r="AX117" s="146"/>
      <c r="AY117" s="76">
        <f t="shared" ca="1" si="87"/>
        <v>4.1922012276836895E-2</v>
      </c>
      <c r="AZ117">
        <v>10</v>
      </c>
      <c r="BA117" s="129">
        <f t="shared" si="128"/>
        <v>39714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9"/>
        <v>0.89413739853602014</v>
      </c>
      <c r="CL117" s="179">
        <f t="shared" si="90"/>
        <v>10</v>
      </c>
      <c r="CM117" s="180">
        <f t="shared" si="91"/>
        <v>39714</v>
      </c>
      <c r="CN117">
        <v>0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0.10699269351794083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89.285714285714278</v>
      </c>
      <c r="DH117" s="161">
        <f t="shared" si="96"/>
        <v>0</v>
      </c>
      <c r="DI117" s="161">
        <f t="shared" si="97"/>
        <v>0</v>
      </c>
      <c r="DJ117" s="161">
        <f t="shared" si="98"/>
        <v>0</v>
      </c>
      <c r="DK117" s="161">
        <f t="shared" si="99"/>
        <v>0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89.285714285714278</v>
      </c>
      <c r="EL117" s="149"/>
      <c r="EN117" s="146"/>
      <c r="EO117" s="146"/>
      <c r="EP117" s="139">
        <f t="shared" si="55"/>
        <v>0</v>
      </c>
      <c r="EQ117" s="139">
        <f t="shared" si="56"/>
        <v>0.53198214285714274</v>
      </c>
      <c r="ER117" s="139">
        <f t="shared" si="57"/>
        <v>0</v>
      </c>
      <c r="ES117" s="139">
        <f t="shared" si="58"/>
        <v>0</v>
      </c>
      <c r="ET117" s="139">
        <f t="shared" si="59"/>
        <v>0</v>
      </c>
      <c r="EU117" s="139">
        <f t="shared" si="60"/>
        <v>0</v>
      </c>
      <c r="EV117" s="139">
        <f t="shared" si="61"/>
        <v>0</v>
      </c>
      <c r="EW117" s="139">
        <f t="shared" si="62"/>
        <v>0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0.53198214285714274</v>
      </c>
      <c r="FV117" s="149"/>
      <c r="FY117" s="210">
        <v>112</v>
      </c>
      <c r="FZ117">
        <v>0.79517652224494317</v>
      </c>
      <c r="GA117">
        <v>1.4701437624329941</v>
      </c>
      <c r="GB117">
        <v>0.82659920977696189</v>
      </c>
      <c r="GC117">
        <v>0.72637431748367998</v>
      </c>
      <c r="GD117">
        <v>1.852110970159929</v>
      </c>
      <c r="GE117">
        <v>5.7585848434575846</v>
      </c>
      <c r="GF117">
        <v>8.673396646056462</v>
      </c>
      <c r="GG117">
        <v>6.3134037237991008</v>
      </c>
      <c r="GH117">
        <v>4.9089808899106071</v>
      </c>
      <c r="GI117">
        <v>3.8150180759211971</v>
      </c>
      <c r="GJ117"/>
      <c r="GK117"/>
      <c r="GL117"/>
      <c r="GM117"/>
    </row>
    <row r="118" spans="1:195" s="7" customFormat="1">
      <c r="A118" s="128"/>
      <c r="B118" s="76">
        <f t="shared" ca="1" si="49"/>
        <v>0.76497292534267558</v>
      </c>
      <c r="C118">
        <v>1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19.694733796296298</v>
      </c>
      <c r="AO118">
        <v>4.8507980474989854</v>
      </c>
      <c r="AP118">
        <v>36.992230876320619</v>
      </c>
      <c r="AQ118">
        <v>30.843065501522528</v>
      </c>
      <c r="AR118">
        <v>4.4817553187749333</v>
      </c>
      <c r="AS118">
        <v>21.76706174824891</v>
      </c>
      <c r="AT118">
        <v>3.0800230837158593</v>
      </c>
      <c r="AU118">
        <v>-0.77389097954188713</v>
      </c>
      <c r="AV118"/>
      <c r="AW118"/>
      <c r="AX118" s="128"/>
      <c r="AY118" s="76">
        <f t="shared" ca="1" si="87"/>
        <v>0.59106133024733509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9"/>
        <v>0.23998585123386906</v>
      </c>
      <c r="CL118" s="179">
        <f t="shared" si="90"/>
        <v>1</v>
      </c>
      <c r="CM118" s="180">
        <f t="shared" si="91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0.43112721916757923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0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0</v>
      </c>
      <c r="FV118" s="149"/>
      <c r="FY118" s="210">
        <v>113</v>
      </c>
      <c r="FZ118">
        <v>0.94720233725881098</v>
      </c>
      <c r="GA118">
        <v>3.750214415170857</v>
      </c>
      <c r="GB118">
        <v>2.2269588839546457</v>
      </c>
      <c r="GC118">
        <v>0.752857575206202</v>
      </c>
      <c r="GD118">
        <v>1.3772932027149687</v>
      </c>
      <c r="GE118">
        <v>3.8552845390401669</v>
      </c>
      <c r="GF118">
        <v>7.6122786099500175</v>
      </c>
      <c r="GG118">
        <v>8.0932946876235174</v>
      </c>
      <c r="GH118">
        <v>5.7037357045757924</v>
      </c>
      <c r="GI118">
        <v>3.8332198456205067</v>
      </c>
      <c r="GJ118"/>
      <c r="GK118"/>
      <c r="GL118"/>
      <c r="GM118"/>
    </row>
    <row r="119" spans="1:195" s="7" customFormat="1">
      <c r="A119" s="1"/>
      <c r="B119" s="76">
        <f t="shared" ca="1" si="49"/>
        <v>6.3920421768358437E-2</v>
      </c>
      <c r="C119">
        <v>5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22.015761352617972</v>
      </c>
      <c r="AO119">
        <v>5.4379944252035326</v>
      </c>
      <c r="AP119">
        <v>37.997555792966004</v>
      </c>
      <c r="AQ119">
        <v>33.052437362163332</v>
      </c>
      <c r="AR119">
        <v>5.1503287417349082</v>
      </c>
      <c r="AS119">
        <v>23.883945501655688</v>
      </c>
      <c r="AT119">
        <v>3.5119078355166788</v>
      </c>
      <c r="AU119">
        <v>4.7469854586615048</v>
      </c>
      <c r="AV119"/>
      <c r="AW119"/>
      <c r="AX119" s="146"/>
      <c r="AY119" s="76">
        <f t="shared" ca="1" si="87"/>
        <v>2.6225501043915855E-2</v>
      </c>
      <c r="AZ119">
        <v>2</v>
      </c>
      <c r="BA119" s="129">
        <f t="shared" ref="BA119:BA127" si="130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9"/>
        <v>0.52820979574750826</v>
      </c>
      <c r="CL119" s="179">
        <f t="shared" si="90"/>
        <v>2</v>
      </c>
      <c r="CM119" s="180">
        <f t="shared" si="91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0.9081917749253261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0</v>
      </c>
      <c r="DI119" s="161">
        <f t="shared" si="97"/>
        <v>0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0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0</v>
      </c>
      <c r="ES119" s="139">
        <f t="shared" si="58"/>
        <v>0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0</v>
      </c>
      <c r="FV119" s="149"/>
      <c r="FY119" s="210">
        <v>114</v>
      </c>
      <c r="FZ119">
        <v>1.1589438010169193</v>
      </c>
      <c r="GA119">
        <v>2.8831965430792286</v>
      </c>
      <c r="GB119">
        <v>2.7552617789353016</v>
      </c>
      <c r="GC119">
        <v>1.4109665266992255</v>
      </c>
      <c r="GD119">
        <v>2.1073648073454017</v>
      </c>
      <c r="GE119">
        <v>5.9060355122761816</v>
      </c>
      <c r="GF119">
        <v>8.8352402494092193</v>
      </c>
      <c r="GG119">
        <v>7.6777140890778002</v>
      </c>
      <c r="GH119">
        <v>5.7230905745869887</v>
      </c>
      <c r="GI119">
        <v>4.6538486613466397</v>
      </c>
      <c r="GJ119"/>
      <c r="GK119"/>
      <c r="GL119"/>
      <c r="GM119"/>
    </row>
    <row r="120" spans="1:195" s="7" customFormat="1">
      <c r="A120" s="1"/>
      <c r="B120" s="76">
        <f t="shared" ref="B120:B151" ca="1" si="131">IF(C120="", "", RAND())</f>
        <v>0.29698494682376619</v>
      </c>
      <c r="C120">
        <v>6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10.416666666666666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22.624751984126981</v>
      </c>
      <c r="AO120">
        <v>5.8516558001877055</v>
      </c>
      <c r="AP120">
        <v>42.556143073252549</v>
      </c>
      <c r="AQ120">
        <v>36.319924519308344</v>
      </c>
      <c r="AR120">
        <v>5.3189612320242468</v>
      </c>
      <c r="AS120">
        <v>26.107907565591283</v>
      </c>
      <c r="AT120" t="e">
        <v>#DIV/0!</v>
      </c>
      <c r="AU120" t="e">
        <v>#DIV/0!</v>
      </c>
      <c r="AV120"/>
      <c r="AW120"/>
      <c r="AX120" s="146"/>
      <c r="AY120" s="76">
        <f t="shared" ca="1" si="87"/>
        <v>0.81538970918116771</v>
      </c>
      <c r="AZ120">
        <v>3</v>
      </c>
      <c r="BA120" s="129">
        <f t="shared" si="130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9"/>
        <v>0.19869072371317564</v>
      </c>
      <c r="CL120" s="179">
        <f t="shared" si="90"/>
        <v>3</v>
      </c>
      <c r="CM120" s="180">
        <f t="shared" si="91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0.50716034696887302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0">
        <v>115</v>
      </c>
      <c r="FZ120">
        <v>1.3443395396255555</v>
      </c>
      <c r="GA120">
        <v>1.2592635156934786</v>
      </c>
      <c r="GB120">
        <v>1.3676956475749651</v>
      </c>
      <c r="GC120">
        <v>1.0508591100628411</v>
      </c>
      <c r="GD120">
        <v>1.6969099667109528</v>
      </c>
      <c r="GE120">
        <v>3.412351958728983</v>
      </c>
      <c r="GF120">
        <v>4.52350447232695</v>
      </c>
      <c r="GG120">
        <v>6.7299886193543648</v>
      </c>
      <c r="GH120">
        <v>5.22283750221475</v>
      </c>
      <c r="GI120">
        <v>3.2208764177763283</v>
      </c>
      <c r="GJ120"/>
      <c r="GK120"/>
      <c r="GL120"/>
      <c r="GM120"/>
    </row>
    <row r="121" spans="1:195" s="7" customFormat="1">
      <c r="A121" s="1"/>
      <c r="B121" s="76">
        <f t="shared" ca="1" si="131"/>
        <v>0.76970117896788803</v>
      </c>
      <c r="C121">
        <v>2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20.542559785666402</v>
      </c>
      <c r="AO121">
        <v>4.2901624007712709</v>
      </c>
      <c r="AP121">
        <v>34.480990701781963</v>
      </c>
      <c r="AQ121">
        <v>28.839840104719169</v>
      </c>
      <c r="AR121">
        <v>4.1454405048807965</v>
      </c>
      <c r="AS121">
        <v>18.338150883048474</v>
      </c>
      <c r="AT121">
        <v>2.5207762694108129</v>
      </c>
      <c r="AU121">
        <v>6.8864753991583623</v>
      </c>
      <c r="AV121"/>
      <c r="AW121"/>
      <c r="AX121" s="146"/>
      <c r="AY121" s="76">
        <f t="shared" ca="1" si="87"/>
        <v>0.11033898082862326</v>
      </c>
      <c r="AZ121">
        <v>4</v>
      </c>
      <c r="BA121" s="129">
        <f t="shared" si="130"/>
        <v>39747</v>
      </c>
      <c r="BB121">
        <v>0</v>
      </c>
      <c r="BC121">
        <v>0</v>
      </c>
      <c r="BD121">
        <v>0</v>
      </c>
      <c r="BE121">
        <v>0</v>
      </c>
      <c r="BF121">
        <v>2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9"/>
        <v>0.18580041242027878</v>
      </c>
      <c r="CL121" s="179">
        <f t="shared" si="90"/>
        <v>4</v>
      </c>
      <c r="CM121" s="180">
        <f t="shared" si="91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0.24741790789402973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0</v>
      </c>
      <c r="DI121" s="161">
        <f t="shared" si="97"/>
        <v>0</v>
      </c>
      <c r="DJ121" s="161">
        <f t="shared" si="98"/>
        <v>56.818181818181813</v>
      </c>
      <c r="DK121" s="161">
        <f t="shared" si="99"/>
        <v>0</v>
      </c>
      <c r="DL121" s="161">
        <f t="shared" si="100"/>
        <v>0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2"/>
        <v>56.818181818181813</v>
      </c>
      <c r="EL121" s="149"/>
      <c r="EN121" s="146"/>
      <c r="EO121" s="146"/>
      <c r="EP121" s="139">
        <f t="shared" si="133"/>
        <v>0</v>
      </c>
      <c r="EQ121" s="139">
        <f t="shared" si="134"/>
        <v>0</v>
      </c>
      <c r="ER121" s="139">
        <f t="shared" si="135"/>
        <v>0</v>
      </c>
      <c r="ES121" s="139">
        <f t="shared" si="136"/>
        <v>0</v>
      </c>
      <c r="ET121" s="139">
        <f t="shared" si="137"/>
        <v>14.777937508687584</v>
      </c>
      <c r="EU121" s="139">
        <f t="shared" si="138"/>
        <v>0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14.777937508687584</v>
      </c>
      <c r="FV121" s="149"/>
      <c r="FY121" s="210">
        <v>116</v>
      </c>
      <c r="FZ121">
        <v>0.80882702677100626</v>
      </c>
      <c r="GA121">
        <v>2.2052412737877796</v>
      </c>
      <c r="GB121">
        <v>2.4771935679804455</v>
      </c>
      <c r="GC121">
        <v>1.4071539737322194</v>
      </c>
      <c r="GD121">
        <v>1.4267220004205154</v>
      </c>
      <c r="GE121">
        <v>3.5435232952887548</v>
      </c>
      <c r="GF121">
        <v>6.0913516310313565</v>
      </c>
      <c r="GG121">
        <v>4.3300284445156505</v>
      </c>
      <c r="GH121">
        <v>1.7029859743747955</v>
      </c>
      <c r="GI121">
        <v>2.9834856732745862</v>
      </c>
      <c r="GJ121"/>
      <c r="GK121"/>
      <c r="GL121"/>
      <c r="GM121"/>
    </row>
    <row r="122" spans="1:195" s="7" customFormat="1">
      <c r="A122" s="1"/>
      <c r="B122" s="76">
        <f t="shared" ca="1" si="131"/>
        <v>0.30065665007875353</v>
      </c>
      <c r="C122">
        <v>4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56.818181818181813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20.699155054706914</v>
      </c>
      <c r="AO122">
        <v>5.1947180706641811</v>
      </c>
      <c r="AP122">
        <v>38.651332345255412</v>
      </c>
      <c r="AQ122">
        <v>33.145040693514687</v>
      </c>
      <c r="AR122">
        <v>4.8103570312052462</v>
      </c>
      <c r="AS122">
        <v>24.01334643042442</v>
      </c>
      <c r="AT122">
        <v>3.3617752949840956</v>
      </c>
      <c r="AU122">
        <v>-4.1011575656493013</v>
      </c>
      <c r="AV122"/>
      <c r="AW122"/>
      <c r="AX122" s="146"/>
      <c r="AY122" s="76">
        <f t="shared" ca="1" si="87"/>
        <v>0.25015595786224809</v>
      </c>
      <c r="AZ122">
        <v>5</v>
      </c>
      <c r="BA122" s="129">
        <f t="shared" si="130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9"/>
        <v>0.95216935239772216</v>
      </c>
      <c r="CL122" s="179">
        <f t="shared" si="90"/>
        <v>5</v>
      </c>
      <c r="CM122" s="180">
        <f t="shared" si="91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0.26684847790483723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0</v>
      </c>
      <c r="DI122" s="161">
        <f t="shared" si="97"/>
        <v>0</v>
      </c>
      <c r="DJ122" s="161">
        <f t="shared" si="98"/>
        <v>0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2"/>
        <v>0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0</v>
      </c>
      <c r="ES122" s="139">
        <f t="shared" si="136"/>
        <v>0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0</v>
      </c>
      <c r="FV122" s="149"/>
      <c r="FY122" s="210">
        <v>117</v>
      </c>
      <c r="FZ122">
        <v>0.97411188585294228</v>
      </c>
      <c r="GA122">
        <v>1.15372079113341</v>
      </c>
      <c r="GB122">
        <v>0.78852854443599463</v>
      </c>
      <c r="GC122">
        <v>0.75973429921178259</v>
      </c>
      <c r="GD122">
        <v>2.0502984572561811</v>
      </c>
      <c r="GE122">
        <v>3.8449630722569079</v>
      </c>
      <c r="GF122">
        <v>5.1391112291823955</v>
      </c>
      <c r="GG122">
        <v>5.4271557906160268</v>
      </c>
      <c r="GH122">
        <v>2.9841028406651375</v>
      </c>
      <c r="GI122">
        <v>2.9756629586780634</v>
      </c>
      <c r="GJ122"/>
      <c r="GK122"/>
      <c r="GL122"/>
      <c r="GM122"/>
    </row>
    <row r="123" spans="1:195" s="7" customFormat="1">
      <c r="A123" s="1"/>
      <c r="B123" s="76">
        <f t="shared" ca="1" si="131"/>
        <v>0.95346937683345234</v>
      </c>
      <c r="C123">
        <v>3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24.458351663314897</v>
      </c>
      <c r="AO123">
        <v>4.45219703718967</v>
      </c>
      <c r="AP123">
        <v>27.956474803105273</v>
      </c>
      <c r="AQ123">
        <v>25.800770930832375</v>
      </c>
      <c r="AR123">
        <v>4.182273003879768</v>
      </c>
      <c r="AS123">
        <v>20.514486140487886</v>
      </c>
      <c r="AT123">
        <v>2.7616023837529382</v>
      </c>
      <c r="AU123">
        <v>5.342277218259702</v>
      </c>
      <c r="AV123"/>
      <c r="AW123"/>
      <c r="AX123" s="146"/>
      <c r="AY123" s="76">
        <f t="shared" ca="1" si="87"/>
        <v>0.58347552573809325</v>
      </c>
      <c r="AZ123">
        <v>6</v>
      </c>
      <c r="BA123" s="129">
        <f t="shared" si="130"/>
        <v>39747</v>
      </c>
      <c r="BB123">
        <v>0</v>
      </c>
      <c r="BC123">
        <v>0</v>
      </c>
      <c r="BD123">
        <v>0</v>
      </c>
      <c r="BE123">
        <v>0</v>
      </c>
      <c r="BF123">
        <v>1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9"/>
        <v>0.3819372305119435</v>
      </c>
      <c r="CL123" s="179">
        <f t="shared" si="90"/>
        <v>6</v>
      </c>
      <c r="CM123" s="180">
        <f t="shared" si="91"/>
        <v>39747</v>
      </c>
      <c r="CN123" s="218">
        <v>0</v>
      </c>
      <c r="CO123" s="218">
        <v>0</v>
      </c>
      <c r="CP123" s="218">
        <v>0</v>
      </c>
      <c r="CQ123" s="218">
        <v>0</v>
      </c>
      <c r="CR123" s="218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8.4732509372639875E-2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0</v>
      </c>
      <c r="DJ123" s="161">
        <f t="shared" si="98"/>
        <v>10.416666666666666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2"/>
        <v>10.416666666666666</v>
      </c>
      <c r="EL123" s="149"/>
      <c r="EN123" s="146"/>
      <c r="EO123" s="146"/>
      <c r="EP123" s="139">
        <f t="shared" si="133"/>
        <v>0</v>
      </c>
      <c r="EQ123" s="139">
        <f t="shared" si="134"/>
        <v>0</v>
      </c>
      <c r="ER123" s="139">
        <f t="shared" si="135"/>
        <v>0</v>
      </c>
      <c r="ES123" s="139">
        <f t="shared" si="136"/>
        <v>0</v>
      </c>
      <c r="ET123" s="139">
        <f t="shared" si="137"/>
        <v>2.7092885432593907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2.7092885432593907</v>
      </c>
      <c r="FV123" s="149"/>
      <c r="FY123" s="210">
        <v>118</v>
      </c>
      <c r="FZ123">
        <v>1.0423708403897909</v>
      </c>
      <c r="GA123">
        <v>3.2594663575058829</v>
      </c>
      <c r="GB123">
        <v>1.6094867466181877</v>
      </c>
      <c r="GC123">
        <v>0.54724861986896678</v>
      </c>
      <c r="GD123">
        <v>1.0979307875797968</v>
      </c>
      <c r="GE123">
        <v>2.9080689927668537</v>
      </c>
      <c r="GF123">
        <v>4.9708657390388105</v>
      </c>
      <c r="GG123">
        <v>7.0103644944357377</v>
      </c>
      <c r="GH123">
        <v>7.642691553320299</v>
      </c>
      <c r="GI123">
        <v>3.3517084130586032</v>
      </c>
      <c r="GJ123"/>
      <c r="GK123"/>
      <c r="GL123"/>
      <c r="GM123"/>
    </row>
    <row r="124" spans="1:195" s="7" customFormat="1">
      <c r="A124" s="1"/>
      <c r="B124" s="76">
        <f t="shared" ca="1" si="131"/>
        <v>0.58704676039092707</v>
      </c>
      <c r="C124">
        <v>8</v>
      </c>
      <c r="D124">
        <v>39747</v>
      </c>
      <c r="E124">
        <v>0</v>
      </c>
      <c r="F124">
        <v>0</v>
      </c>
      <c r="G124">
        <v>0</v>
      </c>
      <c r="H124">
        <v>10.416666666666666</v>
      </c>
      <c r="I124">
        <v>10.416666666666666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29.739464936615679</v>
      </c>
      <c r="AO124">
        <v>4.5229267556301327</v>
      </c>
      <c r="AP124">
        <v>32.008362203358651</v>
      </c>
      <c r="AQ124">
        <v>28.477408816765262</v>
      </c>
      <c r="AR124">
        <v>4.4010724910068149</v>
      </c>
      <c r="AS124">
        <v>22.962332877751102</v>
      </c>
      <c r="AT124">
        <v>2.7122806971760256</v>
      </c>
      <c r="AU124">
        <v>5.6436885720948533</v>
      </c>
      <c r="AV124"/>
      <c r="AW124"/>
      <c r="AX124" s="146"/>
      <c r="AY124" s="76">
        <f t="shared" ca="1" si="87"/>
        <v>0.63997019355150364</v>
      </c>
      <c r="AZ124">
        <v>7</v>
      </c>
      <c r="BA124" s="129">
        <f t="shared" si="130"/>
        <v>39747</v>
      </c>
      <c r="BB124">
        <v>0</v>
      </c>
      <c r="BC124">
        <v>0</v>
      </c>
      <c r="BD124">
        <v>0</v>
      </c>
      <c r="BE124">
        <v>0</v>
      </c>
      <c r="BF124">
        <v>1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9"/>
        <v>0.41107875085398682</v>
      </c>
      <c r="CL124" s="179">
        <f t="shared" si="90"/>
        <v>7</v>
      </c>
      <c r="CM124" s="180">
        <f t="shared" si="91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0.55405729405708737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0</v>
      </c>
      <c r="DH124" s="161">
        <f t="shared" si="96"/>
        <v>0</v>
      </c>
      <c r="DI124" s="161">
        <f t="shared" si="97"/>
        <v>0</v>
      </c>
      <c r="DJ124" s="161">
        <f t="shared" si="98"/>
        <v>10.416666666666666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2"/>
        <v>10.416666666666666</v>
      </c>
      <c r="EL124" s="149"/>
      <c r="EN124" s="146"/>
      <c r="EO124" s="146"/>
      <c r="EP124" s="139">
        <f t="shared" si="133"/>
        <v>0</v>
      </c>
      <c r="EQ124" s="139">
        <f t="shared" si="134"/>
        <v>0</v>
      </c>
      <c r="ER124" s="139">
        <f t="shared" si="135"/>
        <v>0</v>
      </c>
      <c r="ES124" s="139">
        <f t="shared" si="136"/>
        <v>0</v>
      </c>
      <c r="ET124" s="139">
        <f t="shared" si="137"/>
        <v>2.7092885432593907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2.7092885432593907</v>
      </c>
      <c r="FV124" s="149"/>
      <c r="FY124" s="210">
        <v>119</v>
      </c>
      <c r="FZ124">
        <v>1.6944563138714686</v>
      </c>
      <c r="GA124">
        <v>2.0246260400232545</v>
      </c>
      <c r="GB124">
        <v>1.7278317384146726</v>
      </c>
      <c r="GC124">
        <v>1.1053933229185948</v>
      </c>
      <c r="GD124">
        <v>1.6011650892386238</v>
      </c>
      <c r="GE124">
        <v>3.2150456596019965</v>
      </c>
      <c r="GF124">
        <v>3.962099974355628</v>
      </c>
      <c r="GG124">
        <v>6.2892894022305441</v>
      </c>
      <c r="GH124">
        <v>6.4413247876414355</v>
      </c>
      <c r="GI124">
        <v>3.3941998504046227</v>
      </c>
      <c r="GJ124"/>
      <c r="GK124"/>
      <c r="GL124"/>
      <c r="GM124"/>
    </row>
    <row r="125" spans="1:195" s="7" customFormat="1">
      <c r="A125" s="1"/>
      <c r="B125" s="76">
        <f t="shared" ca="1" si="131"/>
        <v>9.2086032824659547E-2</v>
      </c>
      <c r="C125">
        <v>7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10.416666666666666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18.727010836385833</v>
      </c>
      <c r="AO125">
        <v>4.3169601420152715</v>
      </c>
      <c r="AP125">
        <v>36.263656582516397</v>
      </c>
      <c r="AQ125">
        <v>29.228196160449595</v>
      </c>
      <c r="AR125">
        <v>4.0863788947644819</v>
      </c>
      <c r="AS125">
        <v>20.733451555603015</v>
      </c>
      <c r="AT125">
        <v>2.9211460411637762</v>
      </c>
      <c r="AU125">
        <v>5.4529403577582274</v>
      </c>
      <c r="AV125"/>
      <c r="AW125"/>
      <c r="AX125" s="146"/>
      <c r="AY125" s="76">
        <f t="shared" ca="1" si="87"/>
        <v>0.15283213290220665</v>
      </c>
      <c r="AZ125">
        <v>8</v>
      </c>
      <c r="BA125" s="129">
        <f t="shared" si="130"/>
        <v>39747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9"/>
        <v>0.5395397885760973</v>
      </c>
      <c r="CL125" s="179">
        <f t="shared" si="90"/>
        <v>8</v>
      </c>
      <c r="CM125" s="180">
        <f t="shared" si="91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0.7169358696162309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10.416666666666666</v>
      </c>
      <c r="DJ125" s="161">
        <f t="shared" si="98"/>
        <v>10.416666666666666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2"/>
        <v>20.833333333333332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0</v>
      </c>
      <c r="ES125" s="139">
        <f t="shared" si="136"/>
        <v>1.2374342774304989</v>
      </c>
      <c r="ET125" s="139">
        <f t="shared" si="137"/>
        <v>2.7092885432593907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3.9467228206898897</v>
      </c>
      <c r="FV125" s="149"/>
      <c r="FY125" s="210">
        <v>120</v>
      </c>
      <c r="FZ125">
        <v>1.1163008171047539</v>
      </c>
      <c r="GA125">
        <v>2.2991979060078407</v>
      </c>
      <c r="GB125">
        <v>2.1910894335334814</v>
      </c>
      <c r="GC125">
        <v>1.2898627795093431</v>
      </c>
      <c r="GD125">
        <v>3.1017600354947827</v>
      </c>
      <c r="GE125">
        <v>6.5848723806294025</v>
      </c>
      <c r="GF125">
        <v>5.1789872626813782</v>
      </c>
      <c r="GG125">
        <v>4.3747317850345064</v>
      </c>
      <c r="GH125">
        <v>2.2069751059690073</v>
      </c>
      <c r="GI125">
        <v>3.8588165503799439</v>
      </c>
      <c r="GJ125"/>
      <c r="GK125"/>
      <c r="GL125"/>
      <c r="GM125"/>
    </row>
    <row r="126" spans="1:195" s="7" customFormat="1">
      <c r="A126" s="1"/>
      <c r="B126" s="76">
        <f t="shared" ca="1" si="131"/>
        <v>0.4604183470180967</v>
      </c>
      <c r="C126">
        <v>9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19.191873563050425</v>
      </c>
      <c r="AO126">
        <v>4.4656784427687644</v>
      </c>
      <c r="AP126">
        <v>31.171383118221105</v>
      </c>
      <c r="AQ126">
        <v>27.46903468278088</v>
      </c>
      <c r="AR126">
        <v>4.097465210124005</v>
      </c>
      <c r="AS126">
        <v>21.777497140362765</v>
      </c>
      <c r="AT126">
        <v>3.0395607506174094</v>
      </c>
      <c r="AU126">
        <v>4.2627770170518993</v>
      </c>
      <c r="AV126"/>
      <c r="AW126"/>
      <c r="AX126" s="146"/>
      <c r="AY126" s="76">
        <f t="shared" ca="1" si="87"/>
        <v>0.56407682797136527</v>
      </c>
      <c r="AZ126">
        <v>9</v>
      </c>
      <c r="BA126" s="129">
        <f t="shared" si="130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9"/>
        <v>0.37782590526198034</v>
      </c>
      <c r="CL126" s="179">
        <f t="shared" si="90"/>
        <v>9</v>
      </c>
      <c r="CM126" s="180">
        <f t="shared" si="91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0.81729512095057211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2"/>
        <v>0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0</v>
      </c>
      <c r="FV126" s="149"/>
      <c r="FY126" s="210">
        <v>121</v>
      </c>
      <c r="FZ126">
        <v>1.5298480429231232</v>
      </c>
      <c r="GA126">
        <v>2.0883669553879156</v>
      </c>
      <c r="GB126">
        <v>1.2968902819885417</v>
      </c>
      <c r="GC126">
        <v>0.7175913653660958</v>
      </c>
      <c r="GD126">
        <v>1.7898869605770584</v>
      </c>
      <c r="GE126">
        <v>3.2917829920514601</v>
      </c>
      <c r="GF126">
        <v>5.8026374713227762</v>
      </c>
      <c r="GG126">
        <v>7.6532666402622453</v>
      </c>
      <c r="GH126">
        <v>5.0565233994841785</v>
      </c>
      <c r="GI126">
        <v>3.5014860101051584</v>
      </c>
      <c r="GJ126"/>
      <c r="GK126"/>
      <c r="GL126"/>
      <c r="GM126"/>
    </row>
    <row r="127" spans="1:195" s="7" customFormat="1">
      <c r="A127" s="1"/>
      <c r="B127" s="76">
        <f t="shared" ca="1" si="131"/>
        <v>0.5331143580827451</v>
      </c>
      <c r="C127">
        <v>10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16.751879197191695</v>
      </c>
      <c r="AO127">
        <v>4.3727569077358357</v>
      </c>
      <c r="AP127">
        <v>26.213048027789938</v>
      </c>
      <c r="AQ127">
        <v>24.669628241026881</v>
      </c>
      <c r="AR127">
        <v>4.0632594326469906</v>
      </c>
      <c r="AS127">
        <v>17.840799792399267</v>
      </c>
      <c r="AT127">
        <v>3.1640552947117513</v>
      </c>
      <c r="AU127">
        <v>12.717839999381146</v>
      </c>
      <c r="AV127"/>
      <c r="AW127"/>
      <c r="AX127" s="146"/>
      <c r="AY127" s="76">
        <f t="shared" ca="1" si="87"/>
        <v>0.87366212534880106</v>
      </c>
      <c r="AZ127">
        <v>10</v>
      </c>
      <c r="BA127" s="129">
        <f t="shared" si="130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9"/>
        <v>7.7258973704382061E-2</v>
      </c>
      <c r="CL127" s="179">
        <f t="shared" si="90"/>
        <v>10</v>
      </c>
      <c r="CM127" s="180">
        <f t="shared" si="91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0.64947266625956801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0</v>
      </c>
      <c r="DH127" s="161">
        <f t="shared" si="96"/>
        <v>0</v>
      </c>
      <c r="DI127" s="161">
        <f t="shared" si="97"/>
        <v>0</v>
      </c>
      <c r="DJ127" s="161">
        <f t="shared" si="98"/>
        <v>0</v>
      </c>
      <c r="DK127" s="161">
        <f t="shared" si="99"/>
        <v>0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2"/>
        <v>0</v>
      </c>
      <c r="EL127" s="149"/>
      <c r="EN127" s="146"/>
      <c r="EO127" s="146"/>
      <c r="EP127" s="139">
        <f t="shared" si="133"/>
        <v>0</v>
      </c>
      <c r="EQ127" s="139">
        <f t="shared" si="134"/>
        <v>0</v>
      </c>
      <c r="ER127" s="139">
        <f t="shared" si="135"/>
        <v>0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0</v>
      </c>
      <c r="FV127" s="149"/>
      <c r="FY127" s="210">
        <v>122</v>
      </c>
      <c r="FZ127">
        <v>1.1323725464895835</v>
      </c>
      <c r="GA127">
        <v>2.0708545875418314</v>
      </c>
      <c r="GB127">
        <v>1.9750215009144081</v>
      </c>
      <c r="GC127">
        <v>1.1285067555188955</v>
      </c>
      <c r="GD127">
        <v>2.0969972366290861</v>
      </c>
      <c r="GE127">
        <v>5.2111387505073186</v>
      </c>
      <c r="GF127">
        <v>6.0514548081015977</v>
      </c>
      <c r="GG127">
        <v>4.6370523958233436</v>
      </c>
      <c r="GH127">
        <v>2.5032046383040951</v>
      </c>
      <c r="GI127">
        <v>3.4114968855165575</v>
      </c>
      <c r="GJ127"/>
      <c r="GK127"/>
      <c r="GL127"/>
      <c r="GM127"/>
    </row>
    <row r="128" spans="1:195" s="7" customFormat="1">
      <c r="A128" s="128"/>
      <c r="B128" s="76">
        <f t="shared" ca="1" si="131"/>
        <v>0.63036057190358941</v>
      </c>
      <c r="C128">
        <v>7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24.215321919366037</v>
      </c>
      <c r="AO128">
        <v>5.6020477690894364</v>
      </c>
      <c r="AP128">
        <v>41.030598024532068</v>
      </c>
      <c r="AQ128">
        <v>35.139788961243454</v>
      </c>
      <c r="AR128">
        <v>5.1364132001567704</v>
      </c>
      <c r="AS128">
        <v>23.596292791611077</v>
      </c>
      <c r="AT128" t="e">
        <v>#DIV/0!</v>
      </c>
      <c r="AU128" t="e">
        <v>#DIV/0!</v>
      </c>
      <c r="AV128"/>
      <c r="AW128"/>
      <c r="AX128" s="128"/>
      <c r="AY128" s="76">
        <f t="shared" ca="1" si="87"/>
        <v>0.39584540026425596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9"/>
        <v>0.47936179731911821</v>
      </c>
      <c r="CL128" s="179">
        <f t="shared" si="90"/>
        <v>1</v>
      </c>
      <c r="CM128" s="180">
        <f t="shared" si="91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0.95984231698433753</v>
      </c>
      <c r="DD128">
        <f t="shared" si="93"/>
        <v>1</v>
      </c>
      <c r="DE128" s="129">
        <f t="shared" ref="DE128:DE137" si="165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0</v>
      </c>
      <c r="DI128" s="161">
        <f t="shared" si="97"/>
        <v>0</v>
      </c>
      <c r="DJ128" s="161">
        <f t="shared" si="98"/>
        <v>0</v>
      </c>
      <c r="DK128" s="161">
        <f t="shared" si="99"/>
        <v>0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2"/>
        <v>0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0</v>
      </c>
      <c r="ES128" s="139">
        <f t="shared" si="136"/>
        <v>0</v>
      </c>
      <c r="ET128" s="139">
        <f t="shared" si="137"/>
        <v>0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0</v>
      </c>
      <c r="FV128" s="149"/>
      <c r="FY128" s="210">
        <v>123</v>
      </c>
      <c r="FZ128">
        <v>0.95157978146747635</v>
      </c>
      <c r="GA128">
        <v>3.2307309203504264</v>
      </c>
      <c r="GB128">
        <v>2.0473945176455079</v>
      </c>
      <c r="GC128">
        <v>0.89350070379964075</v>
      </c>
      <c r="GD128">
        <v>1.8483148471879836</v>
      </c>
      <c r="GE128">
        <v>4.2505744721110945</v>
      </c>
      <c r="GF128">
        <v>5.0970699659954279</v>
      </c>
      <c r="GG128">
        <v>5.3788728437935802</v>
      </c>
      <c r="GH128">
        <v>4.7479104979375526</v>
      </c>
      <c r="GI128">
        <v>3.4488834770437138</v>
      </c>
      <c r="GJ128"/>
      <c r="GK128"/>
      <c r="GL128"/>
      <c r="GM128"/>
    </row>
    <row r="129" spans="1:195" s="7" customFormat="1">
      <c r="A129" s="1"/>
      <c r="B129" s="76">
        <f t="shared" ca="1" si="131"/>
        <v>0.61741173526978899</v>
      </c>
      <c r="C129">
        <v>3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10.416666666666666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23.865101622914121</v>
      </c>
      <c r="AO129">
        <v>5.6984439676192853</v>
      </c>
      <c r="AP129">
        <v>46.782951974663249</v>
      </c>
      <c r="AQ129">
        <v>38.152339801115481</v>
      </c>
      <c r="AR129">
        <v>5.2559485024456025</v>
      </c>
      <c r="AS129">
        <v>28.210483659619591</v>
      </c>
      <c r="AT129">
        <v>3.4845608115888598</v>
      </c>
      <c r="AU129">
        <v>0.29604205806725759</v>
      </c>
      <c r="AV129"/>
      <c r="AW129"/>
      <c r="AX129" s="146"/>
      <c r="AY129" s="76">
        <f t="shared" ca="1" si="87"/>
        <v>7.7683458320340293E-2</v>
      </c>
      <c r="AZ129">
        <v>2</v>
      </c>
      <c r="BA129" s="129">
        <f t="shared" ref="BA129:BA137" si="166">IF(AZ129="", "",$C$8)</f>
        <v>39775</v>
      </c>
      <c r="BB129">
        <v>0</v>
      </c>
      <c r="BC129">
        <v>0</v>
      </c>
      <c r="BD129">
        <v>0</v>
      </c>
      <c r="BE129">
        <v>2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9"/>
        <v>0.41332342121721188</v>
      </c>
      <c r="CL129" s="179">
        <f t="shared" si="90"/>
        <v>2</v>
      </c>
      <c r="CM129" s="180">
        <f t="shared" si="91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0.22222090307152853</v>
      </c>
      <c r="DD129">
        <f t="shared" si="93"/>
        <v>2</v>
      </c>
      <c r="DE129" s="129">
        <f t="shared" si="165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20.833333333333332</v>
      </c>
      <c r="DJ129" s="161">
        <f t="shared" si="98"/>
        <v>0</v>
      </c>
      <c r="DK129" s="161">
        <f t="shared" si="99"/>
        <v>0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2"/>
        <v>20.833333333333332</v>
      </c>
      <c r="EL129" s="149"/>
      <c r="EN129" s="146"/>
      <c r="EO129" s="146"/>
      <c r="EP129" s="139">
        <f t="shared" si="133"/>
        <v>0</v>
      </c>
      <c r="EQ129" s="139">
        <f t="shared" si="134"/>
        <v>0</v>
      </c>
      <c r="ER129" s="139">
        <f t="shared" si="135"/>
        <v>0</v>
      </c>
      <c r="ES129" s="139">
        <f t="shared" si="136"/>
        <v>2.4748685548609979</v>
      </c>
      <c r="ET129" s="139">
        <f t="shared" si="137"/>
        <v>0</v>
      </c>
      <c r="EU129" s="139">
        <f t="shared" si="138"/>
        <v>0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2.4748685548609979</v>
      </c>
      <c r="FV129" s="149"/>
      <c r="FY129" s="210">
        <v>124</v>
      </c>
      <c r="FZ129">
        <v>1.2888885704010484</v>
      </c>
      <c r="GA129">
        <v>2.8334144520188649</v>
      </c>
      <c r="GB129">
        <v>1.3921213556739607</v>
      </c>
      <c r="GC129">
        <v>0.373841703333263</v>
      </c>
      <c r="GD129">
        <v>1.4498847830141555</v>
      </c>
      <c r="GE129">
        <v>4.5563700179359747</v>
      </c>
      <c r="GF129">
        <v>7.8803226071473453</v>
      </c>
      <c r="GG129">
        <v>7.1687010460733145</v>
      </c>
      <c r="GH129">
        <v>5.5459034494407025</v>
      </c>
      <c r="GI129">
        <v>3.745963445476479</v>
      </c>
      <c r="GJ129"/>
      <c r="GK129"/>
      <c r="GL129"/>
      <c r="GM129"/>
    </row>
    <row r="130" spans="1:195" s="7" customFormat="1">
      <c r="A130" s="1"/>
      <c r="B130" s="76">
        <f t="shared" ca="1" si="131"/>
        <v>0.53492262637777976</v>
      </c>
      <c r="C130">
        <v>2</v>
      </c>
      <c r="D130">
        <v>39775</v>
      </c>
      <c r="E130">
        <v>0</v>
      </c>
      <c r="F130">
        <v>0</v>
      </c>
      <c r="G130">
        <v>0</v>
      </c>
      <c r="H130">
        <v>20.833333333333332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32.296454703790047</v>
      </c>
      <c r="AO130">
        <v>6.8402293369667291</v>
      </c>
      <c r="AP130">
        <v>51.008180062995443</v>
      </c>
      <c r="AQ130">
        <v>43.111662543772908</v>
      </c>
      <c r="AR130">
        <v>6.35011193766905</v>
      </c>
      <c r="AS130">
        <v>29.0717862174949</v>
      </c>
      <c r="AT130">
        <v>4.1125577117241177</v>
      </c>
      <c r="AU130">
        <v>-0.88459587690294228</v>
      </c>
      <c r="AV130"/>
      <c r="AW130"/>
      <c r="AX130" s="146"/>
      <c r="AY130" s="76">
        <f t="shared" ca="1" si="87"/>
        <v>0.60892911715524312</v>
      </c>
      <c r="AZ130">
        <v>3</v>
      </c>
      <c r="BA130" s="129">
        <f t="shared" si="166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1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9"/>
        <v>0.7667569016639435</v>
      </c>
      <c r="CL130" s="179">
        <f t="shared" si="90"/>
        <v>3</v>
      </c>
      <c r="CM130" s="180">
        <f t="shared" si="91"/>
        <v>39775</v>
      </c>
      <c r="CN130" s="225">
        <v>0</v>
      </c>
      <c r="CO130" s="225">
        <v>0</v>
      </c>
      <c r="CP130" s="225">
        <v>0</v>
      </c>
      <c r="CQ130" s="225">
        <v>0</v>
      </c>
      <c r="CR130" s="225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0.72102003979557638</v>
      </c>
      <c r="DD130">
        <f t="shared" si="93"/>
        <v>3</v>
      </c>
      <c r="DE130" s="129">
        <f t="shared" si="165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0</v>
      </c>
      <c r="DI130" s="161">
        <f t="shared" si="97"/>
        <v>0</v>
      </c>
      <c r="DJ130" s="161">
        <f t="shared" si="98"/>
        <v>0</v>
      </c>
      <c r="DK130" s="161">
        <f t="shared" si="99"/>
        <v>10.416666666666666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2"/>
        <v>10.416666666666666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0</v>
      </c>
      <c r="ES130" s="139">
        <f t="shared" si="136"/>
        <v>0</v>
      </c>
      <c r="ET130" s="139">
        <f t="shared" si="137"/>
        <v>0</v>
      </c>
      <c r="EU130" s="139">
        <f t="shared" si="138"/>
        <v>4.9755161005886874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4.9755161005886874</v>
      </c>
      <c r="FV130" s="149"/>
      <c r="FY130" s="210">
        <v>125</v>
      </c>
      <c r="FZ130">
        <v>1.3858017102572042</v>
      </c>
      <c r="GA130">
        <v>3.0012887534417008</v>
      </c>
      <c r="GB130">
        <v>1.9492755964182111</v>
      </c>
      <c r="GC130">
        <v>0.85837101429224794</v>
      </c>
      <c r="GD130">
        <v>1.7082135923833803</v>
      </c>
      <c r="GE130">
        <v>4.0929421794652185</v>
      </c>
      <c r="GF130">
        <v>4.6962654443091267</v>
      </c>
      <c r="GG130">
        <v>6.5147109995571721</v>
      </c>
      <c r="GH130">
        <v>7.0579220503403874</v>
      </c>
      <c r="GI130">
        <v>3.7048177040515822</v>
      </c>
      <c r="GJ130"/>
      <c r="GK130"/>
      <c r="GL130"/>
      <c r="GM130"/>
    </row>
    <row r="131" spans="1:195" s="7" customFormat="1">
      <c r="A131" s="1"/>
      <c r="B131" s="76">
        <f t="shared" ca="1" si="131"/>
        <v>9.4098665831215733E-2</v>
      </c>
      <c r="C131">
        <v>9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10.416666666666666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23.620145726616705</v>
      </c>
      <c r="AO131">
        <v>4.786677450017355</v>
      </c>
      <c r="AP131">
        <v>34.885724892240518</v>
      </c>
      <c r="AQ131">
        <v>29.828626750069166</v>
      </c>
      <c r="AR131">
        <v>4.4783708316918567</v>
      </c>
      <c r="AS131">
        <v>20.782941973281019</v>
      </c>
      <c r="AT131">
        <v>2.9317749777131485</v>
      </c>
      <c r="AU131">
        <v>-0.25980667265912305</v>
      </c>
      <c r="AV131"/>
      <c r="AW131"/>
      <c r="AX131" s="146"/>
      <c r="AY131" s="76">
        <f t="shared" ca="1" si="87"/>
        <v>0.23822642023949858</v>
      </c>
      <c r="AZ131">
        <v>4</v>
      </c>
      <c r="BA131" s="129">
        <f t="shared" si="166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9"/>
        <v>0.91477647805174112</v>
      </c>
      <c r="CL131" s="179">
        <f t="shared" si="90"/>
        <v>4</v>
      </c>
      <c r="CM131" s="180">
        <f t="shared" si="91"/>
        <v>39775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0.97570298620364682</v>
      </c>
      <c r="DD131">
        <f t="shared" si="93"/>
        <v>4</v>
      </c>
      <c r="DE131" s="129">
        <f t="shared" si="165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0</v>
      </c>
      <c r="DI131" s="161">
        <f t="shared" si="97"/>
        <v>0</v>
      </c>
      <c r="DJ131" s="161">
        <f t="shared" si="98"/>
        <v>0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2"/>
        <v>0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0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0</v>
      </c>
      <c r="FV131" s="149"/>
      <c r="FY131" s="210">
        <v>126</v>
      </c>
      <c r="FZ131">
        <v>1.2208551452420633</v>
      </c>
      <c r="GA131">
        <v>2.9010708186613834</v>
      </c>
      <c r="GB131">
        <v>1.8419276789438903</v>
      </c>
      <c r="GC131">
        <v>0.68925346077807448</v>
      </c>
      <c r="GD131">
        <v>1.7528010128456746</v>
      </c>
      <c r="GE131">
        <v>3.2136074696461492</v>
      </c>
      <c r="GF131">
        <v>4.1994188836768993</v>
      </c>
      <c r="GG131">
        <v>4.7074816332256972</v>
      </c>
      <c r="GH131">
        <v>2.746766829971734</v>
      </c>
      <c r="GI131">
        <v>2.8956272499349267</v>
      </c>
      <c r="GJ131"/>
      <c r="GK131"/>
      <c r="GL131"/>
      <c r="GM131"/>
    </row>
    <row r="132" spans="1:195" s="7" customFormat="1">
      <c r="A132" s="1"/>
      <c r="B132" s="76">
        <f t="shared" ca="1" si="131"/>
        <v>0.51162899901410763</v>
      </c>
      <c r="C132">
        <v>1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19.351009030862755</v>
      </c>
      <c r="AO132">
        <v>4.4295189970277056</v>
      </c>
      <c r="AP132">
        <v>32.05228312698231</v>
      </c>
      <c r="AQ132">
        <v>26.976512861177106</v>
      </c>
      <c r="AR132">
        <v>4.062502878599811</v>
      </c>
      <c r="AS132">
        <v>20.380934111451353</v>
      </c>
      <c r="AT132">
        <v>2.9905766963253284</v>
      </c>
      <c r="AU132">
        <v>3.5450228843275307</v>
      </c>
      <c r="AV132"/>
      <c r="AW132"/>
      <c r="AX132" s="146"/>
      <c r="AY132" s="76">
        <f t="shared" ca="1" si="87"/>
        <v>0.89599688994646431</v>
      </c>
      <c r="AZ132">
        <v>5</v>
      </c>
      <c r="BA132" s="129">
        <f t="shared" si="166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9"/>
        <v>0.87710434880787336</v>
      </c>
      <c r="CL132" s="179">
        <f t="shared" si="90"/>
        <v>5</v>
      </c>
      <c r="CM132" s="180">
        <f t="shared" si="91"/>
        <v>39775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0.25639074091118008</v>
      </c>
      <c r="DD132">
        <f t="shared" si="93"/>
        <v>5</v>
      </c>
      <c r="DE132" s="129">
        <f t="shared" si="165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0</v>
      </c>
      <c r="DI132" s="161">
        <f t="shared" si="97"/>
        <v>0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2"/>
        <v>0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0</v>
      </c>
      <c r="ES132" s="139">
        <f t="shared" si="136"/>
        <v>0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0</v>
      </c>
      <c r="FV132" s="149"/>
      <c r="FY132" s="210">
        <v>127</v>
      </c>
      <c r="FZ132">
        <v>1.1861916436778464</v>
      </c>
      <c r="GA132">
        <v>1.7961973330557532</v>
      </c>
      <c r="GB132">
        <v>1.1845557655673664</v>
      </c>
      <c r="GC132">
        <v>0.80337556244885089</v>
      </c>
      <c r="GD132">
        <v>2.1297289595917928</v>
      </c>
      <c r="GE132">
        <v>4.7217706267959478</v>
      </c>
      <c r="GF132">
        <v>3.9131710555078016</v>
      </c>
      <c r="GG132">
        <v>2.6739594722278746</v>
      </c>
      <c r="GH132">
        <v>1.2987525840966234</v>
      </c>
      <c r="GI132">
        <v>2.657791926777366</v>
      </c>
      <c r="GJ132"/>
      <c r="GK132"/>
      <c r="GL132"/>
      <c r="GM132"/>
    </row>
    <row r="133" spans="1:195" s="7" customFormat="1">
      <c r="A133" s="1"/>
      <c r="B133" s="76">
        <f t="shared" ca="1" si="131"/>
        <v>0.85342688210977169</v>
      </c>
      <c r="C133">
        <v>4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22.037360991405105</v>
      </c>
      <c r="AO133">
        <v>4.3484402859658591</v>
      </c>
      <c r="AP133">
        <v>29.160767220164843</v>
      </c>
      <c r="AQ133">
        <v>26.09738986928884</v>
      </c>
      <c r="AR133">
        <v>4.1226384784117336</v>
      </c>
      <c r="AS133">
        <v>21.159952001981164</v>
      </c>
      <c r="AT133">
        <v>2.6218255083169537</v>
      </c>
      <c r="AU133">
        <v>0.83067142714417486</v>
      </c>
      <c r="AV133"/>
      <c r="AW133"/>
      <c r="AX133" s="146"/>
      <c r="AY133" s="76">
        <f t="shared" ca="1" si="87"/>
        <v>0.95621493130793245</v>
      </c>
      <c r="AZ133">
        <v>6</v>
      </c>
      <c r="BA133" s="129">
        <f t="shared" si="166"/>
        <v>39775</v>
      </c>
      <c r="BB133">
        <v>0</v>
      </c>
      <c r="BC133">
        <v>0</v>
      </c>
      <c r="BD133">
        <v>0</v>
      </c>
      <c r="BE133">
        <v>0</v>
      </c>
      <c r="BF133">
        <v>1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9"/>
        <v>0.13588166641922506</v>
      </c>
      <c r="CL133" s="179">
        <f t="shared" si="90"/>
        <v>6</v>
      </c>
      <c r="CM133" s="180">
        <f t="shared" si="91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0.8301843366426489</v>
      </c>
      <c r="DD133">
        <f t="shared" si="93"/>
        <v>6</v>
      </c>
      <c r="DE133" s="129">
        <f t="shared" si="165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0</v>
      </c>
      <c r="DI133" s="161">
        <f t="shared" si="97"/>
        <v>0</v>
      </c>
      <c r="DJ133" s="161">
        <f t="shared" si="98"/>
        <v>10.416666666666666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2"/>
        <v>10.416666666666666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</v>
      </c>
      <c r="ES133" s="139">
        <f t="shared" si="136"/>
        <v>0</v>
      </c>
      <c r="ET133" s="139">
        <f t="shared" si="137"/>
        <v>2.7092885432593907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2.7092885432593907</v>
      </c>
      <c r="FV133" s="149"/>
      <c r="FY133" s="210">
        <v>128</v>
      </c>
      <c r="FZ133">
        <v>1.0690548596060589</v>
      </c>
      <c r="GA133">
        <v>2.1064812032697087</v>
      </c>
      <c r="GB133">
        <v>1.9061863582854846</v>
      </c>
      <c r="GC133">
        <v>1.0527653381748443</v>
      </c>
      <c r="GD133">
        <v>2.3445308957383912</v>
      </c>
      <c r="GE133">
        <v>5.319138222462211</v>
      </c>
      <c r="GF133">
        <v>3.8916982827021269</v>
      </c>
      <c r="GG133">
        <v>3.2985866549529641</v>
      </c>
      <c r="GH133">
        <v>2.4951406051687259</v>
      </c>
      <c r="GI133">
        <v>3.1223643584846084</v>
      </c>
      <c r="GJ133"/>
      <c r="GK133"/>
      <c r="GL133"/>
      <c r="GM133"/>
    </row>
    <row r="134" spans="1:195" s="7" customFormat="1">
      <c r="A134" s="1"/>
      <c r="B134" s="76">
        <f t="shared" ca="1" si="131"/>
        <v>0.90792144074637449</v>
      </c>
      <c r="C134">
        <v>5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18.428433010547369</v>
      </c>
      <c r="AO134">
        <v>4.8655891787472978</v>
      </c>
      <c r="AP134">
        <v>41.163547852949911</v>
      </c>
      <c r="AQ134">
        <v>33.440202544582931</v>
      </c>
      <c r="AR134">
        <v>4.6254217731543505</v>
      </c>
      <c r="AS134">
        <v>21.889411712274821</v>
      </c>
      <c r="AT134">
        <v>3.3033840259230813</v>
      </c>
      <c r="AU134">
        <v>-3.7077769719805964</v>
      </c>
      <c r="AV134"/>
      <c r="AW134"/>
      <c r="AX134" s="146"/>
      <c r="AY134" s="76">
        <f t="shared" ca="1" si="87"/>
        <v>0.30380732861056736</v>
      </c>
      <c r="AZ134">
        <v>7</v>
      </c>
      <c r="BA134" s="129">
        <f t="shared" si="166"/>
        <v>39775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9"/>
        <v>8.0932381474055015E-2</v>
      </c>
      <c r="CL134" s="179">
        <f t="shared" si="90"/>
        <v>7</v>
      </c>
      <c r="CM134" s="180">
        <f t="shared" si="91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0.69986879470379915</v>
      </c>
      <c r="DD134">
        <f t="shared" si="93"/>
        <v>7</v>
      </c>
      <c r="DE134" s="129">
        <f t="shared" si="165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0</v>
      </c>
      <c r="DI134" s="161">
        <f t="shared" si="97"/>
        <v>0</v>
      </c>
      <c r="DJ134" s="161">
        <f t="shared" si="98"/>
        <v>0</v>
      </c>
      <c r="DK134" s="161">
        <f t="shared" si="99"/>
        <v>0</v>
      </c>
      <c r="DL134" s="161">
        <f t="shared" si="100"/>
        <v>0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2"/>
        <v>0</v>
      </c>
      <c r="EL134" s="149"/>
      <c r="EN134" s="146"/>
      <c r="EO134" s="146"/>
      <c r="EP134" s="139">
        <f t="shared" si="133"/>
        <v>0</v>
      </c>
      <c r="EQ134" s="139">
        <f t="shared" si="134"/>
        <v>0</v>
      </c>
      <c r="ER134" s="139">
        <f t="shared" si="135"/>
        <v>0</v>
      </c>
      <c r="ES134" s="139">
        <f t="shared" si="136"/>
        <v>0</v>
      </c>
      <c r="ET134" s="139">
        <f t="shared" si="137"/>
        <v>0</v>
      </c>
      <c r="EU134" s="139">
        <f t="shared" si="138"/>
        <v>0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0</v>
      </c>
      <c r="FV134" s="149"/>
      <c r="FY134" s="210">
        <v>129</v>
      </c>
      <c r="FZ134">
        <v>0.80304323990396009</v>
      </c>
      <c r="GA134">
        <v>2.1593674653593822</v>
      </c>
      <c r="GB134">
        <v>1.6612052842669764</v>
      </c>
      <c r="GC134">
        <v>0.60387725915894053</v>
      </c>
      <c r="GD134">
        <v>0.83446553331738738</v>
      </c>
      <c r="GE134">
        <v>2.4242685690887247</v>
      </c>
      <c r="GF134">
        <v>5.8959225791597252</v>
      </c>
      <c r="GG134">
        <v>4.3403126528999554</v>
      </c>
      <c r="GH134">
        <v>1.728170527257985</v>
      </c>
      <c r="GI134">
        <v>2.4022245171086363</v>
      </c>
      <c r="GJ134"/>
      <c r="GK134"/>
      <c r="GL134"/>
      <c r="GM134"/>
    </row>
    <row r="135" spans="1:195" s="7" customFormat="1">
      <c r="A135" s="1"/>
      <c r="B135" s="76">
        <f t="shared" ca="1" si="131"/>
        <v>0.86257402041066844</v>
      </c>
      <c r="C135">
        <v>6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10.416666666666666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24.775009755561616</v>
      </c>
      <c r="AO135">
        <v>4.9085310716049149</v>
      </c>
      <c r="AP135">
        <v>37.135727113590491</v>
      </c>
      <c r="AQ135">
        <v>31.455432178700836</v>
      </c>
      <c r="AR135">
        <v>4.721599967915922</v>
      </c>
      <c r="AS135">
        <v>22.962241995274105</v>
      </c>
      <c r="AT135">
        <v>3.1118118402454122</v>
      </c>
      <c r="AU135">
        <v>2.7029072118505226</v>
      </c>
      <c r="AV135"/>
      <c r="AW135"/>
      <c r="AX135" s="146"/>
      <c r="AY135" s="76">
        <f t="shared" ca="1" si="87"/>
        <v>0.93139934487949816</v>
      </c>
      <c r="AZ135">
        <v>8</v>
      </c>
      <c r="BA135" s="129">
        <f t="shared" si="166"/>
        <v>39775</v>
      </c>
      <c r="BB135">
        <v>0</v>
      </c>
      <c r="BC135">
        <v>0</v>
      </c>
      <c r="BD135">
        <v>0</v>
      </c>
      <c r="BE135">
        <v>0</v>
      </c>
      <c r="BF135">
        <v>1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9"/>
        <v>0.29968484300868603</v>
      </c>
      <c r="CL135" s="179">
        <f t="shared" si="90"/>
        <v>8</v>
      </c>
      <c r="CM135" s="180">
        <f t="shared" si="91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5.0517541828116741E-2</v>
      </c>
      <c r="DD135">
        <f t="shared" si="93"/>
        <v>8</v>
      </c>
      <c r="DE135" s="129">
        <f t="shared" si="165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0</v>
      </c>
      <c r="DI135" s="161">
        <f t="shared" si="97"/>
        <v>0</v>
      </c>
      <c r="DJ135" s="161">
        <f t="shared" si="98"/>
        <v>34.722222222222221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2"/>
        <v>34.722222222222221</v>
      </c>
      <c r="EL135" s="149"/>
      <c r="EN135" s="146"/>
      <c r="EO135" s="146"/>
      <c r="EP135" s="139">
        <f t="shared" si="133"/>
        <v>0</v>
      </c>
      <c r="EQ135" s="139">
        <f t="shared" si="134"/>
        <v>0</v>
      </c>
      <c r="ER135" s="139">
        <f t="shared" si="135"/>
        <v>0</v>
      </c>
      <c r="ES135" s="139">
        <f t="shared" si="136"/>
        <v>0</v>
      </c>
      <c r="ET135" s="139">
        <f t="shared" si="137"/>
        <v>9.0309618108646355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9.0309618108646355</v>
      </c>
      <c r="FV135" s="149"/>
      <c r="FY135" s="210">
        <v>130</v>
      </c>
      <c r="FZ135">
        <v>1.0091136814839547</v>
      </c>
      <c r="GA135">
        <v>3.4155797975480482</v>
      </c>
      <c r="GB135">
        <v>3.5041008341340261</v>
      </c>
      <c r="GC135">
        <v>1.6994853686803757</v>
      </c>
      <c r="GD135">
        <v>1.4706185325864913</v>
      </c>
      <c r="GE135">
        <v>3.1465798535998863</v>
      </c>
      <c r="GF135">
        <v>3.0458141879413656</v>
      </c>
      <c r="GG135">
        <v>3.1742150671195217</v>
      </c>
      <c r="GH135">
        <v>3.1329775561198039</v>
      </c>
      <c r="GI135">
        <v>2.9503660887622298</v>
      </c>
      <c r="GJ135"/>
      <c r="GK135"/>
      <c r="GL135"/>
      <c r="GM135"/>
    </row>
    <row r="136" spans="1:195" s="7" customFormat="1">
      <c r="A136" s="1"/>
      <c r="B136" s="76">
        <f t="shared" ca="1" si="131"/>
        <v>0.81306912232923523</v>
      </c>
      <c r="C136">
        <v>10</v>
      </c>
      <c r="D136">
        <v>39775</v>
      </c>
      <c r="E136">
        <v>0</v>
      </c>
      <c r="F136">
        <v>0</v>
      </c>
      <c r="G136">
        <v>10.416666666666666</v>
      </c>
      <c r="H136">
        <v>0</v>
      </c>
      <c r="I136">
        <v>20.833333333333332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27.410155400357997</v>
      </c>
      <c r="AO136">
        <v>5.7412407867340702</v>
      </c>
      <c r="AP136">
        <v>34.522933009731588</v>
      </c>
      <c r="AQ136">
        <v>32.202594056344438</v>
      </c>
      <c r="AR136">
        <v>5.312538656411661</v>
      </c>
      <c r="AS136">
        <v>25.906145480253297</v>
      </c>
      <c r="AT136">
        <v>3.5315186178359599</v>
      </c>
      <c r="AU136">
        <v>3.6868800694031787</v>
      </c>
      <c r="AV136"/>
      <c r="AW136"/>
      <c r="AX136" s="146"/>
      <c r="AY136" s="76">
        <f t="shared" ca="1" si="87"/>
        <v>0.14875096621744266</v>
      </c>
      <c r="AZ136">
        <v>9</v>
      </c>
      <c r="BA136" s="129">
        <f t="shared" si="166"/>
        <v>39775</v>
      </c>
      <c r="BB136">
        <v>0</v>
      </c>
      <c r="BC136">
        <v>0</v>
      </c>
      <c r="BD136">
        <v>0</v>
      </c>
      <c r="BE136">
        <v>0</v>
      </c>
      <c r="BF136">
        <v>1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9"/>
        <v>0.7404458996332306</v>
      </c>
      <c r="CL136" s="179">
        <f t="shared" si="90"/>
        <v>9</v>
      </c>
      <c r="CM136" s="180">
        <f t="shared" si="91"/>
        <v>39775</v>
      </c>
      <c r="CN136" s="225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0.70050181301473646</v>
      </c>
      <c r="DD136">
        <f t="shared" si="93"/>
        <v>9</v>
      </c>
      <c r="DE136" s="129">
        <f t="shared" si="165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0</v>
      </c>
      <c r="DJ136" s="161">
        <f t="shared" si="98"/>
        <v>10.416666666666666</v>
      </c>
      <c r="DK136" s="161">
        <f t="shared" si="99"/>
        <v>0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2"/>
        <v>10.416666666666666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</v>
      </c>
      <c r="ES136" s="139">
        <f t="shared" si="136"/>
        <v>0</v>
      </c>
      <c r="ET136" s="139">
        <f t="shared" si="137"/>
        <v>2.7092885432593907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2.7092885432593907</v>
      </c>
      <c r="FV136" s="149"/>
      <c r="FY136" s="210">
        <v>131</v>
      </c>
      <c r="FZ136">
        <v>0.65899690723804139</v>
      </c>
      <c r="GA136">
        <v>2.2282050981324364</v>
      </c>
      <c r="GB136">
        <v>1.6658304018773413</v>
      </c>
      <c r="GC136">
        <v>0.69980612067494885</v>
      </c>
      <c r="GD136">
        <v>1.3791318524828009</v>
      </c>
      <c r="GE136">
        <v>3.5892504106458172</v>
      </c>
      <c r="GF136">
        <v>6.3344443168160884</v>
      </c>
      <c r="GG136">
        <v>5.8890200566376771</v>
      </c>
      <c r="GH136">
        <v>3.2012464319020237</v>
      </c>
      <c r="GI136">
        <v>3.0190297534957495</v>
      </c>
      <c r="GJ136"/>
      <c r="GK136"/>
      <c r="GL136"/>
      <c r="GM136"/>
    </row>
    <row r="137" spans="1:195" s="7" customFormat="1">
      <c r="A137" s="1"/>
      <c r="B137" s="76">
        <f t="shared" ca="1" si="131"/>
        <v>0.58921471997574937</v>
      </c>
      <c r="C137">
        <v>8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34.722222222222221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23.480667480667485</v>
      </c>
      <c r="AO137">
        <v>5.0952283571705754</v>
      </c>
      <c r="AP137">
        <v>38.963350391598738</v>
      </c>
      <c r="AQ137">
        <v>32.72828011946855</v>
      </c>
      <c r="AR137">
        <v>4.9130307073652082</v>
      </c>
      <c r="AS137">
        <v>25.840355281862774</v>
      </c>
      <c r="AT137">
        <v>3.1867931327849597</v>
      </c>
      <c r="AU137">
        <v>2.7735404815049591</v>
      </c>
      <c r="AV137"/>
      <c r="AW137"/>
      <c r="AX137" s="146"/>
      <c r="AY137" s="76">
        <f t="shared" ca="1" si="87"/>
        <v>0.27228811832597888</v>
      </c>
      <c r="AZ137">
        <v>10</v>
      </c>
      <c r="BA137" s="129">
        <f t="shared" si="166"/>
        <v>39775</v>
      </c>
      <c r="BB137">
        <v>0</v>
      </c>
      <c r="BC137">
        <v>0</v>
      </c>
      <c r="BD137">
        <v>0</v>
      </c>
      <c r="BE137">
        <v>0</v>
      </c>
      <c r="BF137">
        <v>2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9"/>
        <v>0.58365068658192376</v>
      </c>
      <c r="CL137" s="179">
        <f t="shared" si="90"/>
        <v>10</v>
      </c>
      <c r="CM137" s="180">
        <f t="shared" si="91"/>
        <v>39775</v>
      </c>
      <c r="CN137" s="224">
        <v>0</v>
      </c>
      <c r="CO137" s="224">
        <v>0</v>
      </c>
      <c r="CP137" s="224">
        <v>1</v>
      </c>
      <c r="CQ137" s="224">
        <v>0</v>
      </c>
      <c r="CR137" s="224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0.25677289224261379</v>
      </c>
      <c r="DD137">
        <f t="shared" si="93"/>
        <v>10</v>
      </c>
      <c r="DE137" s="129">
        <f t="shared" si="165"/>
        <v>39775</v>
      </c>
      <c r="DF137" s="161">
        <f t="shared" si="94"/>
        <v>0</v>
      </c>
      <c r="DG137" s="161">
        <f t="shared" si="95"/>
        <v>0</v>
      </c>
      <c r="DH137" s="161">
        <f t="shared" si="96"/>
        <v>10.416666666666666</v>
      </c>
      <c r="DI137" s="161">
        <f t="shared" si="97"/>
        <v>0</v>
      </c>
      <c r="DJ137" s="161">
        <f t="shared" si="98"/>
        <v>20.833333333333332</v>
      </c>
      <c r="DK137" s="161">
        <f t="shared" si="99"/>
        <v>0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2"/>
        <v>31.25</v>
      </c>
      <c r="EL137" s="149"/>
      <c r="EN137" s="146"/>
      <c r="EO137" s="146"/>
      <c r="EP137" s="139">
        <f t="shared" si="133"/>
        <v>0</v>
      </c>
      <c r="EQ137" s="139">
        <f t="shared" si="134"/>
        <v>0</v>
      </c>
      <c r="ER137" s="139">
        <f t="shared" si="135"/>
        <v>0.41006202526833385</v>
      </c>
      <c r="ES137" s="139">
        <f t="shared" si="136"/>
        <v>0</v>
      </c>
      <c r="ET137" s="139">
        <f t="shared" si="137"/>
        <v>5.4185770865187814</v>
      </c>
      <c r="EU137" s="139">
        <f t="shared" si="138"/>
        <v>0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5.8286391117871155</v>
      </c>
      <c r="FV137" s="149"/>
      <c r="FY137" s="210">
        <v>132</v>
      </c>
      <c r="FZ137">
        <v>1.2149585936860854</v>
      </c>
      <c r="GA137">
        <v>2.3185716398757705</v>
      </c>
      <c r="GB137">
        <v>2.1202277845862119</v>
      </c>
      <c r="GC137">
        <v>1.4869965557755838</v>
      </c>
      <c r="GD137">
        <v>1.4800017941963024</v>
      </c>
      <c r="GE137">
        <v>2.6226330233736417</v>
      </c>
      <c r="GF137">
        <v>5.6075773420190895</v>
      </c>
      <c r="GG137">
        <v>5.5985729272306726</v>
      </c>
      <c r="GH137">
        <v>2.729646310223913</v>
      </c>
      <c r="GI137">
        <v>3.0743815084440103</v>
      </c>
      <c r="GJ137"/>
      <c r="GK137"/>
      <c r="GL137"/>
      <c r="GM137"/>
    </row>
    <row r="138" spans="1:195" s="7" customFormat="1">
      <c r="A138" s="128"/>
      <c r="B138" s="76">
        <f t="shared" ca="1" si="131"/>
        <v>0.89526217569889921</v>
      </c>
      <c r="C138">
        <v>5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70.112179487179489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27.640101465322441</v>
      </c>
      <c r="AO138">
        <v>5.0509042725070561</v>
      </c>
      <c r="AP138">
        <v>33.969666009679727</v>
      </c>
      <c r="AQ138">
        <v>30.218100105346714</v>
      </c>
      <c r="AR138">
        <v>4.6346508881508655</v>
      </c>
      <c r="AS138">
        <v>23.089364050224642</v>
      </c>
      <c r="AT138">
        <v>3.0610257904857026</v>
      </c>
      <c r="AU138">
        <v>4.4224737872303539</v>
      </c>
      <c r="AV138"/>
      <c r="AW138"/>
      <c r="AX138" s="128"/>
      <c r="AY138" s="76">
        <f t="shared" ca="1" si="87"/>
        <v>0.98397503123572427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9"/>
        <v>0.96373936282461803</v>
      </c>
      <c r="CL138" s="179">
        <f t="shared" si="90"/>
        <v>1</v>
      </c>
      <c r="CM138" s="180">
        <f t="shared" si="91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0.31490734673950005</v>
      </c>
      <c r="DD138">
        <f t="shared" si="93"/>
        <v>1</v>
      </c>
      <c r="DE138" s="129">
        <f t="shared" ref="DE138:DE147" si="167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2"/>
        <v>0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0</v>
      </c>
      <c r="FV138" s="149"/>
      <c r="FY138" s="210">
        <v>133</v>
      </c>
      <c r="FZ138">
        <v>0.83596210474300126</v>
      </c>
      <c r="GA138">
        <v>1.9827814430065707</v>
      </c>
      <c r="GB138">
        <v>2.0788788870642083</v>
      </c>
      <c r="GC138">
        <v>1.2000623568134832</v>
      </c>
      <c r="GD138">
        <v>2.0684347854199818</v>
      </c>
      <c r="GE138">
        <v>4.4629177862495784</v>
      </c>
      <c r="GF138">
        <v>5.6460574540632305</v>
      </c>
      <c r="GG138">
        <v>5.4501703872086482</v>
      </c>
      <c r="GH138">
        <v>4.596810070056736</v>
      </c>
      <c r="GI138">
        <v>3.6511085879104281</v>
      </c>
      <c r="GJ138"/>
      <c r="GK138"/>
      <c r="GL138"/>
      <c r="GM138"/>
    </row>
    <row r="139" spans="1:195" s="7" customFormat="1">
      <c r="A139" s="1"/>
      <c r="B139" s="76">
        <f t="shared" ca="1" si="131"/>
        <v>0.5862145209917653</v>
      </c>
      <c r="C139">
        <v>3</v>
      </c>
      <c r="D139">
        <v>39799</v>
      </c>
      <c r="E139">
        <v>0</v>
      </c>
      <c r="F139">
        <v>0</v>
      </c>
      <c r="G139">
        <v>0</v>
      </c>
      <c r="H139">
        <v>24.038461538461537</v>
      </c>
      <c r="I139">
        <v>24.038461538461537</v>
      </c>
      <c r="J139">
        <v>24.038461538461537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22.130196525896231</v>
      </c>
      <c r="AO139">
        <v>5.0622534305553568</v>
      </c>
      <c r="AP139">
        <v>37.500160490196066</v>
      </c>
      <c r="AQ139">
        <v>31.894832027332406</v>
      </c>
      <c r="AR139">
        <v>4.7450767173986401</v>
      </c>
      <c r="AS139">
        <v>21.953516435617914</v>
      </c>
      <c r="AT139">
        <v>3.3253768866088902</v>
      </c>
      <c r="AU139">
        <v>2.6540712535890036</v>
      </c>
      <c r="AV139"/>
      <c r="AW139"/>
      <c r="AX139" s="146"/>
      <c r="AY139" s="76">
        <f t="shared" ca="1" si="87"/>
        <v>0.46872550702317017</v>
      </c>
      <c r="AZ139">
        <v>2</v>
      </c>
      <c r="BA139" s="129">
        <f t="shared" ref="BA139:BA147" si="168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1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9"/>
        <v>0.85236692399000225</v>
      </c>
      <c r="CL139" s="179">
        <f t="shared" si="90"/>
        <v>2</v>
      </c>
      <c r="CM139" s="180">
        <f t="shared" si="91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0.98572186904001713</v>
      </c>
      <c r="DD139">
        <f t="shared" si="93"/>
        <v>2</v>
      </c>
      <c r="DE139" s="129">
        <f t="shared" si="167"/>
        <v>39799</v>
      </c>
      <c r="DF139" s="161">
        <f t="shared" si="94"/>
        <v>0</v>
      </c>
      <c r="DG139" s="161">
        <f t="shared" si="95"/>
        <v>0</v>
      </c>
      <c r="DH139" s="161">
        <f t="shared" si="96"/>
        <v>0</v>
      </c>
      <c r="DI139" s="161">
        <f t="shared" si="97"/>
        <v>0</v>
      </c>
      <c r="DJ139" s="161">
        <f t="shared" si="98"/>
        <v>10.416666666666666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2"/>
        <v>10.416666666666666</v>
      </c>
      <c r="EL139" s="149"/>
      <c r="EN139" s="146"/>
      <c r="EO139" s="146"/>
      <c r="EP139" s="139">
        <f t="shared" si="133"/>
        <v>0</v>
      </c>
      <c r="EQ139" s="139">
        <f t="shared" si="134"/>
        <v>0</v>
      </c>
      <c r="ER139" s="139">
        <f t="shared" si="135"/>
        <v>0</v>
      </c>
      <c r="ES139" s="139">
        <f t="shared" si="136"/>
        <v>0</v>
      </c>
      <c r="ET139" s="139">
        <f t="shared" si="137"/>
        <v>2.7092885432593907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2.7092885432593907</v>
      </c>
      <c r="FV139" s="149"/>
      <c r="FY139" s="210">
        <v>134</v>
      </c>
      <c r="FZ139">
        <v>1.2765316438444341</v>
      </c>
      <c r="GA139">
        <v>2.0398154265776776</v>
      </c>
      <c r="GB139">
        <v>1.7665489925982043</v>
      </c>
      <c r="GC139">
        <v>0.89117090915713515</v>
      </c>
      <c r="GD139">
        <v>1.6423056722583385</v>
      </c>
      <c r="GE139">
        <v>4.7958168487068722</v>
      </c>
      <c r="GF139">
        <v>9.7721289430190499</v>
      </c>
      <c r="GG139">
        <v>6.4176492927593038</v>
      </c>
      <c r="GH139">
        <v>0.76413977227252428</v>
      </c>
      <c r="GI139">
        <v>3.5371789781520695</v>
      </c>
      <c r="GJ139"/>
      <c r="GK139"/>
      <c r="GL139"/>
      <c r="GM139"/>
    </row>
    <row r="140" spans="1:195" s="7" customFormat="1">
      <c r="A140" s="1"/>
      <c r="B140" s="76">
        <f t="shared" ca="1" si="131"/>
        <v>0.42404658193581568</v>
      </c>
      <c r="C140">
        <v>2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10.416666666666666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24.460496637280119</v>
      </c>
      <c r="AO140">
        <v>5.4374103957347275</v>
      </c>
      <c r="AP140">
        <v>43.738370422189945</v>
      </c>
      <c r="AQ140">
        <v>36.235411430515107</v>
      </c>
      <c r="AR140">
        <v>5.1210944727872487</v>
      </c>
      <c r="AS140">
        <v>23.941019765806629</v>
      </c>
      <c r="AT140">
        <v>3.490683679466986</v>
      </c>
      <c r="AU140">
        <v>6.3064735481859362</v>
      </c>
      <c r="AV140"/>
      <c r="AW140"/>
      <c r="AX140" s="146"/>
      <c r="AY140" s="76">
        <f t="shared" ca="1" si="87"/>
        <v>0.73486503107047652</v>
      </c>
      <c r="AZ140">
        <v>3</v>
      </c>
      <c r="BA140" s="129">
        <f t="shared" si="168"/>
        <v>39799</v>
      </c>
      <c r="BB140">
        <v>0</v>
      </c>
      <c r="BC140">
        <v>0</v>
      </c>
      <c r="BD140">
        <v>0</v>
      </c>
      <c r="BE140">
        <v>1</v>
      </c>
      <c r="BF140">
        <v>1</v>
      </c>
      <c r="BG140">
        <v>1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9"/>
        <v>0.67777678911640971</v>
      </c>
      <c r="CL140" s="179">
        <f t="shared" si="90"/>
        <v>3</v>
      </c>
      <c r="CM140" s="180">
        <f t="shared" si="91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0.26086478262337942</v>
      </c>
      <c r="DD140">
        <f t="shared" si="93"/>
        <v>3</v>
      </c>
      <c r="DE140" s="129">
        <f t="shared" si="167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0</v>
      </c>
      <c r="DI140" s="161">
        <f t="shared" si="97"/>
        <v>24.038461538461537</v>
      </c>
      <c r="DJ140" s="161">
        <f t="shared" si="98"/>
        <v>24.038461538461537</v>
      </c>
      <c r="DK140" s="161">
        <f t="shared" si="99"/>
        <v>24.038461538461537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2"/>
        <v>72.115384615384613</v>
      </c>
      <c r="EL140" s="149"/>
      <c r="EN140" s="146"/>
      <c r="EO140" s="146"/>
      <c r="EP140" s="139">
        <f t="shared" si="133"/>
        <v>0</v>
      </c>
      <c r="EQ140" s="139">
        <f t="shared" si="134"/>
        <v>0</v>
      </c>
      <c r="ER140" s="139">
        <f t="shared" si="135"/>
        <v>0</v>
      </c>
      <c r="ES140" s="139">
        <f t="shared" si="136"/>
        <v>2.8556175633011516</v>
      </c>
      <c r="ET140" s="139">
        <f t="shared" si="137"/>
        <v>6.2522043305985937</v>
      </c>
      <c r="EU140" s="139">
        <f t="shared" si="138"/>
        <v>11.48196023212774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20.589782126027487</v>
      </c>
      <c r="FV140" s="149"/>
      <c r="FY140" s="210">
        <v>135</v>
      </c>
      <c r="FZ140">
        <v>0.86472905475124029</v>
      </c>
      <c r="GA140">
        <v>3.163419093094868</v>
      </c>
      <c r="GB140">
        <v>1.950733477125338</v>
      </c>
      <c r="GC140">
        <v>0.6725052097476667</v>
      </c>
      <c r="GD140">
        <v>1.527605149219553</v>
      </c>
      <c r="GE140">
        <v>4.8660144636393916</v>
      </c>
      <c r="GF140">
        <v>8.0389119684184056</v>
      </c>
      <c r="GG140">
        <v>6.9518360013872638</v>
      </c>
      <c r="GH140">
        <v>5.3688270967126748</v>
      </c>
      <c r="GI140">
        <v>3.8638405657506252</v>
      </c>
      <c r="GJ140"/>
      <c r="GK140"/>
      <c r="GL140"/>
      <c r="GM140"/>
    </row>
    <row r="141" spans="1:195" s="7" customFormat="1">
      <c r="A141" s="1"/>
      <c r="B141" s="76">
        <f t="shared" ca="1" si="131"/>
        <v>0.95825090283827263</v>
      </c>
      <c r="C141">
        <v>1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23.854568796058157</v>
      </c>
      <c r="AO141">
        <v>5.3946685650427657</v>
      </c>
      <c r="AP141">
        <v>41.533277280579178</v>
      </c>
      <c r="AQ141">
        <v>34.969609044516233</v>
      </c>
      <c r="AR141">
        <v>5.1175716243757634</v>
      </c>
      <c r="AS141">
        <v>21.727802891586506</v>
      </c>
      <c r="AT141">
        <v>3.2355984875596921</v>
      </c>
      <c r="AU141">
        <v>-3.4452166285715546</v>
      </c>
      <c r="AV141"/>
      <c r="AW141"/>
      <c r="AX141" s="146"/>
      <c r="AY141" s="76">
        <f t="shared" ca="1" si="87"/>
        <v>0.43883958408753632</v>
      </c>
      <c r="AZ141">
        <v>4</v>
      </c>
      <c r="BA141" s="129">
        <f t="shared" si="168"/>
        <v>39799</v>
      </c>
      <c r="BB141">
        <v>0</v>
      </c>
      <c r="BC141">
        <v>0</v>
      </c>
      <c r="BD141">
        <v>0</v>
      </c>
      <c r="BE141">
        <v>0</v>
      </c>
      <c r="BF141">
        <v>3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9"/>
        <v>9.5664659740291036E-4</v>
      </c>
      <c r="CL141" s="179">
        <f t="shared" si="90"/>
        <v>4</v>
      </c>
      <c r="CM141" s="180">
        <f t="shared" si="91"/>
        <v>39799</v>
      </c>
      <c r="CN141">
        <v>0</v>
      </c>
      <c r="CO141">
        <v>0</v>
      </c>
      <c r="CP141">
        <v>1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0.75843839466099006</v>
      </c>
      <c r="DD141">
        <f t="shared" si="93"/>
        <v>4</v>
      </c>
      <c r="DE141" s="129">
        <f t="shared" si="167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292.44652406417111</v>
      </c>
      <c r="DI141" s="161">
        <f t="shared" si="97"/>
        <v>0</v>
      </c>
      <c r="DJ141" s="161">
        <f t="shared" si="98"/>
        <v>113.63636363636363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2"/>
        <v>406.08288770053474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11.512436538282101</v>
      </c>
      <c r="ES141" s="139">
        <f t="shared" si="136"/>
        <v>0</v>
      </c>
      <c r="ET141" s="139">
        <f t="shared" si="137"/>
        <v>29.555875017375168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41.068311555657267</v>
      </c>
      <c r="FV141" s="149"/>
      <c r="FY141" s="210">
        <v>136</v>
      </c>
      <c r="FZ141">
        <v>0.89175136803430377</v>
      </c>
      <c r="GA141">
        <v>3.0221716118484534</v>
      </c>
      <c r="GB141">
        <v>1.8544035508317993</v>
      </c>
      <c r="GC141">
        <v>1.138463221629932</v>
      </c>
      <c r="GD141">
        <v>1.4752963451565713</v>
      </c>
      <c r="GE141">
        <v>3.5752061759383613</v>
      </c>
      <c r="GF141">
        <v>6.202440981075295</v>
      </c>
      <c r="GG141">
        <v>6.6879609649097453</v>
      </c>
      <c r="GH141">
        <v>5.3912452285953414</v>
      </c>
      <c r="GI141">
        <v>3.4765572449725402</v>
      </c>
      <c r="GJ141"/>
      <c r="GK141"/>
      <c r="GL141"/>
      <c r="GM141"/>
    </row>
    <row r="142" spans="1:195" s="7" customFormat="1">
      <c r="A142" s="1"/>
      <c r="B142" s="76">
        <f t="shared" ca="1" si="131"/>
        <v>0.43433154065915591</v>
      </c>
      <c r="C142">
        <v>7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24.656962250712251</v>
      </c>
      <c r="AO142">
        <v>4.1840421289050429</v>
      </c>
      <c r="AP142">
        <v>30.441032953740134</v>
      </c>
      <c r="AQ142">
        <v>26.168810182926489</v>
      </c>
      <c r="AR142">
        <v>4.0536716110773279</v>
      </c>
      <c r="AS142">
        <v>22.742118073168577</v>
      </c>
      <c r="AT142">
        <v>2.5983635061837029</v>
      </c>
      <c r="AU142">
        <v>3.8096481483299742</v>
      </c>
      <c r="AV142"/>
      <c r="AW142"/>
      <c r="AX142" s="146"/>
      <c r="AY142" s="76">
        <f t="shared" ca="1" si="87"/>
        <v>0.863763045445892</v>
      </c>
      <c r="AZ142">
        <v>5</v>
      </c>
      <c r="BA142" s="129">
        <f t="shared" si="168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9"/>
        <v>0.98484368410475454</v>
      </c>
      <c r="CL142" s="179">
        <f t="shared" si="90"/>
        <v>5</v>
      </c>
      <c r="CM142" s="180">
        <f t="shared" si="91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1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0.33647099246237433</v>
      </c>
      <c r="DD142">
        <f t="shared" si="93"/>
        <v>5</v>
      </c>
      <c r="DE142" s="129">
        <f t="shared" si="167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0</v>
      </c>
      <c r="DI142" s="161">
        <f t="shared" si="97"/>
        <v>0</v>
      </c>
      <c r="DJ142" s="161">
        <f t="shared" si="98"/>
        <v>0</v>
      </c>
      <c r="DK142" s="161">
        <f t="shared" si="99"/>
        <v>70.112179487179489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2"/>
        <v>70.112179487179489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</v>
      </c>
      <c r="ES142" s="139">
        <f t="shared" si="136"/>
        <v>0</v>
      </c>
      <c r="ET142" s="139">
        <f t="shared" si="137"/>
        <v>0</v>
      </c>
      <c r="EU142" s="139">
        <f t="shared" si="138"/>
        <v>33.489050677039245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33.489050677039245</v>
      </c>
      <c r="FV142" s="149"/>
      <c r="FY142" s="210">
        <v>137</v>
      </c>
      <c r="FZ142">
        <v>1.5031640237068551</v>
      </c>
      <c r="GA142">
        <v>1.6936992837021843</v>
      </c>
      <c r="GB142">
        <v>1.3173212937242325</v>
      </c>
      <c r="GC142">
        <v>0.74457059445742468</v>
      </c>
      <c r="GD142">
        <v>1.6022539166175505</v>
      </c>
      <c r="GE142">
        <v>5.143420093553253</v>
      </c>
      <c r="GF142">
        <v>7.9983029081417616</v>
      </c>
      <c r="GG142">
        <v>6.4068906205073839</v>
      </c>
      <c r="GH142">
        <v>3.6858893313222656</v>
      </c>
      <c r="GI142">
        <v>3.5751800118961001</v>
      </c>
      <c r="GJ142"/>
      <c r="GK142"/>
      <c r="GL142"/>
      <c r="GM142"/>
    </row>
    <row r="143" spans="1:195" s="7" customFormat="1">
      <c r="A143" s="1"/>
      <c r="B143" s="76">
        <f t="shared" ca="1" si="131"/>
        <v>0.70493459535760827</v>
      </c>
      <c r="C143">
        <v>9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20.286241740285853</v>
      </c>
      <c r="AO143">
        <v>3.9256630910826558</v>
      </c>
      <c r="AP143">
        <v>23.685954842290826</v>
      </c>
      <c r="AQ143">
        <v>22.365494929747221</v>
      </c>
      <c r="AR143">
        <v>3.6205885128874185</v>
      </c>
      <c r="AS143">
        <v>17.190784498804891</v>
      </c>
      <c r="AT143" t="e">
        <v>#DIV/0!</v>
      </c>
      <c r="AU143" t="e">
        <v>#DIV/0!</v>
      </c>
      <c r="AV143"/>
      <c r="AW143"/>
      <c r="AX143" s="146"/>
      <c r="AY143" s="76">
        <f t="shared" ca="1" si="87"/>
        <v>0.10791870173721563</v>
      </c>
      <c r="AZ143">
        <v>6</v>
      </c>
      <c r="BA143" s="129">
        <f t="shared" si="168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9"/>
        <v>0.65796712529641455</v>
      </c>
      <c r="CL143" s="179">
        <f t="shared" si="90"/>
        <v>6</v>
      </c>
      <c r="CM143" s="180">
        <f t="shared" si="91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0.40893338381496736</v>
      </c>
      <c r="DD143">
        <f t="shared" si="93"/>
        <v>6</v>
      </c>
      <c r="DE143" s="129">
        <f t="shared" si="167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0">
        <v>138</v>
      </c>
      <c r="FZ143">
        <v>1.1861916436778464</v>
      </c>
      <c r="GA143">
        <v>3.2837324556579532</v>
      </c>
      <c r="GB143">
        <v>1.6785809138634975</v>
      </c>
      <c r="GC143">
        <v>0.68654560721361768</v>
      </c>
      <c r="GD143">
        <v>2.051272975087846</v>
      </c>
      <c r="GE143">
        <v>5.8048146813157695</v>
      </c>
      <c r="GF143">
        <v>6.5183802459898361</v>
      </c>
      <c r="GG143">
        <v>4.4015176828903115</v>
      </c>
      <c r="GH143">
        <v>4.7546083947492299</v>
      </c>
      <c r="GI143">
        <v>3.7760583230265028</v>
      </c>
      <c r="GJ143"/>
      <c r="GK143"/>
      <c r="GL143"/>
      <c r="GM143"/>
    </row>
    <row r="144" spans="1:195" s="7" customFormat="1">
      <c r="A144" s="1"/>
      <c r="B144" s="76">
        <f t="shared" ca="1" si="131"/>
        <v>2.2167114066864002E-2</v>
      </c>
      <c r="C144">
        <v>6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28.045104449535767</v>
      </c>
      <c r="AO144">
        <v>4.608955812092761</v>
      </c>
      <c r="AP144">
        <v>28.543689450354943</v>
      </c>
      <c r="AQ144">
        <v>26.605946778845123</v>
      </c>
      <c r="AR144">
        <v>4.2689185193941928</v>
      </c>
      <c r="AS144">
        <v>21.852104518561489</v>
      </c>
      <c r="AT144">
        <v>2.7077721692395631</v>
      </c>
      <c r="AU144">
        <v>3.7164079185948879</v>
      </c>
      <c r="AV144"/>
      <c r="AW144"/>
      <c r="AX144" s="146"/>
      <c r="AY144" s="76">
        <f t="shared" ca="1" si="87"/>
        <v>0.62409143872770034</v>
      </c>
      <c r="AZ144">
        <v>7</v>
      </c>
      <c r="BA144" s="129">
        <f t="shared" si="168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9"/>
        <v>4.9006721216200866E-2</v>
      </c>
      <c r="CL144" s="179">
        <f t="shared" si="90"/>
        <v>7</v>
      </c>
      <c r="CM144" s="180">
        <f t="shared" si="91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0.52902306975924951</v>
      </c>
      <c r="DD144">
        <f t="shared" si="93"/>
        <v>7</v>
      </c>
      <c r="DE144" s="129">
        <f t="shared" si="167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0</v>
      </c>
      <c r="DJ144" s="161">
        <f t="shared" si="98"/>
        <v>0</v>
      </c>
      <c r="DK144" s="161">
        <f t="shared" si="99"/>
        <v>0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2"/>
        <v>0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0</v>
      </c>
      <c r="ET144" s="139">
        <f t="shared" si="137"/>
        <v>0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0</v>
      </c>
      <c r="FV144" s="149"/>
      <c r="FY144" s="210">
        <v>139</v>
      </c>
      <c r="FZ144">
        <v>0.87107666506294512</v>
      </c>
      <c r="GA144">
        <v>1.8599683659541746</v>
      </c>
      <c r="GB144">
        <v>1.3775768493616769</v>
      </c>
      <c r="GC144">
        <v>0.69687846996908742</v>
      </c>
      <c r="GD144">
        <v>2.0132571919454021</v>
      </c>
      <c r="GE144">
        <v>4.1409614907291674</v>
      </c>
      <c r="GF144">
        <v>3.9523174340003497</v>
      </c>
      <c r="GG144">
        <v>6.056719600878619</v>
      </c>
      <c r="GH144">
        <v>5.5418816645347464</v>
      </c>
      <c r="GI144">
        <v>3.2874844281494524</v>
      </c>
      <c r="GJ144"/>
      <c r="GK144"/>
      <c r="GL144"/>
      <c r="GM144"/>
    </row>
    <row r="145" spans="1:195" s="7" customFormat="1">
      <c r="A145" s="1"/>
      <c r="B145" s="76">
        <f t="shared" ca="1" si="131"/>
        <v>0.45594965840518764</v>
      </c>
      <c r="C145">
        <v>4</v>
      </c>
      <c r="D145">
        <v>39799</v>
      </c>
      <c r="E145">
        <v>0</v>
      </c>
      <c r="F145">
        <v>0</v>
      </c>
      <c r="G145">
        <v>292.44652406417111</v>
      </c>
      <c r="H145">
        <v>0</v>
      </c>
      <c r="I145">
        <v>113.63636363636363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17.757453194953193</v>
      </c>
      <c r="AO145">
        <v>3.4803000109724906</v>
      </c>
      <c r="AP145">
        <v>28.323706465643724</v>
      </c>
      <c r="AQ145">
        <v>22.852857627521669</v>
      </c>
      <c r="AR145">
        <v>3.2884847214999549</v>
      </c>
      <c r="AS145">
        <v>15.06493765763874</v>
      </c>
      <c r="AT145">
        <v>2.2192281526771023</v>
      </c>
      <c r="AU145">
        <v>1.9692687490709944</v>
      </c>
      <c r="AV145"/>
      <c r="AW145"/>
      <c r="AX145" s="146"/>
      <c r="AY145" s="76">
        <f t="shared" ca="1" si="87"/>
        <v>0.14187387309874699</v>
      </c>
      <c r="AZ145">
        <v>8</v>
      </c>
      <c r="BA145" s="129">
        <f t="shared" si="168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9"/>
        <v>0.3824808167098297</v>
      </c>
      <c r="CL145" s="179">
        <f t="shared" si="90"/>
        <v>8</v>
      </c>
      <c r="CM145" s="180">
        <f t="shared" si="91"/>
        <v>39799</v>
      </c>
      <c r="CN145">
        <v>0</v>
      </c>
      <c r="CO145">
        <v>0</v>
      </c>
      <c r="CP145">
        <v>0</v>
      </c>
      <c r="CQ145">
        <v>1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0.13944129391123106</v>
      </c>
      <c r="DD145">
        <f t="shared" si="93"/>
        <v>8</v>
      </c>
      <c r="DE145" s="129">
        <f t="shared" si="167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74.404761904761912</v>
      </c>
      <c r="DJ145" s="161">
        <f t="shared" si="98"/>
        <v>0</v>
      </c>
      <c r="DK145" s="161">
        <f t="shared" si="99"/>
        <v>0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2"/>
        <v>74.404761904761912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8.8388162673607091</v>
      </c>
      <c r="ET145" s="139">
        <f t="shared" si="137"/>
        <v>0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8.8388162673607091</v>
      </c>
      <c r="FV145" s="149"/>
      <c r="FY145" s="210">
        <v>140</v>
      </c>
      <c r="FZ145">
        <v>1.1797312686772099</v>
      </c>
      <c r="GA145">
        <v>1.7630843747995848</v>
      </c>
      <c r="GB145">
        <v>0.75206878853311154</v>
      </c>
      <c r="GC145">
        <v>0.52947894624470071</v>
      </c>
      <c r="GD145">
        <v>1.7254064085908227</v>
      </c>
      <c r="GE145">
        <v>3.8142332557803553</v>
      </c>
      <c r="GF145">
        <v>5.0763492675799551</v>
      </c>
      <c r="GG145">
        <v>5.5834415988023691</v>
      </c>
      <c r="GH145">
        <v>4.6046873244401514</v>
      </c>
      <c r="GI145">
        <v>3.0515759374923275</v>
      </c>
      <c r="GJ145"/>
      <c r="GK145"/>
      <c r="GL145"/>
      <c r="GM145"/>
    </row>
    <row r="146" spans="1:195" s="7" customFormat="1">
      <c r="A146" s="1"/>
      <c r="B146" s="76">
        <f t="shared" ca="1" si="131"/>
        <v>0.2983308617297038</v>
      </c>
      <c r="C146">
        <v>8</v>
      </c>
      <c r="D146">
        <v>39799</v>
      </c>
      <c r="E146">
        <v>0</v>
      </c>
      <c r="F146">
        <v>0</v>
      </c>
      <c r="G146">
        <v>0</v>
      </c>
      <c r="H146">
        <v>74.404761904761912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20.07445526287438</v>
      </c>
      <c r="AO146">
        <v>4.3529624495204846</v>
      </c>
      <c r="AP146">
        <v>31.564880149130509</v>
      </c>
      <c r="AQ146">
        <v>26.548850967975707</v>
      </c>
      <c r="AR146">
        <v>4.0633710623723358</v>
      </c>
      <c r="AS146">
        <v>20.773645014336903</v>
      </c>
      <c r="AT146">
        <v>2.7852612253495725</v>
      </c>
      <c r="AU146">
        <v>14.212022418137453</v>
      </c>
      <c r="AV146"/>
      <c r="AW146"/>
      <c r="AX146" s="146"/>
      <c r="AY146" s="76">
        <f t="shared" ca="1" si="87"/>
        <v>0.67113050732817614</v>
      </c>
      <c r="AZ146">
        <v>9</v>
      </c>
      <c r="BA146" s="129">
        <f t="shared" si="168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9"/>
        <v>0.93529606605788818</v>
      </c>
      <c r="CL146" s="179">
        <f t="shared" si="90"/>
        <v>9</v>
      </c>
      <c r="CM146" s="180">
        <f t="shared" si="91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0.45876490812512838</v>
      </c>
      <c r="DD146">
        <f t="shared" si="93"/>
        <v>9</v>
      </c>
      <c r="DE146" s="129">
        <f t="shared" si="167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0</v>
      </c>
      <c r="DI146" s="161">
        <f t="shared" si="97"/>
        <v>0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2"/>
        <v>0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0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0</v>
      </c>
      <c r="FV146" s="149"/>
      <c r="FY146" s="210">
        <v>141</v>
      </c>
      <c r="FZ146">
        <v>0.76815420896187969</v>
      </c>
      <c r="GA146">
        <v>2.1458778795238302</v>
      </c>
      <c r="GB146">
        <v>1.066090220605139</v>
      </c>
      <c r="GC146">
        <v>0.45349746159586979</v>
      </c>
      <c r="GD146">
        <v>1.1555711379774762</v>
      </c>
      <c r="GE146">
        <v>3.3092592489104256</v>
      </c>
      <c r="GF146">
        <v>7.5971015920796301</v>
      </c>
      <c r="GG146">
        <v>8.4772863928280842</v>
      </c>
      <c r="GH146">
        <v>6.4775913719913607</v>
      </c>
      <c r="GI146">
        <v>3.5215439317355042</v>
      </c>
      <c r="GJ146"/>
      <c r="GK146"/>
      <c r="GL146"/>
      <c r="GM146"/>
    </row>
    <row r="147" spans="1:195" s="7" customFormat="1">
      <c r="A147" s="1"/>
      <c r="B147" s="76">
        <f t="shared" ca="1" si="131"/>
        <v>0.78458023834438606</v>
      </c>
      <c r="C147">
        <v>10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31.25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22.524841028996612</v>
      </c>
      <c r="AO147">
        <v>4.4895634025927302</v>
      </c>
      <c r="AP147">
        <v>34.286701511399045</v>
      </c>
      <c r="AQ147">
        <v>28.664961349902928</v>
      </c>
      <c r="AR147">
        <v>4.1399492029359761</v>
      </c>
      <c r="AS147">
        <v>19.143759173847304</v>
      </c>
      <c r="AT147">
        <v>2.7378794395157766</v>
      </c>
      <c r="AU147">
        <v>-3.5869437308640508</v>
      </c>
      <c r="AV147"/>
      <c r="AW147"/>
      <c r="AX147" s="146"/>
      <c r="AY147" s="76">
        <f t="shared" ca="1" si="87"/>
        <v>0.68419062602355485</v>
      </c>
      <c r="AZ147">
        <v>10</v>
      </c>
      <c r="BA147" s="129">
        <f t="shared" si="168"/>
        <v>39799</v>
      </c>
      <c r="BB147">
        <v>0</v>
      </c>
      <c r="BC147">
        <v>0</v>
      </c>
      <c r="BD147">
        <v>0</v>
      </c>
      <c r="BE147">
        <v>0</v>
      </c>
      <c r="BF147">
        <v>3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9"/>
        <v>8.2658839000401052E-2</v>
      </c>
      <c r="CL147" s="179">
        <f t="shared" si="90"/>
        <v>10</v>
      </c>
      <c r="CM147" s="180">
        <f t="shared" si="91"/>
        <v>39799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0.60454939282996367</v>
      </c>
      <c r="DD147">
        <f t="shared" si="93"/>
        <v>10</v>
      </c>
      <c r="DE147" s="129">
        <f t="shared" si="167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0</v>
      </c>
      <c r="DI147" s="161">
        <f t="shared" si="97"/>
        <v>0</v>
      </c>
      <c r="DJ147" s="161">
        <f t="shared" si="98"/>
        <v>31.25</v>
      </c>
      <c r="DK147" s="161">
        <f t="shared" si="99"/>
        <v>0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2"/>
        <v>31.25</v>
      </c>
      <c r="EL147" s="149"/>
      <c r="EN147" s="146"/>
      <c r="EO147" s="146"/>
      <c r="EP147" s="139">
        <f t="shared" si="133"/>
        <v>0</v>
      </c>
      <c r="EQ147" s="139">
        <f t="shared" si="134"/>
        <v>0</v>
      </c>
      <c r="ER147" s="139">
        <f t="shared" si="135"/>
        <v>0</v>
      </c>
      <c r="ES147" s="139">
        <f t="shared" si="136"/>
        <v>0</v>
      </c>
      <c r="ET147" s="139">
        <f t="shared" si="137"/>
        <v>8.1278656297781726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8.1278656297781726</v>
      </c>
      <c r="FV147" s="149"/>
      <c r="FY147" s="210">
        <v>142</v>
      </c>
      <c r="FZ147">
        <v>0.9675387461633741</v>
      </c>
      <c r="GA147">
        <v>1.1376382130699314</v>
      </c>
      <c r="GB147">
        <v>1.2570607386944186</v>
      </c>
      <c r="GC147">
        <v>0.65844610765285849</v>
      </c>
      <c r="GD147">
        <v>1.3135206789626712</v>
      </c>
      <c r="GE147">
        <v>3.5689782451635694</v>
      </c>
      <c r="GF147">
        <v>5.1215905317349506</v>
      </c>
      <c r="GG147">
        <v>5.1873965213705668</v>
      </c>
      <c r="GH147">
        <v>4.0146407509480788</v>
      </c>
      <c r="GI147">
        <v>2.8249114941044531</v>
      </c>
      <c r="GJ147"/>
      <c r="GK147"/>
      <c r="GL147"/>
      <c r="GM147"/>
    </row>
    <row r="148" spans="1:195" s="7" customFormat="1">
      <c r="A148" s="128"/>
      <c r="B148" s="76" t="str">
        <f t="shared" ca="1" si="131"/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17.980696097883602</v>
      </c>
      <c r="AO148">
        <v>4.5641781246059425</v>
      </c>
      <c r="AP148">
        <v>34.008593119727685</v>
      </c>
      <c r="AQ148">
        <v>28.253567479411281</v>
      </c>
      <c r="AR148">
        <v>4.2601689589453331</v>
      </c>
      <c r="AS148">
        <v>19.686242360868569</v>
      </c>
      <c r="AT148">
        <v>3.0646330332369658</v>
      </c>
      <c r="AU148">
        <v>-0.44917199994258206</v>
      </c>
      <c r="AV148"/>
      <c r="AW148"/>
      <c r="AX148" s="128"/>
      <c r="AY148" s="76">
        <f t="shared" ca="1" si="87"/>
        <v>0.74924779982900169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2</v>
      </c>
      <c r="BF148">
        <v>5</v>
      </c>
      <c r="BG148">
        <v>2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9"/>
        <v>0.36004362364269227</v>
      </c>
      <c r="CL148" s="179">
        <f t="shared" si="90"/>
        <v>1</v>
      </c>
      <c r="CM148" s="180">
        <f t="shared" si="91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0.5376886539618051</v>
      </c>
      <c r="DD148">
        <f t="shared" si="93"/>
        <v>1</v>
      </c>
      <c r="DE148" s="129">
        <f t="shared" ref="DE148:DE157" si="169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20.833333333333332</v>
      </c>
      <c r="DJ148" s="161">
        <f t="shared" si="98"/>
        <v>52.083333333333336</v>
      </c>
      <c r="DK148" s="161">
        <f t="shared" si="99"/>
        <v>20.833333333333332</v>
      </c>
      <c r="DL148" s="161">
        <f t="shared" si="100"/>
        <v>0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2"/>
        <v>93.75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2.4748685548609979</v>
      </c>
      <c r="ET148" s="139">
        <f t="shared" si="137"/>
        <v>13.546442716296953</v>
      </c>
      <c r="EU148" s="139">
        <f t="shared" si="138"/>
        <v>9.9510322011773749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25.972343472335325</v>
      </c>
      <c r="FV148" s="149"/>
      <c r="FY148" s="210">
        <v>143</v>
      </c>
      <c r="FZ148">
        <v>1.2274282849316316</v>
      </c>
      <c r="GA148">
        <v>2.2027415592984685</v>
      </c>
      <c r="GB148">
        <v>1.6964066394084987</v>
      </c>
      <c r="GC148">
        <v>1.046993313571813</v>
      </c>
      <c r="GD148">
        <v>2.1859175011995475</v>
      </c>
      <c r="GE148">
        <v>4.0838713550231791</v>
      </c>
      <c r="GF148">
        <v>6.3890308862441003</v>
      </c>
      <c r="GG148">
        <v>9.1986619515121752</v>
      </c>
      <c r="GH148">
        <v>7.6087958058098497</v>
      </c>
      <c r="GI148">
        <v>4.2720309624442674</v>
      </c>
      <c r="GJ148"/>
      <c r="GK148"/>
      <c r="GL148"/>
      <c r="GM148"/>
    </row>
    <row r="149" spans="1:195" s="7" customFormat="1">
      <c r="A149" s="77"/>
      <c r="B149" s="76" t="str">
        <f t="shared" ca="1" si="131"/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21.957741707907932</v>
      </c>
      <c r="AO149">
        <v>5.264726481028652</v>
      </c>
      <c r="AP149">
        <v>37.150917528799745</v>
      </c>
      <c r="AQ149">
        <v>31.973183862535866</v>
      </c>
      <c r="AR149">
        <v>5.0396191651628932</v>
      </c>
      <c r="AS149">
        <v>23.68888402340659</v>
      </c>
      <c r="AT149">
        <v>3.5843179018686357</v>
      </c>
      <c r="AU149">
        <v>1.9429370242870889</v>
      </c>
      <c r="AV149"/>
      <c r="AW149"/>
      <c r="AX149" s="151"/>
      <c r="AY149" s="76">
        <f t="shared" ca="1" si="87"/>
        <v>0.67198651038188761</v>
      </c>
      <c r="AZ149">
        <v>2</v>
      </c>
      <c r="BA149" s="129">
        <f t="shared" ref="BA149:BA157" si="170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9"/>
        <v>0.80460631591420828</v>
      </c>
      <c r="CL149" s="179">
        <f t="shared" si="90"/>
        <v>2</v>
      </c>
      <c r="CM149" s="180">
        <f t="shared" si="91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0.37421648078302105</v>
      </c>
      <c r="DD149">
        <f t="shared" si="93"/>
        <v>2</v>
      </c>
      <c r="DE149" s="129">
        <f t="shared" si="169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0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2"/>
        <v>0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0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0</v>
      </c>
      <c r="FV149" s="149"/>
      <c r="FY149" s="210">
        <v>144</v>
      </c>
      <c r="FZ149">
        <v>1.0353466419444957</v>
      </c>
      <c r="GA149">
        <v>1.8322498659809268</v>
      </c>
      <c r="GB149">
        <v>1.3699043360561929</v>
      </c>
      <c r="GC149">
        <v>0.92560261692714074</v>
      </c>
      <c r="GD149">
        <v>2.4491113491783416</v>
      </c>
      <c r="GE149">
        <v>4.8712503996532011</v>
      </c>
      <c r="GF149">
        <v>4.8416442932779296</v>
      </c>
      <c r="GG149">
        <v>5.6606597674836578</v>
      </c>
      <c r="GH149">
        <v>3.4444207633046466</v>
      </c>
      <c r="GI149">
        <v>3.391771024265843</v>
      </c>
      <c r="GJ149"/>
      <c r="GK149"/>
      <c r="GL149"/>
      <c r="GM149"/>
    </row>
    <row r="150" spans="1:195" s="7" customFormat="1">
      <c r="A150" s="77"/>
      <c r="B150" s="76">
        <f t="shared" ca="1" si="131"/>
        <v>0.7779099295225107</v>
      </c>
      <c r="C150">
        <v>6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10.416666666666666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26.275007893114513</v>
      </c>
      <c r="AO150">
        <v>5.2579961000269906</v>
      </c>
      <c r="AP150">
        <v>38.92421860608605</v>
      </c>
      <c r="AQ150">
        <v>32.90328647934561</v>
      </c>
      <c r="AR150">
        <v>4.7948926859035614</v>
      </c>
      <c r="AS150">
        <v>24.54210160252908</v>
      </c>
      <c r="AT150" t="e">
        <v>#DIV/0!</v>
      </c>
      <c r="AU150" t="e">
        <v>#DIV/0!</v>
      </c>
      <c r="AV150"/>
      <c r="AW150"/>
      <c r="AX150" s="151"/>
      <c r="AY150" s="76"/>
      <c r="AZ150"/>
      <c r="BA150" s="129"/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/>
      <c r="CL150" s="179"/>
      <c r="CM150" s="180"/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/>
      <c r="CX150"/>
      <c r="CY150" s="160"/>
      <c r="CZ150" s="177"/>
      <c r="DB150" s="151"/>
      <c r="DC150" s="76" t="str">
        <f t="shared" ca="1" si="50"/>
        <v/>
      </c>
      <c r="DD150" t="str">
        <f t="shared" si="93"/>
        <v/>
      </c>
      <c r="DE150" s="129" t="str">
        <f t="shared" si="169"/>
        <v/>
      </c>
      <c r="DF150" s="161" t="str">
        <f t="shared" si="94"/>
        <v/>
      </c>
      <c r="DG150" s="161" t="str">
        <f t="shared" si="95"/>
        <v/>
      </c>
      <c r="DH150" s="161" t="str">
        <f t="shared" si="96"/>
        <v/>
      </c>
      <c r="DI150" s="161" t="str">
        <f t="shared" si="97"/>
        <v/>
      </c>
      <c r="DJ150" s="161" t="str">
        <f t="shared" si="98"/>
        <v/>
      </c>
      <c r="DK150" s="161" t="str">
        <f t="shared" si="99"/>
        <v/>
      </c>
      <c r="DL150" s="161" t="str">
        <f t="shared" si="100"/>
        <v/>
      </c>
      <c r="DM150" s="161" t="str">
        <f t="shared" si="101"/>
        <v/>
      </c>
      <c r="DN150" s="161" t="str">
        <f t="shared" si="102"/>
        <v/>
      </c>
      <c r="DO150" s="161" t="str">
        <f t="shared" si="103"/>
        <v/>
      </c>
      <c r="DP150" s="161" t="str">
        <f t="shared" si="104"/>
        <v/>
      </c>
      <c r="DQ150" s="161" t="str">
        <f t="shared" si="105"/>
        <v/>
      </c>
      <c r="DR150" s="161" t="str">
        <f t="shared" si="106"/>
        <v/>
      </c>
      <c r="DS150" s="161" t="str">
        <f t="shared" si="107"/>
        <v/>
      </c>
      <c r="DT150" s="161" t="str">
        <f t="shared" si="108"/>
        <v/>
      </c>
      <c r="DU150" s="161" t="str">
        <f t="shared" si="109"/>
        <v/>
      </c>
      <c r="DV150" s="161" t="str">
        <f t="shared" si="110"/>
        <v/>
      </c>
      <c r="DW150" s="161" t="str">
        <f t="shared" si="111"/>
        <v/>
      </c>
      <c r="DX150" s="161" t="str">
        <f t="shared" si="112"/>
        <v/>
      </c>
      <c r="DY150" s="161" t="str">
        <f t="shared" si="113"/>
        <v/>
      </c>
      <c r="DZ150" s="161" t="str">
        <f t="shared" si="114"/>
        <v/>
      </c>
      <c r="EA150" s="161" t="str">
        <f t="shared" si="115"/>
        <v/>
      </c>
      <c r="EB150" s="161" t="str">
        <f t="shared" si="116"/>
        <v/>
      </c>
      <c r="EC150" s="161" t="str">
        <f t="shared" si="117"/>
        <v/>
      </c>
      <c r="ED150" s="161" t="str">
        <f t="shared" si="118"/>
        <v/>
      </c>
      <c r="EE150" s="161" t="str">
        <f t="shared" si="119"/>
        <v/>
      </c>
      <c r="EF150" s="161" t="str">
        <f t="shared" si="120"/>
        <v/>
      </c>
      <c r="EG150" s="161" t="str">
        <f t="shared" si="121"/>
        <v/>
      </c>
      <c r="EH150" s="161" t="str">
        <f t="shared" si="122"/>
        <v/>
      </c>
      <c r="EI150" s="161" t="str">
        <f t="shared" si="123"/>
        <v/>
      </c>
      <c r="EJ150" s="161" t="str">
        <f t="shared" si="124"/>
        <v/>
      </c>
      <c r="EK150" s="147" t="str">
        <f t="shared" si="132"/>
        <v/>
      </c>
      <c r="EL150" s="149"/>
      <c r="EN150" s="151"/>
      <c r="EO150" s="151"/>
      <c r="EP150" s="139" t="str">
        <f t="shared" si="133"/>
        <v/>
      </c>
      <c r="EQ150" s="139" t="str">
        <f t="shared" si="134"/>
        <v/>
      </c>
      <c r="ER150" s="139" t="str">
        <f t="shared" si="135"/>
        <v/>
      </c>
      <c r="ES150" s="139" t="str">
        <f t="shared" si="136"/>
        <v/>
      </c>
      <c r="ET150" s="139" t="str">
        <f t="shared" si="137"/>
        <v/>
      </c>
      <c r="EU150" s="139" t="str">
        <f t="shared" si="138"/>
        <v/>
      </c>
      <c r="EV150" s="139" t="str">
        <f t="shared" si="139"/>
        <v/>
      </c>
      <c r="EW150" s="139" t="str">
        <f t="shared" si="140"/>
        <v/>
      </c>
      <c r="EX150" s="139" t="str">
        <f t="shared" si="141"/>
        <v/>
      </c>
      <c r="EY150" s="139" t="str">
        <f t="shared" si="142"/>
        <v/>
      </c>
      <c r="EZ150" s="139" t="str">
        <f t="shared" si="143"/>
        <v/>
      </c>
      <c r="FA150" s="139" t="str">
        <f t="shared" si="144"/>
        <v/>
      </c>
      <c r="FB150" s="139" t="str">
        <f t="shared" si="145"/>
        <v/>
      </c>
      <c r="FC150" s="139" t="str">
        <f t="shared" si="146"/>
        <v/>
      </c>
      <c r="FD150" s="139" t="str">
        <f t="shared" si="147"/>
        <v/>
      </c>
      <c r="FE150" s="139" t="str">
        <f t="shared" si="148"/>
        <v/>
      </c>
      <c r="FF150" s="139" t="str">
        <f t="shared" si="149"/>
        <v/>
      </c>
      <c r="FG150" s="139" t="str">
        <f t="shared" si="150"/>
        <v/>
      </c>
      <c r="FH150" s="139" t="str">
        <f t="shared" si="151"/>
        <v/>
      </c>
      <c r="FI150" s="139" t="str">
        <f t="shared" si="152"/>
        <v/>
      </c>
      <c r="FJ150" s="139" t="str">
        <f t="shared" si="153"/>
        <v/>
      </c>
      <c r="FK150" s="139" t="str">
        <f t="shared" si="154"/>
        <v/>
      </c>
      <c r="FL150" s="139" t="str">
        <f t="shared" si="155"/>
        <v/>
      </c>
      <c r="FM150" s="139" t="str">
        <f t="shared" si="156"/>
        <v/>
      </c>
      <c r="FN150" s="139" t="str">
        <f t="shared" si="157"/>
        <v/>
      </c>
      <c r="FO150" s="139" t="str">
        <f t="shared" si="158"/>
        <v/>
      </c>
      <c r="FP150" s="139" t="str">
        <f t="shared" si="159"/>
        <v/>
      </c>
      <c r="FQ150" s="139" t="str">
        <f t="shared" si="160"/>
        <v/>
      </c>
      <c r="FR150" s="139" t="str">
        <f t="shared" si="161"/>
        <v/>
      </c>
      <c r="FS150" s="139" t="str">
        <f t="shared" si="162"/>
        <v/>
      </c>
      <c r="FT150" s="139" t="str">
        <f t="shared" si="163"/>
        <v/>
      </c>
      <c r="FU150" s="148" t="str">
        <f t="shared" si="164"/>
        <v/>
      </c>
      <c r="FV150" s="149"/>
      <c r="FY150" s="210">
        <v>145</v>
      </c>
      <c r="FZ150">
        <v>1.1922009599227561</v>
      </c>
      <c r="GA150">
        <v>2.5850581234579058</v>
      </c>
      <c r="GB150">
        <v>1.7609349594559709</v>
      </c>
      <c r="GC150">
        <v>0.74075813823341807</v>
      </c>
      <c r="GD150">
        <v>1.5994578889556736</v>
      </c>
      <c r="GE150">
        <v>3.6794750524475131</v>
      </c>
      <c r="GF150">
        <v>5.4111995715217756</v>
      </c>
      <c r="GG150">
        <v>4.1402620337284164</v>
      </c>
      <c r="GH150">
        <v>0.96625646741161031</v>
      </c>
      <c r="GI150">
        <v>2.7313738492227402</v>
      </c>
      <c r="GJ150"/>
      <c r="GK150"/>
      <c r="GL150"/>
      <c r="GM150"/>
    </row>
    <row r="151" spans="1:195" s="7" customFormat="1">
      <c r="A151" s="77"/>
      <c r="B151" s="76">
        <f t="shared" ca="1" si="131"/>
        <v>0.80573183639329393</v>
      </c>
      <c r="C151">
        <v>7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10.416666666666666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24.871209605750828</v>
      </c>
      <c r="AO151">
        <v>5.6728842392123102</v>
      </c>
      <c r="AP151">
        <v>44.718362155525881</v>
      </c>
      <c r="AQ151">
        <v>37.268422079847035</v>
      </c>
      <c r="AR151">
        <v>5.2561846199293143</v>
      </c>
      <c r="AS151">
        <v>24.988285124149073</v>
      </c>
      <c r="AT151">
        <v>3.5244799902096751</v>
      </c>
      <c r="AU151">
        <v>-3.2727430844528085</v>
      </c>
      <c r="AV151"/>
      <c r="AW151"/>
      <c r="AX151" s="151"/>
      <c r="AY151" s="76"/>
      <c r="AZ151"/>
      <c r="BA151" s="129"/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/>
      <c r="CL151" s="179"/>
      <c r="CM151" s="180"/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/>
      <c r="CX151"/>
      <c r="CY151" s="160"/>
      <c r="CZ151" s="177"/>
      <c r="DB151" s="151"/>
      <c r="DC151" s="76" t="str">
        <f t="shared" ca="1" si="50"/>
        <v/>
      </c>
      <c r="DD151" t="str">
        <f t="shared" si="93"/>
        <v/>
      </c>
      <c r="DE151" s="129" t="str">
        <f t="shared" si="169"/>
        <v/>
      </c>
      <c r="DF151" s="161" t="str">
        <f t="shared" si="94"/>
        <v/>
      </c>
      <c r="DG151" s="161" t="str">
        <f t="shared" si="95"/>
        <v/>
      </c>
      <c r="DH151" s="161" t="str">
        <f t="shared" si="96"/>
        <v/>
      </c>
      <c r="DI151" s="161" t="str">
        <f t="shared" si="97"/>
        <v/>
      </c>
      <c r="DJ151" s="161" t="str">
        <f t="shared" si="98"/>
        <v/>
      </c>
      <c r="DK151" s="161" t="str">
        <f t="shared" si="99"/>
        <v/>
      </c>
      <c r="DL151" s="161" t="str">
        <f t="shared" si="100"/>
        <v/>
      </c>
      <c r="DM151" s="161" t="str">
        <f t="shared" si="101"/>
        <v/>
      </c>
      <c r="DN151" s="161" t="str">
        <f t="shared" si="102"/>
        <v/>
      </c>
      <c r="DO151" s="161" t="str">
        <f t="shared" si="103"/>
        <v/>
      </c>
      <c r="DP151" s="161" t="str">
        <f t="shared" si="104"/>
        <v/>
      </c>
      <c r="DQ151" s="161" t="str">
        <f t="shared" si="105"/>
        <v/>
      </c>
      <c r="DR151" s="161" t="str">
        <f t="shared" si="106"/>
        <v/>
      </c>
      <c r="DS151" s="161" t="str">
        <f t="shared" si="107"/>
        <v/>
      </c>
      <c r="DT151" s="161" t="str">
        <f t="shared" si="108"/>
        <v/>
      </c>
      <c r="DU151" s="161" t="str">
        <f t="shared" si="109"/>
        <v/>
      </c>
      <c r="DV151" s="161" t="str">
        <f t="shared" si="110"/>
        <v/>
      </c>
      <c r="DW151" s="161" t="str">
        <f t="shared" si="111"/>
        <v/>
      </c>
      <c r="DX151" s="161" t="str">
        <f t="shared" si="112"/>
        <v/>
      </c>
      <c r="DY151" s="161" t="str">
        <f t="shared" si="113"/>
        <v/>
      </c>
      <c r="DZ151" s="161" t="str">
        <f t="shared" si="114"/>
        <v/>
      </c>
      <c r="EA151" s="161" t="str">
        <f t="shared" si="115"/>
        <v/>
      </c>
      <c r="EB151" s="161" t="str">
        <f t="shared" si="116"/>
        <v/>
      </c>
      <c r="EC151" s="161" t="str">
        <f t="shared" si="117"/>
        <v/>
      </c>
      <c r="ED151" s="161" t="str">
        <f t="shared" si="118"/>
        <v/>
      </c>
      <c r="EE151" s="161" t="str">
        <f t="shared" si="119"/>
        <v/>
      </c>
      <c r="EF151" s="161" t="str">
        <f t="shared" si="120"/>
        <v/>
      </c>
      <c r="EG151" s="161" t="str">
        <f t="shared" si="121"/>
        <v/>
      </c>
      <c r="EH151" s="161" t="str">
        <f t="shared" si="122"/>
        <v/>
      </c>
      <c r="EI151" s="161" t="str">
        <f t="shared" si="123"/>
        <v/>
      </c>
      <c r="EJ151" s="161" t="str">
        <f t="shared" si="124"/>
        <v/>
      </c>
      <c r="EK151" s="147" t="str">
        <f t="shared" si="132"/>
        <v/>
      </c>
      <c r="EL151" s="149"/>
      <c r="EN151" s="151"/>
      <c r="EO151" s="151"/>
      <c r="EP151" s="139" t="str">
        <f t="shared" si="133"/>
        <v/>
      </c>
      <c r="EQ151" s="139" t="str">
        <f t="shared" si="134"/>
        <v/>
      </c>
      <c r="ER151" s="139" t="str">
        <f t="shared" si="135"/>
        <v/>
      </c>
      <c r="ES151" s="139" t="str">
        <f t="shared" si="136"/>
        <v/>
      </c>
      <c r="ET151" s="139" t="str">
        <f t="shared" si="137"/>
        <v/>
      </c>
      <c r="EU151" s="139" t="str">
        <f t="shared" si="138"/>
        <v/>
      </c>
      <c r="EV151" s="139" t="str">
        <f t="shared" si="139"/>
        <v/>
      </c>
      <c r="EW151" s="139" t="str">
        <f t="shared" si="140"/>
        <v/>
      </c>
      <c r="EX151" s="139" t="str">
        <f t="shared" si="141"/>
        <v/>
      </c>
      <c r="EY151" s="139" t="str">
        <f t="shared" si="142"/>
        <v/>
      </c>
      <c r="EZ151" s="139" t="str">
        <f t="shared" si="143"/>
        <v/>
      </c>
      <c r="FA151" s="139" t="str">
        <f t="shared" si="144"/>
        <v/>
      </c>
      <c r="FB151" s="139" t="str">
        <f t="shared" si="145"/>
        <v/>
      </c>
      <c r="FC151" s="139" t="str">
        <f t="shared" si="146"/>
        <v/>
      </c>
      <c r="FD151" s="139" t="str">
        <f t="shared" si="147"/>
        <v/>
      </c>
      <c r="FE151" s="139" t="str">
        <f t="shared" si="148"/>
        <v/>
      </c>
      <c r="FF151" s="139" t="str">
        <f t="shared" si="149"/>
        <v/>
      </c>
      <c r="FG151" s="139" t="str">
        <f t="shared" si="150"/>
        <v/>
      </c>
      <c r="FH151" s="139" t="str">
        <f t="shared" si="151"/>
        <v/>
      </c>
      <c r="FI151" s="139" t="str">
        <f t="shared" si="152"/>
        <v/>
      </c>
      <c r="FJ151" s="139" t="str">
        <f t="shared" si="153"/>
        <v/>
      </c>
      <c r="FK151" s="139" t="str">
        <f t="shared" si="154"/>
        <v/>
      </c>
      <c r="FL151" s="139" t="str">
        <f t="shared" si="155"/>
        <v/>
      </c>
      <c r="FM151" s="139" t="str">
        <f t="shared" si="156"/>
        <v/>
      </c>
      <c r="FN151" s="139" t="str">
        <f t="shared" si="157"/>
        <v/>
      </c>
      <c r="FO151" s="139" t="str">
        <f t="shared" si="158"/>
        <v/>
      </c>
      <c r="FP151" s="139" t="str">
        <f t="shared" si="159"/>
        <v/>
      </c>
      <c r="FQ151" s="139" t="str">
        <f t="shared" si="160"/>
        <v/>
      </c>
      <c r="FR151" s="139" t="str">
        <f t="shared" si="161"/>
        <v/>
      </c>
      <c r="FS151" s="139" t="str">
        <f t="shared" si="162"/>
        <v/>
      </c>
      <c r="FT151" s="139" t="str">
        <f t="shared" si="163"/>
        <v/>
      </c>
      <c r="FU151" s="148" t="str">
        <f t="shared" si="164"/>
        <v/>
      </c>
      <c r="FV151" s="149"/>
      <c r="FY151" s="210">
        <v>146</v>
      </c>
      <c r="FZ151">
        <v>0.43871213768732503</v>
      </c>
      <c r="GA151">
        <v>2.4027166628456573</v>
      </c>
      <c r="GB151">
        <v>1.8231134787638148</v>
      </c>
      <c r="GC151">
        <v>0.58232976494883215</v>
      </c>
      <c r="GD151">
        <v>1.6329030685492201</v>
      </c>
      <c r="GE151">
        <v>5.219964436336288</v>
      </c>
      <c r="GF151">
        <v>9.5162953437428612</v>
      </c>
      <c r="GG151">
        <v>6.2613896300723253</v>
      </c>
      <c r="GH151">
        <v>2.3696973599497371</v>
      </c>
      <c r="GI151">
        <v>3.645598792017549</v>
      </c>
      <c r="GJ151"/>
      <c r="GK151"/>
      <c r="GL151"/>
      <c r="GM151"/>
    </row>
    <row r="152" spans="1:195" s="7" customFormat="1">
      <c r="A152" s="77"/>
      <c r="B152" s="76">
        <f t="shared" ref="B152:B183" ca="1" si="171">IF(C152="", "", RAND())</f>
        <v>0.18351382341977196</v>
      </c>
      <c r="C152">
        <v>8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22.120710597273096</v>
      </c>
      <c r="AO152">
        <v>5.1979393162204506</v>
      </c>
      <c r="AP152">
        <v>40.535308958165487</v>
      </c>
      <c r="AQ152">
        <v>33.715496692992346</v>
      </c>
      <c r="AR152">
        <v>4.747049431822667</v>
      </c>
      <c r="AS152">
        <v>21.357067481079245</v>
      </c>
      <c r="AT152">
        <v>3.1930208315173378</v>
      </c>
      <c r="AU152">
        <v>0.9133031911737487</v>
      </c>
      <c r="AV152"/>
      <c r="AW152"/>
      <c r="AX152" s="151"/>
      <c r="AY152" s="76">
        <f t="shared" ref="AY152:AY207" ca="1" si="172">IF(AZ152="", "", RAND())</f>
        <v>0.59674438491183945</v>
      </c>
      <c r="AZ152">
        <v>5</v>
      </c>
      <c r="BA152" s="129">
        <f t="shared" si="170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1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9"/>
        <v>0.52467348450652196</v>
      </c>
      <c r="CL152" s="179">
        <f t="shared" si="90"/>
        <v>5</v>
      </c>
      <c r="CM152" s="180">
        <f t="shared" si="91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3">IF(DD152="", "", RAND())</f>
        <v>0.82599124690596004</v>
      </c>
      <c r="DD152">
        <f t="shared" si="93"/>
        <v>5</v>
      </c>
      <c r="DE152" s="129">
        <f t="shared" si="169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10.416666666666666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4">IF(DF152="", "", SUM(DF152:EJ152))</f>
        <v>10.416666666666666</v>
      </c>
      <c r="EL152" s="149"/>
      <c r="EN152" s="151"/>
      <c r="EO152" s="151"/>
      <c r="EP152" s="139">
        <f t="shared" ref="EP152:EP183" si="175">IF(DF152="", "", DF152*G$36)</f>
        <v>0</v>
      </c>
      <c r="EQ152" s="139">
        <f t="shared" ref="EQ152:EQ183" si="176">IF(DG152="", "", DG152*H$36)</f>
        <v>0</v>
      </c>
      <c r="ER152" s="139">
        <f t="shared" ref="ER152:ER183" si="177">IF(DH152="", "", DH152*I$36)</f>
        <v>0</v>
      </c>
      <c r="ES152" s="139">
        <f t="shared" ref="ES152:ES183" si="178">IF(DI152="", "", DI152*J$36)</f>
        <v>0</v>
      </c>
      <c r="ET152" s="139">
        <f t="shared" ref="ET152:ET183" si="179">IF(DJ152="", "", DJ152*K$36)</f>
        <v>0</v>
      </c>
      <c r="EU152" s="139">
        <f t="shared" ref="EU152:EU183" si="180">IF(DK152="", "", DK152*L$36)</f>
        <v>4.9755161005886874</v>
      </c>
      <c r="EV152" s="139">
        <f t="shared" ref="EV152:EV183" si="181">IF(DL152="", "", DL152*M$36)</f>
        <v>0</v>
      </c>
      <c r="EW152" s="139">
        <f t="shared" ref="EW152:EW183" si="182">IF(DM152="", "", DM152*N$36)</f>
        <v>0</v>
      </c>
      <c r="EX152" s="139">
        <f t="shared" ref="EX152:EX183" si="183">IF(DN152="", "", DN152*O$36)</f>
        <v>0</v>
      </c>
      <c r="EY152" s="139">
        <f t="shared" ref="EY152:EY183" si="184">IF(DO152="", "", DO152*P$36)</f>
        <v>0</v>
      </c>
      <c r="EZ152" s="139">
        <f t="shared" ref="EZ152:EZ183" si="185">IF(DP152="", "", DP152*Q$36)</f>
        <v>0</v>
      </c>
      <c r="FA152" s="139">
        <f t="shared" ref="FA152:FA183" si="186">IF(DQ152="", "", DQ152*R$36)</f>
        <v>0</v>
      </c>
      <c r="FB152" s="139">
        <f t="shared" ref="FB152:FB183" si="187">IF(DR152="", "", DR152*S$36)</f>
        <v>0</v>
      </c>
      <c r="FC152" s="139">
        <f t="shared" ref="FC152:FC183" si="188">IF(DS152="", "", DS152*T$36)</f>
        <v>0</v>
      </c>
      <c r="FD152" s="139">
        <f t="shared" ref="FD152:FD183" si="189">IF(DT152="", "", DT152*U$36)</f>
        <v>0</v>
      </c>
      <c r="FE152" s="139">
        <f t="shared" ref="FE152:FE183" si="190">IF(DU152="", "", DU152*V$36)</f>
        <v>0</v>
      </c>
      <c r="FF152" s="139">
        <f t="shared" ref="FF152:FF183" si="191">IF(DV152="", "", DV152*W$36)</f>
        <v>0</v>
      </c>
      <c r="FG152" s="139">
        <f t="shared" ref="FG152:FG183" si="192">IF(DW152="", "", DW152*X$36)</f>
        <v>0</v>
      </c>
      <c r="FH152" s="139">
        <f t="shared" ref="FH152:FH183" si="193">IF(DX152="", "", DX152*Y$36)</f>
        <v>0</v>
      </c>
      <c r="FI152" s="139">
        <f t="shared" ref="FI152:FI183" si="194">IF(DY152="", "", DY152*Z$36)</f>
        <v>0</v>
      </c>
      <c r="FJ152" s="139">
        <f t="shared" ref="FJ152:FJ183" si="195">IF(DZ152="", "", DZ152*AA$36)</f>
        <v>0</v>
      </c>
      <c r="FK152" s="139">
        <f t="shared" ref="FK152:FK183" si="196">IF(EA152="", "", EA152*AB$36)</f>
        <v>0</v>
      </c>
      <c r="FL152" s="139">
        <f t="shared" ref="FL152:FL183" si="197">IF(EB152="", "", EB152*AC$36)</f>
        <v>0</v>
      </c>
      <c r="FM152" s="139">
        <f t="shared" ref="FM152:FM183" si="198">IF(EC152="", "", EC152*AD$36)</f>
        <v>0</v>
      </c>
      <c r="FN152" s="139">
        <f t="shared" ref="FN152:FN183" si="199">IF(ED152="", "", ED152*AE$36)</f>
        <v>0</v>
      </c>
      <c r="FO152" s="139">
        <f t="shared" ref="FO152:FO183" si="200">IF(EE152="", "", EE152*AF$36)</f>
        <v>0</v>
      </c>
      <c r="FP152" s="139">
        <f t="shared" ref="FP152:FP183" si="201">IF(EF152="", "", EF152*AG$36)</f>
        <v>0</v>
      </c>
      <c r="FQ152" s="139">
        <f t="shared" ref="FQ152:FQ183" si="202">IF(EG152="", "", EG152*AH$36)</f>
        <v>0</v>
      </c>
      <c r="FR152" s="139">
        <f t="shared" ref="FR152:FR183" si="203">IF(EH152="", "", EH152*AI$36)</f>
        <v>0</v>
      </c>
      <c r="FS152" s="139">
        <f t="shared" ref="FS152:FS183" si="204">IF(EI152="", "", EI152*AJ$36)</f>
        <v>0</v>
      </c>
      <c r="FT152" s="139">
        <f t="shared" ref="FT152:FT183" si="205">IF(EJ152="", "", EJ152*AK$36)</f>
        <v>0</v>
      </c>
      <c r="FU152" s="148">
        <f t="shared" ref="FU152:FU183" si="206">IF(EP152="","",SUM(EP152:FT152))</f>
        <v>4.9755161005886874</v>
      </c>
      <c r="FV152" s="149"/>
      <c r="FY152" s="210">
        <v>147</v>
      </c>
      <c r="FZ152">
        <v>1.1511898480468341</v>
      </c>
      <c r="GA152">
        <v>2.7149527892245766</v>
      </c>
      <c r="GB152">
        <v>1.8716069970501772</v>
      </c>
      <c r="GC152">
        <v>0.74014471110318114</v>
      </c>
      <c r="GD152">
        <v>1.2875055225105509</v>
      </c>
      <c r="GE152">
        <v>3.2841851193765854</v>
      </c>
      <c r="GF152">
        <v>7.9353852881974731</v>
      </c>
      <c r="GG152">
        <v>5.9749809174686463</v>
      </c>
      <c r="GH152">
        <v>0.93824160889020414</v>
      </c>
      <c r="GI152">
        <v>3.0308893329433584</v>
      </c>
      <c r="GJ152"/>
      <c r="GK152"/>
      <c r="GL152"/>
      <c r="GM152"/>
    </row>
    <row r="153" spans="1:195" s="7" customFormat="1">
      <c r="A153" s="77"/>
      <c r="B153" s="76">
        <f t="shared" ca="1" si="171"/>
        <v>8.4656763996564521E-3</v>
      </c>
      <c r="C153">
        <v>1</v>
      </c>
      <c r="D153">
        <v>39847</v>
      </c>
      <c r="E153">
        <v>0</v>
      </c>
      <c r="F153">
        <v>0</v>
      </c>
      <c r="G153">
        <v>0</v>
      </c>
      <c r="H153">
        <v>20.833333333333332</v>
      </c>
      <c r="I153">
        <v>52.083333333333336</v>
      </c>
      <c r="J153">
        <v>20.833333333333332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25.58864771074369</v>
      </c>
      <c r="AO153">
        <v>5.3083083799199162</v>
      </c>
      <c r="AP153">
        <v>39.420146841756228</v>
      </c>
      <c r="AQ153">
        <v>33.670692077629013</v>
      </c>
      <c r="AR153">
        <v>4.8341386182813757</v>
      </c>
      <c r="AS153">
        <v>22.644223978322493</v>
      </c>
      <c r="AT153">
        <v>3.2115810725908496</v>
      </c>
      <c r="AU153">
        <v>3.6214389745741116</v>
      </c>
      <c r="AV153"/>
      <c r="AW153"/>
      <c r="AX153" s="151"/>
      <c r="AY153" s="76">
        <f t="shared" ca="1" si="172"/>
        <v>0.23929850655801888</v>
      </c>
      <c r="AZ153">
        <v>6</v>
      </c>
      <c r="BA153" s="129">
        <f t="shared" si="170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1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7">IF(AZ153="", "", RAND())</f>
        <v>0.88512040567100336</v>
      </c>
      <c r="CL153" s="179">
        <f t="shared" ref="CL153:CL207" si="208">IF(AZ153="", "", AZ153)</f>
        <v>6</v>
      </c>
      <c r="CM153" s="180">
        <f t="shared" ref="CM153:CM207" si="209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0">IF(AZ153="", "", $G$15)</f>
        <v>9.6000000000000002E-2</v>
      </c>
      <c r="DB153" s="151"/>
      <c r="DC153" s="76">
        <f t="shared" ca="1" si="173"/>
        <v>0.38260677094229067</v>
      </c>
      <c r="DD153">
        <f t="shared" ref="DD153:DD207" si="211">IF(AZ153="", "", AZ153)</f>
        <v>6</v>
      </c>
      <c r="DE153" s="129">
        <f t="shared" si="169"/>
        <v>39847</v>
      </c>
      <c r="DF153" s="161">
        <f t="shared" ref="DF153:DF187" si="212">IF($AZ153="", "", ((BB153*$CW153)+(CN153*$CX153))/$CZ153)</f>
        <v>0</v>
      </c>
      <c r="DG153" s="161">
        <f t="shared" ref="DG153:DG187" si="213">IF($AZ153="", "", ((BC153*$CW153)+(CO153*$CX153))/$CZ153)</f>
        <v>0</v>
      </c>
      <c r="DH153" s="161">
        <f t="shared" ref="DH153:DH187" si="214">IF($AZ153="", "", ((BD153*$CW153)+(CP153*$CX153))/$CZ153)</f>
        <v>0</v>
      </c>
      <c r="DI153" s="161">
        <f t="shared" ref="DI153:DI187" si="215">IF($AZ153="", "", ((BE153*$CW153)+(CQ153*$CX153))/$CZ153)</f>
        <v>0</v>
      </c>
      <c r="DJ153" s="161">
        <f t="shared" ref="DJ153:DJ187" si="216">IF($AZ153="", "", ((BF153*$CW153)+(CR153*$CX153))/$CZ153)</f>
        <v>0</v>
      </c>
      <c r="DK153" s="161">
        <f t="shared" ref="DK153:DK187" si="217">IF($AZ153="", "", ((BG153*$CW153)+(CS153*$CX153))/$CZ153)</f>
        <v>10.416666666666666</v>
      </c>
      <c r="DL153" s="161">
        <f t="shared" ref="DL153:DL187" si="218">IF($AZ153="", "", ((BH153*$CW153)+(CT153*$CX153))/$CZ153)</f>
        <v>0</v>
      </c>
      <c r="DM153" s="161">
        <f t="shared" ref="DM153:DM187" si="219">IF($AZ153="", "", ((BI153*$CW153)+(CU153*$CX153))/$CZ153)</f>
        <v>0</v>
      </c>
      <c r="DN153" s="161">
        <f t="shared" ref="DN153:DN187" si="220">IF($AZ153="", "", (BJ153*$CW153)/$CZ153)</f>
        <v>0</v>
      </c>
      <c r="DO153" s="161">
        <f t="shared" ref="DO153:DO187" si="221">IF($AZ153="", "", (BK153*$CW153)/$CZ153)</f>
        <v>0</v>
      </c>
      <c r="DP153" s="161">
        <f t="shared" ref="DP153:DP187" si="222">IF($AZ153="", "", (BL153*$CW153)/$CZ153)</f>
        <v>0</v>
      </c>
      <c r="DQ153" s="161">
        <f t="shared" ref="DQ153:DQ187" si="223">IF($AZ153="", "", (BM153*$CW153)/$CZ153)</f>
        <v>0</v>
      </c>
      <c r="DR153" s="161">
        <f t="shared" ref="DR153:DR187" si="224">IF($AZ153="", "", (BN153*$CW153)/$CZ153)</f>
        <v>0</v>
      </c>
      <c r="DS153" s="161">
        <f t="shared" ref="DS153:DS187" si="225">IF($AZ153="", "", (BO153*$CW153)/$CZ153)</f>
        <v>0</v>
      </c>
      <c r="DT153" s="161">
        <f t="shared" ref="DT153:DT187" si="226">IF($AZ153="", "", (BP153*$CW153)/$CZ153)</f>
        <v>0</v>
      </c>
      <c r="DU153" s="161">
        <f t="shared" ref="DU153:DU187" si="227">IF($AZ153="", "", (BQ153*$CW153)/$CZ153)</f>
        <v>0</v>
      </c>
      <c r="DV153" s="161">
        <f t="shared" ref="DV153:DV187" si="228">IF($AZ153="", "", (BR153*$CW153)/$CZ153)</f>
        <v>0</v>
      </c>
      <c r="DW153" s="161">
        <f t="shared" ref="DW153:DW187" si="229">IF($AZ153="", "", (BS153*$CW153)/$CZ153)</f>
        <v>0</v>
      </c>
      <c r="DX153" s="161">
        <f t="shared" ref="DX153:DX187" si="230">IF($AZ153="", "", (BT153*$CW153)/$CZ153)</f>
        <v>0</v>
      </c>
      <c r="DY153" s="161">
        <f t="shared" ref="DY153:DY187" si="231">IF($AZ153="", "", (BU153*$CW153)/$CZ153)</f>
        <v>0</v>
      </c>
      <c r="DZ153" s="161">
        <f t="shared" ref="DZ153:DZ187" si="232">IF($AZ153="", "", (BV153*$CW153)/$CZ153)</f>
        <v>0</v>
      </c>
      <c r="EA153" s="161">
        <f t="shared" ref="EA153:EA187" si="233">IF($AZ153="", "", (BW153*$CW153)/$CZ153)</f>
        <v>0</v>
      </c>
      <c r="EB153" s="161">
        <f t="shared" ref="EB153:EB187" si="234">IF($AZ153="", "", (BX153*$CW153)/$CZ153)</f>
        <v>0</v>
      </c>
      <c r="EC153" s="161">
        <f t="shared" ref="EC153:EC187" si="235">IF($AZ153="", "", (BY153*$CW153)/$CZ153)</f>
        <v>0</v>
      </c>
      <c r="ED153" s="161">
        <f t="shared" ref="ED153:ED187" si="236">IF($AZ153="", "", (BZ153*$CW153)/$CZ153)</f>
        <v>0</v>
      </c>
      <c r="EE153" s="161">
        <f t="shared" ref="EE153:EE187" si="237">IF($AZ153="", "", (CA153*$CW153)/$CZ153)</f>
        <v>0</v>
      </c>
      <c r="EF153" s="161">
        <f t="shared" ref="EF153:EF187" si="238">IF($AZ153="", "", (CB153*$CW153)/$CZ153)</f>
        <v>0</v>
      </c>
      <c r="EG153" s="161">
        <f t="shared" ref="EG153:EG187" si="239">IF($AZ153="", "", (CC153*$CW153)/$CZ153)</f>
        <v>0</v>
      </c>
      <c r="EH153" s="161">
        <f t="shared" ref="EH153:EH187" si="240">IF($AZ153="", "", (CD153*$CW153)/$CZ153)</f>
        <v>0</v>
      </c>
      <c r="EI153" s="161">
        <f t="shared" ref="EI153:EI187" si="241">IF($AZ153="", "", (CE153*$CW153)/$CZ153)</f>
        <v>0</v>
      </c>
      <c r="EJ153" s="161">
        <f t="shared" ref="EJ153:EJ187" si="242">IF($AZ153="", "", (CF153*$CW153)/$CZ153)</f>
        <v>0</v>
      </c>
      <c r="EK153" s="147">
        <f t="shared" si="174"/>
        <v>10.416666666666666</v>
      </c>
      <c r="EL153" s="149"/>
      <c r="EN153" s="151"/>
      <c r="EO153" s="151"/>
      <c r="EP153" s="139">
        <f t="shared" si="175"/>
        <v>0</v>
      </c>
      <c r="EQ153" s="139">
        <f t="shared" si="176"/>
        <v>0</v>
      </c>
      <c r="ER153" s="139">
        <f t="shared" si="177"/>
        <v>0</v>
      </c>
      <c r="ES153" s="139">
        <f t="shared" si="178"/>
        <v>0</v>
      </c>
      <c r="ET153" s="139">
        <f t="shared" si="179"/>
        <v>0</v>
      </c>
      <c r="EU153" s="139">
        <f t="shared" si="180"/>
        <v>4.9755161005886874</v>
      </c>
      <c r="EV153" s="139">
        <f t="shared" si="181"/>
        <v>0</v>
      </c>
      <c r="EW153" s="139">
        <f t="shared" si="182"/>
        <v>0</v>
      </c>
      <c r="EX153" s="139">
        <f t="shared" si="183"/>
        <v>0</v>
      </c>
      <c r="EY153" s="139">
        <f t="shared" si="184"/>
        <v>0</v>
      </c>
      <c r="EZ153" s="139">
        <f t="shared" si="185"/>
        <v>0</v>
      </c>
      <c r="FA153" s="139">
        <f t="shared" si="186"/>
        <v>0</v>
      </c>
      <c r="FB153" s="139">
        <f t="shared" si="187"/>
        <v>0</v>
      </c>
      <c r="FC153" s="139">
        <f t="shared" si="188"/>
        <v>0</v>
      </c>
      <c r="FD153" s="139">
        <f t="shared" si="189"/>
        <v>0</v>
      </c>
      <c r="FE153" s="139">
        <f t="shared" si="190"/>
        <v>0</v>
      </c>
      <c r="FF153" s="139">
        <f t="shared" si="191"/>
        <v>0</v>
      </c>
      <c r="FG153" s="139">
        <f t="shared" si="192"/>
        <v>0</v>
      </c>
      <c r="FH153" s="139">
        <f t="shared" si="193"/>
        <v>0</v>
      </c>
      <c r="FI153" s="139">
        <f t="shared" si="194"/>
        <v>0</v>
      </c>
      <c r="FJ153" s="139">
        <f t="shared" si="195"/>
        <v>0</v>
      </c>
      <c r="FK153" s="139">
        <f t="shared" si="196"/>
        <v>0</v>
      </c>
      <c r="FL153" s="139">
        <f t="shared" si="197"/>
        <v>0</v>
      </c>
      <c r="FM153" s="139">
        <f t="shared" si="198"/>
        <v>0</v>
      </c>
      <c r="FN153" s="139">
        <f t="shared" si="199"/>
        <v>0</v>
      </c>
      <c r="FO153" s="139">
        <f t="shared" si="200"/>
        <v>0</v>
      </c>
      <c r="FP153" s="139">
        <f t="shared" si="201"/>
        <v>0</v>
      </c>
      <c r="FQ153" s="139">
        <f t="shared" si="202"/>
        <v>0</v>
      </c>
      <c r="FR153" s="139">
        <f t="shared" si="203"/>
        <v>0</v>
      </c>
      <c r="FS153" s="139">
        <f t="shared" si="204"/>
        <v>0</v>
      </c>
      <c r="FT153" s="139">
        <f t="shared" si="205"/>
        <v>0</v>
      </c>
      <c r="FU153" s="148">
        <f t="shared" si="206"/>
        <v>4.9755161005886874</v>
      </c>
      <c r="FV153" s="149"/>
      <c r="FY153" s="210">
        <v>148</v>
      </c>
      <c r="FZ153">
        <v>0.72068272208532158</v>
      </c>
      <c r="GA153">
        <v>2.5203030089073111</v>
      </c>
      <c r="GB153">
        <v>2.1075150186184688</v>
      </c>
      <c r="GC153">
        <v>1.0429423555775448</v>
      </c>
      <c r="GD153">
        <v>2.5764660877557999</v>
      </c>
      <c r="GE153">
        <v>5.0824821364119197</v>
      </c>
      <c r="GF153">
        <v>5.9776289040214481</v>
      </c>
      <c r="GG153">
        <v>9.1969322434682645</v>
      </c>
      <c r="GH153">
        <v>6.6157029235073752</v>
      </c>
      <c r="GI153">
        <v>4.3262929156203533</v>
      </c>
      <c r="GJ153"/>
      <c r="GK153"/>
      <c r="GL153"/>
      <c r="GM153"/>
    </row>
    <row r="154" spans="1:195" s="7" customFormat="1">
      <c r="A154" s="77"/>
      <c r="B154" s="76">
        <f t="shared" ca="1" si="171"/>
        <v>0.48677444147824378</v>
      </c>
      <c r="C154">
        <v>2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21.584840506715505</v>
      </c>
      <c r="AO154">
        <v>5.4384026407154682</v>
      </c>
      <c r="AP154">
        <v>39.205513558465583</v>
      </c>
      <c r="AQ154">
        <v>34.141702923472408</v>
      </c>
      <c r="AR154">
        <v>5.1186433507513955</v>
      </c>
      <c r="AS154">
        <v>25.110031809666982</v>
      </c>
      <c r="AT154">
        <v>3.7350803016764864</v>
      </c>
      <c r="AU154">
        <v>6.8716198732091875</v>
      </c>
      <c r="AV154"/>
      <c r="AW154"/>
      <c r="AX154" s="151"/>
      <c r="AY154" s="76">
        <f t="shared" ca="1" si="172"/>
        <v>0.90241645812425997</v>
      </c>
      <c r="AZ154">
        <v>7</v>
      </c>
      <c r="BA154" s="129">
        <f t="shared" si="170"/>
        <v>39847</v>
      </c>
      <c r="BB154">
        <v>0</v>
      </c>
      <c r="BC154">
        <v>0</v>
      </c>
      <c r="BD154">
        <v>0</v>
      </c>
      <c r="BE154">
        <v>0</v>
      </c>
      <c r="BF154">
        <v>1</v>
      </c>
      <c r="BG154">
        <v>1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7"/>
        <v>6.5170103377426791E-2</v>
      </c>
      <c r="CL154" s="179">
        <f t="shared" si="208"/>
        <v>7</v>
      </c>
      <c r="CM154" s="180">
        <f t="shared" si="209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0"/>
        <v>9.6000000000000002E-2</v>
      </c>
      <c r="DB154" s="151"/>
      <c r="DC154" s="76">
        <f t="shared" ca="1" si="173"/>
        <v>0.77913166357991526</v>
      </c>
      <c r="DD154">
        <f t="shared" si="211"/>
        <v>7</v>
      </c>
      <c r="DE154" s="129">
        <f t="shared" si="169"/>
        <v>39847</v>
      </c>
      <c r="DF154" s="161">
        <f t="shared" si="212"/>
        <v>0</v>
      </c>
      <c r="DG154" s="161">
        <f t="shared" si="213"/>
        <v>0</v>
      </c>
      <c r="DH154" s="161">
        <f t="shared" si="214"/>
        <v>0</v>
      </c>
      <c r="DI154" s="161">
        <f t="shared" si="215"/>
        <v>0</v>
      </c>
      <c r="DJ154" s="161">
        <f t="shared" si="216"/>
        <v>10.416666666666666</v>
      </c>
      <c r="DK154" s="161">
        <f t="shared" si="217"/>
        <v>10.416666666666666</v>
      </c>
      <c r="DL154" s="161">
        <f t="shared" si="218"/>
        <v>0</v>
      </c>
      <c r="DM154" s="161">
        <f t="shared" si="219"/>
        <v>0</v>
      </c>
      <c r="DN154" s="161">
        <f t="shared" si="220"/>
        <v>0</v>
      </c>
      <c r="DO154" s="161">
        <f t="shared" si="221"/>
        <v>0</v>
      </c>
      <c r="DP154" s="161">
        <f t="shared" si="222"/>
        <v>0</v>
      </c>
      <c r="DQ154" s="161">
        <f t="shared" si="223"/>
        <v>0</v>
      </c>
      <c r="DR154" s="161">
        <f t="shared" si="224"/>
        <v>0</v>
      </c>
      <c r="DS154" s="161">
        <f t="shared" si="225"/>
        <v>0</v>
      </c>
      <c r="DT154" s="161">
        <f t="shared" si="226"/>
        <v>0</v>
      </c>
      <c r="DU154" s="161">
        <f t="shared" si="227"/>
        <v>0</v>
      </c>
      <c r="DV154" s="161">
        <f t="shared" si="228"/>
        <v>0</v>
      </c>
      <c r="DW154" s="161">
        <f t="shared" si="229"/>
        <v>0</v>
      </c>
      <c r="DX154" s="161">
        <f t="shared" si="230"/>
        <v>0</v>
      </c>
      <c r="DY154" s="161">
        <f t="shared" si="231"/>
        <v>0</v>
      </c>
      <c r="DZ154" s="161">
        <f t="shared" si="232"/>
        <v>0</v>
      </c>
      <c r="EA154" s="161">
        <f t="shared" si="233"/>
        <v>0</v>
      </c>
      <c r="EB154" s="161">
        <f t="shared" si="234"/>
        <v>0</v>
      </c>
      <c r="EC154" s="161">
        <f t="shared" si="235"/>
        <v>0</v>
      </c>
      <c r="ED154" s="161">
        <f t="shared" si="236"/>
        <v>0</v>
      </c>
      <c r="EE154" s="161">
        <f t="shared" si="237"/>
        <v>0</v>
      </c>
      <c r="EF154" s="161">
        <f t="shared" si="238"/>
        <v>0</v>
      </c>
      <c r="EG154" s="161">
        <f t="shared" si="239"/>
        <v>0</v>
      </c>
      <c r="EH154" s="161">
        <f t="shared" si="240"/>
        <v>0</v>
      </c>
      <c r="EI154" s="161">
        <f t="shared" si="241"/>
        <v>0</v>
      </c>
      <c r="EJ154" s="161">
        <f t="shared" si="242"/>
        <v>0</v>
      </c>
      <c r="EK154" s="147">
        <f t="shared" si="174"/>
        <v>20.833333333333332</v>
      </c>
      <c r="EL154" s="149"/>
      <c r="EN154" s="151"/>
      <c r="EO154" s="151"/>
      <c r="EP154" s="139">
        <f t="shared" si="175"/>
        <v>0</v>
      </c>
      <c r="EQ154" s="139">
        <f t="shared" si="176"/>
        <v>0</v>
      </c>
      <c r="ER154" s="139">
        <f t="shared" si="177"/>
        <v>0</v>
      </c>
      <c r="ES154" s="139">
        <f t="shared" si="178"/>
        <v>0</v>
      </c>
      <c r="ET154" s="139">
        <f t="shared" si="179"/>
        <v>2.7092885432593907</v>
      </c>
      <c r="EU154" s="139">
        <f t="shared" si="180"/>
        <v>4.9755161005886874</v>
      </c>
      <c r="EV154" s="139">
        <f t="shared" si="181"/>
        <v>0</v>
      </c>
      <c r="EW154" s="139">
        <f t="shared" si="182"/>
        <v>0</v>
      </c>
      <c r="EX154" s="139">
        <f t="shared" si="183"/>
        <v>0</v>
      </c>
      <c r="EY154" s="139">
        <f t="shared" si="184"/>
        <v>0</v>
      </c>
      <c r="EZ154" s="139">
        <f t="shared" si="185"/>
        <v>0</v>
      </c>
      <c r="FA154" s="139">
        <f t="shared" si="186"/>
        <v>0</v>
      </c>
      <c r="FB154" s="139">
        <f t="shared" si="187"/>
        <v>0</v>
      </c>
      <c r="FC154" s="139">
        <f t="shared" si="188"/>
        <v>0</v>
      </c>
      <c r="FD154" s="139">
        <f t="shared" si="189"/>
        <v>0</v>
      </c>
      <c r="FE154" s="139">
        <f t="shared" si="190"/>
        <v>0</v>
      </c>
      <c r="FF154" s="139">
        <f t="shared" si="191"/>
        <v>0</v>
      </c>
      <c r="FG154" s="139">
        <f t="shared" si="192"/>
        <v>0</v>
      </c>
      <c r="FH154" s="139">
        <f t="shared" si="193"/>
        <v>0</v>
      </c>
      <c r="FI154" s="139">
        <f t="shared" si="194"/>
        <v>0</v>
      </c>
      <c r="FJ154" s="139">
        <f t="shared" si="195"/>
        <v>0</v>
      </c>
      <c r="FK154" s="139">
        <f t="shared" si="196"/>
        <v>0</v>
      </c>
      <c r="FL154" s="139">
        <f t="shared" si="197"/>
        <v>0</v>
      </c>
      <c r="FM154" s="139">
        <f t="shared" si="198"/>
        <v>0</v>
      </c>
      <c r="FN154" s="139">
        <f t="shared" si="199"/>
        <v>0</v>
      </c>
      <c r="FO154" s="139">
        <f t="shared" si="200"/>
        <v>0</v>
      </c>
      <c r="FP154" s="139">
        <f t="shared" si="201"/>
        <v>0</v>
      </c>
      <c r="FQ154" s="139">
        <f t="shared" si="202"/>
        <v>0</v>
      </c>
      <c r="FR154" s="139">
        <f t="shared" si="203"/>
        <v>0</v>
      </c>
      <c r="FS154" s="139">
        <f t="shared" si="204"/>
        <v>0</v>
      </c>
      <c r="FT154" s="139">
        <f t="shared" si="205"/>
        <v>0</v>
      </c>
      <c r="FU154" s="148">
        <f t="shared" si="206"/>
        <v>7.6848046438480786</v>
      </c>
      <c r="FV154" s="149"/>
      <c r="FY154" s="210">
        <v>149</v>
      </c>
      <c r="FZ154">
        <v>1.3172044616535601</v>
      </c>
      <c r="GA154">
        <v>1.6744465575111329</v>
      </c>
      <c r="GB154">
        <v>1.1906175249111524</v>
      </c>
      <c r="GC154">
        <v>1.1213884929240767</v>
      </c>
      <c r="GD154">
        <v>3.4803684957324625</v>
      </c>
      <c r="GE154">
        <v>6.0942888765795908</v>
      </c>
      <c r="GF154">
        <v>1.7754339651414244</v>
      </c>
      <c r="GG154">
        <v>3.3152326850663227</v>
      </c>
      <c r="GH154">
        <v>4.930165762844207</v>
      </c>
      <c r="GI154">
        <v>3.6485827564648514</v>
      </c>
      <c r="GJ154"/>
      <c r="GK154"/>
      <c r="GL154"/>
      <c r="GM154"/>
    </row>
    <row r="155" spans="1:195" s="7" customFormat="1">
      <c r="A155" s="77"/>
      <c r="B155" s="76">
        <f t="shared" ca="1" si="171"/>
        <v>0.75897924264345118</v>
      </c>
      <c r="C155">
        <v>5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10.416666666666666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21.35883742931615</v>
      </c>
      <c r="AO155">
        <v>4.835537724811493</v>
      </c>
      <c r="AP155">
        <v>34.155780784625705</v>
      </c>
      <c r="AQ155">
        <v>29.798122160585621</v>
      </c>
      <c r="AR155">
        <v>4.5814571509924704</v>
      </c>
      <c r="AS155">
        <v>20.394957566261343</v>
      </c>
      <c r="AT155">
        <v>2.8158698673436038</v>
      </c>
      <c r="AU155">
        <v>-0.55351528296495744</v>
      </c>
      <c r="AV155"/>
      <c r="AW155"/>
      <c r="AX155" s="151"/>
      <c r="AY155" s="76">
        <f t="shared" ca="1" si="172"/>
        <v>0.13705935914541101</v>
      </c>
      <c r="AZ155">
        <v>8</v>
      </c>
      <c r="BA155" s="129">
        <f t="shared" si="170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7"/>
        <v>0.19594453684101332</v>
      </c>
      <c r="CL155" s="179">
        <f t="shared" si="208"/>
        <v>8</v>
      </c>
      <c r="CM155" s="180">
        <f t="shared" si="209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0"/>
        <v>9.6000000000000002E-2</v>
      </c>
      <c r="DB155" s="151"/>
      <c r="DC155" s="76">
        <f t="shared" ca="1" si="173"/>
        <v>0.29843923234776604</v>
      </c>
      <c r="DD155">
        <f t="shared" si="211"/>
        <v>8</v>
      </c>
      <c r="DE155" s="129">
        <f t="shared" si="169"/>
        <v>39847</v>
      </c>
      <c r="DF155" s="161">
        <f t="shared" si="212"/>
        <v>0</v>
      </c>
      <c r="DG155" s="161">
        <f t="shared" si="213"/>
        <v>0</v>
      </c>
      <c r="DH155" s="161">
        <f t="shared" si="214"/>
        <v>0</v>
      </c>
      <c r="DI155" s="161">
        <f t="shared" si="215"/>
        <v>0</v>
      </c>
      <c r="DJ155" s="161">
        <f t="shared" si="216"/>
        <v>0</v>
      </c>
      <c r="DK155" s="161">
        <f t="shared" si="217"/>
        <v>0</v>
      </c>
      <c r="DL155" s="161">
        <f t="shared" si="218"/>
        <v>0</v>
      </c>
      <c r="DM155" s="161">
        <f t="shared" si="219"/>
        <v>0</v>
      </c>
      <c r="DN155" s="161">
        <f t="shared" si="220"/>
        <v>0</v>
      </c>
      <c r="DO155" s="161">
        <f t="shared" si="221"/>
        <v>0</v>
      </c>
      <c r="DP155" s="161">
        <f t="shared" si="222"/>
        <v>0</v>
      </c>
      <c r="DQ155" s="161">
        <f t="shared" si="223"/>
        <v>0</v>
      </c>
      <c r="DR155" s="161">
        <f t="shared" si="224"/>
        <v>0</v>
      </c>
      <c r="DS155" s="161">
        <f t="shared" si="225"/>
        <v>0</v>
      </c>
      <c r="DT155" s="161">
        <f t="shared" si="226"/>
        <v>0</v>
      </c>
      <c r="DU155" s="161">
        <f t="shared" si="227"/>
        <v>0</v>
      </c>
      <c r="DV155" s="161">
        <f t="shared" si="228"/>
        <v>0</v>
      </c>
      <c r="DW155" s="161">
        <f t="shared" si="229"/>
        <v>0</v>
      </c>
      <c r="DX155" s="161">
        <f t="shared" si="230"/>
        <v>0</v>
      </c>
      <c r="DY155" s="161">
        <f t="shared" si="231"/>
        <v>0</v>
      </c>
      <c r="DZ155" s="161">
        <f t="shared" si="232"/>
        <v>0</v>
      </c>
      <c r="EA155" s="161">
        <f t="shared" si="233"/>
        <v>0</v>
      </c>
      <c r="EB155" s="161">
        <f t="shared" si="234"/>
        <v>0</v>
      </c>
      <c r="EC155" s="161">
        <f t="shared" si="235"/>
        <v>0</v>
      </c>
      <c r="ED155" s="161">
        <f t="shared" si="236"/>
        <v>0</v>
      </c>
      <c r="EE155" s="161">
        <f t="shared" si="237"/>
        <v>0</v>
      </c>
      <c r="EF155" s="161">
        <f t="shared" si="238"/>
        <v>0</v>
      </c>
      <c r="EG155" s="161">
        <f t="shared" si="239"/>
        <v>0</v>
      </c>
      <c r="EH155" s="161">
        <f t="shared" si="240"/>
        <v>0</v>
      </c>
      <c r="EI155" s="161">
        <f t="shared" si="241"/>
        <v>0</v>
      </c>
      <c r="EJ155" s="161">
        <f t="shared" si="242"/>
        <v>0</v>
      </c>
      <c r="EK155" s="147">
        <f t="shared" si="174"/>
        <v>0</v>
      </c>
      <c r="EL155" s="149"/>
      <c r="EN155" s="151"/>
      <c r="EO155" s="151"/>
      <c r="EP155" s="139">
        <f t="shared" si="175"/>
        <v>0</v>
      </c>
      <c r="EQ155" s="139">
        <f t="shared" si="176"/>
        <v>0</v>
      </c>
      <c r="ER155" s="139">
        <f t="shared" si="177"/>
        <v>0</v>
      </c>
      <c r="ES155" s="139">
        <f t="shared" si="178"/>
        <v>0</v>
      </c>
      <c r="ET155" s="139">
        <f t="shared" si="179"/>
        <v>0</v>
      </c>
      <c r="EU155" s="139">
        <f t="shared" si="180"/>
        <v>0</v>
      </c>
      <c r="EV155" s="139">
        <f t="shared" si="181"/>
        <v>0</v>
      </c>
      <c r="EW155" s="139">
        <f t="shared" si="182"/>
        <v>0</v>
      </c>
      <c r="EX155" s="139">
        <f t="shared" si="183"/>
        <v>0</v>
      </c>
      <c r="EY155" s="139">
        <f t="shared" si="184"/>
        <v>0</v>
      </c>
      <c r="EZ155" s="139">
        <f t="shared" si="185"/>
        <v>0</v>
      </c>
      <c r="FA155" s="139">
        <f t="shared" si="186"/>
        <v>0</v>
      </c>
      <c r="FB155" s="139">
        <f t="shared" si="187"/>
        <v>0</v>
      </c>
      <c r="FC155" s="139">
        <f t="shared" si="188"/>
        <v>0</v>
      </c>
      <c r="FD155" s="139">
        <f t="shared" si="189"/>
        <v>0</v>
      </c>
      <c r="FE155" s="139">
        <f t="shared" si="190"/>
        <v>0</v>
      </c>
      <c r="FF155" s="139">
        <f t="shared" si="191"/>
        <v>0</v>
      </c>
      <c r="FG155" s="139">
        <f t="shared" si="192"/>
        <v>0</v>
      </c>
      <c r="FH155" s="139">
        <f t="shared" si="193"/>
        <v>0</v>
      </c>
      <c r="FI155" s="139">
        <f t="shared" si="194"/>
        <v>0</v>
      </c>
      <c r="FJ155" s="139">
        <f t="shared" si="195"/>
        <v>0</v>
      </c>
      <c r="FK155" s="139">
        <f t="shared" si="196"/>
        <v>0</v>
      </c>
      <c r="FL155" s="139">
        <f t="shared" si="197"/>
        <v>0</v>
      </c>
      <c r="FM155" s="139">
        <f t="shared" si="198"/>
        <v>0</v>
      </c>
      <c r="FN155" s="139">
        <f t="shared" si="199"/>
        <v>0</v>
      </c>
      <c r="FO155" s="139">
        <f t="shared" si="200"/>
        <v>0</v>
      </c>
      <c r="FP155" s="139">
        <f t="shared" si="201"/>
        <v>0</v>
      </c>
      <c r="FQ155" s="139">
        <f t="shared" si="202"/>
        <v>0</v>
      </c>
      <c r="FR155" s="139">
        <f t="shared" si="203"/>
        <v>0</v>
      </c>
      <c r="FS155" s="139">
        <f t="shared" si="204"/>
        <v>0</v>
      </c>
      <c r="FT155" s="139">
        <f t="shared" si="205"/>
        <v>0</v>
      </c>
      <c r="FU155" s="148">
        <f t="shared" si="206"/>
        <v>0</v>
      </c>
      <c r="FV155" s="149"/>
      <c r="FY155" s="210">
        <v>150</v>
      </c>
      <c r="FZ155">
        <v>0.86484181944017213</v>
      </c>
      <c r="GA155">
        <v>1.272993073828669</v>
      </c>
      <c r="GB155">
        <v>0.66308026131842557</v>
      </c>
      <c r="GC155">
        <v>0.39967856056490192</v>
      </c>
      <c r="GD155">
        <v>1.4443607218289589</v>
      </c>
      <c r="GE155">
        <v>5.0491888340495841</v>
      </c>
      <c r="GF155">
        <v>10.655077116972858</v>
      </c>
      <c r="GG155">
        <v>12.160032987689775</v>
      </c>
      <c r="GH155">
        <v>8.9056415450084074</v>
      </c>
      <c r="GI155">
        <v>4.5565317653117834</v>
      </c>
      <c r="GJ155"/>
      <c r="GK155"/>
      <c r="GL155"/>
      <c r="GM155"/>
    </row>
    <row r="156" spans="1:195" s="7" customFormat="1">
      <c r="A156" s="77"/>
      <c r="B156" s="76">
        <f t="shared" ca="1" si="171"/>
        <v>0.24367670360033866</v>
      </c>
      <c r="C156">
        <v>10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26.744542699672159</v>
      </c>
      <c r="AO156">
        <v>4.4164939634524547</v>
      </c>
      <c r="AP156">
        <v>32.374775130151178</v>
      </c>
      <c r="AQ156">
        <v>28.080057170940588</v>
      </c>
      <c r="AR156">
        <v>4.2177642809475921</v>
      </c>
      <c r="AS156">
        <v>20.605730142305273</v>
      </c>
      <c r="AT156">
        <v>2.5531599202901005</v>
      </c>
      <c r="AU156">
        <v>1.063687013932759</v>
      </c>
      <c r="AV156"/>
      <c r="AW156"/>
      <c r="AX156" s="151"/>
      <c r="AY156" s="76">
        <f t="shared" ca="1" si="172"/>
        <v>0.81015843258051756</v>
      </c>
      <c r="AZ156">
        <v>9</v>
      </c>
      <c r="BA156" s="129">
        <f t="shared" si="170"/>
        <v>39847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7"/>
        <v>0.59519720510753338</v>
      </c>
      <c r="CL156" s="179">
        <f t="shared" si="208"/>
        <v>9</v>
      </c>
      <c r="CM156" s="180">
        <f t="shared" si="209"/>
        <v>39847</v>
      </c>
      <c r="CN156" s="220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0"/>
        <v>9.6000000000000002E-2</v>
      </c>
      <c r="DB156" s="151"/>
      <c r="DC156" s="76">
        <f t="shared" ca="1" si="173"/>
        <v>5.6411954963349498E-2</v>
      </c>
      <c r="DD156">
        <f t="shared" si="211"/>
        <v>9</v>
      </c>
      <c r="DE156" s="129">
        <f t="shared" si="169"/>
        <v>39847</v>
      </c>
      <c r="DF156" s="161">
        <f t="shared" si="212"/>
        <v>0</v>
      </c>
      <c r="DG156" s="161">
        <f t="shared" si="213"/>
        <v>0</v>
      </c>
      <c r="DH156" s="161">
        <f t="shared" si="214"/>
        <v>0</v>
      </c>
      <c r="DI156" s="161">
        <f t="shared" si="215"/>
        <v>0</v>
      </c>
      <c r="DJ156" s="161">
        <f t="shared" si="216"/>
        <v>0</v>
      </c>
      <c r="DK156" s="161">
        <f t="shared" si="217"/>
        <v>0</v>
      </c>
      <c r="DL156" s="161">
        <f t="shared" si="218"/>
        <v>0</v>
      </c>
      <c r="DM156" s="161">
        <f t="shared" si="219"/>
        <v>0</v>
      </c>
      <c r="DN156" s="161">
        <f t="shared" si="220"/>
        <v>0</v>
      </c>
      <c r="DO156" s="161">
        <f t="shared" si="221"/>
        <v>0</v>
      </c>
      <c r="DP156" s="161">
        <f t="shared" si="222"/>
        <v>0</v>
      </c>
      <c r="DQ156" s="161">
        <f t="shared" si="223"/>
        <v>0</v>
      </c>
      <c r="DR156" s="161">
        <f t="shared" si="224"/>
        <v>0</v>
      </c>
      <c r="DS156" s="161">
        <f t="shared" si="225"/>
        <v>0</v>
      </c>
      <c r="DT156" s="161">
        <f t="shared" si="226"/>
        <v>0</v>
      </c>
      <c r="DU156" s="161">
        <f t="shared" si="227"/>
        <v>0</v>
      </c>
      <c r="DV156" s="161">
        <f t="shared" si="228"/>
        <v>0</v>
      </c>
      <c r="DW156" s="161">
        <f t="shared" si="229"/>
        <v>0</v>
      </c>
      <c r="DX156" s="161">
        <f t="shared" si="230"/>
        <v>0</v>
      </c>
      <c r="DY156" s="161">
        <f t="shared" si="231"/>
        <v>0</v>
      </c>
      <c r="DZ156" s="161">
        <f t="shared" si="232"/>
        <v>0</v>
      </c>
      <c r="EA156" s="161">
        <f t="shared" si="233"/>
        <v>0</v>
      </c>
      <c r="EB156" s="161">
        <f t="shared" si="234"/>
        <v>0</v>
      </c>
      <c r="EC156" s="161">
        <f t="shared" si="235"/>
        <v>0</v>
      </c>
      <c r="ED156" s="161">
        <f t="shared" si="236"/>
        <v>0</v>
      </c>
      <c r="EE156" s="161">
        <f t="shared" si="237"/>
        <v>0</v>
      </c>
      <c r="EF156" s="161">
        <f t="shared" si="238"/>
        <v>0</v>
      </c>
      <c r="EG156" s="161">
        <f t="shared" si="239"/>
        <v>0</v>
      </c>
      <c r="EH156" s="161">
        <f t="shared" si="240"/>
        <v>0</v>
      </c>
      <c r="EI156" s="161">
        <f t="shared" si="241"/>
        <v>0</v>
      </c>
      <c r="EJ156" s="161">
        <f t="shared" si="242"/>
        <v>0</v>
      </c>
      <c r="EK156" s="147">
        <f t="shared" si="174"/>
        <v>0</v>
      </c>
      <c r="EL156" s="149"/>
      <c r="EN156" s="151"/>
      <c r="EO156" s="151"/>
      <c r="EP156" s="139">
        <f t="shared" si="175"/>
        <v>0</v>
      </c>
      <c r="EQ156" s="139">
        <f t="shared" si="176"/>
        <v>0</v>
      </c>
      <c r="ER156" s="139">
        <f t="shared" si="177"/>
        <v>0</v>
      </c>
      <c r="ES156" s="139">
        <f t="shared" si="178"/>
        <v>0</v>
      </c>
      <c r="ET156" s="139">
        <f t="shared" si="179"/>
        <v>0</v>
      </c>
      <c r="EU156" s="139">
        <f t="shared" si="180"/>
        <v>0</v>
      </c>
      <c r="EV156" s="139">
        <f t="shared" si="181"/>
        <v>0</v>
      </c>
      <c r="EW156" s="139">
        <f t="shared" si="182"/>
        <v>0</v>
      </c>
      <c r="EX156" s="139">
        <f t="shared" si="183"/>
        <v>0</v>
      </c>
      <c r="EY156" s="139">
        <f t="shared" si="184"/>
        <v>0</v>
      </c>
      <c r="EZ156" s="139">
        <f t="shared" si="185"/>
        <v>0</v>
      </c>
      <c r="FA156" s="139">
        <f t="shared" si="186"/>
        <v>0</v>
      </c>
      <c r="FB156" s="139">
        <f t="shared" si="187"/>
        <v>0</v>
      </c>
      <c r="FC156" s="139">
        <f t="shared" si="188"/>
        <v>0</v>
      </c>
      <c r="FD156" s="139">
        <f t="shared" si="189"/>
        <v>0</v>
      </c>
      <c r="FE156" s="139">
        <f t="shared" si="190"/>
        <v>0</v>
      </c>
      <c r="FF156" s="139">
        <f t="shared" si="191"/>
        <v>0</v>
      </c>
      <c r="FG156" s="139">
        <f t="shared" si="192"/>
        <v>0</v>
      </c>
      <c r="FH156" s="139">
        <f t="shared" si="193"/>
        <v>0</v>
      </c>
      <c r="FI156" s="139">
        <f t="shared" si="194"/>
        <v>0</v>
      </c>
      <c r="FJ156" s="139">
        <f t="shared" si="195"/>
        <v>0</v>
      </c>
      <c r="FK156" s="139">
        <f t="shared" si="196"/>
        <v>0</v>
      </c>
      <c r="FL156" s="139">
        <f t="shared" si="197"/>
        <v>0</v>
      </c>
      <c r="FM156" s="139">
        <f t="shared" si="198"/>
        <v>0</v>
      </c>
      <c r="FN156" s="139">
        <f t="shared" si="199"/>
        <v>0</v>
      </c>
      <c r="FO156" s="139">
        <f t="shared" si="200"/>
        <v>0</v>
      </c>
      <c r="FP156" s="139">
        <f t="shared" si="201"/>
        <v>0</v>
      </c>
      <c r="FQ156" s="139">
        <f t="shared" si="202"/>
        <v>0</v>
      </c>
      <c r="FR156" s="139">
        <f t="shared" si="203"/>
        <v>0</v>
      </c>
      <c r="FS156" s="139">
        <f t="shared" si="204"/>
        <v>0</v>
      </c>
      <c r="FT156" s="139">
        <f t="shared" si="205"/>
        <v>0</v>
      </c>
      <c r="FU156" s="148">
        <f t="shared" si="206"/>
        <v>0</v>
      </c>
      <c r="FV156" s="149"/>
      <c r="FY156" s="210">
        <v>151</v>
      </c>
      <c r="FZ156">
        <v>0.95332441819265212</v>
      </c>
      <c r="GA156">
        <v>1.9521693930374615</v>
      </c>
      <c r="GB156">
        <v>1.5058944426786907</v>
      </c>
      <c r="GC156">
        <v>0.55567525451243327</v>
      </c>
      <c r="GD156">
        <v>1.6457512108124528</v>
      </c>
      <c r="GE156">
        <v>4.7389018277998574</v>
      </c>
      <c r="GF156">
        <v>6.3141116650627076</v>
      </c>
      <c r="GG156">
        <v>5.0183363489814283</v>
      </c>
      <c r="GH156">
        <v>2.6472873879039547</v>
      </c>
      <c r="GI156">
        <v>3.0750087450667438</v>
      </c>
      <c r="GJ156"/>
      <c r="GK156"/>
      <c r="GL156"/>
      <c r="GM156"/>
    </row>
    <row r="157" spans="1:195" s="7" customFormat="1">
      <c r="A157" s="77"/>
      <c r="B157" s="76">
        <f t="shared" ca="1" si="171"/>
        <v>0.98243251853312086</v>
      </c>
      <c r="C157">
        <v>9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18.332818223443219</v>
      </c>
      <c r="AO157">
        <v>5.1851161083406136</v>
      </c>
      <c r="AP157">
        <v>43.246917618767043</v>
      </c>
      <c r="AQ157">
        <v>34.971973446209205</v>
      </c>
      <c r="AR157">
        <v>4.8546114519205847</v>
      </c>
      <c r="AS157">
        <v>20.347003543732647</v>
      </c>
      <c r="AT157">
        <v>3.4088501244774077</v>
      </c>
      <c r="AU157">
        <v>3.789890973175702</v>
      </c>
      <c r="AV157"/>
      <c r="AW157"/>
      <c r="AX157" s="151"/>
      <c r="AY157" s="76">
        <f t="shared" ca="1" si="172"/>
        <v>6.2926388109910025E-2</v>
      </c>
      <c r="AZ157">
        <v>10</v>
      </c>
      <c r="BA157" s="129">
        <f t="shared" si="170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7"/>
        <v>1.579975190800198E-2</v>
      </c>
      <c r="CL157" s="179">
        <f t="shared" si="208"/>
        <v>10</v>
      </c>
      <c r="CM157" s="180">
        <f t="shared" si="209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0"/>
        <v>9.6000000000000002E-2</v>
      </c>
      <c r="DB157" s="151"/>
      <c r="DC157" s="76">
        <f t="shared" ca="1" si="173"/>
        <v>0.95409482984326832</v>
      </c>
      <c r="DD157">
        <f t="shared" si="211"/>
        <v>10</v>
      </c>
      <c r="DE157" s="129">
        <f t="shared" si="169"/>
        <v>39847</v>
      </c>
      <c r="DF157" s="161">
        <f t="shared" si="212"/>
        <v>0</v>
      </c>
      <c r="DG157" s="161">
        <f t="shared" si="213"/>
        <v>0</v>
      </c>
      <c r="DH157" s="161">
        <f t="shared" si="214"/>
        <v>0</v>
      </c>
      <c r="DI157" s="161">
        <f t="shared" si="215"/>
        <v>0</v>
      </c>
      <c r="DJ157" s="161">
        <f t="shared" si="216"/>
        <v>0</v>
      </c>
      <c r="DK157" s="161">
        <f t="shared" si="217"/>
        <v>0</v>
      </c>
      <c r="DL157" s="161">
        <f t="shared" si="218"/>
        <v>0</v>
      </c>
      <c r="DM157" s="161">
        <f t="shared" si="219"/>
        <v>0</v>
      </c>
      <c r="DN157" s="161">
        <f t="shared" si="220"/>
        <v>0</v>
      </c>
      <c r="DO157" s="161">
        <f t="shared" si="221"/>
        <v>0</v>
      </c>
      <c r="DP157" s="161">
        <f t="shared" si="222"/>
        <v>0</v>
      </c>
      <c r="DQ157" s="161">
        <f t="shared" si="223"/>
        <v>0</v>
      </c>
      <c r="DR157" s="161">
        <f t="shared" si="224"/>
        <v>0</v>
      </c>
      <c r="DS157" s="161">
        <f t="shared" si="225"/>
        <v>0</v>
      </c>
      <c r="DT157" s="161">
        <f t="shared" si="226"/>
        <v>0</v>
      </c>
      <c r="DU157" s="161">
        <f t="shared" si="227"/>
        <v>0</v>
      </c>
      <c r="DV157" s="161">
        <f t="shared" si="228"/>
        <v>0</v>
      </c>
      <c r="DW157" s="161">
        <f t="shared" si="229"/>
        <v>0</v>
      </c>
      <c r="DX157" s="161">
        <f t="shared" si="230"/>
        <v>0</v>
      </c>
      <c r="DY157" s="161">
        <f t="shared" si="231"/>
        <v>0</v>
      </c>
      <c r="DZ157" s="161">
        <f t="shared" si="232"/>
        <v>0</v>
      </c>
      <c r="EA157" s="161">
        <f t="shared" si="233"/>
        <v>0</v>
      </c>
      <c r="EB157" s="161">
        <f t="shared" si="234"/>
        <v>0</v>
      </c>
      <c r="EC157" s="161">
        <f t="shared" si="235"/>
        <v>0</v>
      </c>
      <c r="ED157" s="161">
        <f t="shared" si="236"/>
        <v>0</v>
      </c>
      <c r="EE157" s="161">
        <f t="shared" si="237"/>
        <v>0</v>
      </c>
      <c r="EF157" s="161">
        <f t="shared" si="238"/>
        <v>0</v>
      </c>
      <c r="EG157" s="161">
        <f t="shared" si="239"/>
        <v>0</v>
      </c>
      <c r="EH157" s="161">
        <f t="shared" si="240"/>
        <v>0</v>
      </c>
      <c r="EI157" s="161">
        <f t="shared" si="241"/>
        <v>0</v>
      </c>
      <c r="EJ157" s="161">
        <f t="shared" si="242"/>
        <v>0</v>
      </c>
      <c r="EK157" s="147">
        <f t="shared" si="174"/>
        <v>0</v>
      </c>
      <c r="EL157" s="149"/>
      <c r="EN157" s="151"/>
      <c r="EO157" s="151"/>
      <c r="EP157" s="139">
        <f t="shared" si="175"/>
        <v>0</v>
      </c>
      <c r="EQ157" s="139">
        <f t="shared" si="176"/>
        <v>0</v>
      </c>
      <c r="ER157" s="139">
        <f t="shared" si="177"/>
        <v>0</v>
      </c>
      <c r="ES157" s="139">
        <f t="shared" si="178"/>
        <v>0</v>
      </c>
      <c r="ET157" s="139">
        <f t="shared" si="179"/>
        <v>0</v>
      </c>
      <c r="EU157" s="139">
        <f t="shared" si="180"/>
        <v>0</v>
      </c>
      <c r="EV157" s="139">
        <f t="shared" si="181"/>
        <v>0</v>
      </c>
      <c r="EW157" s="139">
        <f t="shared" si="182"/>
        <v>0</v>
      </c>
      <c r="EX157" s="139">
        <f t="shared" si="183"/>
        <v>0</v>
      </c>
      <c r="EY157" s="139">
        <f t="shared" si="184"/>
        <v>0</v>
      </c>
      <c r="EZ157" s="139">
        <f t="shared" si="185"/>
        <v>0</v>
      </c>
      <c r="FA157" s="139">
        <f t="shared" si="186"/>
        <v>0</v>
      </c>
      <c r="FB157" s="139">
        <f t="shared" si="187"/>
        <v>0</v>
      </c>
      <c r="FC157" s="139">
        <f t="shared" si="188"/>
        <v>0</v>
      </c>
      <c r="FD157" s="139">
        <f t="shared" si="189"/>
        <v>0</v>
      </c>
      <c r="FE157" s="139">
        <f t="shared" si="190"/>
        <v>0</v>
      </c>
      <c r="FF157" s="139">
        <f t="shared" si="191"/>
        <v>0</v>
      </c>
      <c r="FG157" s="139">
        <f t="shared" si="192"/>
        <v>0</v>
      </c>
      <c r="FH157" s="139">
        <f t="shared" si="193"/>
        <v>0</v>
      </c>
      <c r="FI157" s="139">
        <f t="shared" si="194"/>
        <v>0</v>
      </c>
      <c r="FJ157" s="139">
        <f t="shared" si="195"/>
        <v>0</v>
      </c>
      <c r="FK157" s="139">
        <f t="shared" si="196"/>
        <v>0</v>
      </c>
      <c r="FL157" s="139">
        <f t="shared" si="197"/>
        <v>0</v>
      </c>
      <c r="FM157" s="139">
        <f t="shared" si="198"/>
        <v>0</v>
      </c>
      <c r="FN157" s="139">
        <f t="shared" si="199"/>
        <v>0</v>
      </c>
      <c r="FO157" s="139">
        <f t="shared" si="200"/>
        <v>0</v>
      </c>
      <c r="FP157" s="139">
        <f t="shared" si="201"/>
        <v>0</v>
      </c>
      <c r="FQ157" s="139">
        <f t="shared" si="202"/>
        <v>0</v>
      </c>
      <c r="FR157" s="139">
        <f t="shared" si="203"/>
        <v>0</v>
      </c>
      <c r="FS157" s="139">
        <f t="shared" si="204"/>
        <v>0</v>
      </c>
      <c r="FT157" s="139">
        <f t="shared" si="205"/>
        <v>0</v>
      </c>
      <c r="FU157" s="148">
        <f t="shared" si="206"/>
        <v>0</v>
      </c>
      <c r="FV157" s="149"/>
      <c r="FY157" s="210">
        <v>152</v>
      </c>
      <c r="FZ157">
        <v>1.3031028983717701</v>
      </c>
      <c r="GA157">
        <v>2.1591702808810216</v>
      </c>
      <c r="GB157">
        <v>1.5117779610504165</v>
      </c>
      <c r="GC157">
        <v>0.56364055342525721</v>
      </c>
      <c r="GD157">
        <v>1.9601594747824012</v>
      </c>
      <c r="GE157">
        <v>5.9758001579210838</v>
      </c>
      <c r="GF157">
        <v>6.5644173205310832</v>
      </c>
      <c r="GG157">
        <v>5.7993032597600411</v>
      </c>
      <c r="GH157">
        <v>5.0593537051223949</v>
      </c>
      <c r="GI157">
        <v>3.7361482315181425</v>
      </c>
      <c r="GJ157"/>
      <c r="GK157"/>
      <c r="GL157"/>
      <c r="GM157"/>
    </row>
    <row r="158" spans="1:195" s="7" customFormat="1">
      <c r="A158" s="128"/>
      <c r="B158" s="76">
        <f t="shared" ca="1" si="171"/>
        <v>0.29391728402884887</v>
      </c>
      <c r="C158">
        <v>8</v>
      </c>
      <c r="D158">
        <v>39910</v>
      </c>
      <c r="E158">
        <v>0</v>
      </c>
      <c r="F158">
        <v>0</v>
      </c>
      <c r="G158">
        <v>0</v>
      </c>
      <c r="H158">
        <v>10.416666666666666</v>
      </c>
      <c r="I158">
        <v>10.416666666666666</v>
      </c>
      <c r="J158">
        <v>20.833333333333332</v>
      </c>
      <c r="K158">
        <v>0</v>
      </c>
      <c r="L158">
        <v>10.416666666666666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19.8261773379792</v>
      </c>
      <c r="AO158">
        <v>4.1167922418190628</v>
      </c>
      <c r="AP158">
        <v>30.574591883584425</v>
      </c>
      <c r="AQ158">
        <v>26.051722027864873</v>
      </c>
      <c r="AR158">
        <v>3.8669707309374237</v>
      </c>
      <c r="AS158">
        <v>18.669434938376948</v>
      </c>
      <c r="AT158">
        <v>2.6205998918336268</v>
      </c>
      <c r="AU158">
        <v>1.0366206449146527</v>
      </c>
      <c r="AV158"/>
      <c r="AW158"/>
      <c r="AX158" s="128"/>
      <c r="AY158" s="76">
        <f t="shared" ca="1" si="172"/>
        <v>4.5351747656752206E-2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2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7"/>
        <v>0.92772003577732365</v>
      </c>
      <c r="CL158" s="179">
        <f t="shared" si="208"/>
        <v>1</v>
      </c>
      <c r="CM158" s="180">
        <f t="shared" si="209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0"/>
        <v>9.6000000000000002E-2</v>
      </c>
      <c r="DB158" s="128"/>
      <c r="DC158" s="76">
        <f t="shared" ca="1" si="173"/>
        <v>0.93247328509357907</v>
      </c>
      <c r="DD158">
        <f t="shared" si="211"/>
        <v>1</v>
      </c>
      <c r="DE158" s="129">
        <f t="shared" ref="DE158:DE167" si="243">IF((DD158)="", "", $C$11)</f>
        <v>39910</v>
      </c>
      <c r="DF158" s="161">
        <f t="shared" si="212"/>
        <v>0</v>
      </c>
      <c r="DG158" s="161">
        <f t="shared" si="213"/>
        <v>0</v>
      </c>
      <c r="DH158" s="161">
        <f t="shared" si="214"/>
        <v>0</v>
      </c>
      <c r="DI158" s="161">
        <f t="shared" si="215"/>
        <v>0</v>
      </c>
      <c r="DJ158" s="161">
        <f t="shared" si="216"/>
        <v>0</v>
      </c>
      <c r="DK158" s="161">
        <f t="shared" si="217"/>
        <v>20.833333333333332</v>
      </c>
      <c r="DL158" s="161">
        <f t="shared" si="218"/>
        <v>0</v>
      </c>
      <c r="DM158" s="161">
        <f t="shared" si="219"/>
        <v>0</v>
      </c>
      <c r="DN158" s="161">
        <f t="shared" si="220"/>
        <v>0</v>
      </c>
      <c r="DO158" s="161">
        <f t="shared" si="221"/>
        <v>0</v>
      </c>
      <c r="DP158" s="161">
        <f t="shared" si="222"/>
        <v>0</v>
      </c>
      <c r="DQ158" s="161">
        <f t="shared" si="223"/>
        <v>0</v>
      </c>
      <c r="DR158" s="161">
        <f t="shared" si="224"/>
        <v>0</v>
      </c>
      <c r="DS158" s="161">
        <f t="shared" si="225"/>
        <v>0</v>
      </c>
      <c r="DT158" s="161">
        <f t="shared" si="226"/>
        <v>0</v>
      </c>
      <c r="DU158" s="161">
        <f t="shared" si="227"/>
        <v>0</v>
      </c>
      <c r="DV158" s="161">
        <f t="shared" si="228"/>
        <v>0</v>
      </c>
      <c r="DW158" s="161">
        <f t="shared" si="229"/>
        <v>0</v>
      </c>
      <c r="DX158" s="161">
        <f t="shared" si="230"/>
        <v>0</v>
      </c>
      <c r="DY158" s="161">
        <f t="shared" si="231"/>
        <v>0</v>
      </c>
      <c r="DZ158" s="161">
        <f t="shared" si="232"/>
        <v>0</v>
      </c>
      <c r="EA158" s="161">
        <f t="shared" si="233"/>
        <v>0</v>
      </c>
      <c r="EB158" s="161">
        <f t="shared" si="234"/>
        <v>0</v>
      </c>
      <c r="EC158" s="161">
        <f t="shared" si="235"/>
        <v>0</v>
      </c>
      <c r="ED158" s="161">
        <f t="shared" si="236"/>
        <v>0</v>
      </c>
      <c r="EE158" s="161">
        <f t="shared" si="237"/>
        <v>0</v>
      </c>
      <c r="EF158" s="161">
        <f t="shared" si="238"/>
        <v>0</v>
      </c>
      <c r="EG158" s="161">
        <f t="shared" si="239"/>
        <v>0</v>
      </c>
      <c r="EH158" s="161">
        <f t="shared" si="240"/>
        <v>0</v>
      </c>
      <c r="EI158" s="161">
        <f t="shared" si="241"/>
        <v>0</v>
      </c>
      <c r="EJ158" s="161">
        <f t="shared" si="242"/>
        <v>0</v>
      </c>
      <c r="EK158" s="147">
        <f t="shared" si="174"/>
        <v>20.833333333333332</v>
      </c>
      <c r="EL158" s="149"/>
      <c r="EN158" s="146"/>
      <c r="EO158" s="146"/>
      <c r="EP158" s="139">
        <f t="shared" si="175"/>
        <v>0</v>
      </c>
      <c r="EQ158" s="139">
        <f t="shared" si="176"/>
        <v>0</v>
      </c>
      <c r="ER158" s="139">
        <f t="shared" si="177"/>
        <v>0</v>
      </c>
      <c r="ES158" s="139">
        <f t="shared" si="178"/>
        <v>0</v>
      </c>
      <c r="ET158" s="139">
        <f t="shared" si="179"/>
        <v>0</v>
      </c>
      <c r="EU158" s="139">
        <f t="shared" si="180"/>
        <v>9.9510322011773749</v>
      </c>
      <c r="EV158" s="139">
        <f t="shared" si="181"/>
        <v>0</v>
      </c>
      <c r="EW158" s="139">
        <f t="shared" si="182"/>
        <v>0</v>
      </c>
      <c r="EX158" s="139">
        <f t="shared" si="183"/>
        <v>0</v>
      </c>
      <c r="EY158" s="139">
        <f t="shared" si="184"/>
        <v>0</v>
      </c>
      <c r="EZ158" s="139">
        <f t="shared" si="185"/>
        <v>0</v>
      </c>
      <c r="FA158" s="139">
        <f t="shared" si="186"/>
        <v>0</v>
      </c>
      <c r="FB158" s="139">
        <f t="shared" si="187"/>
        <v>0</v>
      </c>
      <c r="FC158" s="139">
        <f t="shared" si="188"/>
        <v>0</v>
      </c>
      <c r="FD158" s="139">
        <f t="shared" si="189"/>
        <v>0</v>
      </c>
      <c r="FE158" s="139">
        <f t="shared" si="190"/>
        <v>0</v>
      </c>
      <c r="FF158" s="139">
        <f t="shared" si="191"/>
        <v>0</v>
      </c>
      <c r="FG158" s="139">
        <f t="shared" si="192"/>
        <v>0</v>
      </c>
      <c r="FH158" s="139">
        <f t="shared" si="193"/>
        <v>0</v>
      </c>
      <c r="FI158" s="139">
        <f t="shared" si="194"/>
        <v>0</v>
      </c>
      <c r="FJ158" s="139">
        <f t="shared" si="195"/>
        <v>0</v>
      </c>
      <c r="FK158" s="139">
        <f t="shared" si="196"/>
        <v>0</v>
      </c>
      <c r="FL158" s="139">
        <f t="shared" si="197"/>
        <v>0</v>
      </c>
      <c r="FM158" s="139">
        <f t="shared" si="198"/>
        <v>0</v>
      </c>
      <c r="FN158" s="139">
        <f t="shared" si="199"/>
        <v>0</v>
      </c>
      <c r="FO158" s="139">
        <f t="shared" si="200"/>
        <v>0</v>
      </c>
      <c r="FP158" s="139">
        <f t="shared" si="201"/>
        <v>0</v>
      </c>
      <c r="FQ158" s="139">
        <f t="shared" si="202"/>
        <v>0</v>
      </c>
      <c r="FR158" s="139">
        <f t="shared" si="203"/>
        <v>0</v>
      </c>
      <c r="FS158" s="139">
        <f t="shared" si="204"/>
        <v>0</v>
      </c>
      <c r="FT158" s="139">
        <f t="shared" si="205"/>
        <v>0</v>
      </c>
      <c r="FU158" s="148">
        <f t="shared" si="206"/>
        <v>9.9510322011773749</v>
      </c>
      <c r="FV158" s="149"/>
      <c r="FY158" s="210">
        <v>153</v>
      </c>
      <c r="FZ158">
        <v>1.1941711260257952</v>
      </c>
      <c r="GA158">
        <v>3.0487767869464153</v>
      </c>
      <c r="GB158">
        <v>2.0283212928490455</v>
      </c>
      <c r="GC158">
        <v>1.0578862631904984</v>
      </c>
      <c r="GD158">
        <v>1.8567571371557934</v>
      </c>
      <c r="GE158">
        <v>3.1975818355586858</v>
      </c>
      <c r="GF158">
        <v>7.4327355414081602</v>
      </c>
      <c r="GG158">
        <v>8.9310020592408499</v>
      </c>
      <c r="GH158">
        <v>5.1427598962379619</v>
      </c>
      <c r="GI158">
        <v>3.9996716697257875</v>
      </c>
      <c r="GJ158"/>
      <c r="GK158"/>
      <c r="GL158"/>
      <c r="GM158"/>
    </row>
    <row r="159" spans="1:195" s="7" customFormat="1">
      <c r="A159" s="1"/>
      <c r="B159" s="76">
        <f t="shared" ca="1" si="171"/>
        <v>0.49057560099702702</v>
      </c>
      <c r="C159">
        <v>3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28.409090909090907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35.685131496565717</v>
      </c>
      <c r="AO159">
        <v>6.1998376713751551</v>
      </c>
      <c r="AP159">
        <v>47.123151746946874</v>
      </c>
      <c r="AQ159">
        <v>39.911878259443533</v>
      </c>
      <c r="AR159">
        <v>5.9526669211530781</v>
      </c>
      <c r="AS159">
        <v>30.036616268799417</v>
      </c>
      <c r="AT159">
        <v>3.6004316802630072</v>
      </c>
      <c r="AU159">
        <v>9.4069679777549133</v>
      </c>
      <c r="AV159"/>
      <c r="AW159"/>
      <c r="AX159" s="146"/>
      <c r="AY159" s="76">
        <f t="shared" ca="1" si="172"/>
        <v>3.0203919900558596E-2</v>
      </c>
      <c r="AZ159">
        <v>2</v>
      </c>
      <c r="BA159" s="129">
        <f t="shared" ref="BA159:BA167" si="244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7"/>
        <v>0.32894378674728331</v>
      </c>
      <c r="CL159" s="179">
        <f t="shared" si="208"/>
        <v>2</v>
      </c>
      <c r="CM159" s="180">
        <f t="shared" si="209"/>
        <v>39910</v>
      </c>
      <c r="CN159" s="221">
        <v>0</v>
      </c>
      <c r="CO159" s="221">
        <v>0</v>
      </c>
      <c r="CP159" s="221">
        <v>0</v>
      </c>
      <c r="CQ159" s="221">
        <v>0</v>
      </c>
      <c r="CR159" s="221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0"/>
        <v>9.6000000000000002E-2</v>
      </c>
      <c r="DB159" s="146"/>
      <c r="DC159" s="76">
        <f t="shared" ca="1" si="173"/>
        <v>0.69980453139704135</v>
      </c>
      <c r="DD159">
        <f t="shared" si="211"/>
        <v>2</v>
      </c>
      <c r="DE159" s="129">
        <f t="shared" si="243"/>
        <v>39910</v>
      </c>
      <c r="DF159" s="161">
        <f t="shared" si="212"/>
        <v>0</v>
      </c>
      <c r="DG159" s="161">
        <f t="shared" si="213"/>
        <v>0</v>
      </c>
      <c r="DH159" s="161">
        <f t="shared" si="214"/>
        <v>0</v>
      </c>
      <c r="DI159" s="161">
        <f t="shared" si="215"/>
        <v>0</v>
      </c>
      <c r="DJ159" s="161">
        <f t="shared" si="216"/>
        <v>0</v>
      </c>
      <c r="DK159" s="161">
        <f t="shared" si="217"/>
        <v>0</v>
      </c>
      <c r="DL159" s="161">
        <f t="shared" si="218"/>
        <v>0</v>
      </c>
      <c r="DM159" s="161">
        <f t="shared" si="219"/>
        <v>0</v>
      </c>
      <c r="DN159" s="161">
        <f t="shared" si="220"/>
        <v>0</v>
      </c>
      <c r="DO159" s="161">
        <f t="shared" si="221"/>
        <v>0</v>
      </c>
      <c r="DP159" s="161">
        <f t="shared" si="222"/>
        <v>0</v>
      </c>
      <c r="DQ159" s="161">
        <f t="shared" si="223"/>
        <v>0</v>
      </c>
      <c r="DR159" s="161">
        <f t="shared" si="224"/>
        <v>0</v>
      </c>
      <c r="DS159" s="161">
        <f t="shared" si="225"/>
        <v>0</v>
      </c>
      <c r="DT159" s="161">
        <f t="shared" si="226"/>
        <v>0</v>
      </c>
      <c r="DU159" s="161">
        <f t="shared" si="227"/>
        <v>0</v>
      </c>
      <c r="DV159" s="161">
        <f t="shared" si="228"/>
        <v>0</v>
      </c>
      <c r="DW159" s="161">
        <f t="shared" si="229"/>
        <v>0</v>
      </c>
      <c r="DX159" s="161">
        <f t="shared" si="230"/>
        <v>0</v>
      </c>
      <c r="DY159" s="161">
        <f t="shared" si="231"/>
        <v>0</v>
      </c>
      <c r="DZ159" s="161">
        <f t="shared" si="232"/>
        <v>0</v>
      </c>
      <c r="EA159" s="161">
        <f t="shared" si="233"/>
        <v>0</v>
      </c>
      <c r="EB159" s="161">
        <f t="shared" si="234"/>
        <v>0</v>
      </c>
      <c r="EC159" s="161">
        <f t="shared" si="235"/>
        <v>0</v>
      </c>
      <c r="ED159" s="161">
        <f t="shared" si="236"/>
        <v>0</v>
      </c>
      <c r="EE159" s="161">
        <f t="shared" si="237"/>
        <v>0</v>
      </c>
      <c r="EF159" s="161">
        <f t="shared" si="238"/>
        <v>0</v>
      </c>
      <c r="EG159" s="161">
        <f t="shared" si="239"/>
        <v>0</v>
      </c>
      <c r="EH159" s="161">
        <f t="shared" si="240"/>
        <v>0</v>
      </c>
      <c r="EI159" s="161">
        <f t="shared" si="241"/>
        <v>0</v>
      </c>
      <c r="EJ159" s="161">
        <f t="shared" si="242"/>
        <v>0</v>
      </c>
      <c r="EK159" s="147">
        <f t="shared" si="174"/>
        <v>0</v>
      </c>
      <c r="EL159" s="149"/>
      <c r="EN159" s="146"/>
      <c r="EO159" s="146"/>
      <c r="EP159" s="139">
        <f t="shared" si="175"/>
        <v>0</v>
      </c>
      <c r="EQ159" s="139">
        <f t="shared" si="176"/>
        <v>0</v>
      </c>
      <c r="ER159" s="139">
        <f t="shared" si="177"/>
        <v>0</v>
      </c>
      <c r="ES159" s="139">
        <f t="shared" si="178"/>
        <v>0</v>
      </c>
      <c r="ET159" s="139">
        <f t="shared" si="179"/>
        <v>0</v>
      </c>
      <c r="EU159" s="139">
        <f t="shared" si="180"/>
        <v>0</v>
      </c>
      <c r="EV159" s="139">
        <f t="shared" si="181"/>
        <v>0</v>
      </c>
      <c r="EW159" s="139">
        <f t="shared" si="182"/>
        <v>0</v>
      </c>
      <c r="EX159" s="139">
        <f t="shared" si="183"/>
        <v>0</v>
      </c>
      <c r="EY159" s="139">
        <f t="shared" si="184"/>
        <v>0</v>
      </c>
      <c r="EZ159" s="139">
        <f t="shared" si="185"/>
        <v>0</v>
      </c>
      <c r="FA159" s="139">
        <f t="shared" si="186"/>
        <v>0</v>
      </c>
      <c r="FB159" s="139">
        <f t="shared" si="187"/>
        <v>0</v>
      </c>
      <c r="FC159" s="139">
        <f t="shared" si="188"/>
        <v>0</v>
      </c>
      <c r="FD159" s="139">
        <f t="shared" si="189"/>
        <v>0</v>
      </c>
      <c r="FE159" s="139">
        <f t="shared" si="190"/>
        <v>0</v>
      </c>
      <c r="FF159" s="139">
        <f t="shared" si="191"/>
        <v>0</v>
      </c>
      <c r="FG159" s="139">
        <f t="shared" si="192"/>
        <v>0</v>
      </c>
      <c r="FH159" s="139">
        <f t="shared" si="193"/>
        <v>0</v>
      </c>
      <c r="FI159" s="139">
        <f t="shared" si="194"/>
        <v>0</v>
      </c>
      <c r="FJ159" s="139">
        <f t="shared" si="195"/>
        <v>0</v>
      </c>
      <c r="FK159" s="139">
        <f t="shared" si="196"/>
        <v>0</v>
      </c>
      <c r="FL159" s="139">
        <f t="shared" si="197"/>
        <v>0</v>
      </c>
      <c r="FM159" s="139">
        <f t="shared" si="198"/>
        <v>0</v>
      </c>
      <c r="FN159" s="139">
        <f t="shared" si="199"/>
        <v>0</v>
      </c>
      <c r="FO159" s="139">
        <f t="shared" si="200"/>
        <v>0</v>
      </c>
      <c r="FP159" s="139">
        <f t="shared" si="201"/>
        <v>0</v>
      </c>
      <c r="FQ159" s="139">
        <f t="shared" si="202"/>
        <v>0</v>
      </c>
      <c r="FR159" s="139">
        <f t="shared" si="203"/>
        <v>0</v>
      </c>
      <c r="FS159" s="139">
        <f t="shared" si="204"/>
        <v>0</v>
      </c>
      <c r="FT159" s="139">
        <f t="shared" si="205"/>
        <v>0</v>
      </c>
      <c r="FU159" s="148">
        <f t="shared" si="206"/>
        <v>0</v>
      </c>
      <c r="FV159" s="149"/>
      <c r="FY159" s="210">
        <v>154</v>
      </c>
      <c r="FZ159">
        <v>0.43871213768732503</v>
      </c>
      <c r="GA159">
        <v>2.5803564353538126</v>
      </c>
      <c r="GB159">
        <v>2.1316339572979262</v>
      </c>
      <c r="GC159">
        <v>1.0056333005497227</v>
      </c>
      <c r="GD159">
        <v>1.2811813345727643</v>
      </c>
      <c r="GE159">
        <v>2.7930104181840472</v>
      </c>
      <c r="GF159">
        <v>3.7895404765957275</v>
      </c>
      <c r="GG159">
        <v>5.4472944004580066</v>
      </c>
      <c r="GH159">
        <v>5.4503264429301765</v>
      </c>
      <c r="GI159">
        <v>2.928233902460645</v>
      </c>
      <c r="GJ159"/>
      <c r="GK159"/>
      <c r="GL159"/>
      <c r="GM159"/>
    </row>
    <row r="160" spans="1:195" s="7" customFormat="1">
      <c r="A160" s="1"/>
      <c r="B160" s="76">
        <f t="shared" ca="1" si="171"/>
        <v>0.4152818395185669</v>
      </c>
      <c r="C160">
        <v>1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20.833333333333332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23.441013184119804</v>
      </c>
      <c r="AO160">
        <v>5.0583205876915782</v>
      </c>
      <c r="AP160">
        <v>33.053398238849255</v>
      </c>
      <c r="AQ160">
        <v>29.821961058072375</v>
      </c>
      <c r="AR160">
        <v>4.7120006319592562</v>
      </c>
      <c r="AS160">
        <v>21.628184960569833</v>
      </c>
      <c r="AT160">
        <v>3.1915737469792358</v>
      </c>
      <c r="AU160">
        <v>11.286138502385306</v>
      </c>
      <c r="AV160"/>
      <c r="AW160"/>
      <c r="AX160" s="146"/>
      <c r="AY160" s="76">
        <f t="shared" ca="1" si="172"/>
        <v>0.16547018951275305</v>
      </c>
      <c r="AZ160">
        <v>3</v>
      </c>
      <c r="BA160" s="129">
        <f t="shared" si="244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7"/>
        <v>0.26484905271161185</v>
      </c>
      <c r="CL160" s="179">
        <f t="shared" si="208"/>
        <v>3</v>
      </c>
      <c r="CM160" s="180">
        <f t="shared" si="209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0"/>
        <v>9.6000000000000002E-2</v>
      </c>
      <c r="DB160" s="146"/>
      <c r="DC160" s="76">
        <f t="shared" ca="1" si="173"/>
        <v>0.38052643795920993</v>
      </c>
      <c r="DD160">
        <f t="shared" si="211"/>
        <v>3</v>
      </c>
      <c r="DE160" s="129">
        <f t="shared" si="243"/>
        <v>39910</v>
      </c>
      <c r="DF160" s="161">
        <f t="shared" si="212"/>
        <v>0</v>
      </c>
      <c r="DG160" s="161">
        <f t="shared" si="213"/>
        <v>0</v>
      </c>
      <c r="DH160" s="161">
        <f t="shared" si="214"/>
        <v>0</v>
      </c>
      <c r="DI160" s="161">
        <f t="shared" si="215"/>
        <v>0</v>
      </c>
      <c r="DJ160" s="161">
        <f t="shared" si="216"/>
        <v>0</v>
      </c>
      <c r="DK160" s="161">
        <f t="shared" si="217"/>
        <v>0</v>
      </c>
      <c r="DL160" s="161">
        <f t="shared" si="218"/>
        <v>28.409090909090907</v>
      </c>
      <c r="DM160" s="161">
        <f t="shared" si="219"/>
        <v>0</v>
      </c>
      <c r="DN160" s="161">
        <f t="shared" si="220"/>
        <v>0</v>
      </c>
      <c r="DO160" s="161">
        <f t="shared" si="221"/>
        <v>0</v>
      </c>
      <c r="DP160" s="161">
        <f t="shared" si="222"/>
        <v>0</v>
      </c>
      <c r="DQ160" s="161">
        <f t="shared" si="223"/>
        <v>0</v>
      </c>
      <c r="DR160" s="161">
        <f t="shared" si="224"/>
        <v>0</v>
      </c>
      <c r="DS160" s="161">
        <f t="shared" si="225"/>
        <v>0</v>
      </c>
      <c r="DT160" s="161">
        <f t="shared" si="226"/>
        <v>0</v>
      </c>
      <c r="DU160" s="161">
        <f t="shared" si="227"/>
        <v>0</v>
      </c>
      <c r="DV160" s="161">
        <f t="shared" si="228"/>
        <v>0</v>
      </c>
      <c r="DW160" s="161">
        <f t="shared" si="229"/>
        <v>0</v>
      </c>
      <c r="DX160" s="161">
        <f t="shared" si="230"/>
        <v>0</v>
      </c>
      <c r="DY160" s="161">
        <f t="shared" si="231"/>
        <v>0</v>
      </c>
      <c r="DZ160" s="161">
        <f t="shared" si="232"/>
        <v>0</v>
      </c>
      <c r="EA160" s="161">
        <f t="shared" si="233"/>
        <v>0</v>
      </c>
      <c r="EB160" s="161">
        <f t="shared" si="234"/>
        <v>0</v>
      </c>
      <c r="EC160" s="161">
        <f t="shared" si="235"/>
        <v>0</v>
      </c>
      <c r="ED160" s="161">
        <f t="shared" si="236"/>
        <v>0</v>
      </c>
      <c r="EE160" s="161">
        <f t="shared" si="237"/>
        <v>0</v>
      </c>
      <c r="EF160" s="161">
        <f t="shared" si="238"/>
        <v>0</v>
      </c>
      <c r="EG160" s="161">
        <f t="shared" si="239"/>
        <v>0</v>
      </c>
      <c r="EH160" s="161">
        <f t="shared" si="240"/>
        <v>0</v>
      </c>
      <c r="EI160" s="161">
        <f t="shared" si="241"/>
        <v>0</v>
      </c>
      <c r="EJ160" s="161">
        <f t="shared" si="242"/>
        <v>0</v>
      </c>
      <c r="EK160" s="147">
        <f t="shared" si="174"/>
        <v>28.409090909090907</v>
      </c>
      <c r="EL160" s="149"/>
      <c r="EN160" s="146"/>
      <c r="EO160" s="146"/>
      <c r="EP160" s="139">
        <f t="shared" si="175"/>
        <v>0</v>
      </c>
      <c r="EQ160" s="139">
        <f t="shared" si="176"/>
        <v>0</v>
      </c>
      <c r="ER160" s="139">
        <f t="shared" si="177"/>
        <v>0</v>
      </c>
      <c r="ES160" s="139">
        <f t="shared" si="178"/>
        <v>0</v>
      </c>
      <c r="ET160" s="139">
        <f t="shared" si="179"/>
        <v>0</v>
      </c>
      <c r="EU160" s="139">
        <f t="shared" si="180"/>
        <v>0</v>
      </c>
      <c r="EV160" s="139">
        <f t="shared" si="181"/>
        <v>22.297512688488435</v>
      </c>
      <c r="EW160" s="139">
        <f t="shared" si="182"/>
        <v>0</v>
      </c>
      <c r="EX160" s="139">
        <f t="shared" si="183"/>
        <v>0</v>
      </c>
      <c r="EY160" s="139">
        <f t="shared" si="184"/>
        <v>0</v>
      </c>
      <c r="EZ160" s="139">
        <f t="shared" si="185"/>
        <v>0</v>
      </c>
      <c r="FA160" s="139">
        <f t="shared" si="186"/>
        <v>0</v>
      </c>
      <c r="FB160" s="139">
        <f t="shared" si="187"/>
        <v>0</v>
      </c>
      <c r="FC160" s="139">
        <f t="shared" si="188"/>
        <v>0</v>
      </c>
      <c r="FD160" s="139">
        <f t="shared" si="189"/>
        <v>0</v>
      </c>
      <c r="FE160" s="139">
        <f t="shared" si="190"/>
        <v>0</v>
      </c>
      <c r="FF160" s="139">
        <f t="shared" si="191"/>
        <v>0</v>
      </c>
      <c r="FG160" s="139">
        <f t="shared" si="192"/>
        <v>0</v>
      </c>
      <c r="FH160" s="139">
        <f t="shared" si="193"/>
        <v>0</v>
      </c>
      <c r="FI160" s="139">
        <f t="shared" si="194"/>
        <v>0</v>
      </c>
      <c r="FJ160" s="139">
        <f t="shared" si="195"/>
        <v>0</v>
      </c>
      <c r="FK160" s="139">
        <f t="shared" si="196"/>
        <v>0</v>
      </c>
      <c r="FL160" s="139">
        <f t="shared" si="197"/>
        <v>0</v>
      </c>
      <c r="FM160" s="139">
        <f t="shared" si="198"/>
        <v>0</v>
      </c>
      <c r="FN160" s="139">
        <f t="shared" si="199"/>
        <v>0</v>
      </c>
      <c r="FO160" s="139">
        <f t="shared" si="200"/>
        <v>0</v>
      </c>
      <c r="FP160" s="139">
        <f t="shared" si="201"/>
        <v>0</v>
      </c>
      <c r="FQ160" s="139">
        <f t="shared" si="202"/>
        <v>0</v>
      </c>
      <c r="FR160" s="139">
        <f t="shared" si="203"/>
        <v>0</v>
      </c>
      <c r="FS160" s="139">
        <f t="shared" si="204"/>
        <v>0</v>
      </c>
      <c r="FT160" s="139">
        <f t="shared" si="205"/>
        <v>0</v>
      </c>
      <c r="FU160" s="148">
        <f t="shared" si="206"/>
        <v>22.297512688488435</v>
      </c>
      <c r="FV160" s="149"/>
      <c r="FY160" s="210">
        <v>155</v>
      </c>
      <c r="FZ160">
        <v>1.4127112588513357</v>
      </c>
      <c r="GA160">
        <v>1.8107997103164202</v>
      </c>
      <c r="GB160">
        <v>1.9533761774500957</v>
      </c>
      <c r="GC160">
        <v>1.331972739994383</v>
      </c>
      <c r="GD160">
        <v>1.4593257372906623</v>
      </c>
      <c r="GE160">
        <v>5.6480348235348137</v>
      </c>
      <c r="GF160">
        <v>8.7904476703719219</v>
      </c>
      <c r="GG160">
        <v>6.700488512853231</v>
      </c>
      <c r="GH160">
        <v>6.0545394224763944</v>
      </c>
      <c r="GI160">
        <v>4.1391023659173998</v>
      </c>
      <c r="GJ160"/>
      <c r="GK160"/>
      <c r="GL160"/>
      <c r="GM160"/>
    </row>
    <row r="161" spans="1:195" s="7" customFormat="1">
      <c r="A161" s="1"/>
      <c r="B161" s="76">
        <f t="shared" ca="1" si="171"/>
        <v>0.37446195079532174</v>
      </c>
      <c r="C161">
        <v>10</v>
      </c>
      <c r="D161">
        <v>39910</v>
      </c>
      <c r="E161">
        <v>0</v>
      </c>
      <c r="F161">
        <v>0</v>
      </c>
      <c r="G161">
        <v>0</v>
      </c>
      <c r="H161">
        <v>104.16666666666667</v>
      </c>
      <c r="I161">
        <v>0</v>
      </c>
      <c r="J161">
        <v>20.833333333333332</v>
      </c>
      <c r="K161">
        <v>10.416666666666666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20.409828266299247</v>
      </c>
      <c r="AO161">
        <v>4.0589835802389533</v>
      </c>
      <c r="AP161">
        <v>28.951705842505444</v>
      </c>
      <c r="AQ161">
        <v>24.806977044357783</v>
      </c>
      <c r="AR161">
        <v>3.7650607090744921</v>
      </c>
      <c r="AS161">
        <v>17.575491494137058</v>
      </c>
      <c r="AT161">
        <v>2.5746568004095196</v>
      </c>
      <c r="AU161">
        <v>4.8318698128564233</v>
      </c>
      <c r="AV161"/>
      <c r="AW161"/>
      <c r="AX161" s="146"/>
      <c r="AY161" s="76">
        <f t="shared" ca="1" si="172"/>
        <v>0.96322700561137786</v>
      </c>
      <c r="AZ161">
        <v>4</v>
      </c>
      <c r="BA161" s="129">
        <f t="shared" si="244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7"/>
        <v>0.85213927060252015</v>
      </c>
      <c r="CL161" s="179">
        <f t="shared" si="208"/>
        <v>4</v>
      </c>
      <c r="CM161" s="180">
        <f t="shared" si="209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0"/>
        <v>9.6000000000000002E-2</v>
      </c>
      <c r="DB161" s="146"/>
      <c r="DC161" s="76">
        <f t="shared" ca="1" si="173"/>
        <v>0.66647753012244326</v>
      </c>
      <c r="DD161">
        <f t="shared" si="211"/>
        <v>4</v>
      </c>
      <c r="DE161" s="129">
        <f t="shared" si="243"/>
        <v>39910</v>
      </c>
      <c r="DF161" s="161">
        <f t="shared" si="212"/>
        <v>0</v>
      </c>
      <c r="DG161" s="161">
        <f t="shared" si="213"/>
        <v>0</v>
      </c>
      <c r="DH161" s="161">
        <f t="shared" si="214"/>
        <v>0</v>
      </c>
      <c r="DI161" s="161">
        <f t="shared" si="215"/>
        <v>0</v>
      </c>
      <c r="DJ161" s="161">
        <f t="shared" si="216"/>
        <v>0</v>
      </c>
      <c r="DK161" s="161">
        <f t="shared" si="217"/>
        <v>0</v>
      </c>
      <c r="DL161" s="161">
        <f t="shared" si="218"/>
        <v>0</v>
      </c>
      <c r="DM161" s="161">
        <f t="shared" si="219"/>
        <v>0</v>
      </c>
      <c r="DN161" s="161">
        <f t="shared" si="220"/>
        <v>0</v>
      </c>
      <c r="DO161" s="161">
        <f t="shared" si="221"/>
        <v>0</v>
      </c>
      <c r="DP161" s="161">
        <f t="shared" si="222"/>
        <v>0</v>
      </c>
      <c r="DQ161" s="161">
        <f t="shared" si="223"/>
        <v>0</v>
      </c>
      <c r="DR161" s="161">
        <f t="shared" si="224"/>
        <v>0</v>
      </c>
      <c r="DS161" s="161">
        <f t="shared" si="225"/>
        <v>0</v>
      </c>
      <c r="DT161" s="161">
        <f t="shared" si="226"/>
        <v>0</v>
      </c>
      <c r="DU161" s="161">
        <f t="shared" si="227"/>
        <v>0</v>
      </c>
      <c r="DV161" s="161">
        <f t="shared" si="228"/>
        <v>0</v>
      </c>
      <c r="DW161" s="161">
        <f t="shared" si="229"/>
        <v>0</v>
      </c>
      <c r="DX161" s="161">
        <f t="shared" si="230"/>
        <v>0</v>
      </c>
      <c r="DY161" s="161">
        <f t="shared" si="231"/>
        <v>0</v>
      </c>
      <c r="DZ161" s="161">
        <f t="shared" si="232"/>
        <v>0</v>
      </c>
      <c r="EA161" s="161">
        <f t="shared" si="233"/>
        <v>0</v>
      </c>
      <c r="EB161" s="161">
        <f t="shared" si="234"/>
        <v>0</v>
      </c>
      <c r="EC161" s="161">
        <f t="shared" si="235"/>
        <v>0</v>
      </c>
      <c r="ED161" s="161">
        <f t="shared" si="236"/>
        <v>0</v>
      </c>
      <c r="EE161" s="161">
        <f t="shared" si="237"/>
        <v>0</v>
      </c>
      <c r="EF161" s="161">
        <f t="shared" si="238"/>
        <v>0</v>
      </c>
      <c r="EG161" s="161">
        <f t="shared" si="239"/>
        <v>0</v>
      </c>
      <c r="EH161" s="161">
        <f t="shared" si="240"/>
        <v>0</v>
      </c>
      <c r="EI161" s="161">
        <f t="shared" si="241"/>
        <v>0</v>
      </c>
      <c r="EJ161" s="161">
        <f t="shared" si="242"/>
        <v>0</v>
      </c>
      <c r="EK161" s="147">
        <f t="shared" si="174"/>
        <v>0</v>
      </c>
      <c r="EL161" s="149"/>
      <c r="EN161" s="146"/>
      <c r="EO161" s="146"/>
      <c r="EP161" s="139">
        <f t="shared" si="175"/>
        <v>0</v>
      </c>
      <c r="EQ161" s="139">
        <f t="shared" si="176"/>
        <v>0</v>
      </c>
      <c r="ER161" s="139">
        <f t="shared" si="177"/>
        <v>0</v>
      </c>
      <c r="ES161" s="139">
        <f t="shared" si="178"/>
        <v>0</v>
      </c>
      <c r="ET161" s="139">
        <f t="shared" si="179"/>
        <v>0</v>
      </c>
      <c r="EU161" s="139">
        <f t="shared" si="180"/>
        <v>0</v>
      </c>
      <c r="EV161" s="139">
        <f t="shared" si="181"/>
        <v>0</v>
      </c>
      <c r="EW161" s="139">
        <f t="shared" si="182"/>
        <v>0</v>
      </c>
      <c r="EX161" s="139">
        <f t="shared" si="183"/>
        <v>0</v>
      </c>
      <c r="EY161" s="139">
        <f t="shared" si="184"/>
        <v>0</v>
      </c>
      <c r="EZ161" s="139">
        <f t="shared" si="185"/>
        <v>0</v>
      </c>
      <c r="FA161" s="139">
        <f t="shared" si="186"/>
        <v>0</v>
      </c>
      <c r="FB161" s="139">
        <f t="shared" si="187"/>
        <v>0</v>
      </c>
      <c r="FC161" s="139">
        <f t="shared" si="188"/>
        <v>0</v>
      </c>
      <c r="FD161" s="139">
        <f t="shared" si="189"/>
        <v>0</v>
      </c>
      <c r="FE161" s="139">
        <f t="shared" si="190"/>
        <v>0</v>
      </c>
      <c r="FF161" s="139">
        <f t="shared" si="191"/>
        <v>0</v>
      </c>
      <c r="FG161" s="139">
        <f t="shared" si="192"/>
        <v>0</v>
      </c>
      <c r="FH161" s="139">
        <f t="shared" si="193"/>
        <v>0</v>
      </c>
      <c r="FI161" s="139">
        <f t="shared" si="194"/>
        <v>0</v>
      </c>
      <c r="FJ161" s="139">
        <f t="shared" si="195"/>
        <v>0</v>
      </c>
      <c r="FK161" s="139">
        <f t="shared" si="196"/>
        <v>0</v>
      </c>
      <c r="FL161" s="139">
        <f t="shared" si="197"/>
        <v>0</v>
      </c>
      <c r="FM161" s="139">
        <f t="shared" si="198"/>
        <v>0</v>
      </c>
      <c r="FN161" s="139">
        <f t="shared" si="199"/>
        <v>0</v>
      </c>
      <c r="FO161" s="139">
        <f t="shared" si="200"/>
        <v>0</v>
      </c>
      <c r="FP161" s="139">
        <f t="shared" si="201"/>
        <v>0</v>
      </c>
      <c r="FQ161" s="139">
        <f t="shared" si="202"/>
        <v>0</v>
      </c>
      <c r="FR161" s="139">
        <f t="shared" si="203"/>
        <v>0</v>
      </c>
      <c r="FS161" s="139">
        <f t="shared" si="204"/>
        <v>0</v>
      </c>
      <c r="FT161" s="139">
        <f t="shared" si="205"/>
        <v>0</v>
      </c>
      <c r="FU161" s="148">
        <f t="shared" si="206"/>
        <v>0</v>
      </c>
      <c r="FV161" s="149"/>
      <c r="FY161" s="210">
        <v>156</v>
      </c>
      <c r="FZ161">
        <v>1.1386073921123565</v>
      </c>
      <c r="GA161">
        <v>3.3907789902562802</v>
      </c>
      <c r="GB161">
        <v>2.1984325948237657</v>
      </c>
      <c r="GC161">
        <v>0.52789743678762746</v>
      </c>
      <c r="GD161">
        <v>1.2149997978779328</v>
      </c>
      <c r="GE161">
        <v>4.2864867800800805</v>
      </c>
      <c r="GF161">
        <v>6.9983492662232223</v>
      </c>
      <c r="GG161">
        <v>8.1639141743219596</v>
      </c>
      <c r="GH161">
        <v>7.2254702006185205</v>
      </c>
      <c r="GI161">
        <v>3.8880593525963252</v>
      </c>
      <c r="GJ161"/>
      <c r="GK161"/>
      <c r="GL161"/>
      <c r="GM161"/>
    </row>
    <row r="162" spans="1:195" s="7" customFormat="1">
      <c r="A162" s="1"/>
      <c r="B162" s="76">
        <f t="shared" ca="1" si="171"/>
        <v>4.4231129526766111E-3</v>
      </c>
      <c r="C162">
        <v>7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20.520375457875456</v>
      </c>
      <c r="AO162">
        <v>5.3834940046966739</v>
      </c>
      <c r="AP162">
        <v>40.723169029096368</v>
      </c>
      <c r="AQ162">
        <v>33.892720674913612</v>
      </c>
      <c r="AR162">
        <v>4.9599822799674564</v>
      </c>
      <c r="AS162">
        <v>21.029925306279377</v>
      </c>
      <c r="AT162">
        <v>3.6184346313032623</v>
      </c>
      <c r="AU162">
        <v>11.716021188211556</v>
      </c>
      <c r="AV162"/>
      <c r="AW162"/>
      <c r="AX162" s="146"/>
      <c r="AY162" s="76">
        <f t="shared" ca="1" si="172"/>
        <v>0.72286716403729478</v>
      </c>
      <c r="AZ162">
        <v>5</v>
      </c>
      <c r="BA162" s="129">
        <f t="shared" si="244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1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7"/>
        <v>0.96557475052061315</v>
      </c>
      <c r="CL162" s="179">
        <f t="shared" si="208"/>
        <v>5</v>
      </c>
      <c r="CM162" s="180">
        <f t="shared" si="209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0"/>
        <v>9.6000000000000002E-2</v>
      </c>
      <c r="DB162" s="146"/>
      <c r="DC162" s="76">
        <f t="shared" ca="1" si="173"/>
        <v>0.98027689939812412</v>
      </c>
      <c r="DD162">
        <f t="shared" si="211"/>
        <v>5</v>
      </c>
      <c r="DE162" s="129">
        <f t="shared" si="243"/>
        <v>39910</v>
      </c>
      <c r="DF162" s="161">
        <f t="shared" si="212"/>
        <v>0</v>
      </c>
      <c r="DG162" s="161">
        <f t="shared" si="213"/>
        <v>0</v>
      </c>
      <c r="DH162" s="161">
        <f t="shared" si="214"/>
        <v>0</v>
      </c>
      <c r="DI162" s="161">
        <f t="shared" si="215"/>
        <v>0</v>
      </c>
      <c r="DJ162" s="161">
        <f t="shared" si="216"/>
        <v>0</v>
      </c>
      <c r="DK162" s="161">
        <f t="shared" si="217"/>
        <v>0</v>
      </c>
      <c r="DL162" s="161">
        <f t="shared" si="218"/>
        <v>10.416666666666666</v>
      </c>
      <c r="DM162" s="161">
        <f t="shared" si="219"/>
        <v>0</v>
      </c>
      <c r="DN162" s="161">
        <f t="shared" si="220"/>
        <v>0</v>
      </c>
      <c r="DO162" s="161">
        <f t="shared" si="221"/>
        <v>0</v>
      </c>
      <c r="DP162" s="161">
        <f t="shared" si="222"/>
        <v>0</v>
      </c>
      <c r="DQ162" s="161">
        <f t="shared" si="223"/>
        <v>0</v>
      </c>
      <c r="DR162" s="161">
        <f t="shared" si="224"/>
        <v>0</v>
      </c>
      <c r="DS162" s="161">
        <f t="shared" si="225"/>
        <v>0</v>
      </c>
      <c r="DT162" s="161">
        <f t="shared" si="226"/>
        <v>0</v>
      </c>
      <c r="DU162" s="161">
        <f t="shared" si="227"/>
        <v>0</v>
      </c>
      <c r="DV162" s="161">
        <f t="shared" si="228"/>
        <v>0</v>
      </c>
      <c r="DW162" s="161">
        <f t="shared" si="229"/>
        <v>0</v>
      </c>
      <c r="DX162" s="161">
        <f t="shared" si="230"/>
        <v>0</v>
      </c>
      <c r="DY162" s="161">
        <f t="shared" si="231"/>
        <v>0</v>
      </c>
      <c r="DZ162" s="161">
        <f t="shared" si="232"/>
        <v>0</v>
      </c>
      <c r="EA162" s="161">
        <f t="shared" si="233"/>
        <v>0</v>
      </c>
      <c r="EB162" s="161">
        <f t="shared" si="234"/>
        <v>0</v>
      </c>
      <c r="EC162" s="161">
        <f t="shared" si="235"/>
        <v>0</v>
      </c>
      <c r="ED162" s="161">
        <f t="shared" si="236"/>
        <v>0</v>
      </c>
      <c r="EE162" s="161">
        <f t="shared" si="237"/>
        <v>0</v>
      </c>
      <c r="EF162" s="161">
        <f t="shared" si="238"/>
        <v>0</v>
      </c>
      <c r="EG162" s="161">
        <f t="shared" si="239"/>
        <v>0</v>
      </c>
      <c r="EH162" s="161">
        <f t="shared" si="240"/>
        <v>0</v>
      </c>
      <c r="EI162" s="161">
        <f t="shared" si="241"/>
        <v>0</v>
      </c>
      <c r="EJ162" s="161">
        <f t="shared" si="242"/>
        <v>0</v>
      </c>
      <c r="EK162" s="147">
        <f t="shared" si="174"/>
        <v>10.416666666666666</v>
      </c>
      <c r="EL162" s="149"/>
      <c r="EN162" s="146"/>
      <c r="EO162" s="146"/>
      <c r="EP162" s="139">
        <f t="shared" si="175"/>
        <v>0</v>
      </c>
      <c r="EQ162" s="139">
        <f t="shared" si="176"/>
        <v>0</v>
      </c>
      <c r="ER162" s="139">
        <f t="shared" si="177"/>
        <v>0</v>
      </c>
      <c r="ES162" s="139">
        <f t="shared" si="178"/>
        <v>0</v>
      </c>
      <c r="ET162" s="139">
        <f t="shared" si="179"/>
        <v>0</v>
      </c>
      <c r="EU162" s="139">
        <f t="shared" si="180"/>
        <v>0</v>
      </c>
      <c r="EV162" s="139">
        <f t="shared" si="181"/>
        <v>8.1757546524457592</v>
      </c>
      <c r="EW162" s="139">
        <f t="shared" si="182"/>
        <v>0</v>
      </c>
      <c r="EX162" s="139">
        <f t="shared" si="183"/>
        <v>0</v>
      </c>
      <c r="EY162" s="139">
        <f t="shared" si="184"/>
        <v>0</v>
      </c>
      <c r="EZ162" s="139">
        <f t="shared" si="185"/>
        <v>0</v>
      </c>
      <c r="FA162" s="139">
        <f t="shared" si="186"/>
        <v>0</v>
      </c>
      <c r="FB162" s="139">
        <f t="shared" si="187"/>
        <v>0</v>
      </c>
      <c r="FC162" s="139">
        <f t="shared" si="188"/>
        <v>0</v>
      </c>
      <c r="FD162" s="139">
        <f t="shared" si="189"/>
        <v>0</v>
      </c>
      <c r="FE162" s="139">
        <f t="shared" si="190"/>
        <v>0</v>
      </c>
      <c r="FF162" s="139">
        <f t="shared" si="191"/>
        <v>0</v>
      </c>
      <c r="FG162" s="139">
        <f t="shared" si="192"/>
        <v>0</v>
      </c>
      <c r="FH162" s="139">
        <f t="shared" si="193"/>
        <v>0</v>
      </c>
      <c r="FI162" s="139">
        <f t="shared" si="194"/>
        <v>0</v>
      </c>
      <c r="FJ162" s="139">
        <f t="shared" si="195"/>
        <v>0</v>
      </c>
      <c r="FK162" s="139">
        <f t="shared" si="196"/>
        <v>0</v>
      </c>
      <c r="FL162" s="139">
        <f t="shared" si="197"/>
        <v>0</v>
      </c>
      <c r="FM162" s="139">
        <f t="shared" si="198"/>
        <v>0</v>
      </c>
      <c r="FN162" s="139">
        <f t="shared" si="199"/>
        <v>0</v>
      </c>
      <c r="FO162" s="139">
        <f t="shared" si="200"/>
        <v>0</v>
      </c>
      <c r="FP162" s="139">
        <f t="shared" si="201"/>
        <v>0</v>
      </c>
      <c r="FQ162" s="139">
        <f t="shared" si="202"/>
        <v>0</v>
      </c>
      <c r="FR162" s="139">
        <f t="shared" si="203"/>
        <v>0</v>
      </c>
      <c r="FS162" s="139">
        <f t="shared" si="204"/>
        <v>0</v>
      </c>
      <c r="FT162" s="139">
        <f t="shared" si="205"/>
        <v>0</v>
      </c>
      <c r="FU162" s="148">
        <f t="shared" si="206"/>
        <v>8.1757546524457592</v>
      </c>
      <c r="FV162" s="149"/>
      <c r="FY162" s="210">
        <v>157</v>
      </c>
      <c r="FZ162">
        <v>0.72034442801852627</v>
      </c>
      <c r="GA162">
        <v>1.8474200739495197</v>
      </c>
      <c r="GB162">
        <v>2.0963462018149559</v>
      </c>
      <c r="GC162">
        <v>1.2483662461545391</v>
      </c>
      <c r="GD162">
        <v>1.139856829031604</v>
      </c>
      <c r="GE162">
        <v>3.7488765354873554</v>
      </c>
      <c r="GF162">
        <v>4.3614356748963017</v>
      </c>
      <c r="GG162">
        <v>4.3100532228831145</v>
      </c>
      <c r="GH162">
        <v>5.5976812598105958</v>
      </c>
      <c r="GI162">
        <v>2.9885212444643359</v>
      </c>
      <c r="GJ162"/>
      <c r="GK162"/>
      <c r="GL162"/>
      <c r="GM162"/>
    </row>
    <row r="163" spans="1:195" s="7" customFormat="1">
      <c r="A163" s="1"/>
      <c r="B163" s="76">
        <f t="shared" ca="1" si="171"/>
        <v>7.5662505105382971E-2</v>
      </c>
      <c r="C163">
        <v>4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22.096166564916565</v>
      </c>
      <c r="AO163">
        <v>4.499768364613896</v>
      </c>
      <c r="AP163">
        <v>35.179409861708578</v>
      </c>
      <c r="AQ163">
        <v>28.929082134811587</v>
      </c>
      <c r="AR163">
        <v>4.1537630586876979</v>
      </c>
      <c r="AS163">
        <v>23.062996403400501</v>
      </c>
      <c r="AT163" t="e">
        <v>#DIV/0!</v>
      </c>
      <c r="AU163" t="e">
        <v>#DIV/0!</v>
      </c>
      <c r="AV163"/>
      <c r="AW163"/>
      <c r="AX163" s="146"/>
      <c r="AY163" s="76">
        <f t="shared" ca="1" si="172"/>
        <v>5.2510528120750521E-2</v>
      </c>
      <c r="AZ163">
        <v>6</v>
      </c>
      <c r="BA163" s="129">
        <f t="shared" si="244"/>
        <v>39910</v>
      </c>
      <c r="BB163">
        <v>0</v>
      </c>
      <c r="BC163">
        <v>0</v>
      </c>
      <c r="BD163">
        <v>0</v>
      </c>
      <c r="BE163">
        <v>0</v>
      </c>
      <c r="BF163">
        <v>1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7"/>
        <v>0.68636191919708711</v>
      </c>
      <c r="CL163" s="179">
        <f t="shared" si="208"/>
        <v>6</v>
      </c>
      <c r="CM163" s="180">
        <f t="shared" si="209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0"/>
        <v>9.6000000000000002E-2</v>
      </c>
      <c r="DB163" s="146"/>
      <c r="DC163" s="76">
        <f t="shared" ca="1" si="173"/>
        <v>0.33523798263036109</v>
      </c>
      <c r="DD163">
        <f t="shared" si="211"/>
        <v>6</v>
      </c>
      <c r="DE163" s="129">
        <f t="shared" si="243"/>
        <v>39910</v>
      </c>
      <c r="DF163" s="161">
        <f t="shared" si="212"/>
        <v>0</v>
      </c>
      <c r="DG163" s="161">
        <f t="shared" si="213"/>
        <v>0</v>
      </c>
      <c r="DH163" s="161">
        <f t="shared" si="214"/>
        <v>0</v>
      </c>
      <c r="DI163" s="161">
        <f t="shared" si="215"/>
        <v>0</v>
      </c>
      <c r="DJ163" s="161">
        <f t="shared" si="216"/>
        <v>10.416666666666666</v>
      </c>
      <c r="DK163" s="161">
        <f t="shared" si="217"/>
        <v>0</v>
      </c>
      <c r="DL163" s="161">
        <f t="shared" si="218"/>
        <v>0</v>
      </c>
      <c r="DM163" s="161">
        <f t="shared" si="219"/>
        <v>0</v>
      </c>
      <c r="DN163" s="161">
        <f t="shared" si="220"/>
        <v>0</v>
      </c>
      <c r="DO163" s="161">
        <f t="shared" si="221"/>
        <v>0</v>
      </c>
      <c r="DP163" s="161">
        <f t="shared" si="222"/>
        <v>0</v>
      </c>
      <c r="DQ163" s="161">
        <f t="shared" si="223"/>
        <v>0</v>
      </c>
      <c r="DR163" s="161">
        <f t="shared" si="224"/>
        <v>0</v>
      </c>
      <c r="DS163" s="161">
        <f t="shared" si="225"/>
        <v>0</v>
      </c>
      <c r="DT163" s="161">
        <f t="shared" si="226"/>
        <v>0</v>
      </c>
      <c r="DU163" s="161">
        <f t="shared" si="227"/>
        <v>0</v>
      </c>
      <c r="DV163" s="161">
        <f t="shared" si="228"/>
        <v>0</v>
      </c>
      <c r="DW163" s="161">
        <f t="shared" si="229"/>
        <v>0</v>
      </c>
      <c r="DX163" s="161">
        <f t="shared" si="230"/>
        <v>0</v>
      </c>
      <c r="DY163" s="161">
        <f t="shared" si="231"/>
        <v>0</v>
      </c>
      <c r="DZ163" s="161">
        <f t="shared" si="232"/>
        <v>0</v>
      </c>
      <c r="EA163" s="161">
        <f t="shared" si="233"/>
        <v>0</v>
      </c>
      <c r="EB163" s="161">
        <f t="shared" si="234"/>
        <v>0</v>
      </c>
      <c r="EC163" s="161">
        <f t="shared" si="235"/>
        <v>0</v>
      </c>
      <c r="ED163" s="161">
        <f t="shared" si="236"/>
        <v>0</v>
      </c>
      <c r="EE163" s="161">
        <f t="shared" si="237"/>
        <v>0</v>
      </c>
      <c r="EF163" s="161">
        <f t="shared" si="238"/>
        <v>0</v>
      </c>
      <c r="EG163" s="161">
        <f t="shared" si="239"/>
        <v>0</v>
      </c>
      <c r="EH163" s="161">
        <f t="shared" si="240"/>
        <v>0</v>
      </c>
      <c r="EI163" s="161">
        <f t="shared" si="241"/>
        <v>0</v>
      </c>
      <c r="EJ163" s="161">
        <f t="shared" si="242"/>
        <v>0</v>
      </c>
      <c r="EK163" s="147">
        <f t="shared" si="174"/>
        <v>10.416666666666666</v>
      </c>
      <c r="EL163" s="149"/>
      <c r="EN163" s="146"/>
      <c r="EO163" s="146"/>
      <c r="EP163" s="139">
        <f t="shared" si="175"/>
        <v>0</v>
      </c>
      <c r="EQ163" s="139">
        <f t="shared" si="176"/>
        <v>0</v>
      </c>
      <c r="ER163" s="139">
        <f t="shared" si="177"/>
        <v>0</v>
      </c>
      <c r="ES163" s="139">
        <f t="shared" si="178"/>
        <v>0</v>
      </c>
      <c r="ET163" s="139">
        <f t="shared" si="179"/>
        <v>2.7092885432593907</v>
      </c>
      <c r="EU163" s="139">
        <f t="shared" si="180"/>
        <v>0</v>
      </c>
      <c r="EV163" s="139">
        <f t="shared" si="181"/>
        <v>0</v>
      </c>
      <c r="EW163" s="139">
        <f t="shared" si="182"/>
        <v>0</v>
      </c>
      <c r="EX163" s="139">
        <f t="shared" si="183"/>
        <v>0</v>
      </c>
      <c r="EY163" s="139">
        <f t="shared" si="184"/>
        <v>0</v>
      </c>
      <c r="EZ163" s="139">
        <f t="shared" si="185"/>
        <v>0</v>
      </c>
      <c r="FA163" s="139">
        <f t="shared" si="186"/>
        <v>0</v>
      </c>
      <c r="FB163" s="139">
        <f t="shared" si="187"/>
        <v>0</v>
      </c>
      <c r="FC163" s="139">
        <f t="shared" si="188"/>
        <v>0</v>
      </c>
      <c r="FD163" s="139">
        <f t="shared" si="189"/>
        <v>0</v>
      </c>
      <c r="FE163" s="139">
        <f t="shared" si="190"/>
        <v>0</v>
      </c>
      <c r="FF163" s="139">
        <f t="shared" si="191"/>
        <v>0</v>
      </c>
      <c r="FG163" s="139">
        <f t="shared" si="192"/>
        <v>0</v>
      </c>
      <c r="FH163" s="139">
        <f t="shared" si="193"/>
        <v>0</v>
      </c>
      <c r="FI163" s="139">
        <f t="shared" si="194"/>
        <v>0</v>
      </c>
      <c r="FJ163" s="139">
        <f t="shared" si="195"/>
        <v>0</v>
      </c>
      <c r="FK163" s="139">
        <f t="shared" si="196"/>
        <v>0</v>
      </c>
      <c r="FL163" s="139">
        <f t="shared" si="197"/>
        <v>0</v>
      </c>
      <c r="FM163" s="139">
        <f t="shared" si="198"/>
        <v>0</v>
      </c>
      <c r="FN163" s="139">
        <f t="shared" si="199"/>
        <v>0</v>
      </c>
      <c r="FO163" s="139">
        <f t="shared" si="200"/>
        <v>0</v>
      </c>
      <c r="FP163" s="139">
        <f t="shared" si="201"/>
        <v>0</v>
      </c>
      <c r="FQ163" s="139">
        <f t="shared" si="202"/>
        <v>0</v>
      </c>
      <c r="FR163" s="139">
        <f t="shared" si="203"/>
        <v>0</v>
      </c>
      <c r="FS163" s="139">
        <f t="shared" si="204"/>
        <v>0</v>
      </c>
      <c r="FT163" s="139">
        <f t="shared" si="205"/>
        <v>0</v>
      </c>
      <c r="FU163" s="148">
        <f t="shared" si="206"/>
        <v>2.7092885432593907</v>
      </c>
      <c r="FV163" s="149"/>
      <c r="FY163" s="210">
        <v>158</v>
      </c>
      <c r="FZ163">
        <v>1.145067767112993</v>
      </c>
      <c r="GA163">
        <v>2.0424577149251943</v>
      </c>
      <c r="GB163">
        <v>2.0414788699524915</v>
      </c>
      <c r="GC163">
        <v>0.91918713190920309</v>
      </c>
      <c r="GD163">
        <v>2.1941227674286665</v>
      </c>
      <c r="GE163">
        <v>7.0982079983551891</v>
      </c>
      <c r="GF163">
        <v>9.804271438797409</v>
      </c>
      <c r="GG163">
        <v>8.2236007434051661</v>
      </c>
      <c r="GH163">
        <v>5.9847515620611249</v>
      </c>
      <c r="GI163">
        <v>4.7495894912590773</v>
      </c>
      <c r="GJ163"/>
      <c r="GK163"/>
      <c r="GL163"/>
      <c r="GM163"/>
    </row>
    <row r="164" spans="1:195" s="7" customFormat="1">
      <c r="A164" s="1"/>
      <c r="B164" s="76">
        <f t="shared" ca="1" si="171"/>
        <v>0.69630389272653792</v>
      </c>
      <c r="C164">
        <v>5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10.416666666666666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29.263611507637233</v>
      </c>
      <c r="AO164">
        <v>6.5133865530368098</v>
      </c>
      <c r="AP164">
        <v>46.969902342145275</v>
      </c>
      <c r="AQ164">
        <v>40.166948315973812</v>
      </c>
      <c r="AR164">
        <v>6.0436084601321687</v>
      </c>
      <c r="AS164">
        <v>26.827949249451116</v>
      </c>
      <c r="AT164" t="e">
        <v>#DIV/0!</v>
      </c>
      <c r="AU164" t="e">
        <v>#DIV/0!</v>
      </c>
      <c r="AV164"/>
      <c r="AW164"/>
      <c r="AX164" s="146"/>
      <c r="AY164" s="76">
        <f t="shared" ca="1" si="172"/>
        <v>0.27611451688892164</v>
      </c>
      <c r="AZ164">
        <v>7</v>
      </c>
      <c r="BA164" s="129">
        <f t="shared" si="244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7"/>
        <v>0.19416342291507527</v>
      </c>
      <c r="CL164" s="179">
        <f t="shared" si="208"/>
        <v>7</v>
      </c>
      <c r="CM164" s="180">
        <f t="shared" si="209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0"/>
        <v>9.6000000000000002E-2</v>
      </c>
      <c r="DB164" s="146"/>
      <c r="DC164" s="76">
        <f t="shared" ca="1" si="173"/>
        <v>0.23863826858699699</v>
      </c>
      <c r="DD164">
        <f t="shared" si="211"/>
        <v>7</v>
      </c>
      <c r="DE164" s="129">
        <f t="shared" si="243"/>
        <v>39910</v>
      </c>
      <c r="DF164" s="161">
        <f t="shared" si="212"/>
        <v>0</v>
      </c>
      <c r="DG164" s="161">
        <f t="shared" si="213"/>
        <v>0</v>
      </c>
      <c r="DH164" s="161">
        <f t="shared" si="214"/>
        <v>0</v>
      </c>
      <c r="DI164" s="161">
        <f t="shared" si="215"/>
        <v>0</v>
      </c>
      <c r="DJ164" s="161">
        <f t="shared" si="216"/>
        <v>0</v>
      </c>
      <c r="DK164" s="161">
        <f t="shared" si="217"/>
        <v>0</v>
      </c>
      <c r="DL164" s="161">
        <f t="shared" si="218"/>
        <v>0</v>
      </c>
      <c r="DM164" s="161">
        <f t="shared" si="219"/>
        <v>0</v>
      </c>
      <c r="DN164" s="161">
        <f t="shared" si="220"/>
        <v>0</v>
      </c>
      <c r="DO164" s="161">
        <f t="shared" si="221"/>
        <v>0</v>
      </c>
      <c r="DP164" s="161">
        <f t="shared" si="222"/>
        <v>0</v>
      </c>
      <c r="DQ164" s="161">
        <f t="shared" si="223"/>
        <v>0</v>
      </c>
      <c r="DR164" s="161">
        <f t="shared" si="224"/>
        <v>0</v>
      </c>
      <c r="DS164" s="161">
        <f t="shared" si="225"/>
        <v>0</v>
      </c>
      <c r="DT164" s="161">
        <f t="shared" si="226"/>
        <v>0</v>
      </c>
      <c r="DU164" s="161">
        <f t="shared" si="227"/>
        <v>0</v>
      </c>
      <c r="DV164" s="161">
        <f t="shared" si="228"/>
        <v>0</v>
      </c>
      <c r="DW164" s="161">
        <f t="shared" si="229"/>
        <v>0</v>
      </c>
      <c r="DX164" s="161">
        <f t="shared" si="230"/>
        <v>0</v>
      </c>
      <c r="DY164" s="161">
        <f t="shared" si="231"/>
        <v>0</v>
      </c>
      <c r="DZ164" s="161">
        <f t="shared" si="232"/>
        <v>0</v>
      </c>
      <c r="EA164" s="161">
        <f t="shared" si="233"/>
        <v>0</v>
      </c>
      <c r="EB164" s="161">
        <f t="shared" si="234"/>
        <v>0</v>
      </c>
      <c r="EC164" s="161">
        <f t="shared" si="235"/>
        <v>0</v>
      </c>
      <c r="ED164" s="161">
        <f t="shared" si="236"/>
        <v>0</v>
      </c>
      <c r="EE164" s="161">
        <f t="shared" si="237"/>
        <v>0</v>
      </c>
      <c r="EF164" s="161">
        <f t="shared" si="238"/>
        <v>0</v>
      </c>
      <c r="EG164" s="161">
        <f t="shared" si="239"/>
        <v>0</v>
      </c>
      <c r="EH164" s="161">
        <f t="shared" si="240"/>
        <v>0</v>
      </c>
      <c r="EI164" s="161">
        <f t="shared" si="241"/>
        <v>0</v>
      </c>
      <c r="EJ164" s="161">
        <f t="shared" si="242"/>
        <v>0</v>
      </c>
      <c r="EK164" s="147">
        <f t="shared" si="174"/>
        <v>0</v>
      </c>
      <c r="EL164" s="149"/>
      <c r="EN164" s="146"/>
      <c r="EO164" s="146"/>
      <c r="EP164" s="139">
        <f t="shared" si="175"/>
        <v>0</v>
      </c>
      <c r="EQ164" s="139">
        <f t="shared" si="176"/>
        <v>0</v>
      </c>
      <c r="ER164" s="139">
        <f t="shared" si="177"/>
        <v>0</v>
      </c>
      <c r="ES164" s="139">
        <f t="shared" si="178"/>
        <v>0</v>
      </c>
      <c r="ET164" s="139">
        <f t="shared" si="179"/>
        <v>0</v>
      </c>
      <c r="EU164" s="139">
        <f t="shared" si="180"/>
        <v>0</v>
      </c>
      <c r="EV164" s="139">
        <f t="shared" si="181"/>
        <v>0</v>
      </c>
      <c r="EW164" s="139">
        <f t="shared" si="182"/>
        <v>0</v>
      </c>
      <c r="EX164" s="139">
        <f t="shared" si="183"/>
        <v>0</v>
      </c>
      <c r="EY164" s="139">
        <f t="shared" si="184"/>
        <v>0</v>
      </c>
      <c r="EZ164" s="139">
        <f t="shared" si="185"/>
        <v>0</v>
      </c>
      <c r="FA164" s="139">
        <f t="shared" si="186"/>
        <v>0</v>
      </c>
      <c r="FB164" s="139">
        <f t="shared" si="187"/>
        <v>0</v>
      </c>
      <c r="FC164" s="139">
        <f t="shared" si="188"/>
        <v>0</v>
      </c>
      <c r="FD164" s="139">
        <f t="shared" si="189"/>
        <v>0</v>
      </c>
      <c r="FE164" s="139">
        <f t="shared" si="190"/>
        <v>0</v>
      </c>
      <c r="FF164" s="139">
        <f t="shared" si="191"/>
        <v>0</v>
      </c>
      <c r="FG164" s="139">
        <f t="shared" si="192"/>
        <v>0</v>
      </c>
      <c r="FH164" s="139">
        <f t="shared" si="193"/>
        <v>0</v>
      </c>
      <c r="FI164" s="139">
        <f t="shared" si="194"/>
        <v>0</v>
      </c>
      <c r="FJ164" s="139">
        <f t="shared" si="195"/>
        <v>0</v>
      </c>
      <c r="FK164" s="139">
        <f t="shared" si="196"/>
        <v>0</v>
      </c>
      <c r="FL164" s="139">
        <f t="shared" si="197"/>
        <v>0</v>
      </c>
      <c r="FM164" s="139">
        <f t="shared" si="198"/>
        <v>0</v>
      </c>
      <c r="FN164" s="139">
        <f t="shared" si="199"/>
        <v>0</v>
      </c>
      <c r="FO164" s="139">
        <f t="shared" si="200"/>
        <v>0</v>
      </c>
      <c r="FP164" s="139">
        <f t="shared" si="201"/>
        <v>0</v>
      </c>
      <c r="FQ164" s="139">
        <f t="shared" si="202"/>
        <v>0</v>
      </c>
      <c r="FR164" s="139">
        <f t="shared" si="203"/>
        <v>0</v>
      </c>
      <c r="FS164" s="139">
        <f t="shared" si="204"/>
        <v>0</v>
      </c>
      <c r="FT164" s="139">
        <f t="shared" si="205"/>
        <v>0</v>
      </c>
      <c r="FU164" s="148">
        <f t="shared" si="206"/>
        <v>0</v>
      </c>
      <c r="FV164" s="149"/>
      <c r="FY164" s="210">
        <v>159</v>
      </c>
      <c r="FZ164">
        <v>1.3177682850982191</v>
      </c>
      <c r="GA164">
        <v>1.9630541638462091</v>
      </c>
      <c r="GB164">
        <v>0.83606571740857327</v>
      </c>
      <c r="GC164">
        <v>0.39869187035220766</v>
      </c>
      <c r="GD164">
        <v>2.0748751093385547</v>
      </c>
      <c r="GE164">
        <v>4.9509349213715144</v>
      </c>
      <c r="GF164">
        <v>7.7723371658164844</v>
      </c>
      <c r="GG164">
        <v>9.8460527836631417</v>
      </c>
      <c r="GH164">
        <v>6.9129797246380704</v>
      </c>
      <c r="GI164">
        <v>4.1895053999488825</v>
      </c>
      <c r="GJ164"/>
      <c r="GK164"/>
      <c r="GL164"/>
      <c r="GM164"/>
    </row>
    <row r="165" spans="1:195" s="7" customFormat="1">
      <c r="A165" s="1"/>
      <c r="B165" s="76">
        <f t="shared" ca="1" si="171"/>
        <v>0.91549044190044793</v>
      </c>
      <c r="C165">
        <v>9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29.690050478047187</v>
      </c>
      <c r="AO165">
        <v>5.1986128524255104</v>
      </c>
      <c r="AP165">
        <v>28.642981814801132</v>
      </c>
      <c r="AQ165">
        <v>28.547729578828783</v>
      </c>
      <c r="AR165">
        <v>5.1016009093501378</v>
      </c>
      <c r="AS165">
        <v>26.696451916384056</v>
      </c>
      <c r="AT165">
        <v>3.3594740969416965</v>
      </c>
      <c r="AU165">
        <v>-0.12637209299677354</v>
      </c>
      <c r="AV165"/>
      <c r="AW165"/>
      <c r="AX165" s="146"/>
      <c r="AY165" s="76">
        <f t="shared" ca="1" si="172"/>
        <v>2.2346048833832732E-2</v>
      </c>
      <c r="AZ165">
        <v>8</v>
      </c>
      <c r="BA165" s="129">
        <f t="shared" si="244"/>
        <v>39910</v>
      </c>
      <c r="BB165">
        <v>0</v>
      </c>
      <c r="BC165">
        <v>0</v>
      </c>
      <c r="BD165">
        <v>0</v>
      </c>
      <c r="BE165">
        <v>1</v>
      </c>
      <c r="BF165">
        <v>1</v>
      </c>
      <c r="BG165">
        <v>2</v>
      </c>
      <c r="BH165">
        <v>0</v>
      </c>
      <c r="BI165">
        <v>1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7"/>
        <v>0.81971164100638738</v>
      </c>
      <c r="CL165" s="179">
        <f t="shared" si="208"/>
        <v>8</v>
      </c>
      <c r="CM165" s="180">
        <f t="shared" si="209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0"/>
        <v>9.6000000000000002E-2</v>
      </c>
      <c r="DB165" s="146"/>
      <c r="DC165" s="76">
        <f t="shared" ca="1" si="173"/>
        <v>0.64822025526258908</v>
      </c>
      <c r="DD165">
        <f t="shared" si="211"/>
        <v>8</v>
      </c>
      <c r="DE165" s="129">
        <f t="shared" si="243"/>
        <v>39910</v>
      </c>
      <c r="DF165" s="161">
        <f t="shared" si="212"/>
        <v>0</v>
      </c>
      <c r="DG165" s="161">
        <f t="shared" si="213"/>
        <v>0</v>
      </c>
      <c r="DH165" s="161">
        <f t="shared" si="214"/>
        <v>0</v>
      </c>
      <c r="DI165" s="161">
        <f t="shared" si="215"/>
        <v>10.416666666666666</v>
      </c>
      <c r="DJ165" s="161">
        <f t="shared" si="216"/>
        <v>10.416666666666666</v>
      </c>
      <c r="DK165" s="161">
        <f t="shared" si="217"/>
        <v>20.833333333333332</v>
      </c>
      <c r="DL165" s="161">
        <f t="shared" si="218"/>
        <v>0</v>
      </c>
      <c r="DM165" s="161">
        <f t="shared" si="219"/>
        <v>10.416666666666666</v>
      </c>
      <c r="DN165" s="161">
        <f t="shared" si="220"/>
        <v>0</v>
      </c>
      <c r="DO165" s="161">
        <f t="shared" si="221"/>
        <v>0</v>
      </c>
      <c r="DP165" s="161">
        <f t="shared" si="222"/>
        <v>0</v>
      </c>
      <c r="DQ165" s="161">
        <f t="shared" si="223"/>
        <v>0</v>
      </c>
      <c r="DR165" s="161">
        <f t="shared" si="224"/>
        <v>0</v>
      </c>
      <c r="DS165" s="161">
        <f t="shared" si="225"/>
        <v>0</v>
      </c>
      <c r="DT165" s="161">
        <f t="shared" si="226"/>
        <v>0</v>
      </c>
      <c r="DU165" s="161">
        <f t="shared" si="227"/>
        <v>0</v>
      </c>
      <c r="DV165" s="161">
        <f t="shared" si="228"/>
        <v>0</v>
      </c>
      <c r="DW165" s="161">
        <f t="shared" si="229"/>
        <v>0</v>
      </c>
      <c r="DX165" s="161">
        <f t="shared" si="230"/>
        <v>0</v>
      </c>
      <c r="DY165" s="161">
        <f t="shared" si="231"/>
        <v>0</v>
      </c>
      <c r="DZ165" s="161">
        <f t="shared" si="232"/>
        <v>0</v>
      </c>
      <c r="EA165" s="161">
        <f t="shared" si="233"/>
        <v>0</v>
      </c>
      <c r="EB165" s="161">
        <f t="shared" si="234"/>
        <v>0</v>
      </c>
      <c r="EC165" s="161">
        <f t="shared" si="235"/>
        <v>0</v>
      </c>
      <c r="ED165" s="161">
        <f t="shared" si="236"/>
        <v>0</v>
      </c>
      <c r="EE165" s="161">
        <f t="shared" si="237"/>
        <v>0</v>
      </c>
      <c r="EF165" s="161">
        <f t="shared" si="238"/>
        <v>0</v>
      </c>
      <c r="EG165" s="161">
        <f t="shared" si="239"/>
        <v>0</v>
      </c>
      <c r="EH165" s="161">
        <f t="shared" si="240"/>
        <v>0</v>
      </c>
      <c r="EI165" s="161">
        <f t="shared" si="241"/>
        <v>0</v>
      </c>
      <c r="EJ165" s="161">
        <f t="shared" si="242"/>
        <v>0</v>
      </c>
      <c r="EK165" s="147">
        <f t="shared" si="174"/>
        <v>52.083333333333329</v>
      </c>
      <c r="EL165" s="149"/>
      <c r="EN165" s="146"/>
      <c r="EO165" s="146"/>
      <c r="EP165" s="139">
        <f t="shared" si="175"/>
        <v>0</v>
      </c>
      <c r="EQ165" s="139">
        <f t="shared" si="176"/>
        <v>0</v>
      </c>
      <c r="ER165" s="139">
        <f t="shared" si="177"/>
        <v>0</v>
      </c>
      <c r="ES165" s="139">
        <f t="shared" si="178"/>
        <v>1.2374342774304989</v>
      </c>
      <c r="ET165" s="139">
        <f t="shared" si="179"/>
        <v>2.7092885432593907</v>
      </c>
      <c r="EU165" s="139">
        <f t="shared" si="180"/>
        <v>9.9510322011773749</v>
      </c>
      <c r="EV165" s="139">
        <f t="shared" si="181"/>
        <v>0</v>
      </c>
      <c r="EW165" s="139">
        <f t="shared" si="182"/>
        <v>12.442020286762366</v>
      </c>
      <c r="EX165" s="139">
        <f t="shared" si="183"/>
        <v>0</v>
      </c>
      <c r="EY165" s="139">
        <f t="shared" si="184"/>
        <v>0</v>
      </c>
      <c r="EZ165" s="139">
        <f t="shared" si="185"/>
        <v>0</v>
      </c>
      <c r="FA165" s="139">
        <f t="shared" si="186"/>
        <v>0</v>
      </c>
      <c r="FB165" s="139">
        <f t="shared" si="187"/>
        <v>0</v>
      </c>
      <c r="FC165" s="139">
        <f t="shared" si="188"/>
        <v>0</v>
      </c>
      <c r="FD165" s="139">
        <f t="shared" si="189"/>
        <v>0</v>
      </c>
      <c r="FE165" s="139">
        <f t="shared" si="190"/>
        <v>0</v>
      </c>
      <c r="FF165" s="139">
        <f t="shared" si="191"/>
        <v>0</v>
      </c>
      <c r="FG165" s="139">
        <f t="shared" si="192"/>
        <v>0</v>
      </c>
      <c r="FH165" s="139">
        <f t="shared" si="193"/>
        <v>0</v>
      </c>
      <c r="FI165" s="139">
        <f t="shared" si="194"/>
        <v>0</v>
      </c>
      <c r="FJ165" s="139">
        <f t="shared" si="195"/>
        <v>0</v>
      </c>
      <c r="FK165" s="139">
        <f t="shared" si="196"/>
        <v>0</v>
      </c>
      <c r="FL165" s="139">
        <f t="shared" si="197"/>
        <v>0</v>
      </c>
      <c r="FM165" s="139">
        <f t="shared" si="198"/>
        <v>0</v>
      </c>
      <c r="FN165" s="139">
        <f t="shared" si="199"/>
        <v>0</v>
      </c>
      <c r="FO165" s="139">
        <f t="shared" si="200"/>
        <v>0</v>
      </c>
      <c r="FP165" s="139">
        <f t="shared" si="201"/>
        <v>0</v>
      </c>
      <c r="FQ165" s="139">
        <f t="shared" si="202"/>
        <v>0</v>
      </c>
      <c r="FR165" s="139">
        <f t="shared" si="203"/>
        <v>0</v>
      </c>
      <c r="FS165" s="139">
        <f t="shared" si="204"/>
        <v>0</v>
      </c>
      <c r="FT165" s="139">
        <f t="shared" si="205"/>
        <v>0</v>
      </c>
      <c r="FU165" s="148">
        <f t="shared" si="206"/>
        <v>26.339775308629633</v>
      </c>
      <c r="FV165" s="149"/>
      <c r="FY165" s="210">
        <v>160</v>
      </c>
      <c r="FZ165">
        <v>0.88506546365580352</v>
      </c>
      <c r="GA165">
        <v>1.5245162790707536</v>
      </c>
      <c r="GB165">
        <v>1.0640105014681835</v>
      </c>
      <c r="GC165">
        <v>0.78300295677365372</v>
      </c>
      <c r="GD165">
        <v>1.260248978747087</v>
      </c>
      <c r="GE165">
        <v>2.9934742833816355</v>
      </c>
      <c r="GF165">
        <v>5.9802096698267384</v>
      </c>
      <c r="GG165">
        <v>5.1390526656997624</v>
      </c>
      <c r="GH165">
        <v>2.6055143860100909</v>
      </c>
      <c r="GI165">
        <v>2.6702191517057807</v>
      </c>
      <c r="GJ165"/>
      <c r="GK165"/>
      <c r="GL165"/>
      <c r="GM165"/>
    </row>
    <row r="166" spans="1:195" s="7" customFormat="1">
      <c r="A166" s="1"/>
      <c r="B166" s="76">
        <f t="shared" ca="1" si="171"/>
        <v>0.24955903016336389</v>
      </c>
      <c r="C166">
        <v>6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10.416666666666666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23.139275119826983</v>
      </c>
      <c r="AO166">
        <v>6.8398118359978</v>
      </c>
      <c r="AP166">
        <v>56.085980749741644</v>
      </c>
      <c r="AQ166">
        <v>45.971426686013537</v>
      </c>
      <c r="AR166">
        <v>6.2317675131111807</v>
      </c>
      <c r="AS166">
        <v>28.88079941183312</v>
      </c>
      <c r="AT166">
        <v>4.5705500776886065</v>
      </c>
      <c r="AU166">
        <v>2.0228387879165202</v>
      </c>
      <c r="AV166"/>
      <c r="AW166"/>
      <c r="AX166" s="146"/>
      <c r="AY166" s="76">
        <f t="shared" ca="1" si="172"/>
        <v>0.56985491248690323</v>
      </c>
      <c r="AZ166">
        <v>9</v>
      </c>
      <c r="BA166" s="129">
        <f t="shared" si="244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7"/>
        <v>0.36821614970148353</v>
      </c>
      <c r="CL166" s="179">
        <f t="shared" si="208"/>
        <v>9</v>
      </c>
      <c r="CM166" s="180">
        <f t="shared" si="209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0"/>
        <v>9.6000000000000002E-2</v>
      </c>
      <c r="DB166" s="146"/>
      <c r="DC166" s="76">
        <f t="shared" ca="1" si="173"/>
        <v>0.99709627217096575</v>
      </c>
      <c r="DD166">
        <f t="shared" si="211"/>
        <v>9</v>
      </c>
      <c r="DE166" s="129">
        <f t="shared" si="243"/>
        <v>39910</v>
      </c>
      <c r="DF166" s="161">
        <f t="shared" si="212"/>
        <v>0</v>
      </c>
      <c r="DG166" s="161">
        <f t="shared" si="213"/>
        <v>0</v>
      </c>
      <c r="DH166" s="161">
        <f t="shared" si="214"/>
        <v>0</v>
      </c>
      <c r="DI166" s="161">
        <f t="shared" si="215"/>
        <v>0</v>
      </c>
      <c r="DJ166" s="161">
        <f t="shared" si="216"/>
        <v>0</v>
      </c>
      <c r="DK166" s="161">
        <f t="shared" si="217"/>
        <v>0</v>
      </c>
      <c r="DL166" s="161">
        <f t="shared" si="218"/>
        <v>0</v>
      </c>
      <c r="DM166" s="161">
        <f t="shared" si="219"/>
        <v>0</v>
      </c>
      <c r="DN166" s="161">
        <f t="shared" si="220"/>
        <v>0</v>
      </c>
      <c r="DO166" s="161">
        <f t="shared" si="221"/>
        <v>0</v>
      </c>
      <c r="DP166" s="161">
        <f t="shared" si="222"/>
        <v>0</v>
      </c>
      <c r="DQ166" s="161">
        <f t="shared" si="223"/>
        <v>0</v>
      </c>
      <c r="DR166" s="161">
        <f t="shared" si="224"/>
        <v>0</v>
      </c>
      <c r="DS166" s="161">
        <f t="shared" si="225"/>
        <v>0</v>
      </c>
      <c r="DT166" s="161">
        <f t="shared" si="226"/>
        <v>0</v>
      </c>
      <c r="DU166" s="161">
        <f t="shared" si="227"/>
        <v>0</v>
      </c>
      <c r="DV166" s="161">
        <f t="shared" si="228"/>
        <v>0</v>
      </c>
      <c r="DW166" s="161">
        <f t="shared" si="229"/>
        <v>0</v>
      </c>
      <c r="DX166" s="161">
        <f t="shared" si="230"/>
        <v>0</v>
      </c>
      <c r="DY166" s="161">
        <f t="shared" si="231"/>
        <v>0</v>
      </c>
      <c r="DZ166" s="161">
        <f t="shared" si="232"/>
        <v>0</v>
      </c>
      <c r="EA166" s="161">
        <f t="shared" si="233"/>
        <v>0</v>
      </c>
      <c r="EB166" s="161">
        <f t="shared" si="234"/>
        <v>0</v>
      </c>
      <c r="EC166" s="161">
        <f t="shared" si="235"/>
        <v>0</v>
      </c>
      <c r="ED166" s="161">
        <f t="shared" si="236"/>
        <v>0</v>
      </c>
      <c r="EE166" s="161">
        <f t="shared" si="237"/>
        <v>0</v>
      </c>
      <c r="EF166" s="161">
        <f t="shared" si="238"/>
        <v>0</v>
      </c>
      <c r="EG166" s="161">
        <f t="shared" si="239"/>
        <v>0</v>
      </c>
      <c r="EH166" s="161">
        <f t="shared" si="240"/>
        <v>0</v>
      </c>
      <c r="EI166" s="161">
        <f t="shared" si="241"/>
        <v>0</v>
      </c>
      <c r="EJ166" s="161">
        <f t="shared" si="242"/>
        <v>0</v>
      </c>
      <c r="EK166" s="147">
        <f t="shared" si="174"/>
        <v>0</v>
      </c>
      <c r="EL166" s="149"/>
      <c r="EN166" s="146"/>
      <c r="EO166" s="146"/>
      <c r="EP166" s="139">
        <f t="shared" si="175"/>
        <v>0</v>
      </c>
      <c r="EQ166" s="139">
        <f t="shared" si="176"/>
        <v>0</v>
      </c>
      <c r="ER166" s="139">
        <f t="shared" si="177"/>
        <v>0</v>
      </c>
      <c r="ES166" s="139">
        <f t="shared" si="178"/>
        <v>0</v>
      </c>
      <c r="ET166" s="139">
        <f t="shared" si="179"/>
        <v>0</v>
      </c>
      <c r="EU166" s="139">
        <f t="shared" si="180"/>
        <v>0</v>
      </c>
      <c r="EV166" s="139">
        <f t="shared" si="181"/>
        <v>0</v>
      </c>
      <c r="EW166" s="139">
        <f t="shared" si="182"/>
        <v>0</v>
      </c>
      <c r="EX166" s="139">
        <f t="shared" si="183"/>
        <v>0</v>
      </c>
      <c r="EY166" s="139">
        <f t="shared" si="184"/>
        <v>0</v>
      </c>
      <c r="EZ166" s="139">
        <f t="shared" si="185"/>
        <v>0</v>
      </c>
      <c r="FA166" s="139">
        <f t="shared" si="186"/>
        <v>0</v>
      </c>
      <c r="FB166" s="139">
        <f t="shared" si="187"/>
        <v>0</v>
      </c>
      <c r="FC166" s="139">
        <f t="shared" si="188"/>
        <v>0</v>
      </c>
      <c r="FD166" s="139">
        <f t="shared" si="189"/>
        <v>0</v>
      </c>
      <c r="FE166" s="139">
        <f t="shared" si="190"/>
        <v>0</v>
      </c>
      <c r="FF166" s="139">
        <f t="shared" si="191"/>
        <v>0</v>
      </c>
      <c r="FG166" s="139">
        <f t="shared" si="192"/>
        <v>0</v>
      </c>
      <c r="FH166" s="139">
        <f t="shared" si="193"/>
        <v>0</v>
      </c>
      <c r="FI166" s="139">
        <f t="shared" si="194"/>
        <v>0</v>
      </c>
      <c r="FJ166" s="139">
        <f t="shared" si="195"/>
        <v>0</v>
      </c>
      <c r="FK166" s="139">
        <f t="shared" si="196"/>
        <v>0</v>
      </c>
      <c r="FL166" s="139">
        <f t="shared" si="197"/>
        <v>0</v>
      </c>
      <c r="FM166" s="139">
        <f t="shared" si="198"/>
        <v>0</v>
      </c>
      <c r="FN166" s="139">
        <f t="shared" si="199"/>
        <v>0</v>
      </c>
      <c r="FO166" s="139">
        <f t="shared" si="200"/>
        <v>0</v>
      </c>
      <c r="FP166" s="139">
        <f t="shared" si="201"/>
        <v>0</v>
      </c>
      <c r="FQ166" s="139">
        <f t="shared" si="202"/>
        <v>0</v>
      </c>
      <c r="FR166" s="139">
        <f t="shared" si="203"/>
        <v>0</v>
      </c>
      <c r="FS166" s="139">
        <f t="shared" si="204"/>
        <v>0</v>
      </c>
      <c r="FT166" s="139">
        <f t="shared" si="205"/>
        <v>0</v>
      </c>
      <c r="FU166" s="148">
        <f t="shared" si="206"/>
        <v>0</v>
      </c>
      <c r="FV166" s="149"/>
      <c r="FY166" s="210">
        <v>161</v>
      </c>
      <c r="FZ166">
        <v>1.3858017102572042</v>
      </c>
      <c r="GA166">
        <v>2.3949890235678555</v>
      </c>
      <c r="GB166">
        <v>1.5087255659629277</v>
      </c>
      <c r="GC166">
        <v>0.5041705770570899</v>
      </c>
      <c r="GD166">
        <v>1.3869334030980389</v>
      </c>
      <c r="GE166">
        <v>3.8189169252393649</v>
      </c>
      <c r="GF166">
        <v>4.3389104314506115</v>
      </c>
      <c r="GG166">
        <v>4.9410422273372578</v>
      </c>
      <c r="GH166">
        <v>5.1425722035448107</v>
      </c>
      <c r="GI166">
        <v>3.0328899870581862</v>
      </c>
      <c r="GJ166"/>
      <c r="GK166"/>
      <c r="GL166"/>
      <c r="GM166"/>
    </row>
    <row r="167" spans="1:195" s="7" customFormat="1">
      <c r="A167" s="1"/>
      <c r="B167" s="76">
        <f t="shared" ca="1" si="171"/>
        <v>0.93970244072000941</v>
      </c>
      <c r="C167">
        <v>2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27.693699445703903</v>
      </c>
      <c r="AO167">
        <v>4.5515341386309141</v>
      </c>
      <c r="AP167">
        <v>32.832630248698415</v>
      </c>
      <c r="AQ167">
        <v>28.406460694048381</v>
      </c>
      <c r="AR167">
        <v>4.1764113816010751</v>
      </c>
      <c r="AS167">
        <v>20.139634098040876</v>
      </c>
      <c r="AT167">
        <v>2.6857658258025707</v>
      </c>
      <c r="AU167">
        <v>6.7855114678930217</v>
      </c>
      <c r="AV167"/>
      <c r="AW167"/>
      <c r="AX167" s="146"/>
      <c r="AY167" s="76">
        <f t="shared" ca="1" si="172"/>
        <v>0.73154507081776576</v>
      </c>
      <c r="AZ167">
        <v>10</v>
      </c>
      <c r="BA167" s="129">
        <f t="shared" si="244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2</v>
      </c>
      <c r="BH167">
        <v>1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7"/>
        <v>0.85686801292198478</v>
      </c>
      <c r="CL167" s="179">
        <f t="shared" si="208"/>
        <v>10</v>
      </c>
      <c r="CM167" s="180">
        <f t="shared" si="209"/>
        <v>39910</v>
      </c>
      <c r="CN167" s="222">
        <v>0</v>
      </c>
      <c r="CO167" s="222">
        <v>0</v>
      </c>
      <c r="CP167" s="222">
        <v>0</v>
      </c>
      <c r="CQ167" s="222">
        <v>1</v>
      </c>
      <c r="CR167" s="222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0"/>
        <v>9.6000000000000002E-2</v>
      </c>
      <c r="DB167" s="146"/>
      <c r="DC167" s="76">
        <f t="shared" ca="1" si="173"/>
        <v>0.45724116765419009</v>
      </c>
      <c r="DD167">
        <f t="shared" si="211"/>
        <v>10</v>
      </c>
      <c r="DE167" s="129">
        <f t="shared" si="243"/>
        <v>39910</v>
      </c>
      <c r="DF167" s="161">
        <f t="shared" si="212"/>
        <v>0</v>
      </c>
      <c r="DG167" s="161">
        <f t="shared" si="213"/>
        <v>0</v>
      </c>
      <c r="DH167" s="161">
        <f t="shared" si="214"/>
        <v>0</v>
      </c>
      <c r="DI167" s="161">
        <f t="shared" si="215"/>
        <v>104.16666666666667</v>
      </c>
      <c r="DJ167" s="161">
        <f t="shared" si="216"/>
        <v>0</v>
      </c>
      <c r="DK167" s="161">
        <f t="shared" si="217"/>
        <v>20.833333333333332</v>
      </c>
      <c r="DL167" s="161">
        <f t="shared" si="218"/>
        <v>10.416666666666666</v>
      </c>
      <c r="DM167" s="161">
        <f t="shared" si="219"/>
        <v>0</v>
      </c>
      <c r="DN167" s="161">
        <f t="shared" si="220"/>
        <v>0</v>
      </c>
      <c r="DO167" s="161">
        <f t="shared" si="221"/>
        <v>0</v>
      </c>
      <c r="DP167" s="161">
        <f t="shared" si="222"/>
        <v>0</v>
      </c>
      <c r="DQ167" s="161">
        <f t="shared" si="223"/>
        <v>0</v>
      </c>
      <c r="DR167" s="161">
        <f t="shared" si="224"/>
        <v>0</v>
      </c>
      <c r="DS167" s="161">
        <f t="shared" si="225"/>
        <v>0</v>
      </c>
      <c r="DT167" s="161">
        <f t="shared" si="226"/>
        <v>0</v>
      </c>
      <c r="DU167" s="161">
        <f t="shared" si="227"/>
        <v>0</v>
      </c>
      <c r="DV167" s="161">
        <f t="shared" si="228"/>
        <v>0</v>
      </c>
      <c r="DW167" s="161">
        <f t="shared" si="229"/>
        <v>0</v>
      </c>
      <c r="DX167" s="161">
        <f t="shared" si="230"/>
        <v>0</v>
      </c>
      <c r="DY167" s="161">
        <f t="shared" si="231"/>
        <v>0</v>
      </c>
      <c r="DZ167" s="161">
        <f t="shared" si="232"/>
        <v>0</v>
      </c>
      <c r="EA167" s="161">
        <f t="shared" si="233"/>
        <v>0</v>
      </c>
      <c r="EB167" s="161">
        <f t="shared" si="234"/>
        <v>0</v>
      </c>
      <c r="EC167" s="161">
        <f t="shared" si="235"/>
        <v>0</v>
      </c>
      <c r="ED167" s="161">
        <f t="shared" si="236"/>
        <v>0</v>
      </c>
      <c r="EE167" s="161">
        <f t="shared" si="237"/>
        <v>0</v>
      </c>
      <c r="EF167" s="161">
        <f t="shared" si="238"/>
        <v>0</v>
      </c>
      <c r="EG167" s="161">
        <f t="shared" si="239"/>
        <v>0</v>
      </c>
      <c r="EH167" s="161">
        <f t="shared" si="240"/>
        <v>0</v>
      </c>
      <c r="EI167" s="161">
        <f t="shared" si="241"/>
        <v>0</v>
      </c>
      <c r="EJ167" s="161">
        <f t="shared" si="242"/>
        <v>0</v>
      </c>
      <c r="EK167" s="147">
        <f t="shared" si="174"/>
        <v>135.41666666666666</v>
      </c>
      <c r="EL167" s="149"/>
      <c r="EN167" s="146"/>
      <c r="EO167" s="146"/>
      <c r="EP167" s="139">
        <f t="shared" si="175"/>
        <v>0</v>
      </c>
      <c r="EQ167" s="139">
        <f t="shared" si="176"/>
        <v>0</v>
      </c>
      <c r="ER167" s="139">
        <f t="shared" si="177"/>
        <v>0</v>
      </c>
      <c r="ES167" s="139">
        <f t="shared" si="178"/>
        <v>12.374342774304992</v>
      </c>
      <c r="ET167" s="139">
        <f t="shared" si="179"/>
        <v>0</v>
      </c>
      <c r="EU167" s="139">
        <f t="shared" si="180"/>
        <v>9.9510322011773749</v>
      </c>
      <c r="EV167" s="139">
        <f t="shared" si="181"/>
        <v>8.1757546524457592</v>
      </c>
      <c r="EW167" s="139">
        <f t="shared" si="182"/>
        <v>0</v>
      </c>
      <c r="EX167" s="139">
        <f t="shared" si="183"/>
        <v>0</v>
      </c>
      <c r="EY167" s="139">
        <f t="shared" si="184"/>
        <v>0</v>
      </c>
      <c r="EZ167" s="139">
        <f t="shared" si="185"/>
        <v>0</v>
      </c>
      <c r="FA167" s="139">
        <f t="shared" si="186"/>
        <v>0</v>
      </c>
      <c r="FB167" s="139">
        <f t="shared" si="187"/>
        <v>0</v>
      </c>
      <c r="FC167" s="139">
        <f t="shared" si="188"/>
        <v>0</v>
      </c>
      <c r="FD167" s="139">
        <f t="shared" si="189"/>
        <v>0</v>
      </c>
      <c r="FE167" s="139">
        <f t="shared" si="190"/>
        <v>0</v>
      </c>
      <c r="FF167" s="139">
        <f t="shared" si="191"/>
        <v>0</v>
      </c>
      <c r="FG167" s="139">
        <f t="shared" si="192"/>
        <v>0</v>
      </c>
      <c r="FH167" s="139">
        <f t="shared" si="193"/>
        <v>0</v>
      </c>
      <c r="FI167" s="139">
        <f t="shared" si="194"/>
        <v>0</v>
      </c>
      <c r="FJ167" s="139">
        <f t="shared" si="195"/>
        <v>0</v>
      </c>
      <c r="FK167" s="139">
        <f t="shared" si="196"/>
        <v>0</v>
      </c>
      <c r="FL167" s="139">
        <f t="shared" si="197"/>
        <v>0</v>
      </c>
      <c r="FM167" s="139">
        <f t="shared" si="198"/>
        <v>0</v>
      </c>
      <c r="FN167" s="139">
        <f t="shared" si="199"/>
        <v>0</v>
      </c>
      <c r="FO167" s="139">
        <f t="shared" si="200"/>
        <v>0</v>
      </c>
      <c r="FP167" s="139">
        <f t="shared" si="201"/>
        <v>0</v>
      </c>
      <c r="FQ167" s="139">
        <f t="shared" si="202"/>
        <v>0</v>
      </c>
      <c r="FR167" s="139">
        <f t="shared" si="203"/>
        <v>0</v>
      </c>
      <c r="FS167" s="139">
        <f t="shared" si="204"/>
        <v>0</v>
      </c>
      <c r="FT167" s="139">
        <f t="shared" si="205"/>
        <v>0</v>
      </c>
      <c r="FU167" s="148">
        <f t="shared" si="206"/>
        <v>30.50112962792813</v>
      </c>
      <c r="FV167" s="149"/>
      <c r="FY167" s="210">
        <v>162</v>
      </c>
      <c r="FZ167">
        <v>1.0563596389826495</v>
      </c>
      <c r="GA167">
        <v>3.220581786438915</v>
      </c>
      <c r="GB167">
        <v>2.4821528703596774</v>
      </c>
      <c r="GC167">
        <v>1.1121334298484629</v>
      </c>
      <c r="GD167">
        <v>2.0190883839593785</v>
      </c>
      <c r="GE167">
        <v>3.9021182899166513</v>
      </c>
      <c r="GF167">
        <v>2.6935185892600053</v>
      </c>
      <c r="GG167">
        <v>5.8594630447412506</v>
      </c>
      <c r="GH167">
        <v>6.6002043115721323</v>
      </c>
      <c r="GI167">
        <v>3.5154987644352698</v>
      </c>
      <c r="GJ167"/>
      <c r="GK167"/>
      <c r="GL167"/>
      <c r="GM167"/>
    </row>
    <row r="168" spans="1:195" s="7" customFormat="1">
      <c r="A168" s="128"/>
      <c r="B168" s="76">
        <f t="shared" ca="1" si="171"/>
        <v>0.48740049572852517</v>
      </c>
      <c r="C168">
        <v>10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33.036824160924603</v>
      </c>
      <c r="AO168">
        <v>5.4821979498840401</v>
      </c>
      <c r="AP168">
        <v>39.713411301669936</v>
      </c>
      <c r="AQ168">
        <v>34.632873843363612</v>
      </c>
      <c r="AR168">
        <v>5.0552619960364087</v>
      </c>
      <c r="AS168">
        <v>25.864717986104214</v>
      </c>
      <c r="AT168">
        <v>3.6443095954646814</v>
      </c>
      <c r="AU168">
        <v>12.580949039824993</v>
      </c>
      <c r="AV168"/>
      <c r="AW168"/>
      <c r="AX168" s="128"/>
      <c r="AY168" s="76">
        <f t="shared" ca="1" si="172"/>
        <v>0.76234336901811517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7"/>
        <v>0.14549558903306625</v>
      </c>
      <c r="CL168" s="179">
        <f t="shared" si="208"/>
        <v>1</v>
      </c>
      <c r="CM168" s="180">
        <f t="shared" si="209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0"/>
        <v>9.6000000000000002E-2</v>
      </c>
      <c r="DB168" s="128"/>
      <c r="DC168" s="76">
        <f t="shared" ca="1" si="173"/>
        <v>0.75811934698504735</v>
      </c>
      <c r="DD168">
        <f t="shared" si="211"/>
        <v>1</v>
      </c>
      <c r="DE168" s="129">
        <f t="shared" ref="DE168:DE177" si="245">IF((DD168)="", "", $C$12)</f>
        <v>39949</v>
      </c>
      <c r="DF168" s="161">
        <f t="shared" si="212"/>
        <v>0</v>
      </c>
      <c r="DG168" s="161">
        <f t="shared" si="213"/>
        <v>0</v>
      </c>
      <c r="DH168" s="161">
        <f t="shared" si="214"/>
        <v>0</v>
      </c>
      <c r="DI168" s="161">
        <f t="shared" si="215"/>
        <v>0</v>
      </c>
      <c r="DJ168" s="161">
        <f t="shared" si="216"/>
        <v>0</v>
      </c>
      <c r="DK168" s="161">
        <f t="shared" si="217"/>
        <v>0</v>
      </c>
      <c r="DL168" s="161">
        <f t="shared" si="218"/>
        <v>0</v>
      </c>
      <c r="DM168" s="161">
        <f t="shared" si="219"/>
        <v>0</v>
      </c>
      <c r="DN168" s="161">
        <f t="shared" si="220"/>
        <v>0</v>
      </c>
      <c r="DO168" s="161">
        <f t="shared" si="221"/>
        <v>0</v>
      </c>
      <c r="DP168" s="161">
        <f t="shared" si="222"/>
        <v>0</v>
      </c>
      <c r="DQ168" s="161">
        <f t="shared" si="223"/>
        <v>0</v>
      </c>
      <c r="DR168" s="161">
        <f t="shared" si="224"/>
        <v>0</v>
      </c>
      <c r="DS168" s="161">
        <f t="shared" si="225"/>
        <v>0</v>
      </c>
      <c r="DT168" s="161">
        <f t="shared" si="226"/>
        <v>0</v>
      </c>
      <c r="DU168" s="161">
        <f t="shared" si="227"/>
        <v>0</v>
      </c>
      <c r="DV168" s="161">
        <f t="shared" si="228"/>
        <v>0</v>
      </c>
      <c r="DW168" s="161">
        <f t="shared" si="229"/>
        <v>0</v>
      </c>
      <c r="DX168" s="161">
        <f t="shared" si="230"/>
        <v>0</v>
      </c>
      <c r="DY168" s="161">
        <f t="shared" si="231"/>
        <v>0</v>
      </c>
      <c r="DZ168" s="161">
        <f t="shared" si="232"/>
        <v>0</v>
      </c>
      <c r="EA168" s="161">
        <f t="shared" si="233"/>
        <v>0</v>
      </c>
      <c r="EB168" s="161">
        <f t="shared" si="234"/>
        <v>0</v>
      </c>
      <c r="EC168" s="161">
        <f t="shared" si="235"/>
        <v>0</v>
      </c>
      <c r="ED168" s="161">
        <f t="shared" si="236"/>
        <v>0</v>
      </c>
      <c r="EE168" s="161">
        <f t="shared" si="237"/>
        <v>0</v>
      </c>
      <c r="EF168" s="161">
        <f t="shared" si="238"/>
        <v>0</v>
      </c>
      <c r="EG168" s="161">
        <f t="shared" si="239"/>
        <v>0</v>
      </c>
      <c r="EH168" s="161">
        <f t="shared" si="240"/>
        <v>0</v>
      </c>
      <c r="EI168" s="161">
        <f t="shared" si="241"/>
        <v>0</v>
      </c>
      <c r="EJ168" s="161">
        <f t="shared" si="242"/>
        <v>0</v>
      </c>
      <c r="EK168" s="147">
        <f t="shared" si="174"/>
        <v>0</v>
      </c>
      <c r="EL168" s="149"/>
      <c r="EN168" s="146"/>
      <c r="EO168" s="146"/>
      <c r="EP168" s="139">
        <f t="shared" si="175"/>
        <v>0</v>
      </c>
      <c r="EQ168" s="139">
        <f t="shared" si="176"/>
        <v>0</v>
      </c>
      <c r="ER168" s="139">
        <f t="shared" si="177"/>
        <v>0</v>
      </c>
      <c r="ES168" s="139">
        <f t="shared" si="178"/>
        <v>0</v>
      </c>
      <c r="ET168" s="139">
        <f t="shared" si="179"/>
        <v>0</v>
      </c>
      <c r="EU168" s="139">
        <f t="shared" si="180"/>
        <v>0</v>
      </c>
      <c r="EV168" s="139">
        <f t="shared" si="181"/>
        <v>0</v>
      </c>
      <c r="EW168" s="139">
        <f t="shared" si="182"/>
        <v>0</v>
      </c>
      <c r="EX168" s="139">
        <f t="shared" si="183"/>
        <v>0</v>
      </c>
      <c r="EY168" s="139">
        <f t="shared" si="184"/>
        <v>0</v>
      </c>
      <c r="EZ168" s="139">
        <f t="shared" si="185"/>
        <v>0</v>
      </c>
      <c r="FA168" s="139">
        <f t="shared" si="186"/>
        <v>0</v>
      </c>
      <c r="FB168" s="139">
        <f t="shared" si="187"/>
        <v>0</v>
      </c>
      <c r="FC168" s="139">
        <f t="shared" si="188"/>
        <v>0</v>
      </c>
      <c r="FD168" s="139">
        <f t="shared" si="189"/>
        <v>0</v>
      </c>
      <c r="FE168" s="139">
        <f t="shared" si="190"/>
        <v>0</v>
      </c>
      <c r="FF168" s="139">
        <f t="shared" si="191"/>
        <v>0</v>
      </c>
      <c r="FG168" s="139">
        <f t="shared" si="192"/>
        <v>0</v>
      </c>
      <c r="FH168" s="139">
        <f t="shared" si="193"/>
        <v>0</v>
      </c>
      <c r="FI168" s="139">
        <f t="shared" si="194"/>
        <v>0</v>
      </c>
      <c r="FJ168" s="139">
        <f t="shared" si="195"/>
        <v>0</v>
      </c>
      <c r="FK168" s="139">
        <f t="shared" si="196"/>
        <v>0</v>
      </c>
      <c r="FL168" s="139">
        <f t="shared" si="197"/>
        <v>0</v>
      </c>
      <c r="FM168" s="139">
        <f t="shared" si="198"/>
        <v>0</v>
      </c>
      <c r="FN168" s="139">
        <f t="shared" si="199"/>
        <v>0</v>
      </c>
      <c r="FO168" s="139">
        <f t="shared" si="200"/>
        <v>0</v>
      </c>
      <c r="FP168" s="139">
        <f t="shared" si="201"/>
        <v>0</v>
      </c>
      <c r="FQ168" s="139">
        <f t="shared" si="202"/>
        <v>0</v>
      </c>
      <c r="FR168" s="139">
        <f t="shared" si="203"/>
        <v>0</v>
      </c>
      <c r="FS168" s="139">
        <f t="shared" si="204"/>
        <v>0</v>
      </c>
      <c r="FT168" s="139">
        <f t="shared" si="205"/>
        <v>0</v>
      </c>
      <c r="FU168" s="148">
        <f t="shared" si="206"/>
        <v>0</v>
      </c>
      <c r="FV168" s="149"/>
      <c r="FY168" s="210">
        <v>163</v>
      </c>
      <c r="FZ168">
        <v>1.2891140997789117</v>
      </c>
      <c r="GA168">
        <v>3.0852236888283109</v>
      </c>
      <c r="GB168">
        <v>1.5710497560247472</v>
      </c>
      <c r="GC168">
        <v>0.71799936082971705</v>
      </c>
      <c r="GD168">
        <v>2.3555487566317463</v>
      </c>
      <c r="GE168">
        <v>5.2254623956153496</v>
      </c>
      <c r="GF168">
        <v>6.9834380883559728</v>
      </c>
      <c r="GG168">
        <v>6.9028459942750864</v>
      </c>
      <c r="GH168">
        <v>4.2004965024418022</v>
      </c>
      <c r="GI168">
        <v>3.9465789442790871</v>
      </c>
      <c r="GJ168"/>
      <c r="GK168"/>
      <c r="GL168"/>
      <c r="GM168"/>
    </row>
    <row r="169" spans="1:195" s="7" customFormat="1">
      <c r="A169" s="1"/>
      <c r="B169" s="76">
        <f t="shared" ca="1" si="171"/>
        <v>0.22416451141231319</v>
      </c>
      <c r="C169">
        <v>9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22.859532293209156</v>
      </c>
      <c r="AO169">
        <v>5.8774143149518441</v>
      </c>
      <c r="AP169">
        <v>46.182760953323481</v>
      </c>
      <c r="AQ169">
        <v>37.889663608338992</v>
      </c>
      <c r="AR169">
        <v>5.6146639423207061</v>
      </c>
      <c r="AS169">
        <v>26.988296302516979</v>
      </c>
      <c r="AT169">
        <v>3.8563362806446939</v>
      </c>
      <c r="AU169">
        <v>3.8540847089939447</v>
      </c>
      <c r="AV169"/>
      <c r="AW169"/>
      <c r="AX169" s="146"/>
      <c r="AY169" s="76">
        <f t="shared" ca="1" si="172"/>
        <v>0.49748984559766618</v>
      </c>
      <c r="AZ169">
        <v>2</v>
      </c>
      <c r="BA169" s="129">
        <f t="shared" ref="BA169:BA177" si="246">IF(AZ169="", "",$C$12)</f>
        <v>39949</v>
      </c>
      <c r="BB169">
        <v>0</v>
      </c>
      <c r="BC169">
        <v>0</v>
      </c>
      <c r="BD169">
        <v>0</v>
      </c>
      <c r="BE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7"/>
        <v>0.57001401590866729</v>
      </c>
      <c r="CL169" s="179">
        <f t="shared" si="208"/>
        <v>2</v>
      </c>
      <c r="CM169" s="180">
        <f t="shared" si="209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0"/>
        <v>9.6000000000000002E-2</v>
      </c>
      <c r="DB169" s="146"/>
      <c r="DC169" s="76">
        <f t="shared" ca="1" si="173"/>
        <v>0.70123176266847187</v>
      </c>
      <c r="DD169">
        <f t="shared" si="211"/>
        <v>2</v>
      </c>
      <c r="DE169" s="129">
        <f t="shared" si="245"/>
        <v>39949</v>
      </c>
      <c r="DF169" s="161">
        <f t="shared" si="212"/>
        <v>0</v>
      </c>
      <c r="DG169" s="161">
        <f t="shared" si="213"/>
        <v>0</v>
      </c>
      <c r="DH169" s="161">
        <f t="shared" si="214"/>
        <v>0</v>
      </c>
      <c r="DI169" s="161">
        <f t="shared" si="215"/>
        <v>10.416666666666666</v>
      </c>
      <c r="DJ169" s="161">
        <f t="shared" si="216"/>
        <v>0</v>
      </c>
      <c r="DK169" s="161">
        <f t="shared" si="217"/>
        <v>0</v>
      </c>
      <c r="DL169" s="161">
        <f t="shared" si="218"/>
        <v>0</v>
      </c>
      <c r="DM169" s="161">
        <f t="shared" si="219"/>
        <v>0</v>
      </c>
      <c r="DN169" s="161">
        <f t="shared" si="220"/>
        <v>0</v>
      </c>
      <c r="DO169" s="161">
        <f t="shared" si="221"/>
        <v>0</v>
      </c>
      <c r="DP169" s="161">
        <f t="shared" si="222"/>
        <v>0</v>
      </c>
      <c r="DQ169" s="161">
        <f t="shared" si="223"/>
        <v>0</v>
      </c>
      <c r="DR169" s="161">
        <f t="shared" si="224"/>
        <v>0</v>
      </c>
      <c r="DS169" s="161">
        <f t="shared" si="225"/>
        <v>0</v>
      </c>
      <c r="DT169" s="161">
        <f t="shared" si="226"/>
        <v>0</v>
      </c>
      <c r="DU169" s="161">
        <f t="shared" si="227"/>
        <v>0</v>
      </c>
      <c r="DV169" s="161">
        <f t="shared" si="228"/>
        <v>0</v>
      </c>
      <c r="DW169" s="161">
        <f t="shared" si="229"/>
        <v>0</v>
      </c>
      <c r="DX169" s="161">
        <f t="shared" si="230"/>
        <v>0</v>
      </c>
      <c r="DY169" s="161">
        <f t="shared" si="231"/>
        <v>0</v>
      </c>
      <c r="DZ169" s="161">
        <f t="shared" si="232"/>
        <v>0</v>
      </c>
      <c r="EA169" s="161">
        <f t="shared" si="233"/>
        <v>0</v>
      </c>
      <c r="EB169" s="161">
        <f t="shared" si="234"/>
        <v>0</v>
      </c>
      <c r="EC169" s="161">
        <f t="shared" si="235"/>
        <v>0</v>
      </c>
      <c r="ED169" s="161">
        <f t="shared" si="236"/>
        <v>0</v>
      </c>
      <c r="EE169" s="161">
        <f t="shared" si="237"/>
        <v>0</v>
      </c>
      <c r="EF169" s="161">
        <f t="shared" si="238"/>
        <v>0</v>
      </c>
      <c r="EG169" s="161">
        <f t="shared" si="239"/>
        <v>0</v>
      </c>
      <c r="EH169" s="161">
        <f t="shared" si="240"/>
        <v>0</v>
      </c>
      <c r="EI169" s="161">
        <f t="shared" si="241"/>
        <v>0</v>
      </c>
      <c r="EJ169" s="161">
        <f t="shared" si="242"/>
        <v>0</v>
      </c>
      <c r="EK169" s="147">
        <f t="shared" si="174"/>
        <v>10.416666666666666</v>
      </c>
      <c r="EL169" s="149"/>
      <c r="EN169" s="146"/>
      <c r="EO169" s="146"/>
      <c r="EP169" s="139">
        <f t="shared" si="175"/>
        <v>0</v>
      </c>
      <c r="EQ169" s="139">
        <f t="shared" si="176"/>
        <v>0</v>
      </c>
      <c r="ER169" s="139">
        <f t="shared" si="177"/>
        <v>0</v>
      </c>
      <c r="ES169" s="139">
        <f t="shared" si="178"/>
        <v>1.2374342774304989</v>
      </c>
      <c r="ET169" s="139">
        <f t="shared" si="179"/>
        <v>0</v>
      </c>
      <c r="EU169" s="139">
        <f t="shared" si="180"/>
        <v>0</v>
      </c>
      <c r="EV169" s="139">
        <f t="shared" si="181"/>
        <v>0</v>
      </c>
      <c r="EW169" s="139">
        <f t="shared" si="182"/>
        <v>0</v>
      </c>
      <c r="EX169" s="139">
        <f t="shared" si="183"/>
        <v>0</v>
      </c>
      <c r="EY169" s="139">
        <f t="shared" si="184"/>
        <v>0</v>
      </c>
      <c r="EZ169" s="139">
        <f t="shared" si="185"/>
        <v>0</v>
      </c>
      <c r="FA169" s="139">
        <f t="shared" si="186"/>
        <v>0</v>
      </c>
      <c r="FB169" s="139">
        <f t="shared" si="187"/>
        <v>0</v>
      </c>
      <c r="FC169" s="139">
        <f t="shared" si="188"/>
        <v>0</v>
      </c>
      <c r="FD169" s="139">
        <f t="shared" si="189"/>
        <v>0</v>
      </c>
      <c r="FE169" s="139">
        <f t="shared" si="190"/>
        <v>0</v>
      </c>
      <c r="FF169" s="139">
        <f t="shared" si="191"/>
        <v>0</v>
      </c>
      <c r="FG169" s="139">
        <f t="shared" si="192"/>
        <v>0</v>
      </c>
      <c r="FH169" s="139">
        <f t="shared" si="193"/>
        <v>0</v>
      </c>
      <c r="FI169" s="139">
        <f t="shared" si="194"/>
        <v>0</v>
      </c>
      <c r="FJ169" s="139">
        <f t="shared" si="195"/>
        <v>0</v>
      </c>
      <c r="FK169" s="139">
        <f t="shared" si="196"/>
        <v>0</v>
      </c>
      <c r="FL169" s="139">
        <f t="shared" si="197"/>
        <v>0</v>
      </c>
      <c r="FM169" s="139">
        <f t="shared" si="198"/>
        <v>0</v>
      </c>
      <c r="FN169" s="139">
        <f t="shared" si="199"/>
        <v>0</v>
      </c>
      <c r="FO169" s="139">
        <f t="shared" si="200"/>
        <v>0</v>
      </c>
      <c r="FP169" s="139">
        <f t="shared" si="201"/>
        <v>0</v>
      </c>
      <c r="FQ169" s="139">
        <f t="shared" si="202"/>
        <v>0</v>
      </c>
      <c r="FR169" s="139">
        <f t="shared" si="203"/>
        <v>0</v>
      </c>
      <c r="FS169" s="139">
        <f t="shared" si="204"/>
        <v>0</v>
      </c>
      <c r="FT169" s="139">
        <f t="shared" si="205"/>
        <v>0</v>
      </c>
      <c r="FU169" s="148">
        <f t="shared" si="206"/>
        <v>1.2374342774304989</v>
      </c>
      <c r="FV169" s="149"/>
      <c r="FY169" s="210">
        <v>164</v>
      </c>
      <c r="FZ169">
        <v>0.98832621382366437</v>
      </c>
      <c r="GA169">
        <v>2.9185114749501797</v>
      </c>
      <c r="GB169">
        <v>3.1015671979995521</v>
      </c>
      <c r="GC169">
        <v>1.4254868677816765</v>
      </c>
      <c r="GD169">
        <v>1.7998592644549374</v>
      </c>
      <c r="GE169">
        <v>4.6123970566236903</v>
      </c>
      <c r="GF169">
        <v>6.6998483411220011</v>
      </c>
      <c r="GG169">
        <v>5.7767227616984771</v>
      </c>
      <c r="GH169">
        <v>4.5194980964819749</v>
      </c>
      <c r="GI169">
        <v>3.936384239617579</v>
      </c>
      <c r="GJ169"/>
      <c r="GK169"/>
      <c r="GL169"/>
      <c r="GM169"/>
    </row>
    <row r="170" spans="1:195" s="7" customFormat="1">
      <c r="A170" s="1"/>
      <c r="B170" s="76">
        <f t="shared" ca="1" si="171"/>
        <v>0.91487301299794255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15.880497685185185</v>
      </c>
      <c r="AO170">
        <v>4.3336253434777259</v>
      </c>
      <c r="AP170">
        <v>33.740574115717394</v>
      </c>
      <c r="AQ170">
        <v>27.845922806090151</v>
      </c>
      <c r="AR170">
        <v>4.0570633775131144</v>
      </c>
      <c r="AS170">
        <v>18.736794920510963</v>
      </c>
      <c r="AT170">
        <v>2.6485588613156499</v>
      </c>
      <c r="AU170">
        <v>-0.3309291126968032</v>
      </c>
      <c r="AV170"/>
      <c r="AW170"/>
      <c r="AX170" s="146"/>
      <c r="AY170" s="76">
        <f t="shared" ca="1" si="172"/>
        <v>0.88789175245224827</v>
      </c>
      <c r="AZ170">
        <v>3</v>
      </c>
      <c r="BA170" s="129">
        <f t="shared" si="246"/>
        <v>39949</v>
      </c>
      <c r="BB170">
        <v>0</v>
      </c>
      <c r="BC170" s="225">
        <v>0</v>
      </c>
      <c r="BD170" s="225">
        <v>0</v>
      </c>
      <c r="BE170" s="225">
        <v>0</v>
      </c>
      <c r="BF170" s="225">
        <v>0</v>
      </c>
      <c r="BG170">
        <v>1</v>
      </c>
      <c r="BH170">
        <v>1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7"/>
        <v>0.73615117782536199</v>
      </c>
      <c r="CL170" s="179">
        <f t="shared" si="208"/>
        <v>3</v>
      </c>
      <c r="CM170" s="180">
        <f t="shared" si="209"/>
        <v>39949</v>
      </c>
      <c r="CN170">
        <v>0</v>
      </c>
      <c r="CO170">
        <v>1</v>
      </c>
      <c r="CP170">
        <v>1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0"/>
        <v>9.6000000000000002E-2</v>
      </c>
      <c r="DB170" s="146"/>
      <c r="DC170" s="76">
        <f t="shared" ca="1" si="173"/>
        <v>0.15107074825348077</v>
      </c>
      <c r="DD170">
        <f t="shared" si="211"/>
        <v>3</v>
      </c>
      <c r="DE170" s="129">
        <f t="shared" si="245"/>
        <v>39949</v>
      </c>
      <c r="DF170" s="161">
        <f t="shared" si="212"/>
        <v>0</v>
      </c>
      <c r="DG170" s="161">
        <f t="shared" si="213"/>
        <v>81.018518518518519</v>
      </c>
      <c r="DH170" s="161">
        <f t="shared" si="214"/>
        <v>81.018518518518519</v>
      </c>
      <c r="DI170" s="161">
        <f t="shared" si="215"/>
        <v>0</v>
      </c>
      <c r="DJ170" s="161">
        <f t="shared" si="216"/>
        <v>0</v>
      </c>
      <c r="DK170" s="161">
        <f t="shared" si="217"/>
        <v>10.416666666666666</v>
      </c>
      <c r="DL170" s="161">
        <f t="shared" si="218"/>
        <v>10.416666666666666</v>
      </c>
      <c r="DM170" s="161">
        <f t="shared" si="219"/>
        <v>0</v>
      </c>
      <c r="DN170" s="161">
        <f t="shared" si="220"/>
        <v>0</v>
      </c>
      <c r="DO170" s="161">
        <f t="shared" si="221"/>
        <v>0</v>
      </c>
      <c r="DP170" s="161">
        <f t="shared" si="222"/>
        <v>0</v>
      </c>
      <c r="DQ170" s="161">
        <f t="shared" si="223"/>
        <v>0</v>
      </c>
      <c r="DR170" s="161">
        <f t="shared" si="224"/>
        <v>0</v>
      </c>
      <c r="DS170" s="161">
        <f t="shared" si="225"/>
        <v>0</v>
      </c>
      <c r="DT170" s="161">
        <f t="shared" si="226"/>
        <v>0</v>
      </c>
      <c r="DU170" s="161">
        <f t="shared" si="227"/>
        <v>0</v>
      </c>
      <c r="DV170" s="161">
        <f t="shared" si="228"/>
        <v>0</v>
      </c>
      <c r="DW170" s="161">
        <f t="shared" si="229"/>
        <v>0</v>
      </c>
      <c r="DX170" s="161">
        <f t="shared" si="230"/>
        <v>0</v>
      </c>
      <c r="DY170" s="161">
        <f t="shared" si="231"/>
        <v>0</v>
      </c>
      <c r="DZ170" s="161">
        <f t="shared" si="232"/>
        <v>0</v>
      </c>
      <c r="EA170" s="161">
        <f t="shared" si="233"/>
        <v>0</v>
      </c>
      <c r="EB170" s="161">
        <f t="shared" si="234"/>
        <v>0</v>
      </c>
      <c r="EC170" s="161">
        <f t="shared" si="235"/>
        <v>0</v>
      </c>
      <c r="ED170" s="161">
        <f t="shared" si="236"/>
        <v>0</v>
      </c>
      <c r="EE170" s="161">
        <f t="shared" si="237"/>
        <v>0</v>
      </c>
      <c r="EF170" s="161">
        <f t="shared" si="238"/>
        <v>0</v>
      </c>
      <c r="EG170" s="161">
        <f t="shared" si="239"/>
        <v>0</v>
      </c>
      <c r="EH170" s="161">
        <f t="shared" si="240"/>
        <v>0</v>
      </c>
      <c r="EI170" s="161">
        <f t="shared" si="241"/>
        <v>0</v>
      </c>
      <c r="EJ170" s="161">
        <f t="shared" si="242"/>
        <v>0</v>
      </c>
      <c r="EK170" s="147">
        <f t="shared" si="174"/>
        <v>182.87037037037035</v>
      </c>
      <c r="EL170" s="149"/>
      <c r="EN170" s="146"/>
      <c r="EO170" s="146"/>
      <c r="EP170" s="139">
        <f t="shared" si="175"/>
        <v>0</v>
      </c>
      <c r="EQ170" s="139">
        <f t="shared" si="176"/>
        <v>0.48272453703703699</v>
      </c>
      <c r="ER170" s="139">
        <f t="shared" si="177"/>
        <v>3.1893713076425971</v>
      </c>
      <c r="ES170" s="139">
        <f t="shared" si="178"/>
        <v>0</v>
      </c>
      <c r="ET170" s="139">
        <f t="shared" si="179"/>
        <v>0</v>
      </c>
      <c r="EU170" s="139">
        <f t="shared" si="180"/>
        <v>4.9755161005886874</v>
      </c>
      <c r="EV170" s="139">
        <f t="shared" si="181"/>
        <v>8.1757546524457592</v>
      </c>
      <c r="EW170" s="139">
        <f t="shared" si="182"/>
        <v>0</v>
      </c>
      <c r="EX170" s="139">
        <f t="shared" si="183"/>
        <v>0</v>
      </c>
      <c r="EY170" s="139">
        <f t="shared" si="184"/>
        <v>0</v>
      </c>
      <c r="EZ170" s="139">
        <f t="shared" si="185"/>
        <v>0</v>
      </c>
      <c r="FA170" s="139">
        <f t="shared" si="186"/>
        <v>0</v>
      </c>
      <c r="FB170" s="139">
        <f t="shared" si="187"/>
        <v>0</v>
      </c>
      <c r="FC170" s="139">
        <f t="shared" si="188"/>
        <v>0</v>
      </c>
      <c r="FD170" s="139">
        <f t="shared" si="189"/>
        <v>0</v>
      </c>
      <c r="FE170" s="139">
        <f t="shared" si="190"/>
        <v>0</v>
      </c>
      <c r="FF170" s="139">
        <f t="shared" si="191"/>
        <v>0</v>
      </c>
      <c r="FG170" s="139">
        <f t="shared" si="192"/>
        <v>0</v>
      </c>
      <c r="FH170" s="139">
        <f t="shared" si="193"/>
        <v>0</v>
      </c>
      <c r="FI170" s="139">
        <f t="shared" si="194"/>
        <v>0</v>
      </c>
      <c r="FJ170" s="139">
        <f t="shared" si="195"/>
        <v>0</v>
      </c>
      <c r="FK170" s="139">
        <f t="shared" si="196"/>
        <v>0</v>
      </c>
      <c r="FL170" s="139">
        <f t="shared" si="197"/>
        <v>0</v>
      </c>
      <c r="FM170" s="139">
        <f t="shared" si="198"/>
        <v>0</v>
      </c>
      <c r="FN170" s="139">
        <f t="shared" si="199"/>
        <v>0</v>
      </c>
      <c r="FO170" s="139">
        <f t="shared" si="200"/>
        <v>0</v>
      </c>
      <c r="FP170" s="139">
        <f t="shared" si="201"/>
        <v>0</v>
      </c>
      <c r="FQ170" s="139">
        <f t="shared" si="202"/>
        <v>0</v>
      </c>
      <c r="FR170" s="139">
        <f t="shared" si="203"/>
        <v>0</v>
      </c>
      <c r="FS170" s="139">
        <f t="shared" si="204"/>
        <v>0</v>
      </c>
      <c r="FT170" s="139">
        <f t="shared" si="205"/>
        <v>0</v>
      </c>
      <c r="FU170" s="148">
        <f t="shared" si="206"/>
        <v>16.823366597714081</v>
      </c>
      <c r="FV170" s="149"/>
      <c r="FY170" s="210">
        <v>165</v>
      </c>
      <c r="FZ170">
        <v>1.2150713583750172</v>
      </c>
      <c r="GA170">
        <v>2.745564839193686</v>
      </c>
      <c r="GB170">
        <v>1.3962158791119279</v>
      </c>
      <c r="GC170">
        <v>0.6363007573793944</v>
      </c>
      <c r="GD170">
        <v>2.0562686171885574</v>
      </c>
      <c r="GE170">
        <v>5.6710985192807275</v>
      </c>
      <c r="GF170">
        <v>7.5630135351819652</v>
      </c>
      <c r="GG170">
        <v>7.0094718270192349</v>
      </c>
      <c r="GH170">
        <v>4.8994526874607134</v>
      </c>
      <c r="GI170">
        <v>3.9210609638698033</v>
      </c>
      <c r="GJ170"/>
      <c r="GK170"/>
      <c r="GL170"/>
      <c r="GM170"/>
    </row>
    <row r="171" spans="1:195" s="7" customFormat="1">
      <c r="A171" s="1"/>
      <c r="B171" s="76">
        <f t="shared" ca="1" si="171"/>
        <v>0.32839679328003557</v>
      </c>
      <c r="C171">
        <v>4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30.737934188155169</v>
      </c>
      <c r="AO171">
        <v>6.0945612187483826</v>
      </c>
      <c r="AP171">
        <v>46.565663548046494</v>
      </c>
      <c r="AQ171">
        <v>39.300798419056662</v>
      </c>
      <c r="AR171">
        <v>5.5209823716755011</v>
      </c>
      <c r="AS171">
        <v>26.91470833987286</v>
      </c>
      <c r="AT171">
        <v>3.7280727926690016</v>
      </c>
      <c r="AU171">
        <v>7.3717349258340104</v>
      </c>
      <c r="AV171"/>
      <c r="AW171"/>
      <c r="AX171" s="146"/>
      <c r="AY171" s="76">
        <f t="shared" ca="1" si="172"/>
        <v>6.4728995801046629E-2</v>
      </c>
      <c r="AZ171">
        <v>4</v>
      </c>
      <c r="BA171" s="129">
        <f t="shared" si="246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7"/>
        <v>0.9437023089360097</v>
      </c>
      <c r="CL171" s="179">
        <f t="shared" si="208"/>
        <v>4</v>
      </c>
      <c r="CM171" s="180">
        <f t="shared" si="209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0"/>
        <v>9.6000000000000002E-2</v>
      </c>
      <c r="DB171" s="146"/>
      <c r="DC171" s="76">
        <f t="shared" ca="1" si="173"/>
        <v>0.55209265095792848</v>
      </c>
      <c r="DD171">
        <f t="shared" si="211"/>
        <v>4</v>
      </c>
      <c r="DE171" s="129">
        <f t="shared" si="245"/>
        <v>39949</v>
      </c>
      <c r="DF171" s="161">
        <f t="shared" si="212"/>
        <v>0</v>
      </c>
      <c r="DG171" s="161">
        <f t="shared" si="213"/>
        <v>0</v>
      </c>
      <c r="DH171" s="161">
        <f t="shared" si="214"/>
        <v>0</v>
      </c>
      <c r="DI171" s="161">
        <f t="shared" si="215"/>
        <v>0</v>
      </c>
      <c r="DJ171" s="161">
        <f t="shared" si="216"/>
        <v>0</v>
      </c>
      <c r="DK171" s="161">
        <f t="shared" si="217"/>
        <v>0</v>
      </c>
      <c r="DL171" s="161">
        <f t="shared" si="218"/>
        <v>0</v>
      </c>
      <c r="DM171" s="161">
        <f t="shared" si="219"/>
        <v>0</v>
      </c>
      <c r="DN171" s="161">
        <f t="shared" si="220"/>
        <v>0</v>
      </c>
      <c r="DO171" s="161">
        <f t="shared" si="221"/>
        <v>0</v>
      </c>
      <c r="DP171" s="161">
        <f t="shared" si="222"/>
        <v>0</v>
      </c>
      <c r="DQ171" s="161">
        <f t="shared" si="223"/>
        <v>0</v>
      </c>
      <c r="DR171" s="161">
        <f t="shared" si="224"/>
        <v>0</v>
      </c>
      <c r="DS171" s="161">
        <f t="shared" si="225"/>
        <v>0</v>
      </c>
      <c r="DT171" s="161">
        <f t="shared" si="226"/>
        <v>0</v>
      </c>
      <c r="DU171" s="161">
        <f t="shared" si="227"/>
        <v>0</v>
      </c>
      <c r="DV171" s="161">
        <f t="shared" si="228"/>
        <v>0</v>
      </c>
      <c r="DW171" s="161">
        <f t="shared" si="229"/>
        <v>0</v>
      </c>
      <c r="DX171" s="161">
        <f t="shared" si="230"/>
        <v>0</v>
      </c>
      <c r="DY171" s="161">
        <f t="shared" si="231"/>
        <v>0</v>
      </c>
      <c r="DZ171" s="161">
        <f t="shared" si="232"/>
        <v>0</v>
      </c>
      <c r="EA171" s="161">
        <f t="shared" si="233"/>
        <v>0</v>
      </c>
      <c r="EB171" s="161">
        <f t="shared" si="234"/>
        <v>0</v>
      </c>
      <c r="EC171" s="161">
        <f t="shared" si="235"/>
        <v>0</v>
      </c>
      <c r="ED171" s="161">
        <f t="shared" si="236"/>
        <v>0</v>
      </c>
      <c r="EE171" s="161">
        <f t="shared" si="237"/>
        <v>0</v>
      </c>
      <c r="EF171" s="161">
        <f t="shared" si="238"/>
        <v>0</v>
      </c>
      <c r="EG171" s="161">
        <f t="shared" si="239"/>
        <v>0</v>
      </c>
      <c r="EH171" s="161">
        <f t="shared" si="240"/>
        <v>0</v>
      </c>
      <c r="EI171" s="161">
        <f t="shared" si="241"/>
        <v>0</v>
      </c>
      <c r="EJ171" s="161">
        <f t="shared" si="242"/>
        <v>0</v>
      </c>
      <c r="EK171" s="147">
        <f t="shared" si="174"/>
        <v>0</v>
      </c>
      <c r="EL171" s="149"/>
      <c r="EN171" s="146"/>
      <c r="EO171" s="146"/>
      <c r="EP171" s="139">
        <f t="shared" si="175"/>
        <v>0</v>
      </c>
      <c r="EQ171" s="139">
        <f t="shared" si="176"/>
        <v>0</v>
      </c>
      <c r="ER171" s="139">
        <f t="shared" si="177"/>
        <v>0</v>
      </c>
      <c r="ES171" s="139">
        <f t="shared" si="178"/>
        <v>0</v>
      </c>
      <c r="ET171" s="139">
        <f t="shared" si="179"/>
        <v>0</v>
      </c>
      <c r="EU171" s="139">
        <f t="shared" si="180"/>
        <v>0</v>
      </c>
      <c r="EV171" s="139">
        <f t="shared" si="181"/>
        <v>0</v>
      </c>
      <c r="EW171" s="139">
        <f t="shared" si="182"/>
        <v>0</v>
      </c>
      <c r="EX171" s="139">
        <f t="shared" si="183"/>
        <v>0</v>
      </c>
      <c r="EY171" s="139">
        <f t="shared" si="184"/>
        <v>0</v>
      </c>
      <c r="EZ171" s="139">
        <f t="shared" si="185"/>
        <v>0</v>
      </c>
      <c r="FA171" s="139">
        <f t="shared" si="186"/>
        <v>0</v>
      </c>
      <c r="FB171" s="139">
        <f t="shared" si="187"/>
        <v>0</v>
      </c>
      <c r="FC171" s="139">
        <f t="shared" si="188"/>
        <v>0</v>
      </c>
      <c r="FD171" s="139">
        <f t="shared" si="189"/>
        <v>0</v>
      </c>
      <c r="FE171" s="139">
        <f t="shared" si="190"/>
        <v>0</v>
      </c>
      <c r="FF171" s="139">
        <f t="shared" si="191"/>
        <v>0</v>
      </c>
      <c r="FG171" s="139">
        <f t="shared" si="192"/>
        <v>0</v>
      </c>
      <c r="FH171" s="139">
        <f t="shared" si="193"/>
        <v>0</v>
      </c>
      <c r="FI171" s="139">
        <f t="shared" si="194"/>
        <v>0</v>
      </c>
      <c r="FJ171" s="139">
        <f t="shared" si="195"/>
        <v>0</v>
      </c>
      <c r="FK171" s="139">
        <f t="shared" si="196"/>
        <v>0</v>
      </c>
      <c r="FL171" s="139">
        <f t="shared" si="197"/>
        <v>0</v>
      </c>
      <c r="FM171" s="139">
        <f t="shared" si="198"/>
        <v>0</v>
      </c>
      <c r="FN171" s="139">
        <f t="shared" si="199"/>
        <v>0</v>
      </c>
      <c r="FO171" s="139">
        <f t="shared" si="200"/>
        <v>0</v>
      </c>
      <c r="FP171" s="139">
        <f t="shared" si="201"/>
        <v>0</v>
      </c>
      <c r="FQ171" s="139">
        <f t="shared" si="202"/>
        <v>0</v>
      </c>
      <c r="FR171" s="139">
        <f t="shared" si="203"/>
        <v>0</v>
      </c>
      <c r="FS171" s="139">
        <f t="shared" si="204"/>
        <v>0</v>
      </c>
      <c r="FT171" s="139">
        <f t="shared" si="205"/>
        <v>0</v>
      </c>
      <c r="FU171" s="148">
        <f t="shared" si="206"/>
        <v>0</v>
      </c>
      <c r="FV171" s="149"/>
      <c r="FY171" s="210">
        <v>166</v>
      </c>
      <c r="FZ171">
        <v>1.2766444085333657</v>
      </c>
      <c r="GA171">
        <v>1.9731015475638045</v>
      </c>
      <c r="GB171">
        <v>1.6777756795928529</v>
      </c>
      <c r="GC171">
        <v>0.91365351233343384</v>
      </c>
      <c r="GD171">
        <v>2.1358583133780082</v>
      </c>
      <c r="GE171">
        <v>5.1430400587553375</v>
      </c>
      <c r="GF171">
        <v>4.8930328914215231</v>
      </c>
      <c r="GG171">
        <v>5.8556040200801389</v>
      </c>
      <c r="GH171">
        <v>5.9766875289257557</v>
      </c>
      <c r="GI171">
        <v>3.7425465559380169</v>
      </c>
      <c r="GJ171"/>
      <c r="GK171"/>
      <c r="GL171"/>
      <c r="GM171"/>
    </row>
    <row r="172" spans="1:195" s="7" customFormat="1">
      <c r="A172" s="1"/>
      <c r="B172" s="76">
        <f t="shared" ca="1" si="171"/>
        <v>0.82336326134907978</v>
      </c>
      <c r="C172">
        <v>8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20.833333333333332</v>
      </c>
      <c r="J172">
        <v>20.833333333333332</v>
      </c>
      <c r="K172">
        <v>0</v>
      </c>
      <c r="L172">
        <v>10.416666666666666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27.83178725550049</v>
      </c>
      <c r="AO172">
        <v>5.7512372336566226</v>
      </c>
      <c r="AP172">
        <v>48.10716040706609</v>
      </c>
      <c r="AQ172">
        <v>39.032995985698072</v>
      </c>
      <c r="AR172">
        <v>5.3282533224848647</v>
      </c>
      <c r="AS172">
        <v>25.271352077006657</v>
      </c>
      <c r="AT172">
        <v>3.3979849406398466</v>
      </c>
      <c r="AU172">
        <v>7.3047601655675756</v>
      </c>
      <c r="AV172"/>
      <c r="AW172"/>
      <c r="AX172" s="146"/>
      <c r="AY172" s="76">
        <f t="shared" ca="1" si="172"/>
        <v>0.55111600702297059</v>
      </c>
      <c r="AZ172">
        <v>5</v>
      </c>
      <c r="BA172" s="129">
        <f t="shared" si="246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7"/>
        <v>0.62985796381012937</v>
      </c>
      <c r="CL172" s="179">
        <f t="shared" si="208"/>
        <v>5</v>
      </c>
      <c r="CM172" s="180">
        <f t="shared" si="209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0"/>
        <v>9.6000000000000002E-2</v>
      </c>
      <c r="DB172" s="146"/>
      <c r="DC172" s="76">
        <f t="shared" ca="1" si="173"/>
        <v>0.47410664474635955</v>
      </c>
      <c r="DD172">
        <f t="shared" si="211"/>
        <v>5</v>
      </c>
      <c r="DE172" s="129">
        <f t="shared" si="245"/>
        <v>39949</v>
      </c>
      <c r="DF172" s="161">
        <f t="shared" si="212"/>
        <v>0</v>
      </c>
      <c r="DG172" s="161">
        <f t="shared" si="213"/>
        <v>0</v>
      </c>
      <c r="DH172" s="161">
        <f t="shared" si="214"/>
        <v>0</v>
      </c>
      <c r="DI172" s="161">
        <f t="shared" si="215"/>
        <v>0</v>
      </c>
      <c r="DJ172" s="161">
        <f t="shared" si="216"/>
        <v>0</v>
      </c>
      <c r="DK172" s="161">
        <f t="shared" si="217"/>
        <v>0</v>
      </c>
      <c r="DL172" s="161">
        <f t="shared" si="218"/>
        <v>0</v>
      </c>
      <c r="DM172" s="161">
        <f t="shared" si="219"/>
        <v>0</v>
      </c>
      <c r="DN172" s="161">
        <f t="shared" si="220"/>
        <v>0</v>
      </c>
      <c r="DO172" s="161">
        <f t="shared" si="221"/>
        <v>0</v>
      </c>
      <c r="DP172" s="161">
        <f t="shared" si="222"/>
        <v>0</v>
      </c>
      <c r="DQ172" s="161">
        <f t="shared" si="223"/>
        <v>0</v>
      </c>
      <c r="DR172" s="161">
        <f t="shared" si="224"/>
        <v>0</v>
      </c>
      <c r="DS172" s="161">
        <f t="shared" si="225"/>
        <v>0</v>
      </c>
      <c r="DT172" s="161">
        <f t="shared" si="226"/>
        <v>0</v>
      </c>
      <c r="DU172" s="161">
        <f t="shared" si="227"/>
        <v>0</v>
      </c>
      <c r="DV172" s="161">
        <f t="shared" si="228"/>
        <v>0</v>
      </c>
      <c r="DW172" s="161">
        <f t="shared" si="229"/>
        <v>0</v>
      </c>
      <c r="DX172" s="161">
        <f t="shared" si="230"/>
        <v>0</v>
      </c>
      <c r="DY172" s="161">
        <f t="shared" si="231"/>
        <v>0</v>
      </c>
      <c r="DZ172" s="161">
        <f t="shared" si="232"/>
        <v>0</v>
      </c>
      <c r="EA172" s="161">
        <f t="shared" si="233"/>
        <v>0</v>
      </c>
      <c r="EB172" s="161">
        <f t="shared" si="234"/>
        <v>0</v>
      </c>
      <c r="EC172" s="161">
        <f t="shared" si="235"/>
        <v>0</v>
      </c>
      <c r="ED172" s="161">
        <f t="shared" si="236"/>
        <v>0</v>
      </c>
      <c r="EE172" s="161">
        <f t="shared" si="237"/>
        <v>0</v>
      </c>
      <c r="EF172" s="161">
        <f t="shared" si="238"/>
        <v>0</v>
      </c>
      <c r="EG172" s="161">
        <f t="shared" si="239"/>
        <v>0</v>
      </c>
      <c r="EH172" s="161">
        <f t="shared" si="240"/>
        <v>0</v>
      </c>
      <c r="EI172" s="161">
        <f t="shared" si="241"/>
        <v>0</v>
      </c>
      <c r="EJ172" s="161">
        <f t="shared" si="242"/>
        <v>0</v>
      </c>
      <c r="EK172" s="147">
        <f t="shared" si="174"/>
        <v>0</v>
      </c>
      <c r="EL172" s="149"/>
      <c r="EN172" s="146"/>
      <c r="EO172" s="146"/>
      <c r="EP172" s="139">
        <f t="shared" si="175"/>
        <v>0</v>
      </c>
      <c r="EQ172" s="139">
        <f t="shared" si="176"/>
        <v>0</v>
      </c>
      <c r="ER172" s="139">
        <f t="shared" si="177"/>
        <v>0</v>
      </c>
      <c r="ES172" s="139">
        <f t="shared" si="178"/>
        <v>0</v>
      </c>
      <c r="ET172" s="139">
        <f t="shared" si="179"/>
        <v>0</v>
      </c>
      <c r="EU172" s="139">
        <f t="shared" si="180"/>
        <v>0</v>
      </c>
      <c r="EV172" s="139">
        <f t="shared" si="181"/>
        <v>0</v>
      </c>
      <c r="EW172" s="139">
        <f t="shared" si="182"/>
        <v>0</v>
      </c>
      <c r="EX172" s="139">
        <f t="shared" si="183"/>
        <v>0</v>
      </c>
      <c r="EY172" s="139">
        <f t="shared" si="184"/>
        <v>0</v>
      </c>
      <c r="EZ172" s="139">
        <f t="shared" si="185"/>
        <v>0</v>
      </c>
      <c r="FA172" s="139">
        <f t="shared" si="186"/>
        <v>0</v>
      </c>
      <c r="FB172" s="139">
        <f t="shared" si="187"/>
        <v>0</v>
      </c>
      <c r="FC172" s="139">
        <f t="shared" si="188"/>
        <v>0</v>
      </c>
      <c r="FD172" s="139">
        <f t="shared" si="189"/>
        <v>0</v>
      </c>
      <c r="FE172" s="139">
        <f t="shared" si="190"/>
        <v>0</v>
      </c>
      <c r="FF172" s="139">
        <f t="shared" si="191"/>
        <v>0</v>
      </c>
      <c r="FG172" s="139">
        <f t="shared" si="192"/>
        <v>0</v>
      </c>
      <c r="FH172" s="139">
        <f t="shared" si="193"/>
        <v>0</v>
      </c>
      <c r="FI172" s="139">
        <f t="shared" si="194"/>
        <v>0</v>
      </c>
      <c r="FJ172" s="139">
        <f t="shared" si="195"/>
        <v>0</v>
      </c>
      <c r="FK172" s="139">
        <f t="shared" si="196"/>
        <v>0</v>
      </c>
      <c r="FL172" s="139">
        <f t="shared" si="197"/>
        <v>0</v>
      </c>
      <c r="FM172" s="139">
        <f t="shared" si="198"/>
        <v>0</v>
      </c>
      <c r="FN172" s="139">
        <f t="shared" si="199"/>
        <v>0</v>
      </c>
      <c r="FO172" s="139">
        <f t="shared" si="200"/>
        <v>0</v>
      </c>
      <c r="FP172" s="139">
        <f t="shared" si="201"/>
        <v>0</v>
      </c>
      <c r="FQ172" s="139">
        <f t="shared" si="202"/>
        <v>0</v>
      </c>
      <c r="FR172" s="139">
        <f t="shared" si="203"/>
        <v>0</v>
      </c>
      <c r="FS172" s="139">
        <f t="shared" si="204"/>
        <v>0</v>
      </c>
      <c r="FT172" s="139">
        <f t="shared" si="205"/>
        <v>0</v>
      </c>
      <c r="FU172" s="148">
        <f t="shared" si="206"/>
        <v>0</v>
      </c>
      <c r="FV172" s="149"/>
      <c r="FY172" s="210">
        <v>167</v>
      </c>
      <c r="FZ172">
        <v>0.70012078380289477</v>
      </c>
      <c r="GA172">
        <v>2.9164317028100237</v>
      </c>
      <c r="GB172">
        <v>2.3515940183433504</v>
      </c>
      <c r="GC172">
        <v>0.70251397423940576</v>
      </c>
      <c r="GD172">
        <v>0.93678174225522426</v>
      </c>
      <c r="GE172">
        <v>3.214647452125698</v>
      </c>
      <c r="GF172">
        <v>6.1851598817760909</v>
      </c>
      <c r="GG172">
        <v>3.4664022293419814</v>
      </c>
      <c r="GH172">
        <v>1.5646867301656304</v>
      </c>
      <c r="GI172">
        <v>2.6445383625714083</v>
      </c>
      <c r="GJ172"/>
      <c r="GK172"/>
      <c r="GL172"/>
      <c r="GM172"/>
    </row>
    <row r="173" spans="1:195" s="7" customFormat="1">
      <c r="A173" s="1"/>
      <c r="B173" s="76">
        <f t="shared" ca="1" si="171"/>
        <v>0.11692383315566834</v>
      </c>
      <c r="C173">
        <v>3</v>
      </c>
      <c r="D173">
        <v>39949</v>
      </c>
      <c r="E173">
        <v>0</v>
      </c>
      <c r="F173">
        <v>81.018518518518519</v>
      </c>
      <c r="G173">
        <v>81.018518518518519</v>
      </c>
      <c r="H173">
        <v>0</v>
      </c>
      <c r="I173">
        <v>0</v>
      </c>
      <c r="J173">
        <v>10.416666666666666</v>
      </c>
      <c r="K173">
        <v>10.416666666666666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24.792458035564657</v>
      </c>
      <c r="AO173">
        <v>4.3876522829523967</v>
      </c>
      <c r="AP173">
        <v>33.181656198176391</v>
      </c>
      <c r="AQ173">
        <v>28.058901716510849</v>
      </c>
      <c r="AR173">
        <v>4.0159576839519957</v>
      </c>
      <c r="AS173">
        <v>19.555529078921616</v>
      </c>
      <c r="AT173">
        <v>2.6193199710927653</v>
      </c>
      <c r="AU173">
        <v>-0.10972072465425742</v>
      </c>
      <c r="AV173"/>
      <c r="AW173"/>
      <c r="AX173" s="146"/>
      <c r="AY173" s="76">
        <f t="shared" ca="1" si="172"/>
        <v>0.92974003018375129</v>
      </c>
      <c r="AZ173">
        <v>6</v>
      </c>
      <c r="BA173" s="129">
        <f t="shared" si="246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7"/>
        <v>0.6684261555274198</v>
      </c>
      <c r="CL173" s="179">
        <f t="shared" si="208"/>
        <v>6</v>
      </c>
      <c r="CM173" s="180">
        <f t="shared" si="209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0"/>
        <v>9.6000000000000002E-2</v>
      </c>
      <c r="DB173" s="146"/>
      <c r="DC173" s="76">
        <f t="shared" ca="1" si="173"/>
        <v>0.92941860442757562</v>
      </c>
      <c r="DD173">
        <f t="shared" si="211"/>
        <v>6</v>
      </c>
      <c r="DE173" s="129">
        <f t="shared" si="245"/>
        <v>39949</v>
      </c>
      <c r="DF173" s="161">
        <f t="shared" si="212"/>
        <v>0</v>
      </c>
      <c r="DG173" s="161">
        <f t="shared" si="213"/>
        <v>0</v>
      </c>
      <c r="DH173" s="161">
        <f t="shared" si="214"/>
        <v>0</v>
      </c>
      <c r="DI173" s="161">
        <f t="shared" si="215"/>
        <v>0</v>
      </c>
      <c r="DJ173" s="161">
        <f t="shared" si="216"/>
        <v>0</v>
      </c>
      <c r="DK173" s="161">
        <f t="shared" si="217"/>
        <v>0</v>
      </c>
      <c r="DL173" s="161">
        <f t="shared" si="218"/>
        <v>0</v>
      </c>
      <c r="DM173" s="161">
        <f t="shared" si="219"/>
        <v>0</v>
      </c>
      <c r="DN173" s="161">
        <f t="shared" si="220"/>
        <v>0</v>
      </c>
      <c r="DO173" s="161">
        <f t="shared" si="221"/>
        <v>0</v>
      </c>
      <c r="DP173" s="161">
        <f t="shared" si="222"/>
        <v>0</v>
      </c>
      <c r="DQ173" s="161">
        <f t="shared" si="223"/>
        <v>0</v>
      </c>
      <c r="DR173" s="161">
        <f t="shared" si="224"/>
        <v>0</v>
      </c>
      <c r="DS173" s="161">
        <f t="shared" si="225"/>
        <v>0</v>
      </c>
      <c r="DT173" s="161">
        <f t="shared" si="226"/>
        <v>0</v>
      </c>
      <c r="DU173" s="161">
        <f t="shared" si="227"/>
        <v>0</v>
      </c>
      <c r="DV173" s="161">
        <f t="shared" si="228"/>
        <v>0</v>
      </c>
      <c r="DW173" s="161">
        <f t="shared" si="229"/>
        <v>0</v>
      </c>
      <c r="DX173" s="161">
        <f t="shared" si="230"/>
        <v>0</v>
      </c>
      <c r="DY173" s="161">
        <f t="shared" si="231"/>
        <v>0</v>
      </c>
      <c r="DZ173" s="161">
        <f t="shared" si="232"/>
        <v>0</v>
      </c>
      <c r="EA173" s="161">
        <f t="shared" si="233"/>
        <v>0</v>
      </c>
      <c r="EB173" s="161">
        <f t="shared" si="234"/>
        <v>0</v>
      </c>
      <c r="EC173" s="161">
        <f t="shared" si="235"/>
        <v>0</v>
      </c>
      <c r="ED173" s="161">
        <f t="shared" si="236"/>
        <v>0</v>
      </c>
      <c r="EE173" s="161">
        <f t="shared" si="237"/>
        <v>0</v>
      </c>
      <c r="EF173" s="161">
        <f t="shared" si="238"/>
        <v>0</v>
      </c>
      <c r="EG173" s="161">
        <f t="shared" si="239"/>
        <v>0</v>
      </c>
      <c r="EH173" s="161">
        <f t="shared" si="240"/>
        <v>0</v>
      </c>
      <c r="EI173" s="161">
        <f t="shared" si="241"/>
        <v>0</v>
      </c>
      <c r="EJ173" s="161">
        <f t="shared" si="242"/>
        <v>0</v>
      </c>
      <c r="EK173" s="147">
        <f t="shared" si="174"/>
        <v>0</v>
      </c>
      <c r="EL173" s="149"/>
      <c r="EN173" s="146"/>
      <c r="EO173" s="146"/>
      <c r="EP173" s="139">
        <f t="shared" si="175"/>
        <v>0</v>
      </c>
      <c r="EQ173" s="139">
        <f t="shared" si="176"/>
        <v>0</v>
      </c>
      <c r="ER173" s="139">
        <f t="shared" si="177"/>
        <v>0</v>
      </c>
      <c r="ES173" s="139">
        <f t="shared" si="178"/>
        <v>0</v>
      </c>
      <c r="ET173" s="139">
        <f t="shared" si="179"/>
        <v>0</v>
      </c>
      <c r="EU173" s="139">
        <f t="shared" si="180"/>
        <v>0</v>
      </c>
      <c r="EV173" s="139">
        <f t="shared" si="181"/>
        <v>0</v>
      </c>
      <c r="EW173" s="139">
        <f t="shared" si="182"/>
        <v>0</v>
      </c>
      <c r="EX173" s="139">
        <f t="shared" si="183"/>
        <v>0</v>
      </c>
      <c r="EY173" s="139">
        <f t="shared" si="184"/>
        <v>0</v>
      </c>
      <c r="EZ173" s="139">
        <f t="shared" si="185"/>
        <v>0</v>
      </c>
      <c r="FA173" s="139">
        <f t="shared" si="186"/>
        <v>0</v>
      </c>
      <c r="FB173" s="139">
        <f t="shared" si="187"/>
        <v>0</v>
      </c>
      <c r="FC173" s="139">
        <f t="shared" si="188"/>
        <v>0</v>
      </c>
      <c r="FD173" s="139">
        <f t="shared" si="189"/>
        <v>0</v>
      </c>
      <c r="FE173" s="139">
        <f t="shared" si="190"/>
        <v>0</v>
      </c>
      <c r="FF173" s="139">
        <f t="shared" si="191"/>
        <v>0</v>
      </c>
      <c r="FG173" s="139">
        <f t="shared" si="192"/>
        <v>0</v>
      </c>
      <c r="FH173" s="139">
        <f t="shared" si="193"/>
        <v>0</v>
      </c>
      <c r="FI173" s="139">
        <f t="shared" si="194"/>
        <v>0</v>
      </c>
      <c r="FJ173" s="139">
        <f t="shared" si="195"/>
        <v>0</v>
      </c>
      <c r="FK173" s="139">
        <f t="shared" si="196"/>
        <v>0</v>
      </c>
      <c r="FL173" s="139">
        <f t="shared" si="197"/>
        <v>0</v>
      </c>
      <c r="FM173" s="139">
        <f t="shared" si="198"/>
        <v>0</v>
      </c>
      <c r="FN173" s="139">
        <f t="shared" si="199"/>
        <v>0</v>
      </c>
      <c r="FO173" s="139">
        <f t="shared" si="200"/>
        <v>0</v>
      </c>
      <c r="FP173" s="139">
        <f t="shared" si="201"/>
        <v>0</v>
      </c>
      <c r="FQ173" s="139">
        <f t="shared" si="202"/>
        <v>0</v>
      </c>
      <c r="FR173" s="139">
        <f t="shared" si="203"/>
        <v>0</v>
      </c>
      <c r="FS173" s="139">
        <f t="shared" si="204"/>
        <v>0</v>
      </c>
      <c r="FT173" s="139">
        <f t="shared" si="205"/>
        <v>0</v>
      </c>
      <c r="FU173" s="148">
        <f t="shared" si="206"/>
        <v>0</v>
      </c>
      <c r="FV173" s="149"/>
      <c r="FY173" s="210">
        <v>168</v>
      </c>
      <c r="FZ173">
        <v>0.90596569600502563</v>
      </c>
      <c r="GA173">
        <v>1.4297361238448056</v>
      </c>
      <c r="GB173">
        <v>0.42622089382871964</v>
      </c>
      <c r="GC173">
        <v>0.47113227716494038</v>
      </c>
      <c r="GD173">
        <v>2.5416888374995841</v>
      </c>
      <c r="GE173">
        <v>6.2762513158132709</v>
      </c>
      <c r="GF173">
        <v>5.646113887695039</v>
      </c>
      <c r="GG173">
        <v>5.3038494086404917</v>
      </c>
      <c r="GH173">
        <v>4.3228118908523605</v>
      </c>
      <c r="GI173">
        <v>3.4769466848396262</v>
      </c>
      <c r="GJ173"/>
      <c r="GK173"/>
      <c r="GL173"/>
      <c r="GM173"/>
    </row>
    <row r="174" spans="1:195" s="7" customFormat="1">
      <c r="A174" s="1"/>
      <c r="B174" s="76">
        <f t="shared" ca="1" si="171"/>
        <v>0.76933589528437318</v>
      </c>
      <c r="C174">
        <v>7</v>
      </c>
      <c r="D174">
        <v>39949</v>
      </c>
      <c r="E174">
        <v>0</v>
      </c>
      <c r="F174">
        <v>0</v>
      </c>
      <c r="G174">
        <v>0</v>
      </c>
      <c r="H174">
        <v>10.416666666666666</v>
      </c>
      <c r="I174">
        <v>10.416666666666666</v>
      </c>
      <c r="J174">
        <v>20.833333333333332</v>
      </c>
      <c r="K174">
        <v>10.416666666666666</v>
      </c>
      <c r="L174">
        <v>10.416666666666666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27.607225155019272</v>
      </c>
      <c r="AO174">
        <v>7.0259452572899779</v>
      </c>
      <c r="AP174">
        <v>51.725013793140256</v>
      </c>
      <c r="AQ174">
        <v>44.202735485206517</v>
      </c>
      <c r="AR174">
        <v>6.4388249041618861</v>
      </c>
      <c r="AS174">
        <v>29.525931682139838</v>
      </c>
      <c r="AT174">
        <v>4.3100618265008732</v>
      </c>
      <c r="AU174">
        <v>4.047363655057798</v>
      </c>
      <c r="AV174"/>
      <c r="AW174"/>
      <c r="AX174" s="146"/>
      <c r="AY174" s="76">
        <f t="shared" ca="1" si="172"/>
        <v>0.12198829756280816</v>
      </c>
      <c r="AZ174">
        <v>7</v>
      </c>
      <c r="BA174" s="129">
        <f t="shared" si="246"/>
        <v>39949</v>
      </c>
      <c r="BB174" s="217">
        <v>0</v>
      </c>
      <c r="BC174" s="217">
        <v>0</v>
      </c>
      <c r="BD174" s="217">
        <v>0</v>
      </c>
      <c r="BE174" s="217">
        <v>1</v>
      </c>
      <c r="BF174" s="217">
        <v>1</v>
      </c>
      <c r="BG174" s="217">
        <v>2</v>
      </c>
      <c r="BH174" s="217">
        <v>1</v>
      </c>
      <c r="BI174" s="217">
        <v>1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7"/>
        <v>0.39792523586792861</v>
      </c>
      <c r="CL174" s="179">
        <f t="shared" si="208"/>
        <v>7</v>
      </c>
      <c r="CM174" s="180">
        <f t="shared" si="209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0"/>
        <v>9.6000000000000002E-2</v>
      </c>
      <c r="DB174" s="146"/>
      <c r="DC174" s="76">
        <f t="shared" ca="1" si="173"/>
        <v>0.73689753653046441</v>
      </c>
      <c r="DD174">
        <f t="shared" si="211"/>
        <v>7</v>
      </c>
      <c r="DE174" s="129">
        <f t="shared" si="245"/>
        <v>39949</v>
      </c>
      <c r="DF174" s="161">
        <f t="shared" si="212"/>
        <v>0</v>
      </c>
      <c r="DG174" s="161">
        <f t="shared" si="213"/>
        <v>0</v>
      </c>
      <c r="DH174" s="161">
        <f t="shared" si="214"/>
        <v>0</v>
      </c>
      <c r="DI174" s="161">
        <f t="shared" si="215"/>
        <v>10.416666666666666</v>
      </c>
      <c r="DJ174" s="161">
        <f t="shared" si="216"/>
        <v>10.416666666666666</v>
      </c>
      <c r="DK174" s="161">
        <f t="shared" si="217"/>
        <v>20.833333333333332</v>
      </c>
      <c r="DL174" s="161">
        <f t="shared" si="218"/>
        <v>10.416666666666666</v>
      </c>
      <c r="DM174" s="161">
        <f t="shared" si="219"/>
        <v>10.416666666666666</v>
      </c>
      <c r="DN174" s="161">
        <f t="shared" si="220"/>
        <v>0</v>
      </c>
      <c r="DO174" s="161">
        <f t="shared" si="221"/>
        <v>0</v>
      </c>
      <c r="DP174" s="161">
        <f t="shared" si="222"/>
        <v>0</v>
      </c>
      <c r="DQ174" s="161">
        <f t="shared" si="223"/>
        <v>0</v>
      </c>
      <c r="DR174" s="161">
        <f t="shared" si="224"/>
        <v>0</v>
      </c>
      <c r="DS174" s="161">
        <f t="shared" si="225"/>
        <v>0</v>
      </c>
      <c r="DT174" s="161">
        <f t="shared" si="226"/>
        <v>0</v>
      </c>
      <c r="DU174" s="161">
        <f t="shared" si="227"/>
        <v>0</v>
      </c>
      <c r="DV174" s="161">
        <f t="shared" si="228"/>
        <v>0</v>
      </c>
      <c r="DW174" s="161">
        <f t="shared" si="229"/>
        <v>0</v>
      </c>
      <c r="DX174" s="161">
        <f t="shared" si="230"/>
        <v>0</v>
      </c>
      <c r="DY174" s="161">
        <f t="shared" si="231"/>
        <v>0</v>
      </c>
      <c r="DZ174" s="161">
        <f t="shared" si="232"/>
        <v>0</v>
      </c>
      <c r="EA174" s="161">
        <f t="shared" si="233"/>
        <v>0</v>
      </c>
      <c r="EB174" s="161">
        <f t="shared" si="234"/>
        <v>0</v>
      </c>
      <c r="EC174" s="161">
        <f t="shared" si="235"/>
        <v>0</v>
      </c>
      <c r="ED174" s="161">
        <f t="shared" si="236"/>
        <v>0</v>
      </c>
      <c r="EE174" s="161">
        <f t="shared" si="237"/>
        <v>0</v>
      </c>
      <c r="EF174" s="161">
        <f t="shared" si="238"/>
        <v>0</v>
      </c>
      <c r="EG174" s="161">
        <f t="shared" si="239"/>
        <v>0</v>
      </c>
      <c r="EH174" s="161">
        <f t="shared" si="240"/>
        <v>0</v>
      </c>
      <c r="EI174" s="161">
        <f t="shared" si="241"/>
        <v>0</v>
      </c>
      <c r="EJ174" s="161">
        <f t="shared" si="242"/>
        <v>0</v>
      </c>
      <c r="EK174" s="147">
        <f t="shared" si="174"/>
        <v>62.499999999999993</v>
      </c>
      <c r="EL174" s="149"/>
      <c r="EN174" s="146"/>
      <c r="EO174" s="146"/>
      <c r="EP174" s="139">
        <f t="shared" si="175"/>
        <v>0</v>
      </c>
      <c r="EQ174" s="139">
        <f t="shared" si="176"/>
        <v>0</v>
      </c>
      <c r="ER174" s="139">
        <f t="shared" si="177"/>
        <v>0</v>
      </c>
      <c r="ES174" s="139">
        <f t="shared" si="178"/>
        <v>1.2374342774304989</v>
      </c>
      <c r="ET174" s="139">
        <f t="shared" si="179"/>
        <v>2.7092885432593907</v>
      </c>
      <c r="EU174" s="139">
        <f t="shared" si="180"/>
        <v>9.9510322011773749</v>
      </c>
      <c r="EV174" s="139">
        <f t="shared" si="181"/>
        <v>8.1757546524457592</v>
      </c>
      <c r="EW174" s="139">
        <f t="shared" si="182"/>
        <v>12.442020286762366</v>
      </c>
      <c r="EX174" s="139">
        <f t="shared" si="183"/>
        <v>0</v>
      </c>
      <c r="EY174" s="139">
        <f t="shared" si="184"/>
        <v>0</v>
      </c>
      <c r="EZ174" s="139">
        <f t="shared" si="185"/>
        <v>0</v>
      </c>
      <c r="FA174" s="139">
        <f t="shared" si="186"/>
        <v>0</v>
      </c>
      <c r="FB174" s="139">
        <f t="shared" si="187"/>
        <v>0</v>
      </c>
      <c r="FC174" s="139">
        <f t="shared" si="188"/>
        <v>0</v>
      </c>
      <c r="FD174" s="139">
        <f t="shared" si="189"/>
        <v>0</v>
      </c>
      <c r="FE174" s="139">
        <f t="shared" si="190"/>
        <v>0</v>
      </c>
      <c r="FF174" s="139">
        <f t="shared" si="191"/>
        <v>0</v>
      </c>
      <c r="FG174" s="139">
        <f t="shared" si="192"/>
        <v>0</v>
      </c>
      <c r="FH174" s="139">
        <f t="shared" si="193"/>
        <v>0</v>
      </c>
      <c r="FI174" s="139">
        <f t="shared" si="194"/>
        <v>0</v>
      </c>
      <c r="FJ174" s="139">
        <f t="shared" si="195"/>
        <v>0</v>
      </c>
      <c r="FK174" s="139">
        <f t="shared" si="196"/>
        <v>0</v>
      </c>
      <c r="FL174" s="139">
        <f t="shared" si="197"/>
        <v>0</v>
      </c>
      <c r="FM174" s="139">
        <f t="shared" si="198"/>
        <v>0</v>
      </c>
      <c r="FN174" s="139">
        <f t="shared" si="199"/>
        <v>0</v>
      </c>
      <c r="FO174" s="139">
        <f t="shared" si="200"/>
        <v>0</v>
      </c>
      <c r="FP174" s="139">
        <f t="shared" si="201"/>
        <v>0</v>
      </c>
      <c r="FQ174" s="139">
        <f t="shared" si="202"/>
        <v>0</v>
      </c>
      <c r="FR174" s="139">
        <f t="shared" si="203"/>
        <v>0</v>
      </c>
      <c r="FS174" s="139">
        <f t="shared" si="204"/>
        <v>0</v>
      </c>
      <c r="FT174" s="139">
        <f t="shared" si="205"/>
        <v>0</v>
      </c>
      <c r="FU174" s="148">
        <f t="shared" si="206"/>
        <v>34.515529961075387</v>
      </c>
      <c r="FV174" s="149"/>
      <c r="FY174" s="210">
        <v>169</v>
      </c>
      <c r="FZ174">
        <v>1.5444006649606403</v>
      </c>
      <c r="GA174">
        <v>3.6161394127818354</v>
      </c>
      <c r="GB174">
        <v>1.960291384490767</v>
      </c>
      <c r="GC174">
        <v>0.75680664850592139</v>
      </c>
      <c r="GD174">
        <v>1.5952445323834386</v>
      </c>
      <c r="GE174">
        <v>6.0972568237579869</v>
      </c>
      <c r="GF174">
        <v>9.6510320986265956</v>
      </c>
      <c r="GG174">
        <v>7.2409681231489396</v>
      </c>
      <c r="GH174">
        <v>6.6434414827805215</v>
      </c>
      <c r="GI174">
        <v>4.5056090699889122</v>
      </c>
      <c r="GJ174"/>
      <c r="GK174"/>
      <c r="GL174"/>
      <c r="GM174"/>
    </row>
    <row r="175" spans="1:195" s="7" customFormat="1">
      <c r="A175" s="1"/>
      <c r="B175" s="76">
        <f t="shared" ca="1" si="171"/>
        <v>0.95313270042981024</v>
      </c>
      <c r="C175">
        <v>6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24.279831857956854</v>
      </c>
      <c r="AO175">
        <v>6.2311828165815015</v>
      </c>
      <c r="AP175">
        <v>47.577761143453323</v>
      </c>
      <c r="AQ175">
        <v>40.262265141481862</v>
      </c>
      <c r="AR175">
        <v>5.8185541704157062</v>
      </c>
      <c r="AS175">
        <v>26.702182626775958</v>
      </c>
      <c r="AT175">
        <v>3.7606557788971036</v>
      </c>
      <c r="AU175">
        <v>25.155441861350603</v>
      </c>
      <c r="AV175"/>
      <c r="AW175"/>
      <c r="AX175" s="146"/>
      <c r="AY175" s="76">
        <f t="shared" ca="1" si="172"/>
        <v>0.47119165773479832</v>
      </c>
      <c r="AZ175">
        <v>8</v>
      </c>
      <c r="BA175" s="129">
        <f t="shared" si="246"/>
        <v>39949</v>
      </c>
      <c r="BB175">
        <v>0</v>
      </c>
      <c r="BC175">
        <v>0</v>
      </c>
      <c r="BD175">
        <v>0</v>
      </c>
      <c r="BE175">
        <v>0</v>
      </c>
      <c r="BF175">
        <v>2</v>
      </c>
      <c r="BG175">
        <v>2</v>
      </c>
      <c r="BH175">
        <v>0</v>
      </c>
      <c r="BI175">
        <v>1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7"/>
        <v>0.2740574637856561</v>
      </c>
      <c r="CL175" s="179">
        <f t="shared" si="208"/>
        <v>8</v>
      </c>
      <c r="CM175" s="180">
        <f t="shared" si="209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0"/>
        <v>9.6000000000000002E-2</v>
      </c>
      <c r="DB175" s="146"/>
      <c r="DC175" s="76">
        <f t="shared" ca="1" si="173"/>
        <v>0.705358557892656</v>
      </c>
      <c r="DD175">
        <f t="shared" si="211"/>
        <v>8</v>
      </c>
      <c r="DE175" s="129">
        <f t="shared" si="245"/>
        <v>39949</v>
      </c>
      <c r="DF175" s="161">
        <f t="shared" si="212"/>
        <v>0</v>
      </c>
      <c r="DG175" s="161">
        <f t="shared" si="213"/>
        <v>0</v>
      </c>
      <c r="DH175" s="161">
        <f t="shared" si="214"/>
        <v>0</v>
      </c>
      <c r="DI175" s="161">
        <f t="shared" si="215"/>
        <v>0</v>
      </c>
      <c r="DJ175" s="161">
        <f t="shared" si="216"/>
        <v>20.833333333333332</v>
      </c>
      <c r="DK175" s="161">
        <f t="shared" si="217"/>
        <v>20.833333333333332</v>
      </c>
      <c r="DL175" s="161">
        <f t="shared" si="218"/>
        <v>0</v>
      </c>
      <c r="DM175" s="161">
        <f t="shared" si="219"/>
        <v>10.416666666666666</v>
      </c>
      <c r="DN175" s="161">
        <f t="shared" si="220"/>
        <v>0</v>
      </c>
      <c r="DO175" s="161">
        <f t="shared" si="221"/>
        <v>0</v>
      </c>
      <c r="DP175" s="161">
        <f t="shared" si="222"/>
        <v>0</v>
      </c>
      <c r="DQ175" s="161">
        <f t="shared" si="223"/>
        <v>0</v>
      </c>
      <c r="DR175" s="161">
        <f t="shared" si="224"/>
        <v>0</v>
      </c>
      <c r="DS175" s="161">
        <f t="shared" si="225"/>
        <v>0</v>
      </c>
      <c r="DT175" s="161">
        <f t="shared" si="226"/>
        <v>0</v>
      </c>
      <c r="DU175" s="161">
        <f t="shared" si="227"/>
        <v>0</v>
      </c>
      <c r="DV175" s="161">
        <f t="shared" si="228"/>
        <v>0</v>
      </c>
      <c r="DW175" s="161">
        <f t="shared" si="229"/>
        <v>0</v>
      </c>
      <c r="DX175" s="161">
        <f t="shared" si="230"/>
        <v>0</v>
      </c>
      <c r="DY175" s="161">
        <f t="shared" si="231"/>
        <v>0</v>
      </c>
      <c r="DZ175" s="161">
        <f t="shared" si="232"/>
        <v>0</v>
      </c>
      <c r="EA175" s="161">
        <f t="shared" si="233"/>
        <v>0</v>
      </c>
      <c r="EB175" s="161">
        <f t="shared" si="234"/>
        <v>0</v>
      </c>
      <c r="EC175" s="161">
        <f t="shared" si="235"/>
        <v>0</v>
      </c>
      <c r="ED175" s="161">
        <f t="shared" si="236"/>
        <v>0</v>
      </c>
      <c r="EE175" s="161">
        <f t="shared" si="237"/>
        <v>0</v>
      </c>
      <c r="EF175" s="161">
        <f t="shared" si="238"/>
        <v>0</v>
      </c>
      <c r="EG175" s="161">
        <f t="shared" si="239"/>
        <v>0</v>
      </c>
      <c r="EH175" s="161">
        <f t="shared" si="240"/>
        <v>0</v>
      </c>
      <c r="EI175" s="161">
        <f t="shared" si="241"/>
        <v>0</v>
      </c>
      <c r="EJ175" s="161">
        <f t="shared" si="242"/>
        <v>0</v>
      </c>
      <c r="EK175" s="147">
        <f t="shared" si="174"/>
        <v>52.083333333333329</v>
      </c>
      <c r="EL175" s="149"/>
      <c r="EN175" s="146"/>
      <c r="EO175" s="146"/>
      <c r="EP175" s="139">
        <f t="shared" si="175"/>
        <v>0</v>
      </c>
      <c r="EQ175" s="139">
        <f t="shared" si="176"/>
        <v>0</v>
      </c>
      <c r="ER175" s="139">
        <f t="shared" si="177"/>
        <v>0</v>
      </c>
      <c r="ES175" s="139">
        <f t="shared" si="178"/>
        <v>0</v>
      </c>
      <c r="ET175" s="139">
        <f t="shared" si="179"/>
        <v>5.4185770865187814</v>
      </c>
      <c r="EU175" s="139">
        <f t="shared" si="180"/>
        <v>9.9510322011773749</v>
      </c>
      <c r="EV175" s="139">
        <f t="shared" si="181"/>
        <v>0</v>
      </c>
      <c r="EW175" s="139">
        <f t="shared" si="182"/>
        <v>12.442020286762366</v>
      </c>
      <c r="EX175" s="139">
        <f t="shared" si="183"/>
        <v>0</v>
      </c>
      <c r="EY175" s="139">
        <f t="shared" si="184"/>
        <v>0</v>
      </c>
      <c r="EZ175" s="139">
        <f t="shared" si="185"/>
        <v>0</v>
      </c>
      <c r="FA175" s="139">
        <f t="shared" si="186"/>
        <v>0</v>
      </c>
      <c r="FB175" s="139">
        <f t="shared" si="187"/>
        <v>0</v>
      </c>
      <c r="FC175" s="139">
        <f t="shared" si="188"/>
        <v>0</v>
      </c>
      <c r="FD175" s="139">
        <f t="shared" si="189"/>
        <v>0</v>
      </c>
      <c r="FE175" s="139">
        <f t="shared" si="190"/>
        <v>0</v>
      </c>
      <c r="FF175" s="139">
        <f t="shared" si="191"/>
        <v>0</v>
      </c>
      <c r="FG175" s="139">
        <f t="shared" si="192"/>
        <v>0</v>
      </c>
      <c r="FH175" s="139">
        <f t="shared" si="193"/>
        <v>0</v>
      </c>
      <c r="FI175" s="139">
        <f t="shared" si="194"/>
        <v>0</v>
      </c>
      <c r="FJ175" s="139">
        <f t="shared" si="195"/>
        <v>0</v>
      </c>
      <c r="FK175" s="139">
        <f t="shared" si="196"/>
        <v>0</v>
      </c>
      <c r="FL175" s="139">
        <f t="shared" si="197"/>
        <v>0</v>
      </c>
      <c r="FM175" s="139">
        <f t="shared" si="198"/>
        <v>0</v>
      </c>
      <c r="FN175" s="139">
        <f t="shared" si="199"/>
        <v>0</v>
      </c>
      <c r="FO175" s="139">
        <f t="shared" si="200"/>
        <v>0</v>
      </c>
      <c r="FP175" s="139">
        <f t="shared" si="201"/>
        <v>0</v>
      </c>
      <c r="FQ175" s="139">
        <f t="shared" si="202"/>
        <v>0</v>
      </c>
      <c r="FR175" s="139">
        <f t="shared" si="203"/>
        <v>0</v>
      </c>
      <c r="FS175" s="139">
        <f t="shared" si="204"/>
        <v>0</v>
      </c>
      <c r="FT175" s="139">
        <f t="shared" si="205"/>
        <v>0</v>
      </c>
      <c r="FU175" s="148">
        <f t="shared" si="206"/>
        <v>27.811629574458522</v>
      </c>
      <c r="FV175" s="149"/>
      <c r="FY175" s="210">
        <v>170</v>
      </c>
      <c r="FZ175">
        <v>1.5156337149524011</v>
      </c>
      <c r="GA175">
        <v>1.634256475784885</v>
      </c>
      <c r="GB175">
        <v>0.93437287839266903</v>
      </c>
      <c r="GC175">
        <v>0.51514680348446618</v>
      </c>
      <c r="GD175">
        <v>1.8125143874206215</v>
      </c>
      <c r="GE175">
        <v>3.9111369654120498</v>
      </c>
      <c r="GF175">
        <v>3.5394700870009048</v>
      </c>
      <c r="GG175">
        <v>4.0291333534925053</v>
      </c>
      <c r="GH175">
        <v>2.9136855259143721</v>
      </c>
      <c r="GI175">
        <v>2.6525173120418786</v>
      </c>
      <c r="GJ175"/>
      <c r="GK175"/>
      <c r="GL175"/>
      <c r="GM175"/>
    </row>
    <row r="176" spans="1:195" s="7" customFormat="1">
      <c r="A176" s="1"/>
      <c r="B176" s="76">
        <f t="shared" ca="1" si="171"/>
        <v>0.58347051714774745</v>
      </c>
      <c r="C176">
        <v>1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25.027115825076162</v>
      </c>
      <c r="AO176">
        <v>3.9325786654864459</v>
      </c>
      <c r="AP176">
        <v>29.608934000701886</v>
      </c>
      <c r="AQ176">
        <v>24.905314336339487</v>
      </c>
      <c r="AR176">
        <v>3.654560111323172</v>
      </c>
      <c r="AS176">
        <v>17.564328284941045</v>
      </c>
      <c r="AT176">
        <v>2.5168773835247715</v>
      </c>
      <c r="AU176">
        <v>3.9136717307786628</v>
      </c>
      <c r="AV176"/>
      <c r="AW176"/>
      <c r="AX176" s="146"/>
      <c r="AY176" s="76">
        <f t="shared" ca="1" si="172"/>
        <v>0.31909891524812051</v>
      </c>
      <c r="AZ176">
        <v>9</v>
      </c>
      <c r="BA176" s="129">
        <f t="shared" si="246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7"/>
        <v>9.8695599536703371E-2</v>
      </c>
      <c r="CL176" s="179">
        <f t="shared" si="208"/>
        <v>9</v>
      </c>
      <c r="CM176" s="180">
        <f t="shared" si="209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0"/>
        <v>9.6000000000000002E-2</v>
      </c>
      <c r="DB176" s="146"/>
      <c r="DC176" s="76">
        <f t="shared" ca="1" si="173"/>
        <v>0.48737041942515269</v>
      </c>
      <c r="DD176">
        <f t="shared" si="211"/>
        <v>9</v>
      </c>
      <c r="DE176" s="129">
        <f t="shared" si="245"/>
        <v>39949</v>
      </c>
      <c r="DF176" s="161">
        <f t="shared" si="212"/>
        <v>0</v>
      </c>
      <c r="DG176" s="161">
        <f t="shared" si="213"/>
        <v>0</v>
      </c>
      <c r="DH176" s="161">
        <f t="shared" si="214"/>
        <v>0</v>
      </c>
      <c r="DI176" s="161">
        <f t="shared" si="215"/>
        <v>0</v>
      </c>
      <c r="DJ176" s="161">
        <f t="shared" si="216"/>
        <v>0</v>
      </c>
      <c r="DK176" s="161">
        <f t="shared" si="217"/>
        <v>0</v>
      </c>
      <c r="DL176" s="161">
        <f t="shared" si="218"/>
        <v>0</v>
      </c>
      <c r="DM176" s="161">
        <f t="shared" si="219"/>
        <v>0</v>
      </c>
      <c r="DN176" s="161">
        <f t="shared" si="220"/>
        <v>0</v>
      </c>
      <c r="DO176" s="161">
        <f t="shared" si="221"/>
        <v>0</v>
      </c>
      <c r="DP176" s="161">
        <f t="shared" si="222"/>
        <v>0</v>
      </c>
      <c r="DQ176" s="161">
        <f t="shared" si="223"/>
        <v>0</v>
      </c>
      <c r="DR176" s="161">
        <f t="shared" si="224"/>
        <v>0</v>
      </c>
      <c r="DS176" s="161">
        <f t="shared" si="225"/>
        <v>0</v>
      </c>
      <c r="DT176" s="161">
        <f t="shared" si="226"/>
        <v>0</v>
      </c>
      <c r="DU176" s="161">
        <f t="shared" si="227"/>
        <v>0</v>
      </c>
      <c r="DV176" s="161">
        <f t="shared" si="228"/>
        <v>0</v>
      </c>
      <c r="DW176" s="161">
        <f t="shared" si="229"/>
        <v>0</v>
      </c>
      <c r="DX176" s="161">
        <f t="shared" si="230"/>
        <v>0</v>
      </c>
      <c r="DY176" s="161">
        <f t="shared" si="231"/>
        <v>0</v>
      </c>
      <c r="DZ176" s="161">
        <f t="shared" si="232"/>
        <v>0</v>
      </c>
      <c r="EA176" s="161">
        <f t="shared" si="233"/>
        <v>0</v>
      </c>
      <c r="EB176" s="161">
        <f t="shared" si="234"/>
        <v>0</v>
      </c>
      <c r="EC176" s="161">
        <f t="shared" si="235"/>
        <v>0</v>
      </c>
      <c r="ED176" s="161">
        <f t="shared" si="236"/>
        <v>0</v>
      </c>
      <c r="EE176" s="161">
        <f t="shared" si="237"/>
        <v>0</v>
      </c>
      <c r="EF176" s="161">
        <f t="shared" si="238"/>
        <v>0</v>
      </c>
      <c r="EG176" s="161">
        <f t="shared" si="239"/>
        <v>0</v>
      </c>
      <c r="EH176" s="161">
        <f t="shared" si="240"/>
        <v>0</v>
      </c>
      <c r="EI176" s="161">
        <f t="shared" si="241"/>
        <v>0</v>
      </c>
      <c r="EJ176" s="161">
        <f t="shared" si="242"/>
        <v>0</v>
      </c>
      <c r="EK176" s="147">
        <f t="shared" si="174"/>
        <v>0</v>
      </c>
      <c r="EL176" s="149"/>
      <c r="EN176" s="146"/>
      <c r="EO176" s="146"/>
      <c r="EP176" s="139">
        <f t="shared" si="175"/>
        <v>0</v>
      </c>
      <c r="EQ176" s="139">
        <f t="shared" si="176"/>
        <v>0</v>
      </c>
      <c r="ER176" s="139">
        <f t="shared" si="177"/>
        <v>0</v>
      </c>
      <c r="ES176" s="139">
        <f t="shared" si="178"/>
        <v>0</v>
      </c>
      <c r="ET176" s="139">
        <f t="shared" si="179"/>
        <v>0</v>
      </c>
      <c r="EU176" s="139">
        <f t="shared" si="180"/>
        <v>0</v>
      </c>
      <c r="EV176" s="139">
        <f t="shared" si="181"/>
        <v>0</v>
      </c>
      <c r="EW176" s="139">
        <f t="shared" si="182"/>
        <v>0</v>
      </c>
      <c r="EX176" s="139">
        <f t="shared" si="183"/>
        <v>0</v>
      </c>
      <c r="EY176" s="139">
        <f t="shared" si="184"/>
        <v>0</v>
      </c>
      <c r="EZ176" s="139">
        <f t="shared" si="185"/>
        <v>0</v>
      </c>
      <c r="FA176" s="139">
        <f t="shared" si="186"/>
        <v>0</v>
      </c>
      <c r="FB176" s="139">
        <f t="shared" si="187"/>
        <v>0</v>
      </c>
      <c r="FC176" s="139">
        <f t="shared" si="188"/>
        <v>0</v>
      </c>
      <c r="FD176" s="139">
        <f t="shared" si="189"/>
        <v>0</v>
      </c>
      <c r="FE176" s="139">
        <f t="shared" si="190"/>
        <v>0</v>
      </c>
      <c r="FF176" s="139">
        <f t="shared" si="191"/>
        <v>0</v>
      </c>
      <c r="FG176" s="139">
        <f t="shared" si="192"/>
        <v>0</v>
      </c>
      <c r="FH176" s="139">
        <f t="shared" si="193"/>
        <v>0</v>
      </c>
      <c r="FI176" s="139">
        <f t="shared" si="194"/>
        <v>0</v>
      </c>
      <c r="FJ176" s="139">
        <f t="shared" si="195"/>
        <v>0</v>
      </c>
      <c r="FK176" s="139">
        <f t="shared" si="196"/>
        <v>0</v>
      </c>
      <c r="FL176" s="139">
        <f t="shared" si="197"/>
        <v>0</v>
      </c>
      <c r="FM176" s="139">
        <f t="shared" si="198"/>
        <v>0</v>
      </c>
      <c r="FN176" s="139">
        <f t="shared" si="199"/>
        <v>0</v>
      </c>
      <c r="FO176" s="139">
        <f t="shared" si="200"/>
        <v>0</v>
      </c>
      <c r="FP176" s="139">
        <f t="shared" si="201"/>
        <v>0</v>
      </c>
      <c r="FQ176" s="139">
        <f t="shared" si="202"/>
        <v>0</v>
      </c>
      <c r="FR176" s="139">
        <f t="shared" si="203"/>
        <v>0</v>
      </c>
      <c r="FS176" s="139">
        <f t="shared" si="204"/>
        <v>0</v>
      </c>
      <c r="FT176" s="139">
        <f t="shared" si="205"/>
        <v>0</v>
      </c>
      <c r="FU176" s="148">
        <f t="shared" si="206"/>
        <v>0</v>
      </c>
      <c r="FV176" s="149"/>
      <c r="FY176" s="210">
        <v>171</v>
      </c>
      <c r="FZ176">
        <v>0.77461458396251637</v>
      </c>
      <c r="GA176">
        <v>1.7854775515429098</v>
      </c>
      <c r="GB176">
        <v>1.5700612813896728</v>
      </c>
      <c r="GC176">
        <v>0.89704178163573922</v>
      </c>
      <c r="GD176">
        <v>1.5244469154607825</v>
      </c>
      <c r="GE176">
        <v>5.2573025014454657</v>
      </c>
      <c r="GF176">
        <v>7.2405070954539896</v>
      </c>
      <c r="GG176">
        <v>5.0003623514879738</v>
      </c>
      <c r="GH176">
        <v>4.0772789696489626</v>
      </c>
      <c r="GI176">
        <v>3.3908944729602117</v>
      </c>
      <c r="GJ176"/>
      <c r="GK176"/>
      <c r="GL176"/>
      <c r="GM176"/>
    </row>
    <row r="177" spans="1:195" s="7" customFormat="1">
      <c r="A177" s="1"/>
      <c r="B177" s="76">
        <f t="shared" ca="1" si="171"/>
        <v>0.60081097892382784</v>
      </c>
      <c r="C177">
        <v>2</v>
      </c>
      <c r="D177">
        <v>39949</v>
      </c>
      <c r="E177">
        <v>0</v>
      </c>
      <c r="F177">
        <v>0</v>
      </c>
      <c r="G177">
        <v>0</v>
      </c>
      <c r="H177">
        <v>10.416666666666666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18.849166501593363</v>
      </c>
      <c r="AO177">
        <v>4.3788852490843624</v>
      </c>
      <c r="AP177">
        <v>33.537190919872373</v>
      </c>
      <c r="AQ177">
        <v>28.454952054573344</v>
      </c>
      <c r="AR177">
        <v>4.1722217659961016</v>
      </c>
      <c r="AS177">
        <v>20.2539675182068</v>
      </c>
      <c r="AT177">
        <v>2.8362680276506325</v>
      </c>
      <c r="AU177">
        <v>-0.28352569993284615</v>
      </c>
      <c r="AV177"/>
      <c r="AW177"/>
      <c r="AX177" s="146"/>
      <c r="AY177" s="76">
        <f t="shared" ca="1" si="172"/>
        <v>0.15048483636686805</v>
      </c>
      <c r="AZ177">
        <v>10</v>
      </c>
      <c r="BA177" s="129">
        <f t="shared" si="246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7"/>
        <v>9.6181727357350866E-2</v>
      </c>
      <c r="CL177" s="179">
        <f t="shared" si="208"/>
        <v>10</v>
      </c>
      <c r="CM177" s="180">
        <f t="shared" si="209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0"/>
        <v>9.6000000000000002E-2</v>
      </c>
      <c r="DB177" s="146"/>
      <c r="DC177" s="76">
        <f t="shared" ca="1" si="173"/>
        <v>0.44689663625369813</v>
      </c>
      <c r="DD177">
        <f t="shared" si="211"/>
        <v>10</v>
      </c>
      <c r="DE177" s="129">
        <f t="shared" si="245"/>
        <v>39949</v>
      </c>
      <c r="DF177" s="161">
        <f t="shared" si="212"/>
        <v>0</v>
      </c>
      <c r="DG177" s="161">
        <f t="shared" si="213"/>
        <v>0</v>
      </c>
      <c r="DH177" s="161">
        <f t="shared" si="214"/>
        <v>0</v>
      </c>
      <c r="DI177" s="161">
        <f t="shared" si="215"/>
        <v>0</v>
      </c>
      <c r="DJ177" s="161">
        <f t="shared" si="216"/>
        <v>0</v>
      </c>
      <c r="DK177" s="161">
        <f t="shared" si="217"/>
        <v>0</v>
      </c>
      <c r="DL177" s="161">
        <f t="shared" si="218"/>
        <v>0</v>
      </c>
      <c r="DM177" s="161">
        <f t="shared" si="219"/>
        <v>0</v>
      </c>
      <c r="DN177" s="161">
        <f t="shared" si="220"/>
        <v>0</v>
      </c>
      <c r="DO177" s="161">
        <f t="shared" si="221"/>
        <v>0</v>
      </c>
      <c r="DP177" s="161">
        <f t="shared" si="222"/>
        <v>0</v>
      </c>
      <c r="DQ177" s="161">
        <f t="shared" si="223"/>
        <v>0</v>
      </c>
      <c r="DR177" s="161">
        <f t="shared" si="224"/>
        <v>0</v>
      </c>
      <c r="DS177" s="161">
        <f t="shared" si="225"/>
        <v>0</v>
      </c>
      <c r="DT177" s="161">
        <f t="shared" si="226"/>
        <v>0</v>
      </c>
      <c r="DU177" s="161">
        <f t="shared" si="227"/>
        <v>0</v>
      </c>
      <c r="DV177" s="161">
        <f t="shared" si="228"/>
        <v>0</v>
      </c>
      <c r="DW177" s="161">
        <f t="shared" si="229"/>
        <v>0</v>
      </c>
      <c r="DX177" s="161">
        <f t="shared" si="230"/>
        <v>0</v>
      </c>
      <c r="DY177" s="161">
        <f t="shared" si="231"/>
        <v>0</v>
      </c>
      <c r="DZ177" s="161">
        <f t="shared" si="232"/>
        <v>0</v>
      </c>
      <c r="EA177" s="161">
        <f t="shared" si="233"/>
        <v>0</v>
      </c>
      <c r="EB177" s="161">
        <f t="shared" si="234"/>
        <v>0</v>
      </c>
      <c r="EC177" s="161">
        <f t="shared" si="235"/>
        <v>0</v>
      </c>
      <c r="ED177" s="161">
        <f t="shared" si="236"/>
        <v>0</v>
      </c>
      <c r="EE177" s="161">
        <f t="shared" si="237"/>
        <v>0</v>
      </c>
      <c r="EF177" s="161">
        <f t="shared" si="238"/>
        <v>0</v>
      </c>
      <c r="EG177" s="161">
        <f t="shared" si="239"/>
        <v>0</v>
      </c>
      <c r="EH177" s="161">
        <f t="shared" si="240"/>
        <v>0</v>
      </c>
      <c r="EI177" s="161">
        <f t="shared" si="241"/>
        <v>0</v>
      </c>
      <c r="EJ177" s="161">
        <f t="shared" si="242"/>
        <v>0</v>
      </c>
      <c r="EK177" s="147">
        <f t="shared" si="174"/>
        <v>0</v>
      </c>
      <c r="EL177" s="149"/>
      <c r="EN177" s="146"/>
      <c r="EO177" s="146"/>
      <c r="EP177" s="139">
        <f t="shared" si="175"/>
        <v>0</v>
      </c>
      <c r="EQ177" s="139">
        <f t="shared" si="176"/>
        <v>0</v>
      </c>
      <c r="ER177" s="139">
        <f t="shared" si="177"/>
        <v>0</v>
      </c>
      <c r="ES177" s="139">
        <f t="shared" si="178"/>
        <v>0</v>
      </c>
      <c r="ET177" s="139">
        <f t="shared" si="179"/>
        <v>0</v>
      </c>
      <c r="EU177" s="139">
        <f t="shared" si="180"/>
        <v>0</v>
      </c>
      <c r="EV177" s="139">
        <f t="shared" si="181"/>
        <v>0</v>
      </c>
      <c r="EW177" s="139">
        <f t="shared" si="182"/>
        <v>0</v>
      </c>
      <c r="EX177" s="139">
        <f t="shared" si="183"/>
        <v>0</v>
      </c>
      <c r="EY177" s="139">
        <f t="shared" si="184"/>
        <v>0</v>
      </c>
      <c r="EZ177" s="139">
        <f t="shared" si="185"/>
        <v>0</v>
      </c>
      <c r="FA177" s="139">
        <f t="shared" si="186"/>
        <v>0</v>
      </c>
      <c r="FB177" s="139">
        <f t="shared" si="187"/>
        <v>0</v>
      </c>
      <c r="FC177" s="139">
        <f t="shared" si="188"/>
        <v>0</v>
      </c>
      <c r="FD177" s="139">
        <f t="shared" si="189"/>
        <v>0</v>
      </c>
      <c r="FE177" s="139">
        <f t="shared" si="190"/>
        <v>0</v>
      </c>
      <c r="FF177" s="139">
        <f t="shared" si="191"/>
        <v>0</v>
      </c>
      <c r="FG177" s="139">
        <f t="shared" si="192"/>
        <v>0</v>
      </c>
      <c r="FH177" s="139">
        <f t="shared" si="193"/>
        <v>0</v>
      </c>
      <c r="FI177" s="139">
        <f t="shared" si="194"/>
        <v>0</v>
      </c>
      <c r="FJ177" s="139">
        <f t="shared" si="195"/>
        <v>0</v>
      </c>
      <c r="FK177" s="139">
        <f t="shared" si="196"/>
        <v>0</v>
      </c>
      <c r="FL177" s="139">
        <f t="shared" si="197"/>
        <v>0</v>
      </c>
      <c r="FM177" s="139">
        <f t="shared" si="198"/>
        <v>0</v>
      </c>
      <c r="FN177" s="139">
        <f t="shared" si="199"/>
        <v>0</v>
      </c>
      <c r="FO177" s="139">
        <f t="shared" si="200"/>
        <v>0</v>
      </c>
      <c r="FP177" s="139">
        <f t="shared" si="201"/>
        <v>0</v>
      </c>
      <c r="FQ177" s="139">
        <f t="shared" si="202"/>
        <v>0</v>
      </c>
      <c r="FR177" s="139">
        <f t="shared" si="203"/>
        <v>0</v>
      </c>
      <c r="FS177" s="139">
        <f t="shared" si="204"/>
        <v>0</v>
      </c>
      <c r="FT177" s="139">
        <f t="shared" si="205"/>
        <v>0</v>
      </c>
      <c r="FU177" s="148">
        <f t="shared" si="206"/>
        <v>0</v>
      </c>
      <c r="FV177" s="149"/>
      <c r="FY177" s="210">
        <v>172</v>
      </c>
      <c r="FZ177">
        <v>0.93242418584343012</v>
      </c>
      <c r="GA177">
        <v>2.5145398685518119</v>
      </c>
      <c r="GB177">
        <v>1.3466422010362651</v>
      </c>
      <c r="GC177">
        <v>0.78257635342417464</v>
      </c>
      <c r="GD177">
        <v>1.6402739344957236</v>
      </c>
      <c r="GE177">
        <v>3.5943501624485807</v>
      </c>
      <c r="GF177">
        <v>5.1655458489753334</v>
      </c>
      <c r="GG177">
        <v>7.2914156823199123</v>
      </c>
      <c r="GH177">
        <v>6.5259094223875431</v>
      </c>
      <c r="GI177">
        <v>3.4254294061390493</v>
      </c>
      <c r="GJ177"/>
      <c r="GK177"/>
      <c r="GL177"/>
      <c r="GM177"/>
    </row>
    <row r="178" spans="1:195" s="7" customFormat="1">
      <c r="A178" s="128"/>
      <c r="B178" s="76">
        <f t="shared" ca="1" si="171"/>
        <v>0.16740955365589016</v>
      </c>
      <c r="C178">
        <v>5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26.806146603940714</v>
      </c>
      <c r="AO178">
        <v>5.1765470932662394</v>
      </c>
      <c r="AP178">
        <v>37.634714426179826</v>
      </c>
      <c r="AQ178">
        <v>32.461119109514392</v>
      </c>
      <c r="AR178">
        <v>4.8999791770251102</v>
      </c>
      <c r="AS178">
        <v>23.073463362759298</v>
      </c>
      <c r="AT178">
        <v>2.9477668256844929</v>
      </c>
      <c r="AU178">
        <v>0.30357318744493866</v>
      </c>
      <c r="AV178"/>
      <c r="AW178"/>
      <c r="AX178" s="128"/>
      <c r="AY178" s="76">
        <f t="shared" ca="1" si="172"/>
        <v>4.212024545070836E-2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7"/>
        <v>3.5382775494248841E-2</v>
      </c>
      <c r="CL178" s="179">
        <f t="shared" si="208"/>
        <v>1</v>
      </c>
      <c r="CM178" s="180">
        <f t="shared" si="209"/>
        <v>39987</v>
      </c>
      <c r="CN178">
        <v>0</v>
      </c>
      <c r="CO178">
        <v>0</v>
      </c>
      <c r="CP178">
        <v>1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0"/>
        <v>9.6000000000000002E-2</v>
      </c>
      <c r="DB178" s="128"/>
      <c r="DC178" s="76">
        <f t="shared" ca="1" si="173"/>
        <v>0.48362881151846615</v>
      </c>
      <c r="DD178">
        <f t="shared" si="211"/>
        <v>1</v>
      </c>
      <c r="DE178" s="129">
        <f t="shared" ref="DE178:DE187" si="247">IF((DD178)="", "", $C$13)</f>
        <v>39987</v>
      </c>
      <c r="DF178" s="161">
        <f t="shared" si="212"/>
        <v>0</v>
      </c>
      <c r="DG178" s="161">
        <f t="shared" si="213"/>
        <v>0</v>
      </c>
      <c r="DH178" s="161">
        <f t="shared" si="214"/>
        <v>77.570921985815602</v>
      </c>
      <c r="DI178" s="161">
        <f t="shared" si="215"/>
        <v>0</v>
      </c>
      <c r="DJ178" s="161">
        <f t="shared" si="216"/>
        <v>0</v>
      </c>
      <c r="DK178" s="161">
        <f t="shared" si="217"/>
        <v>0</v>
      </c>
      <c r="DL178" s="161">
        <f t="shared" si="218"/>
        <v>0</v>
      </c>
      <c r="DM178" s="161">
        <f t="shared" si="219"/>
        <v>0</v>
      </c>
      <c r="DN178" s="161">
        <f t="shared" si="220"/>
        <v>0</v>
      </c>
      <c r="DO178" s="161">
        <f t="shared" si="221"/>
        <v>0</v>
      </c>
      <c r="DP178" s="161">
        <f t="shared" si="222"/>
        <v>0</v>
      </c>
      <c r="DQ178" s="161">
        <f t="shared" si="223"/>
        <v>0</v>
      </c>
      <c r="DR178" s="161">
        <f t="shared" si="224"/>
        <v>0</v>
      </c>
      <c r="DS178" s="161">
        <f t="shared" si="225"/>
        <v>0</v>
      </c>
      <c r="DT178" s="161">
        <f t="shared" si="226"/>
        <v>0</v>
      </c>
      <c r="DU178" s="161">
        <f t="shared" si="227"/>
        <v>0</v>
      </c>
      <c r="DV178" s="161">
        <f t="shared" si="228"/>
        <v>0</v>
      </c>
      <c r="DW178" s="161">
        <f t="shared" si="229"/>
        <v>0</v>
      </c>
      <c r="DX178" s="161">
        <f t="shared" si="230"/>
        <v>0</v>
      </c>
      <c r="DY178" s="161">
        <f t="shared" si="231"/>
        <v>0</v>
      </c>
      <c r="DZ178" s="161">
        <f t="shared" si="232"/>
        <v>0</v>
      </c>
      <c r="EA178" s="161">
        <f t="shared" si="233"/>
        <v>0</v>
      </c>
      <c r="EB178" s="161">
        <f t="shared" si="234"/>
        <v>0</v>
      </c>
      <c r="EC178" s="161">
        <f t="shared" si="235"/>
        <v>0</v>
      </c>
      <c r="ED178" s="161">
        <f t="shared" si="236"/>
        <v>0</v>
      </c>
      <c r="EE178" s="161">
        <f t="shared" si="237"/>
        <v>0</v>
      </c>
      <c r="EF178" s="161">
        <f t="shared" si="238"/>
        <v>0</v>
      </c>
      <c r="EG178" s="161">
        <f t="shared" si="239"/>
        <v>0</v>
      </c>
      <c r="EH178" s="161">
        <f t="shared" si="240"/>
        <v>0</v>
      </c>
      <c r="EI178" s="161">
        <f t="shared" si="241"/>
        <v>0</v>
      </c>
      <c r="EJ178" s="161">
        <f t="shared" si="242"/>
        <v>0</v>
      </c>
      <c r="EK178" s="147">
        <f t="shared" si="174"/>
        <v>77.570921985815602</v>
      </c>
      <c r="EL178" s="149"/>
      <c r="EN178" s="146"/>
      <c r="EO178" s="146"/>
      <c r="EP178" s="139">
        <f t="shared" si="175"/>
        <v>0</v>
      </c>
      <c r="EQ178" s="139">
        <f t="shared" si="176"/>
        <v>0</v>
      </c>
      <c r="ER178" s="139">
        <f t="shared" si="177"/>
        <v>3.0536533796578054</v>
      </c>
      <c r="ES178" s="139">
        <f t="shared" si="178"/>
        <v>0</v>
      </c>
      <c r="ET178" s="139">
        <f t="shared" si="179"/>
        <v>0</v>
      </c>
      <c r="EU178" s="139">
        <f t="shared" si="180"/>
        <v>0</v>
      </c>
      <c r="EV178" s="139">
        <f t="shared" si="181"/>
        <v>0</v>
      </c>
      <c r="EW178" s="139">
        <f t="shared" si="182"/>
        <v>0</v>
      </c>
      <c r="EX178" s="139">
        <f t="shared" si="183"/>
        <v>0</v>
      </c>
      <c r="EY178" s="139">
        <f t="shared" si="184"/>
        <v>0</v>
      </c>
      <c r="EZ178" s="139">
        <f t="shared" si="185"/>
        <v>0</v>
      </c>
      <c r="FA178" s="139">
        <f t="shared" si="186"/>
        <v>0</v>
      </c>
      <c r="FB178" s="139">
        <f t="shared" si="187"/>
        <v>0</v>
      </c>
      <c r="FC178" s="139">
        <f t="shared" si="188"/>
        <v>0</v>
      </c>
      <c r="FD178" s="139">
        <f t="shared" si="189"/>
        <v>0</v>
      </c>
      <c r="FE178" s="139">
        <f t="shared" si="190"/>
        <v>0</v>
      </c>
      <c r="FF178" s="139">
        <f t="shared" si="191"/>
        <v>0</v>
      </c>
      <c r="FG178" s="139">
        <f t="shared" si="192"/>
        <v>0</v>
      </c>
      <c r="FH178" s="139">
        <f t="shared" si="193"/>
        <v>0</v>
      </c>
      <c r="FI178" s="139">
        <f t="shared" si="194"/>
        <v>0</v>
      </c>
      <c r="FJ178" s="139">
        <f t="shared" si="195"/>
        <v>0</v>
      </c>
      <c r="FK178" s="139">
        <f t="shared" si="196"/>
        <v>0</v>
      </c>
      <c r="FL178" s="139">
        <f t="shared" si="197"/>
        <v>0</v>
      </c>
      <c r="FM178" s="139">
        <f t="shared" si="198"/>
        <v>0</v>
      </c>
      <c r="FN178" s="139">
        <f t="shared" si="199"/>
        <v>0</v>
      </c>
      <c r="FO178" s="139">
        <f t="shared" si="200"/>
        <v>0</v>
      </c>
      <c r="FP178" s="139">
        <f t="shared" si="201"/>
        <v>0</v>
      </c>
      <c r="FQ178" s="139">
        <f t="shared" si="202"/>
        <v>0</v>
      </c>
      <c r="FR178" s="139">
        <f t="shared" si="203"/>
        <v>0</v>
      </c>
      <c r="FS178" s="139">
        <f t="shared" si="204"/>
        <v>0</v>
      </c>
      <c r="FT178" s="139">
        <f t="shared" si="205"/>
        <v>0</v>
      </c>
      <c r="FU178" s="148">
        <f t="shared" si="206"/>
        <v>3.0536533796578054</v>
      </c>
      <c r="FV178" s="149"/>
      <c r="FY178" s="210">
        <v>173</v>
      </c>
      <c r="FZ178">
        <v>1.5297352782341913</v>
      </c>
      <c r="GA178">
        <v>3.027795336300481</v>
      </c>
      <c r="GB178">
        <v>1.7136100856268763</v>
      </c>
      <c r="GC178">
        <v>0.59298430954025538</v>
      </c>
      <c r="GD178">
        <v>1.9265419015134426</v>
      </c>
      <c r="GE178">
        <v>3.7336656937030845</v>
      </c>
      <c r="GF178">
        <v>3.7697268903772239</v>
      </c>
      <c r="GG178">
        <v>4.134292802431216</v>
      </c>
      <c r="GH178">
        <v>1.5863134900842752</v>
      </c>
      <c r="GI178">
        <v>2.743368315844104</v>
      </c>
      <c r="GJ178"/>
      <c r="GK178"/>
      <c r="GL178"/>
      <c r="GM178"/>
    </row>
    <row r="179" spans="1:195" s="7" customFormat="1">
      <c r="A179" s="1"/>
      <c r="B179" s="76">
        <f t="shared" ca="1" si="171"/>
        <v>0.5972764730481015</v>
      </c>
      <c r="C179">
        <v>6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27.18044686903221</v>
      </c>
      <c r="AO179">
        <v>5.8183565287021848</v>
      </c>
      <c r="AP179">
        <v>41.843359518855891</v>
      </c>
      <c r="AQ179">
        <v>36.277757587060734</v>
      </c>
      <c r="AR179">
        <v>5.4343185148764528</v>
      </c>
      <c r="AS179">
        <v>25.650583388892837</v>
      </c>
      <c r="AT179">
        <v>3.479996408216246</v>
      </c>
      <c r="AU179">
        <v>2.1396274024501567</v>
      </c>
      <c r="AV179"/>
      <c r="AW179"/>
      <c r="AX179" s="146"/>
      <c r="AY179" s="76">
        <f t="shared" ca="1" si="172"/>
        <v>0.78525849453821994</v>
      </c>
      <c r="AZ179">
        <v>2</v>
      </c>
      <c r="BA179" s="129">
        <f t="shared" ref="BA179:BA187" si="248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7"/>
        <v>0.43555509913433199</v>
      </c>
      <c r="CL179" s="179">
        <f t="shared" si="208"/>
        <v>2</v>
      </c>
      <c r="CM179" s="180">
        <f t="shared" si="209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0"/>
        <v>9.6000000000000002E-2</v>
      </c>
      <c r="DB179" s="146"/>
      <c r="DC179" s="76">
        <f t="shared" ca="1" si="173"/>
        <v>0.38105757258664763</v>
      </c>
      <c r="DD179">
        <f t="shared" si="211"/>
        <v>2</v>
      </c>
      <c r="DE179" s="129">
        <f t="shared" si="247"/>
        <v>39987</v>
      </c>
      <c r="DF179" s="161">
        <f t="shared" si="212"/>
        <v>0</v>
      </c>
      <c r="DG179" s="161">
        <f t="shared" si="213"/>
        <v>0</v>
      </c>
      <c r="DH179" s="161">
        <f t="shared" si="214"/>
        <v>0</v>
      </c>
      <c r="DI179" s="161">
        <f t="shared" si="215"/>
        <v>0</v>
      </c>
      <c r="DJ179" s="161">
        <f t="shared" si="216"/>
        <v>0</v>
      </c>
      <c r="DK179" s="161">
        <f t="shared" si="217"/>
        <v>0</v>
      </c>
      <c r="DL179" s="161">
        <f t="shared" si="218"/>
        <v>0</v>
      </c>
      <c r="DM179" s="161">
        <f t="shared" si="219"/>
        <v>0</v>
      </c>
      <c r="DN179" s="161">
        <f t="shared" si="220"/>
        <v>0</v>
      </c>
      <c r="DO179" s="161">
        <f t="shared" si="221"/>
        <v>0</v>
      </c>
      <c r="DP179" s="161">
        <f t="shared" si="222"/>
        <v>0</v>
      </c>
      <c r="DQ179" s="161">
        <f t="shared" si="223"/>
        <v>0</v>
      </c>
      <c r="DR179" s="161">
        <f t="shared" si="224"/>
        <v>0</v>
      </c>
      <c r="DS179" s="161">
        <f t="shared" si="225"/>
        <v>0</v>
      </c>
      <c r="DT179" s="161">
        <f t="shared" si="226"/>
        <v>0</v>
      </c>
      <c r="DU179" s="161">
        <f t="shared" si="227"/>
        <v>0</v>
      </c>
      <c r="DV179" s="161">
        <f t="shared" si="228"/>
        <v>0</v>
      </c>
      <c r="DW179" s="161">
        <f t="shared" si="229"/>
        <v>0</v>
      </c>
      <c r="DX179" s="161">
        <f t="shared" si="230"/>
        <v>0</v>
      </c>
      <c r="DY179" s="161">
        <f t="shared" si="231"/>
        <v>0</v>
      </c>
      <c r="DZ179" s="161">
        <f t="shared" si="232"/>
        <v>0</v>
      </c>
      <c r="EA179" s="161">
        <f t="shared" si="233"/>
        <v>0</v>
      </c>
      <c r="EB179" s="161">
        <f t="shared" si="234"/>
        <v>0</v>
      </c>
      <c r="EC179" s="161">
        <f t="shared" si="235"/>
        <v>0</v>
      </c>
      <c r="ED179" s="161">
        <f t="shared" si="236"/>
        <v>0</v>
      </c>
      <c r="EE179" s="161">
        <f t="shared" si="237"/>
        <v>0</v>
      </c>
      <c r="EF179" s="161">
        <f t="shared" si="238"/>
        <v>0</v>
      </c>
      <c r="EG179" s="161">
        <f t="shared" si="239"/>
        <v>0</v>
      </c>
      <c r="EH179" s="161">
        <f t="shared" si="240"/>
        <v>0</v>
      </c>
      <c r="EI179" s="161">
        <f t="shared" si="241"/>
        <v>0</v>
      </c>
      <c r="EJ179" s="161">
        <f t="shared" si="242"/>
        <v>0</v>
      </c>
      <c r="EK179" s="147">
        <f t="shared" si="174"/>
        <v>0</v>
      </c>
      <c r="EL179" s="149"/>
      <c r="EN179" s="146"/>
      <c r="EO179" s="146"/>
      <c r="EP179" s="139">
        <f t="shared" si="175"/>
        <v>0</v>
      </c>
      <c r="EQ179" s="139">
        <f t="shared" si="176"/>
        <v>0</v>
      </c>
      <c r="ER179" s="139">
        <f t="shared" si="177"/>
        <v>0</v>
      </c>
      <c r="ES179" s="139">
        <f t="shared" si="178"/>
        <v>0</v>
      </c>
      <c r="ET179" s="139">
        <f t="shared" si="179"/>
        <v>0</v>
      </c>
      <c r="EU179" s="139">
        <f t="shared" si="180"/>
        <v>0</v>
      </c>
      <c r="EV179" s="139">
        <f t="shared" si="181"/>
        <v>0</v>
      </c>
      <c r="EW179" s="139">
        <f t="shared" si="182"/>
        <v>0</v>
      </c>
      <c r="EX179" s="139">
        <f t="shared" si="183"/>
        <v>0</v>
      </c>
      <c r="EY179" s="139">
        <f t="shared" si="184"/>
        <v>0</v>
      </c>
      <c r="EZ179" s="139">
        <f t="shared" si="185"/>
        <v>0</v>
      </c>
      <c r="FA179" s="139">
        <f t="shared" si="186"/>
        <v>0</v>
      </c>
      <c r="FB179" s="139">
        <f t="shared" si="187"/>
        <v>0</v>
      </c>
      <c r="FC179" s="139">
        <f t="shared" si="188"/>
        <v>0</v>
      </c>
      <c r="FD179" s="139">
        <f t="shared" si="189"/>
        <v>0</v>
      </c>
      <c r="FE179" s="139">
        <f t="shared" si="190"/>
        <v>0</v>
      </c>
      <c r="FF179" s="139">
        <f t="shared" si="191"/>
        <v>0</v>
      </c>
      <c r="FG179" s="139">
        <f t="shared" si="192"/>
        <v>0</v>
      </c>
      <c r="FH179" s="139">
        <f t="shared" si="193"/>
        <v>0</v>
      </c>
      <c r="FI179" s="139">
        <f t="shared" si="194"/>
        <v>0</v>
      </c>
      <c r="FJ179" s="139">
        <f t="shared" si="195"/>
        <v>0</v>
      </c>
      <c r="FK179" s="139">
        <f t="shared" si="196"/>
        <v>0</v>
      </c>
      <c r="FL179" s="139">
        <f t="shared" si="197"/>
        <v>0</v>
      </c>
      <c r="FM179" s="139">
        <f t="shared" si="198"/>
        <v>0</v>
      </c>
      <c r="FN179" s="139">
        <f t="shared" si="199"/>
        <v>0</v>
      </c>
      <c r="FO179" s="139">
        <f t="shared" si="200"/>
        <v>0</v>
      </c>
      <c r="FP179" s="139">
        <f t="shared" si="201"/>
        <v>0</v>
      </c>
      <c r="FQ179" s="139">
        <f t="shared" si="202"/>
        <v>0</v>
      </c>
      <c r="FR179" s="139">
        <f t="shared" si="203"/>
        <v>0</v>
      </c>
      <c r="FS179" s="139">
        <f t="shared" si="204"/>
        <v>0</v>
      </c>
      <c r="FT179" s="139">
        <f t="shared" si="205"/>
        <v>0</v>
      </c>
      <c r="FU179" s="148">
        <f t="shared" si="206"/>
        <v>0</v>
      </c>
      <c r="FV179" s="149"/>
      <c r="FY179" s="210">
        <v>174</v>
      </c>
      <c r="FZ179">
        <v>1.344565069003419</v>
      </c>
      <c r="GA179">
        <v>2.252431566417965</v>
      </c>
      <c r="GB179">
        <v>2.7736612849602773</v>
      </c>
      <c r="GC179">
        <v>1.5501802372351849</v>
      </c>
      <c r="GD179">
        <v>1.7934479179914189</v>
      </c>
      <c r="GE179">
        <v>5.0175936474093152</v>
      </c>
      <c r="GF179">
        <v>5.2500176696116796</v>
      </c>
      <c r="GG179">
        <v>6.9315589008655927</v>
      </c>
      <c r="GH179">
        <v>8.7343486976710754</v>
      </c>
      <c r="GI179">
        <v>4.2975377661227858</v>
      </c>
      <c r="GJ179"/>
      <c r="GK179"/>
      <c r="GL179"/>
      <c r="GM179"/>
    </row>
    <row r="180" spans="1:195" s="7" customFormat="1">
      <c r="A180" s="1"/>
      <c r="B180" s="76">
        <f t="shared" ca="1" si="171"/>
        <v>0.57606965022658363</v>
      </c>
      <c r="C180">
        <v>8</v>
      </c>
      <c r="D180">
        <v>39987</v>
      </c>
      <c r="E180">
        <v>0</v>
      </c>
      <c r="F180">
        <v>0</v>
      </c>
      <c r="G180">
        <v>0</v>
      </c>
      <c r="H180">
        <v>56.089743589743591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32.068135152087748</v>
      </c>
      <c r="AO180">
        <v>5.7028782489120617</v>
      </c>
      <c r="AP180">
        <v>42.661647884349613</v>
      </c>
      <c r="AQ180">
        <v>35.778601514553735</v>
      </c>
      <c r="AR180">
        <v>5.4040077396324042</v>
      </c>
      <c r="AS180">
        <v>25.419545747670139</v>
      </c>
      <c r="AT180">
        <v>3.3785794777500353</v>
      </c>
      <c r="AU180">
        <v>5.8381185225642982</v>
      </c>
      <c r="AV180"/>
      <c r="AW180"/>
      <c r="AX180" s="146"/>
      <c r="AY180" s="76">
        <f t="shared" ca="1" si="172"/>
        <v>0.64756006104373753</v>
      </c>
      <c r="AZ180">
        <v>3</v>
      </c>
      <c r="BA180" s="129">
        <f t="shared" si="248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7"/>
        <v>0.16363132864951702</v>
      </c>
      <c r="CL180" s="179">
        <f t="shared" si="208"/>
        <v>3</v>
      </c>
      <c r="CM180" s="180">
        <f t="shared" si="209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0"/>
        <v>9.6000000000000002E-2</v>
      </c>
      <c r="DB180" s="146"/>
      <c r="DC180" s="76">
        <f t="shared" ca="1" si="173"/>
        <v>0.3161453071211513</v>
      </c>
      <c r="DD180">
        <f t="shared" si="211"/>
        <v>3</v>
      </c>
      <c r="DE180" s="129">
        <f t="shared" si="247"/>
        <v>39987</v>
      </c>
      <c r="DF180" s="161">
        <f t="shared" si="212"/>
        <v>0</v>
      </c>
      <c r="DG180" s="161">
        <f t="shared" si="213"/>
        <v>0</v>
      </c>
      <c r="DH180" s="161">
        <f t="shared" si="214"/>
        <v>0</v>
      </c>
      <c r="DI180" s="161">
        <f t="shared" si="215"/>
        <v>0</v>
      </c>
      <c r="DJ180" s="161">
        <f t="shared" si="216"/>
        <v>0</v>
      </c>
      <c r="DK180" s="161">
        <f t="shared" si="217"/>
        <v>0</v>
      </c>
      <c r="DL180" s="161">
        <f t="shared" si="218"/>
        <v>0</v>
      </c>
      <c r="DM180" s="161">
        <f t="shared" si="219"/>
        <v>0</v>
      </c>
      <c r="DN180" s="161">
        <f t="shared" si="220"/>
        <v>0</v>
      </c>
      <c r="DO180" s="161">
        <f t="shared" si="221"/>
        <v>0</v>
      </c>
      <c r="DP180" s="161">
        <f t="shared" si="222"/>
        <v>0</v>
      </c>
      <c r="DQ180" s="161">
        <f t="shared" si="223"/>
        <v>0</v>
      </c>
      <c r="DR180" s="161">
        <f t="shared" si="224"/>
        <v>0</v>
      </c>
      <c r="DS180" s="161">
        <f t="shared" si="225"/>
        <v>0</v>
      </c>
      <c r="DT180" s="161">
        <f t="shared" si="226"/>
        <v>0</v>
      </c>
      <c r="DU180" s="161">
        <f t="shared" si="227"/>
        <v>0</v>
      </c>
      <c r="DV180" s="161">
        <f t="shared" si="228"/>
        <v>0</v>
      </c>
      <c r="DW180" s="161">
        <f t="shared" si="229"/>
        <v>0</v>
      </c>
      <c r="DX180" s="161">
        <f t="shared" si="230"/>
        <v>0</v>
      </c>
      <c r="DY180" s="161">
        <f t="shared" si="231"/>
        <v>0</v>
      </c>
      <c r="DZ180" s="161">
        <f t="shared" si="232"/>
        <v>0</v>
      </c>
      <c r="EA180" s="161">
        <f t="shared" si="233"/>
        <v>0</v>
      </c>
      <c r="EB180" s="161">
        <f t="shared" si="234"/>
        <v>0</v>
      </c>
      <c r="EC180" s="161">
        <f t="shared" si="235"/>
        <v>0</v>
      </c>
      <c r="ED180" s="161">
        <f t="shared" si="236"/>
        <v>0</v>
      </c>
      <c r="EE180" s="161">
        <f t="shared" si="237"/>
        <v>0</v>
      </c>
      <c r="EF180" s="161">
        <f t="shared" si="238"/>
        <v>0</v>
      </c>
      <c r="EG180" s="161">
        <f t="shared" si="239"/>
        <v>0</v>
      </c>
      <c r="EH180" s="161">
        <f t="shared" si="240"/>
        <v>0</v>
      </c>
      <c r="EI180" s="161">
        <f t="shared" si="241"/>
        <v>0</v>
      </c>
      <c r="EJ180" s="161">
        <f t="shared" si="242"/>
        <v>0</v>
      </c>
      <c r="EK180" s="147">
        <f t="shared" si="174"/>
        <v>0</v>
      </c>
      <c r="EL180" s="149"/>
      <c r="EN180" s="146"/>
      <c r="EO180" s="146"/>
      <c r="EP180" s="139">
        <f t="shared" si="175"/>
        <v>0</v>
      </c>
      <c r="EQ180" s="139">
        <f t="shared" si="176"/>
        <v>0</v>
      </c>
      <c r="ER180" s="139">
        <f t="shared" si="177"/>
        <v>0</v>
      </c>
      <c r="ES180" s="139">
        <f t="shared" si="178"/>
        <v>0</v>
      </c>
      <c r="ET180" s="139">
        <f t="shared" si="179"/>
        <v>0</v>
      </c>
      <c r="EU180" s="139">
        <f t="shared" si="180"/>
        <v>0</v>
      </c>
      <c r="EV180" s="139">
        <f t="shared" si="181"/>
        <v>0</v>
      </c>
      <c r="EW180" s="139">
        <f t="shared" si="182"/>
        <v>0</v>
      </c>
      <c r="EX180" s="139">
        <f t="shared" si="183"/>
        <v>0</v>
      </c>
      <c r="EY180" s="139">
        <f t="shared" si="184"/>
        <v>0</v>
      </c>
      <c r="EZ180" s="139">
        <f t="shared" si="185"/>
        <v>0</v>
      </c>
      <c r="FA180" s="139">
        <f t="shared" si="186"/>
        <v>0</v>
      </c>
      <c r="FB180" s="139">
        <f t="shared" si="187"/>
        <v>0</v>
      </c>
      <c r="FC180" s="139">
        <f t="shared" si="188"/>
        <v>0</v>
      </c>
      <c r="FD180" s="139">
        <f t="shared" si="189"/>
        <v>0</v>
      </c>
      <c r="FE180" s="139">
        <f t="shared" si="190"/>
        <v>0</v>
      </c>
      <c r="FF180" s="139">
        <f t="shared" si="191"/>
        <v>0</v>
      </c>
      <c r="FG180" s="139">
        <f t="shared" si="192"/>
        <v>0</v>
      </c>
      <c r="FH180" s="139">
        <f t="shared" si="193"/>
        <v>0</v>
      </c>
      <c r="FI180" s="139">
        <f t="shared" si="194"/>
        <v>0</v>
      </c>
      <c r="FJ180" s="139">
        <f t="shared" si="195"/>
        <v>0</v>
      </c>
      <c r="FK180" s="139">
        <f t="shared" si="196"/>
        <v>0</v>
      </c>
      <c r="FL180" s="139">
        <f t="shared" si="197"/>
        <v>0</v>
      </c>
      <c r="FM180" s="139">
        <f t="shared" si="198"/>
        <v>0</v>
      </c>
      <c r="FN180" s="139">
        <f t="shared" si="199"/>
        <v>0</v>
      </c>
      <c r="FO180" s="139">
        <f t="shared" si="200"/>
        <v>0</v>
      </c>
      <c r="FP180" s="139">
        <f t="shared" si="201"/>
        <v>0</v>
      </c>
      <c r="FQ180" s="139">
        <f t="shared" si="202"/>
        <v>0</v>
      </c>
      <c r="FR180" s="139">
        <f t="shared" si="203"/>
        <v>0</v>
      </c>
      <c r="FS180" s="139">
        <f t="shared" si="204"/>
        <v>0</v>
      </c>
      <c r="FT180" s="139">
        <f t="shared" si="205"/>
        <v>0</v>
      </c>
      <c r="FU180" s="148">
        <f t="shared" si="206"/>
        <v>0</v>
      </c>
      <c r="FV180" s="149"/>
      <c r="FY180" s="210">
        <v>175</v>
      </c>
      <c r="FZ180">
        <v>1.1449550024240613</v>
      </c>
      <c r="GA180">
        <v>2.5320887833328367</v>
      </c>
      <c r="GB180">
        <v>1.3179142288513925</v>
      </c>
      <c r="GC180">
        <v>0.38803732576078448</v>
      </c>
      <c r="GD180">
        <v>1.734593758666751</v>
      </c>
      <c r="GE180">
        <v>4.1400078505960609</v>
      </c>
      <c r="GF180">
        <v>4.2815096231312744</v>
      </c>
      <c r="GG180">
        <v>4.6644635547874671</v>
      </c>
      <c r="GH180">
        <v>5.0421693007368811</v>
      </c>
      <c r="GI180">
        <v>3.1239503523075398</v>
      </c>
      <c r="GJ180"/>
      <c r="GK180"/>
      <c r="GL180"/>
      <c r="GM180"/>
    </row>
    <row r="181" spans="1:195" s="7" customFormat="1">
      <c r="A181" s="1"/>
      <c r="B181" s="76">
        <f t="shared" ca="1" si="171"/>
        <v>0.1852140022649591</v>
      </c>
      <c r="C181">
        <v>7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10.416666666666666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26.941169363044366</v>
      </c>
      <c r="AO181">
        <v>5.8314675390825368</v>
      </c>
      <c r="AP181">
        <v>42.764640289403516</v>
      </c>
      <c r="AQ181">
        <v>37.113518984061031</v>
      </c>
      <c r="AR181">
        <v>5.3394264042892736</v>
      </c>
      <c r="AS181">
        <v>27.998585781221141</v>
      </c>
      <c r="AT181">
        <v>3.5962007139454388</v>
      </c>
      <c r="AU181">
        <v>25.20367116310597</v>
      </c>
      <c r="AV181"/>
      <c r="AW181"/>
      <c r="AX181" s="146"/>
      <c r="AY181" s="76">
        <f t="shared" ca="1" si="172"/>
        <v>0.27260966134001308</v>
      </c>
      <c r="AZ181">
        <v>4</v>
      </c>
      <c r="BA181" s="129">
        <f t="shared" si="248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7"/>
        <v>0.33745898443888844</v>
      </c>
      <c r="CL181" s="179">
        <f t="shared" si="208"/>
        <v>4</v>
      </c>
      <c r="CM181" s="180">
        <f t="shared" si="209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0"/>
        <v>9.6000000000000002E-2</v>
      </c>
      <c r="DB181" s="146"/>
      <c r="DC181" s="76">
        <f t="shared" ca="1" si="173"/>
        <v>0.73514761958455299</v>
      </c>
      <c r="DD181">
        <f t="shared" si="211"/>
        <v>4</v>
      </c>
      <c r="DE181" s="129">
        <f t="shared" si="247"/>
        <v>39987</v>
      </c>
      <c r="DF181" s="161">
        <f t="shared" si="212"/>
        <v>0</v>
      </c>
      <c r="DG181" s="161">
        <f t="shared" si="213"/>
        <v>0</v>
      </c>
      <c r="DH181" s="161">
        <f t="shared" si="214"/>
        <v>0</v>
      </c>
      <c r="DI181" s="161">
        <f t="shared" si="215"/>
        <v>0</v>
      </c>
      <c r="DJ181" s="161">
        <f t="shared" si="216"/>
        <v>0</v>
      </c>
      <c r="DK181" s="161">
        <f t="shared" si="217"/>
        <v>0</v>
      </c>
      <c r="DL181" s="161">
        <f t="shared" si="218"/>
        <v>0</v>
      </c>
      <c r="DM181" s="161">
        <f t="shared" si="219"/>
        <v>0</v>
      </c>
      <c r="DN181" s="161">
        <f t="shared" si="220"/>
        <v>0</v>
      </c>
      <c r="DO181" s="161">
        <f t="shared" si="221"/>
        <v>0</v>
      </c>
      <c r="DP181" s="161">
        <f t="shared" si="222"/>
        <v>0</v>
      </c>
      <c r="DQ181" s="161">
        <f t="shared" si="223"/>
        <v>0</v>
      </c>
      <c r="DR181" s="161">
        <f t="shared" si="224"/>
        <v>0</v>
      </c>
      <c r="DS181" s="161">
        <f t="shared" si="225"/>
        <v>0</v>
      </c>
      <c r="DT181" s="161">
        <f t="shared" si="226"/>
        <v>0</v>
      </c>
      <c r="DU181" s="161">
        <f t="shared" si="227"/>
        <v>0</v>
      </c>
      <c r="DV181" s="161">
        <f t="shared" si="228"/>
        <v>0</v>
      </c>
      <c r="DW181" s="161">
        <f t="shared" si="229"/>
        <v>0</v>
      </c>
      <c r="DX181" s="161">
        <f t="shared" si="230"/>
        <v>0</v>
      </c>
      <c r="DY181" s="161">
        <f t="shared" si="231"/>
        <v>0</v>
      </c>
      <c r="DZ181" s="161">
        <f t="shared" si="232"/>
        <v>0</v>
      </c>
      <c r="EA181" s="161">
        <f t="shared" si="233"/>
        <v>0</v>
      </c>
      <c r="EB181" s="161">
        <f t="shared" si="234"/>
        <v>0</v>
      </c>
      <c r="EC181" s="161">
        <f t="shared" si="235"/>
        <v>0</v>
      </c>
      <c r="ED181" s="161">
        <f t="shared" si="236"/>
        <v>0</v>
      </c>
      <c r="EE181" s="161">
        <f t="shared" si="237"/>
        <v>0</v>
      </c>
      <c r="EF181" s="161">
        <f t="shared" si="238"/>
        <v>0</v>
      </c>
      <c r="EG181" s="161">
        <f t="shared" si="239"/>
        <v>0</v>
      </c>
      <c r="EH181" s="161">
        <f t="shared" si="240"/>
        <v>0</v>
      </c>
      <c r="EI181" s="161">
        <f t="shared" si="241"/>
        <v>0</v>
      </c>
      <c r="EJ181" s="161">
        <f t="shared" si="242"/>
        <v>0</v>
      </c>
      <c r="EK181" s="147">
        <f t="shared" si="174"/>
        <v>0</v>
      </c>
      <c r="EL181" s="149"/>
      <c r="EN181" s="146"/>
      <c r="EO181" s="146"/>
      <c r="EP181" s="139">
        <f t="shared" si="175"/>
        <v>0</v>
      </c>
      <c r="EQ181" s="139">
        <f t="shared" si="176"/>
        <v>0</v>
      </c>
      <c r="ER181" s="139">
        <f t="shared" si="177"/>
        <v>0</v>
      </c>
      <c r="ES181" s="139">
        <f t="shared" si="178"/>
        <v>0</v>
      </c>
      <c r="ET181" s="139">
        <f t="shared" si="179"/>
        <v>0</v>
      </c>
      <c r="EU181" s="139">
        <f t="shared" si="180"/>
        <v>0</v>
      </c>
      <c r="EV181" s="139">
        <f t="shared" si="181"/>
        <v>0</v>
      </c>
      <c r="EW181" s="139">
        <f t="shared" si="182"/>
        <v>0</v>
      </c>
      <c r="EX181" s="139">
        <f t="shared" si="183"/>
        <v>0</v>
      </c>
      <c r="EY181" s="139">
        <f t="shared" si="184"/>
        <v>0</v>
      </c>
      <c r="EZ181" s="139">
        <f t="shared" si="185"/>
        <v>0</v>
      </c>
      <c r="FA181" s="139">
        <f t="shared" si="186"/>
        <v>0</v>
      </c>
      <c r="FB181" s="139">
        <f t="shared" si="187"/>
        <v>0</v>
      </c>
      <c r="FC181" s="139">
        <f t="shared" si="188"/>
        <v>0</v>
      </c>
      <c r="FD181" s="139">
        <f t="shared" si="189"/>
        <v>0</v>
      </c>
      <c r="FE181" s="139">
        <f t="shared" si="190"/>
        <v>0</v>
      </c>
      <c r="FF181" s="139">
        <f t="shared" si="191"/>
        <v>0</v>
      </c>
      <c r="FG181" s="139">
        <f t="shared" si="192"/>
        <v>0</v>
      </c>
      <c r="FH181" s="139">
        <f t="shared" si="193"/>
        <v>0</v>
      </c>
      <c r="FI181" s="139">
        <f t="shared" si="194"/>
        <v>0</v>
      </c>
      <c r="FJ181" s="139">
        <f t="shared" si="195"/>
        <v>0</v>
      </c>
      <c r="FK181" s="139">
        <f t="shared" si="196"/>
        <v>0</v>
      </c>
      <c r="FL181" s="139">
        <f t="shared" si="197"/>
        <v>0</v>
      </c>
      <c r="FM181" s="139">
        <f t="shared" si="198"/>
        <v>0</v>
      </c>
      <c r="FN181" s="139">
        <f t="shared" si="199"/>
        <v>0</v>
      </c>
      <c r="FO181" s="139">
        <f t="shared" si="200"/>
        <v>0</v>
      </c>
      <c r="FP181" s="139">
        <f t="shared" si="201"/>
        <v>0</v>
      </c>
      <c r="FQ181" s="139">
        <f t="shared" si="202"/>
        <v>0</v>
      </c>
      <c r="FR181" s="139">
        <f t="shared" si="203"/>
        <v>0</v>
      </c>
      <c r="FS181" s="139">
        <f t="shared" si="204"/>
        <v>0</v>
      </c>
      <c r="FT181" s="139">
        <f t="shared" si="205"/>
        <v>0</v>
      </c>
      <c r="FU181" s="148">
        <f t="shared" si="206"/>
        <v>0</v>
      </c>
      <c r="FV181" s="149"/>
      <c r="FY181" s="210">
        <v>176</v>
      </c>
      <c r="FZ181">
        <v>1.1799567980550734</v>
      </c>
      <c r="GA181">
        <v>2.5109273626373865</v>
      </c>
      <c r="GB181">
        <v>1.8215619952146438</v>
      </c>
      <c r="GC181">
        <v>1.2163492721132483</v>
      </c>
      <c r="GD181">
        <v>2.405481306610092</v>
      </c>
      <c r="GE181">
        <v>4.7260345453260548</v>
      </c>
      <c r="GF181">
        <v>5.8486168001318033</v>
      </c>
      <c r="GG181">
        <v>4.6997497412214875</v>
      </c>
      <c r="GH181">
        <v>1.5532091145378477</v>
      </c>
      <c r="GI181">
        <v>3.3876839162643373</v>
      </c>
      <c r="GJ181"/>
      <c r="GK181"/>
      <c r="GL181"/>
      <c r="GM181"/>
    </row>
    <row r="182" spans="1:195" s="7" customFormat="1">
      <c r="A182" s="1"/>
      <c r="B182" s="76">
        <f t="shared" ca="1" si="171"/>
        <v>0.9656628408711736</v>
      </c>
      <c r="C182">
        <v>4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21.795408959637683</v>
      </c>
      <c r="AO182">
        <v>5.4662070612864735</v>
      </c>
      <c r="AP182">
        <v>38.481929870368582</v>
      </c>
      <c r="AQ182">
        <v>33.587944516522242</v>
      </c>
      <c r="AR182">
        <v>5.1572951371932172</v>
      </c>
      <c r="AS182">
        <v>24.470130574489811</v>
      </c>
      <c r="AT182">
        <v>3.4963329463073318</v>
      </c>
      <c r="AU182">
        <v>-0.76874786557659958</v>
      </c>
      <c r="AV182"/>
      <c r="AW182"/>
      <c r="AX182" s="146"/>
      <c r="AY182" s="76">
        <f t="shared" ca="1" si="172"/>
        <v>0.66198177446190809</v>
      </c>
      <c r="AZ182">
        <v>5</v>
      </c>
      <c r="BA182" s="129">
        <f t="shared" si="248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7"/>
        <v>0.81760238759884563</v>
      </c>
      <c r="CL182" s="179">
        <f t="shared" si="208"/>
        <v>5</v>
      </c>
      <c r="CM182" s="180">
        <f t="shared" si="209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0"/>
        <v>9.6000000000000002E-2</v>
      </c>
      <c r="DB182" s="146"/>
      <c r="DC182" s="76">
        <f t="shared" ca="1" si="173"/>
        <v>0.82221978494166259</v>
      </c>
      <c r="DD182">
        <f t="shared" si="211"/>
        <v>5</v>
      </c>
      <c r="DE182" s="129">
        <f t="shared" si="247"/>
        <v>39987</v>
      </c>
      <c r="DF182" s="161">
        <f t="shared" si="212"/>
        <v>0</v>
      </c>
      <c r="DG182" s="161">
        <f t="shared" si="213"/>
        <v>0</v>
      </c>
      <c r="DH182" s="161">
        <f t="shared" si="214"/>
        <v>0</v>
      </c>
      <c r="DI182" s="161">
        <f t="shared" si="215"/>
        <v>0</v>
      </c>
      <c r="DJ182" s="161">
        <f t="shared" si="216"/>
        <v>0</v>
      </c>
      <c r="DK182" s="161">
        <f t="shared" si="217"/>
        <v>0</v>
      </c>
      <c r="DL182" s="161">
        <f t="shared" si="218"/>
        <v>0</v>
      </c>
      <c r="DM182" s="161">
        <f t="shared" si="219"/>
        <v>0</v>
      </c>
      <c r="DN182" s="161">
        <f t="shared" si="220"/>
        <v>0</v>
      </c>
      <c r="DO182" s="161">
        <f t="shared" si="221"/>
        <v>0</v>
      </c>
      <c r="DP182" s="161">
        <f t="shared" si="222"/>
        <v>0</v>
      </c>
      <c r="DQ182" s="161">
        <f t="shared" si="223"/>
        <v>0</v>
      </c>
      <c r="DR182" s="161">
        <f t="shared" si="224"/>
        <v>0</v>
      </c>
      <c r="DS182" s="161">
        <f t="shared" si="225"/>
        <v>0</v>
      </c>
      <c r="DT182" s="161">
        <f t="shared" si="226"/>
        <v>0</v>
      </c>
      <c r="DU182" s="161">
        <f t="shared" si="227"/>
        <v>0</v>
      </c>
      <c r="DV182" s="161">
        <f t="shared" si="228"/>
        <v>0</v>
      </c>
      <c r="DW182" s="161">
        <f t="shared" si="229"/>
        <v>0</v>
      </c>
      <c r="DX182" s="161">
        <f t="shared" si="230"/>
        <v>0</v>
      </c>
      <c r="DY182" s="161">
        <f t="shared" si="231"/>
        <v>0</v>
      </c>
      <c r="DZ182" s="161">
        <f t="shared" si="232"/>
        <v>0</v>
      </c>
      <c r="EA182" s="161">
        <f t="shared" si="233"/>
        <v>0</v>
      </c>
      <c r="EB182" s="161">
        <f t="shared" si="234"/>
        <v>0</v>
      </c>
      <c r="EC182" s="161">
        <f t="shared" si="235"/>
        <v>0</v>
      </c>
      <c r="ED182" s="161">
        <f t="shared" si="236"/>
        <v>0</v>
      </c>
      <c r="EE182" s="161">
        <f t="shared" si="237"/>
        <v>0</v>
      </c>
      <c r="EF182" s="161">
        <f t="shared" si="238"/>
        <v>0</v>
      </c>
      <c r="EG182" s="161">
        <f t="shared" si="239"/>
        <v>0</v>
      </c>
      <c r="EH182" s="161">
        <f t="shared" si="240"/>
        <v>0</v>
      </c>
      <c r="EI182" s="161">
        <f t="shared" si="241"/>
        <v>0</v>
      </c>
      <c r="EJ182" s="161">
        <f t="shared" si="242"/>
        <v>0</v>
      </c>
      <c r="EK182" s="147">
        <f t="shared" si="174"/>
        <v>0</v>
      </c>
      <c r="EL182" s="149"/>
      <c r="EN182" s="146"/>
      <c r="EO182" s="146"/>
      <c r="EP182" s="139">
        <f t="shared" si="175"/>
        <v>0</v>
      </c>
      <c r="EQ182" s="139">
        <f t="shared" si="176"/>
        <v>0</v>
      </c>
      <c r="ER182" s="139">
        <f t="shared" si="177"/>
        <v>0</v>
      </c>
      <c r="ES182" s="139">
        <f t="shared" si="178"/>
        <v>0</v>
      </c>
      <c r="ET182" s="139">
        <f t="shared" si="179"/>
        <v>0</v>
      </c>
      <c r="EU182" s="139">
        <f t="shared" si="180"/>
        <v>0</v>
      </c>
      <c r="EV182" s="139">
        <f t="shared" si="181"/>
        <v>0</v>
      </c>
      <c r="EW182" s="139">
        <f t="shared" si="182"/>
        <v>0</v>
      </c>
      <c r="EX182" s="139">
        <f t="shared" si="183"/>
        <v>0</v>
      </c>
      <c r="EY182" s="139">
        <f t="shared" si="184"/>
        <v>0</v>
      </c>
      <c r="EZ182" s="139">
        <f t="shared" si="185"/>
        <v>0</v>
      </c>
      <c r="FA182" s="139">
        <f t="shared" si="186"/>
        <v>0</v>
      </c>
      <c r="FB182" s="139">
        <f t="shared" si="187"/>
        <v>0</v>
      </c>
      <c r="FC182" s="139">
        <f t="shared" si="188"/>
        <v>0</v>
      </c>
      <c r="FD182" s="139">
        <f t="shared" si="189"/>
        <v>0</v>
      </c>
      <c r="FE182" s="139">
        <f t="shared" si="190"/>
        <v>0</v>
      </c>
      <c r="FF182" s="139">
        <f t="shared" si="191"/>
        <v>0</v>
      </c>
      <c r="FG182" s="139">
        <f t="shared" si="192"/>
        <v>0</v>
      </c>
      <c r="FH182" s="139">
        <f t="shared" si="193"/>
        <v>0</v>
      </c>
      <c r="FI182" s="139">
        <f t="shared" si="194"/>
        <v>0</v>
      </c>
      <c r="FJ182" s="139">
        <f t="shared" si="195"/>
        <v>0</v>
      </c>
      <c r="FK182" s="139">
        <f t="shared" si="196"/>
        <v>0</v>
      </c>
      <c r="FL182" s="139">
        <f t="shared" si="197"/>
        <v>0</v>
      </c>
      <c r="FM182" s="139">
        <f t="shared" si="198"/>
        <v>0</v>
      </c>
      <c r="FN182" s="139">
        <f t="shared" si="199"/>
        <v>0</v>
      </c>
      <c r="FO182" s="139">
        <f t="shared" si="200"/>
        <v>0</v>
      </c>
      <c r="FP182" s="139">
        <f t="shared" si="201"/>
        <v>0</v>
      </c>
      <c r="FQ182" s="139">
        <f t="shared" si="202"/>
        <v>0</v>
      </c>
      <c r="FR182" s="139">
        <f t="shared" si="203"/>
        <v>0</v>
      </c>
      <c r="FS182" s="139">
        <f t="shared" si="204"/>
        <v>0</v>
      </c>
      <c r="FT182" s="139">
        <f t="shared" si="205"/>
        <v>0</v>
      </c>
      <c r="FU182" s="148">
        <f t="shared" si="206"/>
        <v>0</v>
      </c>
      <c r="FV182" s="149"/>
      <c r="FY182" s="210">
        <v>177</v>
      </c>
      <c r="FZ182">
        <v>0.8236051781863869</v>
      </c>
      <c r="GA182">
        <v>1.7881251543909911</v>
      </c>
      <c r="GB182">
        <v>2.1713831578445184</v>
      </c>
      <c r="GC182">
        <v>1.2959564859483277</v>
      </c>
      <c r="GD182">
        <v>2.6105064128836055</v>
      </c>
      <c r="GE182">
        <v>5.2939766819789522</v>
      </c>
      <c r="GF182">
        <v>5.4712791227561253</v>
      </c>
      <c r="GG182">
        <v>8.7038811166642773</v>
      </c>
      <c r="GH182">
        <v>7.2076902723401082</v>
      </c>
      <c r="GI182">
        <v>4.3686525287566411</v>
      </c>
      <c r="GJ182"/>
      <c r="GK182"/>
      <c r="GL182"/>
      <c r="GM182"/>
    </row>
    <row r="183" spans="1:195" s="7" customFormat="1">
      <c r="A183" s="1"/>
      <c r="B183" s="76">
        <f t="shared" ca="1" si="171"/>
        <v>0.15727970098164423</v>
      </c>
      <c r="C183">
        <v>3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16.788480413646635</v>
      </c>
      <c r="AO183">
        <v>3.8039349303727676</v>
      </c>
      <c r="AP183">
        <v>30.450042023565807</v>
      </c>
      <c r="AQ183">
        <v>24.682876877431703</v>
      </c>
      <c r="AR183">
        <v>3.5927135386128346</v>
      </c>
      <c r="AS183">
        <v>18.382632937544656</v>
      </c>
      <c r="AT183">
        <v>2.50313976666347</v>
      </c>
      <c r="AU183">
        <v>3.3539576254657697</v>
      </c>
      <c r="AV183"/>
      <c r="AW183"/>
      <c r="AX183" s="146"/>
      <c r="AY183" s="76">
        <f t="shared" ca="1" si="172"/>
        <v>0.38172337510238741</v>
      </c>
      <c r="AZ183">
        <v>6</v>
      </c>
      <c r="BA183" s="129">
        <f t="shared" si="248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7"/>
        <v>0.80960610172164493</v>
      </c>
      <c r="CL183" s="179">
        <f t="shared" si="208"/>
        <v>6</v>
      </c>
      <c r="CM183" s="180">
        <f t="shared" si="209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0"/>
        <v>9.6000000000000002E-2</v>
      </c>
      <c r="DB183" s="146"/>
      <c r="DC183" s="76">
        <f t="shared" ca="1" si="173"/>
        <v>0.3640924143277624</v>
      </c>
      <c r="DD183">
        <f t="shared" si="211"/>
        <v>6</v>
      </c>
      <c r="DE183" s="129">
        <f t="shared" si="247"/>
        <v>39987</v>
      </c>
      <c r="DF183" s="161">
        <f t="shared" si="212"/>
        <v>0</v>
      </c>
      <c r="DG183" s="161">
        <f t="shared" si="213"/>
        <v>0</v>
      </c>
      <c r="DH183" s="161">
        <f t="shared" si="214"/>
        <v>0</v>
      </c>
      <c r="DI183" s="161">
        <f t="shared" si="215"/>
        <v>0</v>
      </c>
      <c r="DJ183" s="161">
        <f t="shared" si="216"/>
        <v>0</v>
      </c>
      <c r="DK183" s="161">
        <f t="shared" si="217"/>
        <v>0</v>
      </c>
      <c r="DL183" s="161">
        <f t="shared" si="218"/>
        <v>0</v>
      </c>
      <c r="DM183" s="161">
        <f t="shared" si="219"/>
        <v>0</v>
      </c>
      <c r="DN183" s="161">
        <f t="shared" si="220"/>
        <v>0</v>
      </c>
      <c r="DO183" s="161">
        <f t="shared" si="221"/>
        <v>0</v>
      </c>
      <c r="DP183" s="161">
        <f t="shared" si="222"/>
        <v>0</v>
      </c>
      <c r="DQ183" s="161">
        <f t="shared" si="223"/>
        <v>0</v>
      </c>
      <c r="DR183" s="161">
        <f t="shared" si="224"/>
        <v>0</v>
      </c>
      <c r="DS183" s="161">
        <f t="shared" si="225"/>
        <v>0</v>
      </c>
      <c r="DT183" s="161">
        <f t="shared" si="226"/>
        <v>0</v>
      </c>
      <c r="DU183" s="161">
        <f t="shared" si="227"/>
        <v>0</v>
      </c>
      <c r="DV183" s="161">
        <f t="shared" si="228"/>
        <v>0</v>
      </c>
      <c r="DW183" s="161">
        <f t="shared" si="229"/>
        <v>0</v>
      </c>
      <c r="DX183" s="161">
        <f t="shared" si="230"/>
        <v>0</v>
      </c>
      <c r="DY183" s="161">
        <f t="shared" si="231"/>
        <v>0</v>
      </c>
      <c r="DZ183" s="161">
        <f t="shared" si="232"/>
        <v>0</v>
      </c>
      <c r="EA183" s="161">
        <f t="shared" si="233"/>
        <v>0</v>
      </c>
      <c r="EB183" s="161">
        <f t="shared" si="234"/>
        <v>0</v>
      </c>
      <c r="EC183" s="161">
        <f t="shared" si="235"/>
        <v>0</v>
      </c>
      <c r="ED183" s="161">
        <f t="shared" si="236"/>
        <v>0</v>
      </c>
      <c r="EE183" s="161">
        <f t="shared" si="237"/>
        <v>0</v>
      </c>
      <c r="EF183" s="161">
        <f t="shared" si="238"/>
        <v>0</v>
      </c>
      <c r="EG183" s="161">
        <f t="shared" si="239"/>
        <v>0</v>
      </c>
      <c r="EH183" s="161">
        <f t="shared" si="240"/>
        <v>0</v>
      </c>
      <c r="EI183" s="161">
        <f t="shared" si="241"/>
        <v>0</v>
      </c>
      <c r="EJ183" s="161">
        <f t="shared" si="242"/>
        <v>0</v>
      </c>
      <c r="EK183" s="147">
        <f t="shared" si="174"/>
        <v>0</v>
      </c>
      <c r="EL183" s="149"/>
      <c r="EN183" s="146"/>
      <c r="EO183" s="146"/>
      <c r="EP183" s="139">
        <f t="shared" si="175"/>
        <v>0</v>
      </c>
      <c r="EQ183" s="139">
        <f t="shared" si="176"/>
        <v>0</v>
      </c>
      <c r="ER183" s="139">
        <f t="shared" si="177"/>
        <v>0</v>
      </c>
      <c r="ES183" s="139">
        <f t="shared" si="178"/>
        <v>0</v>
      </c>
      <c r="ET183" s="139">
        <f t="shared" si="179"/>
        <v>0</v>
      </c>
      <c r="EU183" s="139">
        <f t="shared" si="180"/>
        <v>0</v>
      </c>
      <c r="EV183" s="139">
        <f t="shared" si="181"/>
        <v>0</v>
      </c>
      <c r="EW183" s="139">
        <f t="shared" si="182"/>
        <v>0</v>
      </c>
      <c r="EX183" s="139">
        <f t="shared" si="183"/>
        <v>0</v>
      </c>
      <c r="EY183" s="139">
        <f t="shared" si="184"/>
        <v>0</v>
      </c>
      <c r="EZ183" s="139">
        <f t="shared" si="185"/>
        <v>0</v>
      </c>
      <c r="FA183" s="139">
        <f t="shared" si="186"/>
        <v>0</v>
      </c>
      <c r="FB183" s="139">
        <f t="shared" si="187"/>
        <v>0</v>
      </c>
      <c r="FC183" s="139">
        <f t="shared" si="188"/>
        <v>0</v>
      </c>
      <c r="FD183" s="139">
        <f t="shared" si="189"/>
        <v>0</v>
      </c>
      <c r="FE183" s="139">
        <f t="shared" si="190"/>
        <v>0</v>
      </c>
      <c r="FF183" s="139">
        <f t="shared" si="191"/>
        <v>0</v>
      </c>
      <c r="FG183" s="139">
        <f t="shared" si="192"/>
        <v>0</v>
      </c>
      <c r="FH183" s="139">
        <f t="shared" si="193"/>
        <v>0</v>
      </c>
      <c r="FI183" s="139">
        <f t="shared" si="194"/>
        <v>0</v>
      </c>
      <c r="FJ183" s="139">
        <f t="shared" si="195"/>
        <v>0</v>
      </c>
      <c r="FK183" s="139">
        <f t="shared" si="196"/>
        <v>0</v>
      </c>
      <c r="FL183" s="139">
        <f t="shared" si="197"/>
        <v>0</v>
      </c>
      <c r="FM183" s="139">
        <f t="shared" si="198"/>
        <v>0</v>
      </c>
      <c r="FN183" s="139">
        <f t="shared" si="199"/>
        <v>0</v>
      </c>
      <c r="FO183" s="139">
        <f t="shared" si="200"/>
        <v>0</v>
      </c>
      <c r="FP183" s="139">
        <f t="shared" si="201"/>
        <v>0</v>
      </c>
      <c r="FQ183" s="139">
        <f t="shared" si="202"/>
        <v>0</v>
      </c>
      <c r="FR183" s="139">
        <f t="shared" si="203"/>
        <v>0</v>
      </c>
      <c r="FS183" s="139">
        <f t="shared" si="204"/>
        <v>0</v>
      </c>
      <c r="FT183" s="139">
        <f t="shared" si="205"/>
        <v>0</v>
      </c>
      <c r="FU183" s="148">
        <f t="shared" si="206"/>
        <v>0</v>
      </c>
      <c r="FV183" s="149"/>
      <c r="FY183" s="210">
        <v>178</v>
      </c>
      <c r="FZ183">
        <v>0.90596569600502563</v>
      </c>
      <c r="GA183">
        <v>2.1690408525038349</v>
      </c>
      <c r="GB183">
        <v>1.5972377700253744</v>
      </c>
      <c r="GC183">
        <v>0.76448499796395564</v>
      </c>
      <c r="GD183">
        <v>1.4988475774416239</v>
      </c>
      <c r="GE183">
        <v>3.9807786452046203</v>
      </c>
      <c r="GF183">
        <v>7.7460978629885391</v>
      </c>
      <c r="GG183">
        <v>8.4097183396761359</v>
      </c>
      <c r="GH183">
        <v>5.1530496417994804</v>
      </c>
      <c r="GI183">
        <v>3.6871943769162239</v>
      </c>
      <c r="GJ183"/>
      <c r="GK183"/>
      <c r="GL183"/>
      <c r="GM183"/>
    </row>
    <row r="184" spans="1:195" s="7" customFormat="1">
      <c r="A184" s="1"/>
      <c r="B184" s="76">
        <f t="shared" ref="B184:B215" ca="1" si="249">IF(C184="", "", RAND())</f>
        <v>0.20872533228562218</v>
      </c>
      <c r="C184">
        <v>9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26.28943039299735</v>
      </c>
      <c r="AO184">
        <v>5.1800377801893642</v>
      </c>
      <c r="AP184">
        <v>33.273352637028957</v>
      </c>
      <c r="AQ184">
        <v>30.80071701618386</v>
      </c>
      <c r="AR184">
        <v>4.744083532946954</v>
      </c>
      <c r="AS184">
        <v>22.569822142001787</v>
      </c>
      <c r="AT184">
        <v>3.307386543368549</v>
      </c>
      <c r="AU184">
        <v>4.547318978619292</v>
      </c>
      <c r="AV184"/>
      <c r="AW184"/>
      <c r="AX184" s="146"/>
      <c r="AY184" s="76">
        <f t="shared" ca="1" si="172"/>
        <v>0.95488862246019979</v>
      </c>
      <c r="AZ184">
        <v>7</v>
      </c>
      <c r="BA184" s="129">
        <f t="shared" si="248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1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7"/>
        <v>0.25165418480045298</v>
      </c>
      <c r="CL184" s="179">
        <f t="shared" si="208"/>
        <v>7</v>
      </c>
      <c r="CM184" s="180">
        <f t="shared" si="209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0"/>
        <v>9.6000000000000002E-2</v>
      </c>
      <c r="DB184" s="146"/>
      <c r="DC184" s="76">
        <f t="shared" ca="1" si="173"/>
        <v>0.28699409456887537</v>
      </c>
      <c r="DD184">
        <f t="shared" si="211"/>
        <v>7</v>
      </c>
      <c r="DE184" s="129">
        <f t="shared" si="247"/>
        <v>39987</v>
      </c>
      <c r="DF184" s="161">
        <f t="shared" si="212"/>
        <v>0</v>
      </c>
      <c r="DG184" s="161">
        <f t="shared" si="213"/>
        <v>0</v>
      </c>
      <c r="DH184" s="161">
        <f t="shared" si="214"/>
        <v>0</v>
      </c>
      <c r="DI184" s="161">
        <f t="shared" si="215"/>
        <v>0</v>
      </c>
      <c r="DJ184" s="161">
        <f t="shared" si="216"/>
        <v>0</v>
      </c>
      <c r="DK184" s="161">
        <f t="shared" si="217"/>
        <v>0</v>
      </c>
      <c r="DL184" s="161">
        <f t="shared" si="218"/>
        <v>0</v>
      </c>
      <c r="DM184" s="161">
        <f t="shared" si="219"/>
        <v>10.416666666666666</v>
      </c>
      <c r="DN184" s="161">
        <f t="shared" si="220"/>
        <v>0</v>
      </c>
      <c r="DO184" s="161">
        <f t="shared" si="221"/>
        <v>0</v>
      </c>
      <c r="DP184" s="161">
        <f t="shared" si="222"/>
        <v>0</v>
      </c>
      <c r="DQ184" s="161">
        <f t="shared" si="223"/>
        <v>0</v>
      </c>
      <c r="DR184" s="161">
        <f t="shared" si="224"/>
        <v>0</v>
      </c>
      <c r="DS184" s="161">
        <f t="shared" si="225"/>
        <v>0</v>
      </c>
      <c r="DT184" s="161">
        <f t="shared" si="226"/>
        <v>0</v>
      </c>
      <c r="DU184" s="161">
        <f t="shared" si="227"/>
        <v>0</v>
      </c>
      <c r="DV184" s="161">
        <f t="shared" si="228"/>
        <v>0</v>
      </c>
      <c r="DW184" s="161">
        <f t="shared" si="229"/>
        <v>0</v>
      </c>
      <c r="DX184" s="161">
        <f t="shared" si="230"/>
        <v>0</v>
      </c>
      <c r="DY184" s="161">
        <f t="shared" si="231"/>
        <v>0</v>
      </c>
      <c r="DZ184" s="161">
        <f t="shared" si="232"/>
        <v>0</v>
      </c>
      <c r="EA184" s="161">
        <f t="shared" si="233"/>
        <v>0</v>
      </c>
      <c r="EB184" s="161">
        <f t="shared" si="234"/>
        <v>0</v>
      </c>
      <c r="EC184" s="161">
        <f t="shared" si="235"/>
        <v>0</v>
      </c>
      <c r="ED184" s="161">
        <f t="shared" si="236"/>
        <v>0</v>
      </c>
      <c r="EE184" s="161">
        <f t="shared" si="237"/>
        <v>0</v>
      </c>
      <c r="EF184" s="161">
        <f t="shared" si="238"/>
        <v>0</v>
      </c>
      <c r="EG184" s="161">
        <f t="shared" si="239"/>
        <v>0</v>
      </c>
      <c r="EH184" s="161">
        <f t="shared" si="240"/>
        <v>0</v>
      </c>
      <c r="EI184" s="161">
        <f t="shared" si="241"/>
        <v>0</v>
      </c>
      <c r="EJ184" s="161">
        <f t="shared" si="242"/>
        <v>0</v>
      </c>
      <c r="EK184" s="147">
        <f t="shared" ref="EK184:EK207" si="250">IF(DF184="", "", SUM(DF184:EJ184))</f>
        <v>10.416666666666666</v>
      </c>
      <c r="EL184" s="149"/>
      <c r="EN184" s="146"/>
      <c r="EO184" s="146"/>
      <c r="EP184" s="139">
        <f t="shared" ref="EP184:EP207" si="251">IF(DF184="", "", DF184*G$36)</f>
        <v>0</v>
      </c>
      <c r="EQ184" s="139">
        <f t="shared" ref="EQ184:EQ207" si="252">IF(DG184="", "", DG184*H$36)</f>
        <v>0</v>
      </c>
      <c r="ER184" s="139">
        <f t="shared" ref="ER184:ER207" si="253">IF(DH184="", "", DH184*I$36)</f>
        <v>0</v>
      </c>
      <c r="ES184" s="139">
        <f t="shared" ref="ES184:ES207" si="254">IF(DI184="", "", DI184*J$36)</f>
        <v>0</v>
      </c>
      <c r="ET184" s="139">
        <f t="shared" ref="ET184:ET207" si="255">IF(DJ184="", "", DJ184*K$36)</f>
        <v>0</v>
      </c>
      <c r="EU184" s="139">
        <f t="shared" ref="EU184:EU207" si="256">IF(DK184="", "", DK184*L$36)</f>
        <v>0</v>
      </c>
      <c r="EV184" s="139">
        <f t="shared" ref="EV184:EV207" si="257">IF(DL184="", "", DL184*M$36)</f>
        <v>0</v>
      </c>
      <c r="EW184" s="139">
        <f t="shared" ref="EW184:EW207" si="258">IF(DM184="", "", DM184*N$36)</f>
        <v>12.442020286762366</v>
      </c>
      <c r="EX184" s="139">
        <f t="shared" ref="EX184:EX207" si="259">IF(DN184="", "", DN184*O$36)</f>
        <v>0</v>
      </c>
      <c r="EY184" s="139">
        <f t="shared" ref="EY184:EY207" si="260">IF(DO184="", "", DO184*P$36)</f>
        <v>0</v>
      </c>
      <c r="EZ184" s="139">
        <f t="shared" ref="EZ184:EZ207" si="261">IF(DP184="", "", DP184*Q$36)</f>
        <v>0</v>
      </c>
      <c r="FA184" s="139">
        <f t="shared" ref="FA184:FA207" si="262">IF(DQ184="", "", DQ184*R$36)</f>
        <v>0</v>
      </c>
      <c r="FB184" s="139">
        <f t="shared" ref="FB184:FB207" si="263">IF(DR184="", "", DR184*S$36)</f>
        <v>0</v>
      </c>
      <c r="FC184" s="139">
        <f t="shared" ref="FC184:FC207" si="264">IF(DS184="", "", DS184*T$36)</f>
        <v>0</v>
      </c>
      <c r="FD184" s="139">
        <f t="shared" ref="FD184:FD207" si="265">IF(DT184="", "", DT184*U$36)</f>
        <v>0</v>
      </c>
      <c r="FE184" s="139">
        <f t="shared" ref="FE184:FE207" si="266">IF(DU184="", "", DU184*V$36)</f>
        <v>0</v>
      </c>
      <c r="FF184" s="139">
        <f t="shared" ref="FF184:FF207" si="267">IF(DV184="", "", DV184*W$36)</f>
        <v>0</v>
      </c>
      <c r="FG184" s="139">
        <f t="shared" ref="FG184:FG207" si="268">IF(DW184="", "", DW184*X$36)</f>
        <v>0</v>
      </c>
      <c r="FH184" s="139">
        <f t="shared" ref="FH184:FH207" si="269">IF(DX184="", "", DX184*Y$36)</f>
        <v>0</v>
      </c>
      <c r="FI184" s="139">
        <f t="shared" ref="FI184:FI207" si="270">IF(DY184="", "", DY184*Z$36)</f>
        <v>0</v>
      </c>
      <c r="FJ184" s="139">
        <f t="shared" ref="FJ184:FJ207" si="271">IF(DZ184="", "", DZ184*AA$36)</f>
        <v>0</v>
      </c>
      <c r="FK184" s="139">
        <f t="shared" ref="FK184:FK207" si="272">IF(EA184="", "", EA184*AB$36)</f>
        <v>0</v>
      </c>
      <c r="FL184" s="139">
        <f t="shared" ref="FL184:FL207" si="273">IF(EB184="", "", EB184*AC$36)</f>
        <v>0</v>
      </c>
      <c r="FM184" s="139">
        <f t="shared" ref="FM184:FM207" si="274">IF(EC184="", "", EC184*AD$36)</f>
        <v>0</v>
      </c>
      <c r="FN184" s="139">
        <f t="shared" ref="FN184:FN207" si="275">IF(ED184="", "", ED184*AE$36)</f>
        <v>0</v>
      </c>
      <c r="FO184" s="139">
        <f t="shared" ref="FO184:FO207" si="276">IF(EE184="", "", EE184*AF$36)</f>
        <v>0</v>
      </c>
      <c r="FP184" s="139">
        <f t="shared" ref="FP184:FP207" si="277">IF(EF184="", "", EF184*AG$36)</f>
        <v>0</v>
      </c>
      <c r="FQ184" s="139">
        <f t="shared" ref="FQ184:FQ207" si="278">IF(EG184="", "", EG184*AH$36)</f>
        <v>0</v>
      </c>
      <c r="FR184" s="139">
        <f t="shared" ref="FR184:FR207" si="279">IF(EH184="", "", EH184*AI$36)</f>
        <v>0</v>
      </c>
      <c r="FS184" s="139">
        <f t="shared" ref="FS184:FS207" si="280">IF(EI184="", "", EI184*AJ$36)</f>
        <v>0</v>
      </c>
      <c r="FT184" s="139">
        <f t="shared" ref="FT184:FT207" si="281">IF(EJ184="", "", EJ184*AK$36)</f>
        <v>0</v>
      </c>
      <c r="FU184" s="148">
        <f t="shared" ref="FU184:FU207" si="282">IF(EP184="","",SUM(EP184:FT184))</f>
        <v>12.442020286762366</v>
      </c>
      <c r="FV184" s="149"/>
      <c r="FY184" s="210">
        <v>179</v>
      </c>
      <c r="FZ184">
        <v>0.82984002380916</v>
      </c>
      <c r="GA184">
        <v>0.89074822122651898</v>
      </c>
      <c r="GB184">
        <v>1.1915983705084159</v>
      </c>
      <c r="GC184">
        <v>1.0258724227111837</v>
      </c>
      <c r="GD184">
        <v>0.86963092343997583</v>
      </c>
      <c r="GE184">
        <v>1.6227583812849673</v>
      </c>
      <c r="GF184">
        <v>5.2319681864306409</v>
      </c>
      <c r="GG184">
        <v>7.0974895694149671</v>
      </c>
      <c r="GH184">
        <v>5.3036860777388855</v>
      </c>
      <c r="GI184">
        <v>2.7457522389366886</v>
      </c>
      <c r="GJ184"/>
      <c r="GK184"/>
      <c r="GL184"/>
      <c r="GM184"/>
    </row>
    <row r="185" spans="1:195" s="7" customFormat="1">
      <c r="A185" s="1"/>
      <c r="B185" s="76">
        <f t="shared" ca="1" si="249"/>
        <v>0.17037640205122973</v>
      </c>
      <c r="C185">
        <v>2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29.388370022267861</v>
      </c>
      <c r="AO185">
        <v>6.558887118261076</v>
      </c>
      <c r="AP185">
        <v>52.200480936339645</v>
      </c>
      <c r="AQ185">
        <v>43.611190241425561</v>
      </c>
      <c r="AR185">
        <v>6.0360350511427328</v>
      </c>
      <c r="AS185">
        <v>28.272204594266512</v>
      </c>
      <c r="AT185">
        <v>4.0539629434734508</v>
      </c>
      <c r="AU185">
        <v>2.7425423962981599</v>
      </c>
      <c r="AV185"/>
      <c r="AW185"/>
      <c r="AX185" s="146"/>
      <c r="AY185" s="76">
        <f t="shared" ca="1" si="172"/>
        <v>0.25677816764344552</v>
      </c>
      <c r="AZ185">
        <v>8</v>
      </c>
      <c r="BA185" s="129">
        <f t="shared" si="248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7"/>
        <v>0.3609935193642424</v>
      </c>
      <c r="CL185" s="179">
        <f t="shared" si="208"/>
        <v>8</v>
      </c>
      <c r="CM185" s="180">
        <f t="shared" si="209"/>
        <v>39987</v>
      </c>
      <c r="CN185">
        <v>0</v>
      </c>
      <c r="CO185">
        <v>0</v>
      </c>
      <c r="CP185">
        <v>0</v>
      </c>
      <c r="CQ185">
        <v>1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0"/>
        <v>9.6000000000000002E-2</v>
      </c>
      <c r="DB185" s="146"/>
      <c r="DC185" s="76">
        <f t="shared" ca="1" si="173"/>
        <v>0.32682697443886966</v>
      </c>
      <c r="DD185">
        <f t="shared" si="211"/>
        <v>8</v>
      </c>
      <c r="DE185" s="129">
        <f t="shared" si="247"/>
        <v>39987</v>
      </c>
      <c r="DF185" s="161">
        <f t="shared" si="212"/>
        <v>0</v>
      </c>
      <c r="DG185" s="161">
        <f t="shared" si="213"/>
        <v>0</v>
      </c>
      <c r="DH185" s="161">
        <f t="shared" si="214"/>
        <v>0</v>
      </c>
      <c r="DI185" s="161">
        <f t="shared" si="215"/>
        <v>56.089743589743591</v>
      </c>
      <c r="DJ185" s="161">
        <f t="shared" si="216"/>
        <v>0</v>
      </c>
      <c r="DK185" s="161">
        <f t="shared" si="217"/>
        <v>0</v>
      </c>
      <c r="DL185" s="161">
        <f t="shared" si="218"/>
        <v>0</v>
      </c>
      <c r="DM185" s="161">
        <f t="shared" si="219"/>
        <v>0</v>
      </c>
      <c r="DN185" s="161">
        <f t="shared" si="220"/>
        <v>0</v>
      </c>
      <c r="DO185" s="161">
        <f t="shared" si="221"/>
        <v>0</v>
      </c>
      <c r="DP185" s="161">
        <f t="shared" si="222"/>
        <v>0</v>
      </c>
      <c r="DQ185" s="161">
        <f t="shared" si="223"/>
        <v>0</v>
      </c>
      <c r="DR185" s="161">
        <f t="shared" si="224"/>
        <v>0</v>
      </c>
      <c r="DS185" s="161">
        <f t="shared" si="225"/>
        <v>0</v>
      </c>
      <c r="DT185" s="161">
        <f t="shared" si="226"/>
        <v>0</v>
      </c>
      <c r="DU185" s="161">
        <f t="shared" si="227"/>
        <v>0</v>
      </c>
      <c r="DV185" s="161">
        <f t="shared" si="228"/>
        <v>0</v>
      </c>
      <c r="DW185" s="161">
        <f t="shared" si="229"/>
        <v>0</v>
      </c>
      <c r="DX185" s="161">
        <f t="shared" si="230"/>
        <v>0</v>
      </c>
      <c r="DY185" s="161">
        <f t="shared" si="231"/>
        <v>0</v>
      </c>
      <c r="DZ185" s="161">
        <f t="shared" si="232"/>
        <v>0</v>
      </c>
      <c r="EA185" s="161">
        <f t="shared" si="233"/>
        <v>0</v>
      </c>
      <c r="EB185" s="161">
        <f t="shared" si="234"/>
        <v>0</v>
      </c>
      <c r="EC185" s="161">
        <f t="shared" si="235"/>
        <v>0</v>
      </c>
      <c r="ED185" s="161">
        <f t="shared" si="236"/>
        <v>0</v>
      </c>
      <c r="EE185" s="161">
        <f t="shared" si="237"/>
        <v>0</v>
      </c>
      <c r="EF185" s="161">
        <f t="shared" si="238"/>
        <v>0</v>
      </c>
      <c r="EG185" s="161">
        <f t="shared" si="239"/>
        <v>0</v>
      </c>
      <c r="EH185" s="161">
        <f t="shared" si="240"/>
        <v>0</v>
      </c>
      <c r="EI185" s="161">
        <f t="shared" si="241"/>
        <v>0</v>
      </c>
      <c r="EJ185" s="161">
        <f t="shared" si="242"/>
        <v>0</v>
      </c>
      <c r="EK185" s="147">
        <f t="shared" si="250"/>
        <v>56.089743589743591</v>
      </c>
      <c r="EL185" s="149"/>
      <c r="EN185" s="146"/>
      <c r="EO185" s="146"/>
      <c r="EP185" s="139">
        <f t="shared" si="251"/>
        <v>0</v>
      </c>
      <c r="EQ185" s="139">
        <f t="shared" si="252"/>
        <v>0</v>
      </c>
      <c r="ER185" s="139">
        <f t="shared" si="253"/>
        <v>0</v>
      </c>
      <c r="ES185" s="139">
        <f t="shared" si="254"/>
        <v>6.6631076477026872</v>
      </c>
      <c r="ET185" s="139">
        <f t="shared" si="255"/>
        <v>0</v>
      </c>
      <c r="EU185" s="139">
        <f t="shared" si="256"/>
        <v>0</v>
      </c>
      <c r="EV185" s="139">
        <f t="shared" si="257"/>
        <v>0</v>
      </c>
      <c r="EW185" s="139">
        <f t="shared" si="258"/>
        <v>0</v>
      </c>
      <c r="EX185" s="139">
        <f t="shared" si="259"/>
        <v>0</v>
      </c>
      <c r="EY185" s="139">
        <f t="shared" si="260"/>
        <v>0</v>
      </c>
      <c r="EZ185" s="139">
        <f t="shared" si="261"/>
        <v>0</v>
      </c>
      <c r="FA185" s="139">
        <f t="shared" si="262"/>
        <v>0</v>
      </c>
      <c r="FB185" s="139">
        <f t="shared" si="263"/>
        <v>0</v>
      </c>
      <c r="FC185" s="139">
        <f t="shared" si="264"/>
        <v>0</v>
      </c>
      <c r="FD185" s="139">
        <f t="shared" si="265"/>
        <v>0</v>
      </c>
      <c r="FE185" s="139">
        <f t="shared" si="266"/>
        <v>0</v>
      </c>
      <c r="FF185" s="139">
        <f t="shared" si="267"/>
        <v>0</v>
      </c>
      <c r="FG185" s="139">
        <f t="shared" si="268"/>
        <v>0</v>
      </c>
      <c r="FH185" s="139">
        <f t="shared" si="269"/>
        <v>0</v>
      </c>
      <c r="FI185" s="139">
        <f t="shared" si="270"/>
        <v>0</v>
      </c>
      <c r="FJ185" s="139">
        <f t="shared" si="271"/>
        <v>0</v>
      </c>
      <c r="FK185" s="139">
        <f t="shared" si="272"/>
        <v>0</v>
      </c>
      <c r="FL185" s="139">
        <f t="shared" si="273"/>
        <v>0</v>
      </c>
      <c r="FM185" s="139">
        <f t="shared" si="274"/>
        <v>0</v>
      </c>
      <c r="FN185" s="139">
        <f t="shared" si="275"/>
        <v>0</v>
      </c>
      <c r="FO185" s="139">
        <f t="shared" si="276"/>
        <v>0</v>
      </c>
      <c r="FP185" s="139">
        <f t="shared" si="277"/>
        <v>0</v>
      </c>
      <c r="FQ185" s="139">
        <f t="shared" si="278"/>
        <v>0</v>
      </c>
      <c r="FR185" s="139">
        <f t="shared" si="279"/>
        <v>0</v>
      </c>
      <c r="FS185" s="139">
        <f t="shared" si="280"/>
        <v>0</v>
      </c>
      <c r="FT185" s="139">
        <f t="shared" si="281"/>
        <v>0</v>
      </c>
      <c r="FU185" s="148">
        <f t="shared" si="282"/>
        <v>6.6631076477026872</v>
      </c>
      <c r="FV185" s="149"/>
      <c r="FY185" s="210">
        <v>180</v>
      </c>
      <c r="FZ185">
        <v>1.3712490882196871</v>
      </c>
      <c r="GA185">
        <v>1.9818889118450917</v>
      </c>
      <c r="GB185">
        <v>0.9072013891493369</v>
      </c>
      <c r="GC185">
        <v>0.4599661901378293</v>
      </c>
      <c r="GD185">
        <v>1.2129583811486411</v>
      </c>
      <c r="GE185">
        <v>3.0712863725812936</v>
      </c>
      <c r="GF185">
        <v>7.1613187904904159</v>
      </c>
      <c r="GG185">
        <v>7.0109293790780294</v>
      </c>
      <c r="GH185">
        <v>4.4777676628679348</v>
      </c>
      <c r="GI185">
        <v>3.1951911861408049</v>
      </c>
      <c r="GJ185"/>
      <c r="GK185"/>
      <c r="GL185"/>
      <c r="GM185"/>
    </row>
    <row r="186" spans="1:195" s="7" customFormat="1">
      <c r="A186" s="1"/>
      <c r="B186" s="76">
        <f t="shared" ca="1" si="249"/>
        <v>0.69051665224423031</v>
      </c>
      <c r="C186">
        <v>1</v>
      </c>
      <c r="D186">
        <v>39987</v>
      </c>
      <c r="E186">
        <v>0</v>
      </c>
      <c r="F186">
        <v>0</v>
      </c>
      <c r="G186">
        <v>77.570921985815602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19.492538177300379</v>
      </c>
      <c r="AO186">
        <v>3.8709031134215506</v>
      </c>
      <c r="AP186">
        <v>25.959231358669165</v>
      </c>
      <c r="AQ186">
        <v>23.457867503896754</v>
      </c>
      <c r="AR186">
        <v>3.6704121655649766</v>
      </c>
      <c r="AS186">
        <v>17.103617017825805</v>
      </c>
      <c r="AT186">
        <v>2.5521898044654696</v>
      </c>
      <c r="AU186">
        <v>4.8314001985183666</v>
      </c>
      <c r="AV186"/>
      <c r="AW186"/>
      <c r="AX186" s="146"/>
      <c r="AY186" s="76">
        <f t="shared" ca="1" si="172"/>
        <v>0.41173341069504166</v>
      </c>
      <c r="AZ186">
        <v>9</v>
      </c>
      <c r="BA186" s="129">
        <f t="shared" si="248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7"/>
        <v>0.87208044810233276</v>
      </c>
      <c r="CL186" s="179">
        <f t="shared" si="208"/>
        <v>9</v>
      </c>
      <c r="CM186" s="180">
        <f t="shared" si="209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0"/>
        <v>9.6000000000000002E-2</v>
      </c>
      <c r="DB186" s="146"/>
      <c r="DC186" s="76">
        <f t="shared" ca="1" si="173"/>
        <v>0.66111161401065766</v>
      </c>
      <c r="DD186">
        <f t="shared" si="211"/>
        <v>9</v>
      </c>
      <c r="DE186" s="129">
        <f t="shared" si="247"/>
        <v>39987</v>
      </c>
      <c r="DF186" s="161">
        <f t="shared" si="212"/>
        <v>0</v>
      </c>
      <c r="DG186" s="161">
        <f t="shared" si="213"/>
        <v>0</v>
      </c>
      <c r="DH186" s="161">
        <f t="shared" si="214"/>
        <v>0</v>
      </c>
      <c r="DI186" s="161">
        <f t="shared" si="215"/>
        <v>0</v>
      </c>
      <c r="DJ186" s="161">
        <f t="shared" si="216"/>
        <v>0</v>
      </c>
      <c r="DK186" s="161">
        <f t="shared" si="217"/>
        <v>0</v>
      </c>
      <c r="DL186" s="161">
        <f t="shared" si="218"/>
        <v>0</v>
      </c>
      <c r="DM186" s="161">
        <f t="shared" si="219"/>
        <v>0</v>
      </c>
      <c r="DN186" s="161">
        <f t="shared" si="220"/>
        <v>0</v>
      </c>
      <c r="DO186" s="161">
        <f t="shared" si="221"/>
        <v>0</v>
      </c>
      <c r="DP186" s="161">
        <f t="shared" si="222"/>
        <v>0</v>
      </c>
      <c r="DQ186" s="161">
        <f t="shared" si="223"/>
        <v>0</v>
      </c>
      <c r="DR186" s="161">
        <f t="shared" si="224"/>
        <v>0</v>
      </c>
      <c r="DS186" s="161">
        <f t="shared" si="225"/>
        <v>0</v>
      </c>
      <c r="DT186" s="161">
        <f t="shared" si="226"/>
        <v>0</v>
      </c>
      <c r="DU186" s="161">
        <f t="shared" si="227"/>
        <v>0</v>
      </c>
      <c r="DV186" s="161">
        <f t="shared" si="228"/>
        <v>0</v>
      </c>
      <c r="DW186" s="161">
        <f t="shared" si="229"/>
        <v>0</v>
      </c>
      <c r="DX186" s="161">
        <f t="shared" si="230"/>
        <v>0</v>
      </c>
      <c r="DY186" s="161">
        <f t="shared" si="231"/>
        <v>0</v>
      </c>
      <c r="DZ186" s="161">
        <f t="shared" si="232"/>
        <v>0</v>
      </c>
      <c r="EA186" s="161">
        <f t="shared" si="233"/>
        <v>0</v>
      </c>
      <c r="EB186" s="161">
        <f t="shared" si="234"/>
        <v>0</v>
      </c>
      <c r="EC186" s="161">
        <f t="shared" si="235"/>
        <v>0</v>
      </c>
      <c r="ED186" s="161">
        <f t="shared" si="236"/>
        <v>0</v>
      </c>
      <c r="EE186" s="161">
        <f t="shared" si="237"/>
        <v>0</v>
      </c>
      <c r="EF186" s="161">
        <f t="shared" si="238"/>
        <v>0</v>
      </c>
      <c r="EG186" s="161">
        <f t="shared" si="239"/>
        <v>0</v>
      </c>
      <c r="EH186" s="161">
        <f t="shared" si="240"/>
        <v>0</v>
      </c>
      <c r="EI186" s="161">
        <f t="shared" si="241"/>
        <v>0</v>
      </c>
      <c r="EJ186" s="161">
        <f t="shared" si="242"/>
        <v>0</v>
      </c>
      <c r="EK186" s="147">
        <f t="shared" si="250"/>
        <v>0</v>
      </c>
      <c r="EL186" s="149"/>
      <c r="EN186" s="146"/>
      <c r="EO186" s="146"/>
      <c r="EP186" s="139">
        <f t="shared" si="251"/>
        <v>0</v>
      </c>
      <c r="EQ186" s="139">
        <f t="shared" si="252"/>
        <v>0</v>
      </c>
      <c r="ER186" s="139">
        <f t="shared" si="253"/>
        <v>0</v>
      </c>
      <c r="ES186" s="139">
        <f t="shared" si="254"/>
        <v>0</v>
      </c>
      <c r="ET186" s="139">
        <f t="shared" si="255"/>
        <v>0</v>
      </c>
      <c r="EU186" s="139">
        <f t="shared" si="256"/>
        <v>0</v>
      </c>
      <c r="EV186" s="139">
        <f t="shared" si="257"/>
        <v>0</v>
      </c>
      <c r="EW186" s="139">
        <f t="shared" si="258"/>
        <v>0</v>
      </c>
      <c r="EX186" s="139">
        <f t="shared" si="259"/>
        <v>0</v>
      </c>
      <c r="EY186" s="139">
        <f t="shared" si="260"/>
        <v>0</v>
      </c>
      <c r="EZ186" s="139">
        <f t="shared" si="261"/>
        <v>0</v>
      </c>
      <c r="FA186" s="139">
        <f t="shared" si="262"/>
        <v>0</v>
      </c>
      <c r="FB186" s="139">
        <f t="shared" si="263"/>
        <v>0</v>
      </c>
      <c r="FC186" s="139">
        <f t="shared" si="264"/>
        <v>0</v>
      </c>
      <c r="FD186" s="139">
        <f t="shared" si="265"/>
        <v>0</v>
      </c>
      <c r="FE186" s="139">
        <f t="shared" si="266"/>
        <v>0</v>
      </c>
      <c r="FF186" s="139">
        <f t="shared" si="267"/>
        <v>0</v>
      </c>
      <c r="FG186" s="139">
        <f t="shared" si="268"/>
        <v>0</v>
      </c>
      <c r="FH186" s="139">
        <f t="shared" si="269"/>
        <v>0</v>
      </c>
      <c r="FI186" s="139">
        <f t="shared" si="270"/>
        <v>0</v>
      </c>
      <c r="FJ186" s="139">
        <f t="shared" si="271"/>
        <v>0</v>
      </c>
      <c r="FK186" s="139">
        <f t="shared" si="272"/>
        <v>0</v>
      </c>
      <c r="FL186" s="139">
        <f t="shared" si="273"/>
        <v>0</v>
      </c>
      <c r="FM186" s="139">
        <f t="shared" si="274"/>
        <v>0</v>
      </c>
      <c r="FN186" s="139">
        <f t="shared" si="275"/>
        <v>0</v>
      </c>
      <c r="FO186" s="139">
        <f t="shared" si="276"/>
        <v>0</v>
      </c>
      <c r="FP186" s="139">
        <f t="shared" si="277"/>
        <v>0</v>
      </c>
      <c r="FQ186" s="139">
        <f t="shared" si="278"/>
        <v>0</v>
      </c>
      <c r="FR186" s="139">
        <f t="shared" si="279"/>
        <v>0</v>
      </c>
      <c r="FS186" s="139">
        <f t="shared" si="280"/>
        <v>0</v>
      </c>
      <c r="FT186" s="139">
        <f t="shared" si="281"/>
        <v>0</v>
      </c>
      <c r="FU186" s="148">
        <f t="shared" si="282"/>
        <v>0</v>
      </c>
      <c r="FV186" s="149"/>
      <c r="FY186" s="210">
        <v>181</v>
      </c>
      <c r="FZ186">
        <v>1.1578757524253342</v>
      </c>
      <c r="GA186">
        <v>2.2490386604195991</v>
      </c>
      <c r="GB186">
        <v>1.5460823967670678</v>
      </c>
      <c r="GC186">
        <v>1.0520655974169397</v>
      </c>
      <c r="GD186">
        <v>2.3202665166475391</v>
      </c>
      <c r="GE186">
        <v>5.4038176978985453</v>
      </c>
      <c r="GF186">
        <v>8.4498614282351028</v>
      </c>
      <c r="GG186">
        <v>9.3750941365224811</v>
      </c>
      <c r="GH186">
        <v>7.5933944382669445</v>
      </c>
      <c r="GI186">
        <v>4.7009120421447381</v>
      </c>
      <c r="GJ186"/>
      <c r="GK186"/>
      <c r="GL186"/>
      <c r="GM186"/>
    </row>
    <row r="187" spans="1:195" s="7" customFormat="1">
      <c r="A187" s="1"/>
      <c r="B187" s="76">
        <f t="shared" ca="1" si="249"/>
        <v>0.76297339806536324</v>
      </c>
      <c r="C187">
        <v>10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23.739427154408769</v>
      </c>
      <c r="AO187">
        <v>5.0163549097253313</v>
      </c>
      <c r="AP187">
        <v>36.737067123192894</v>
      </c>
      <c r="AQ187">
        <v>31.517987504988223</v>
      </c>
      <c r="AR187">
        <v>4.532799791484889</v>
      </c>
      <c r="AS187">
        <v>20.965020889188509</v>
      </c>
      <c r="AT187">
        <v>3.0207510014693995</v>
      </c>
      <c r="AU187">
        <v>20.463432682269382</v>
      </c>
      <c r="AV187"/>
      <c r="AW187"/>
      <c r="AX187" s="146"/>
      <c r="AY187" s="76">
        <f t="shared" ca="1" si="172"/>
        <v>0.52853602812946843</v>
      </c>
      <c r="AZ187">
        <v>10</v>
      </c>
      <c r="BA187" s="129">
        <f t="shared" si="248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7"/>
        <v>0.5343107279669792</v>
      </c>
      <c r="CL187" s="179">
        <f t="shared" si="208"/>
        <v>10</v>
      </c>
      <c r="CM187" s="180">
        <f t="shared" si="209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0"/>
        <v>9.6000000000000002E-2</v>
      </c>
      <c r="DB187" s="146"/>
      <c r="DC187" s="76">
        <f t="shared" ca="1" si="173"/>
        <v>0.78470210469986634</v>
      </c>
      <c r="DD187">
        <f t="shared" si="211"/>
        <v>10</v>
      </c>
      <c r="DE187" s="129">
        <f t="shared" si="247"/>
        <v>39987</v>
      </c>
      <c r="DF187" s="161">
        <f t="shared" si="212"/>
        <v>0</v>
      </c>
      <c r="DG187" s="161">
        <f t="shared" si="213"/>
        <v>0</v>
      </c>
      <c r="DH187" s="161">
        <f t="shared" si="214"/>
        <v>0</v>
      </c>
      <c r="DI187" s="161">
        <f t="shared" si="215"/>
        <v>0</v>
      </c>
      <c r="DJ187" s="161">
        <f t="shared" si="216"/>
        <v>0</v>
      </c>
      <c r="DK187" s="161">
        <f t="shared" si="217"/>
        <v>0</v>
      </c>
      <c r="DL187" s="161">
        <f t="shared" si="218"/>
        <v>0</v>
      </c>
      <c r="DM187" s="161">
        <f t="shared" si="219"/>
        <v>0</v>
      </c>
      <c r="DN187" s="161">
        <f t="shared" si="220"/>
        <v>0</v>
      </c>
      <c r="DO187" s="161">
        <f t="shared" si="221"/>
        <v>0</v>
      </c>
      <c r="DP187" s="161">
        <f t="shared" si="222"/>
        <v>0</v>
      </c>
      <c r="DQ187" s="161">
        <f t="shared" si="223"/>
        <v>0</v>
      </c>
      <c r="DR187" s="161">
        <f t="shared" si="224"/>
        <v>0</v>
      </c>
      <c r="DS187" s="161">
        <f t="shared" si="225"/>
        <v>0</v>
      </c>
      <c r="DT187" s="161">
        <f t="shared" si="226"/>
        <v>0</v>
      </c>
      <c r="DU187" s="161">
        <f t="shared" si="227"/>
        <v>0</v>
      </c>
      <c r="DV187" s="161">
        <f t="shared" si="228"/>
        <v>0</v>
      </c>
      <c r="DW187" s="161">
        <f t="shared" si="229"/>
        <v>0</v>
      </c>
      <c r="DX187" s="161">
        <f t="shared" si="230"/>
        <v>0</v>
      </c>
      <c r="DY187" s="161">
        <f t="shared" si="231"/>
        <v>0</v>
      </c>
      <c r="DZ187" s="161">
        <f t="shared" si="232"/>
        <v>0</v>
      </c>
      <c r="EA187" s="161">
        <f t="shared" si="233"/>
        <v>0</v>
      </c>
      <c r="EB187" s="161">
        <f t="shared" si="234"/>
        <v>0</v>
      </c>
      <c r="EC187" s="161">
        <f t="shared" si="235"/>
        <v>0</v>
      </c>
      <c r="ED187" s="161">
        <f t="shared" si="236"/>
        <v>0</v>
      </c>
      <c r="EE187" s="161">
        <f t="shared" si="237"/>
        <v>0</v>
      </c>
      <c r="EF187" s="161">
        <f t="shared" si="238"/>
        <v>0</v>
      </c>
      <c r="EG187" s="161">
        <f t="shared" si="239"/>
        <v>0</v>
      </c>
      <c r="EH187" s="161">
        <f t="shared" si="240"/>
        <v>0</v>
      </c>
      <c r="EI187" s="161">
        <f t="shared" si="241"/>
        <v>0</v>
      </c>
      <c r="EJ187" s="161">
        <f t="shared" si="242"/>
        <v>0</v>
      </c>
      <c r="EK187" s="147">
        <f t="shared" si="250"/>
        <v>0</v>
      </c>
      <c r="EL187" s="149"/>
      <c r="EN187" s="146"/>
      <c r="EO187" s="146"/>
      <c r="EP187" s="139">
        <f t="shared" si="251"/>
        <v>0</v>
      </c>
      <c r="EQ187" s="139">
        <f t="shared" si="252"/>
        <v>0</v>
      </c>
      <c r="ER187" s="139">
        <f t="shared" si="253"/>
        <v>0</v>
      </c>
      <c r="ES187" s="139">
        <f t="shared" si="254"/>
        <v>0</v>
      </c>
      <c r="ET187" s="139">
        <f t="shared" si="255"/>
        <v>0</v>
      </c>
      <c r="EU187" s="139">
        <f t="shared" si="256"/>
        <v>0</v>
      </c>
      <c r="EV187" s="139">
        <f t="shared" si="257"/>
        <v>0</v>
      </c>
      <c r="EW187" s="139">
        <f t="shared" si="258"/>
        <v>0</v>
      </c>
      <c r="EX187" s="139">
        <f t="shared" si="259"/>
        <v>0</v>
      </c>
      <c r="EY187" s="139">
        <f t="shared" si="260"/>
        <v>0</v>
      </c>
      <c r="EZ187" s="139">
        <f t="shared" si="261"/>
        <v>0</v>
      </c>
      <c r="FA187" s="139">
        <f t="shared" si="262"/>
        <v>0</v>
      </c>
      <c r="FB187" s="139">
        <f t="shared" si="263"/>
        <v>0</v>
      </c>
      <c r="FC187" s="139">
        <f t="shared" si="264"/>
        <v>0</v>
      </c>
      <c r="FD187" s="139">
        <f t="shared" si="265"/>
        <v>0</v>
      </c>
      <c r="FE187" s="139">
        <f t="shared" si="266"/>
        <v>0</v>
      </c>
      <c r="FF187" s="139">
        <f t="shared" si="267"/>
        <v>0</v>
      </c>
      <c r="FG187" s="139">
        <f t="shared" si="268"/>
        <v>0</v>
      </c>
      <c r="FH187" s="139">
        <f t="shared" si="269"/>
        <v>0</v>
      </c>
      <c r="FI187" s="139">
        <f t="shared" si="270"/>
        <v>0</v>
      </c>
      <c r="FJ187" s="139">
        <f t="shared" si="271"/>
        <v>0</v>
      </c>
      <c r="FK187" s="139">
        <f t="shared" si="272"/>
        <v>0</v>
      </c>
      <c r="FL187" s="139">
        <f t="shared" si="273"/>
        <v>0</v>
      </c>
      <c r="FM187" s="139">
        <f t="shared" si="274"/>
        <v>0</v>
      </c>
      <c r="FN187" s="139">
        <f t="shared" si="275"/>
        <v>0</v>
      </c>
      <c r="FO187" s="139">
        <f t="shared" si="276"/>
        <v>0</v>
      </c>
      <c r="FP187" s="139">
        <f t="shared" si="277"/>
        <v>0</v>
      </c>
      <c r="FQ187" s="139">
        <f t="shared" si="278"/>
        <v>0</v>
      </c>
      <c r="FR187" s="139">
        <f t="shared" si="279"/>
        <v>0</v>
      </c>
      <c r="FS187" s="139">
        <f t="shared" si="280"/>
        <v>0</v>
      </c>
      <c r="FT187" s="139">
        <f t="shared" si="281"/>
        <v>0</v>
      </c>
      <c r="FU187" s="148">
        <f t="shared" si="282"/>
        <v>0</v>
      </c>
      <c r="FV187" s="149"/>
      <c r="FY187" s="210">
        <v>182</v>
      </c>
      <c r="FZ187">
        <v>1.6123213254306936</v>
      </c>
      <c r="GA187">
        <v>1.9773147397161899</v>
      </c>
      <c r="GB187">
        <v>0.91025378423682524</v>
      </c>
      <c r="GC187">
        <v>0.57349347256422667</v>
      </c>
      <c r="GD187">
        <v>1.5569159918161906</v>
      </c>
      <c r="GE187">
        <v>3.8144249721715919</v>
      </c>
      <c r="GF187">
        <v>8.9930455751277698</v>
      </c>
      <c r="GG187">
        <v>7.8105158439956153</v>
      </c>
      <c r="GH187">
        <v>2.5194655819494578</v>
      </c>
      <c r="GI187">
        <v>3.4754893243041725</v>
      </c>
      <c r="GJ187"/>
      <c r="GK187"/>
      <c r="GL187"/>
      <c r="GM187"/>
    </row>
    <row r="188" spans="1:195" s="7" customFormat="1">
      <c r="A188" s="128"/>
      <c r="B188" s="76" t="str">
        <f t="shared" ca="1" si="249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27.811564796858914</v>
      </c>
      <c r="AO188">
        <v>5.069539327289732</v>
      </c>
      <c r="AP188">
        <v>39.142291870596502</v>
      </c>
      <c r="AQ188">
        <v>33.219107065621827</v>
      </c>
      <c r="AR188">
        <v>4.7124082672401997</v>
      </c>
      <c r="AS188">
        <v>23.473554245802035</v>
      </c>
      <c r="AT188">
        <v>2.9521913891116287</v>
      </c>
      <c r="AU188">
        <v>0.72339303208367056</v>
      </c>
      <c r="AV188"/>
      <c r="AW188"/>
      <c r="AX188" s="128"/>
      <c r="AY188" s="76" t="str">
        <f t="shared" ca="1" si="172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7"/>
        <v/>
      </c>
      <c r="CL188" s="179" t="str">
        <f t="shared" si="208"/>
        <v/>
      </c>
      <c r="CM188" s="180" t="str">
        <f t="shared" si="20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0"/>
        <v/>
      </c>
      <c r="DB188" s="128"/>
      <c r="DC188" s="76" t="str">
        <f t="shared" ca="1" si="173"/>
        <v/>
      </c>
      <c r="DD188" t="str">
        <f t="shared" si="211"/>
        <v/>
      </c>
      <c r="DE188" s="129" t="str">
        <f t="shared" ref="DE188:DE197" si="283">IF((DD188)="", "", $C$14)</f>
        <v/>
      </c>
      <c r="DF188" s="161" t="str">
        <f t="shared" ref="DF188:DF207" si="284">IF($AZ188="", "", ((BB188*$CW188)+(CN188*$CX188))/$CZ188)</f>
        <v/>
      </c>
      <c r="DG188" s="161" t="str">
        <f t="shared" ref="DG188:DG207" si="285">IF($AZ188="", "", ((BC188*$CW188)+(CO188*$CX188))/$CZ188)</f>
        <v/>
      </c>
      <c r="DH188" s="161" t="str">
        <f t="shared" ref="DH188:DH207" si="286">IF($AZ188="", "", ((BD188*$CW188)+(CP188*$CX188))/$CZ188)</f>
        <v/>
      </c>
      <c r="DI188" s="161" t="str">
        <f t="shared" ref="DI188:DI207" si="287">IF($AZ188="", "", ((BE188*$CW188)+(CQ188*$CX188))/$CZ188)</f>
        <v/>
      </c>
      <c r="DJ188" s="161" t="str">
        <f t="shared" ref="DJ188:DJ207" si="288">IF($AZ188="", "", ((BF188*$CW188)+(CR188*$CX188))/$CZ188)</f>
        <v/>
      </c>
      <c r="DK188" s="161" t="str">
        <f t="shared" ref="DK188:DK207" si="289">IF($AZ188="", "", ((BG188*$CW188)+(CS188*$CX188))/$CZ188)</f>
        <v/>
      </c>
      <c r="DL188" s="161" t="str">
        <f t="shared" ref="DL188:DL207" si="290">IF($AZ188="", "", ((BH188*$CW188)+(CT188*$CX188))/$CZ188)</f>
        <v/>
      </c>
      <c r="DM188" s="161" t="str">
        <f t="shared" ref="DM188:DM207" si="291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2">IF($AZ188="", "", (BK187*$CW188)/$CZ188)</f>
        <v/>
      </c>
      <c r="DP188" s="161" t="str">
        <f t="shared" ref="DP188:DP193" si="293">IF($AZ188="", "", (BL187*$CW188)/$CZ188)</f>
        <v/>
      </c>
      <c r="DQ188" s="161" t="str">
        <f t="shared" ref="DQ188:DQ193" si="294">IF($AZ188="", "", (BM187*$CW188)/$CZ188)</f>
        <v/>
      </c>
      <c r="DR188" s="161" t="str">
        <f t="shared" ref="DR188:DR193" si="295">IF($AZ188="", "", (BN187*$CW188)/$CZ188)</f>
        <v/>
      </c>
      <c r="DS188" s="161" t="str">
        <f t="shared" ref="DS188:DS193" si="296">IF($AZ188="", "", (BO187*$CW188)/$CZ188)</f>
        <v/>
      </c>
      <c r="DT188" s="161" t="str">
        <f t="shared" ref="DT188:DT193" si="297">IF($AZ188="", "", (BP187*$CW188)/$CZ188)</f>
        <v/>
      </c>
      <c r="DU188" s="161" t="str">
        <f t="shared" ref="DU188:DU193" si="298">IF($AZ188="", "", (BQ187*$CW188)/$CZ188)</f>
        <v/>
      </c>
      <c r="DV188" s="161" t="str">
        <f t="shared" ref="DV188:DV193" si="299">IF($AZ188="", "", (BR187*$CW188)/$CZ188)</f>
        <v/>
      </c>
      <c r="DW188" s="161" t="str">
        <f t="shared" ref="DW188:DW193" si="300">IF($AZ188="", "", (BS187*$CW188)/$CZ188)</f>
        <v/>
      </c>
      <c r="DX188" s="161" t="str">
        <f t="shared" ref="DX188:DX193" si="301">IF($AZ188="", "", (BT187*$CW188)/$CZ188)</f>
        <v/>
      </c>
      <c r="DY188" s="161" t="str">
        <f t="shared" ref="DY188:DY193" si="302">IF($AZ188="", "", (BU187*$CW188)/$CZ188)</f>
        <v/>
      </c>
      <c r="DZ188" s="161" t="str">
        <f t="shared" ref="DZ188:DZ193" si="303">IF($AZ188="", "", (BV187*$CW188)/$CZ188)</f>
        <v/>
      </c>
      <c r="EA188" s="161" t="str">
        <f t="shared" ref="EA188:EA193" si="304">IF($AZ188="", "", (BW187*$CW188)/$CZ188)</f>
        <v/>
      </c>
      <c r="EB188" s="161" t="str">
        <f t="shared" ref="EB188:EB193" si="305">IF($AZ188="", "", (BX187*$CW188)/$CZ188)</f>
        <v/>
      </c>
      <c r="EC188" s="161" t="str">
        <f t="shared" ref="EC188:EC193" si="306">IF($AZ188="", "", (BY187*$CW188)/$CZ188)</f>
        <v/>
      </c>
      <c r="ED188" s="161" t="str">
        <f t="shared" ref="ED188:ED193" si="307">IF($AZ188="", "", (BZ187*$CW188)/$CZ188)</f>
        <v/>
      </c>
      <c r="EE188" s="161" t="str">
        <f t="shared" ref="EE188:EE193" si="308">IF($AZ188="", "", (CA187*$CW188)/$CZ188)</f>
        <v/>
      </c>
      <c r="EF188" s="161" t="str">
        <f t="shared" ref="EF188:EF193" si="309">IF($AZ188="", "", (CB187*$CW188)/$CZ188)</f>
        <v/>
      </c>
      <c r="EG188" s="161" t="str">
        <f t="shared" ref="EG188:EG193" si="310">IF($AZ188="", "", (CC187*$CW188)/$CZ188)</f>
        <v/>
      </c>
      <c r="EH188" s="161" t="str">
        <f t="shared" ref="EH188:EH193" si="311">IF($AZ188="", "", (CD187*$CW188)/$CZ188)</f>
        <v/>
      </c>
      <c r="EI188" s="161" t="str">
        <f t="shared" ref="EI188:EI193" si="312">IF($AZ188="", "", (CE187*$CW188)/$CZ188)</f>
        <v/>
      </c>
      <c r="EJ188" s="161" t="str">
        <f t="shared" ref="EJ188:EJ193" si="313">IF($AZ188="", "", (CF187*$CW188)/$CZ188)</f>
        <v/>
      </c>
      <c r="EK188" s="147" t="str">
        <f t="shared" si="250"/>
        <v/>
      </c>
      <c r="EL188" s="149"/>
      <c r="EN188" s="146"/>
      <c r="EO188" s="146"/>
      <c r="EP188" s="139" t="str">
        <f t="shared" si="251"/>
        <v/>
      </c>
      <c r="EQ188" s="139" t="str">
        <f t="shared" si="252"/>
        <v/>
      </c>
      <c r="ER188" s="139" t="str">
        <f t="shared" si="253"/>
        <v/>
      </c>
      <c r="ES188" s="139" t="str">
        <f t="shared" si="254"/>
        <v/>
      </c>
      <c r="ET188" s="139" t="str">
        <f t="shared" si="255"/>
        <v/>
      </c>
      <c r="EU188" s="139" t="str">
        <f t="shared" si="256"/>
        <v/>
      </c>
      <c r="EV188" s="139" t="str">
        <f t="shared" si="257"/>
        <v/>
      </c>
      <c r="EW188" s="139" t="str">
        <f t="shared" si="258"/>
        <v/>
      </c>
      <c r="EX188" s="139" t="str">
        <f t="shared" si="259"/>
        <v/>
      </c>
      <c r="EY188" s="139" t="str">
        <f t="shared" si="260"/>
        <v/>
      </c>
      <c r="EZ188" s="139" t="str">
        <f t="shared" si="261"/>
        <v/>
      </c>
      <c r="FA188" s="139" t="str">
        <f t="shared" si="262"/>
        <v/>
      </c>
      <c r="FB188" s="139" t="str">
        <f t="shared" si="263"/>
        <v/>
      </c>
      <c r="FC188" s="139" t="str">
        <f t="shared" si="264"/>
        <v/>
      </c>
      <c r="FD188" s="139" t="str">
        <f t="shared" si="265"/>
        <v/>
      </c>
      <c r="FE188" s="139" t="str">
        <f t="shared" si="266"/>
        <v/>
      </c>
      <c r="FF188" s="139" t="str">
        <f t="shared" si="267"/>
        <v/>
      </c>
      <c r="FG188" s="139" t="str">
        <f t="shared" si="268"/>
        <v/>
      </c>
      <c r="FH188" s="139" t="str">
        <f t="shared" si="269"/>
        <v/>
      </c>
      <c r="FI188" s="139" t="str">
        <f t="shared" si="270"/>
        <v/>
      </c>
      <c r="FJ188" s="139" t="str">
        <f t="shared" si="271"/>
        <v/>
      </c>
      <c r="FK188" s="139" t="str">
        <f t="shared" si="272"/>
        <v/>
      </c>
      <c r="FL188" s="139" t="str">
        <f t="shared" si="273"/>
        <v/>
      </c>
      <c r="FM188" s="139" t="str">
        <f t="shared" si="274"/>
        <v/>
      </c>
      <c r="FN188" s="139" t="str">
        <f t="shared" si="275"/>
        <v/>
      </c>
      <c r="FO188" s="139" t="str">
        <f t="shared" si="276"/>
        <v/>
      </c>
      <c r="FP188" s="139" t="str">
        <f t="shared" si="277"/>
        <v/>
      </c>
      <c r="FQ188" s="139" t="str">
        <f t="shared" si="278"/>
        <v/>
      </c>
      <c r="FR188" s="139" t="str">
        <f t="shared" si="279"/>
        <v/>
      </c>
      <c r="FS188" s="139" t="str">
        <f t="shared" si="280"/>
        <v/>
      </c>
      <c r="FT188" s="139" t="str">
        <f t="shared" si="281"/>
        <v/>
      </c>
      <c r="FU188" s="148" t="str">
        <f t="shared" si="282"/>
        <v/>
      </c>
      <c r="FV188" s="149"/>
      <c r="FY188" s="210">
        <v>183</v>
      </c>
      <c r="FZ188">
        <v>1.3032156630607021</v>
      </c>
      <c r="GA188">
        <v>1.8170052084587718</v>
      </c>
      <c r="GB188">
        <v>1.0346169081727248</v>
      </c>
      <c r="GC188">
        <v>0.42558478581586867</v>
      </c>
      <c r="GD188">
        <v>2.0829201897555434</v>
      </c>
      <c r="GE188">
        <v>4.4949464423689234</v>
      </c>
      <c r="GF188">
        <v>3.0509271228133783</v>
      </c>
      <c r="GG188">
        <v>3.7980912256932187</v>
      </c>
      <c r="GH188">
        <v>4.1524334349360092</v>
      </c>
      <c r="GI188">
        <v>2.8940501462234907</v>
      </c>
      <c r="GJ188"/>
      <c r="GK188"/>
      <c r="GL188"/>
      <c r="GM188"/>
    </row>
    <row r="189" spans="1:195" s="7" customFormat="1">
      <c r="A189" s="1"/>
      <c r="B189" s="76" t="str">
        <f t="shared" ca="1" si="249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27.540905972431705</v>
      </c>
      <c r="AO189">
        <v>4.0514961182627101</v>
      </c>
      <c r="AP189">
        <v>27.940248090340468</v>
      </c>
      <c r="AQ189">
        <v>24.758034103655149</v>
      </c>
      <c r="AR189">
        <v>3.8214627314101843</v>
      </c>
      <c r="AS189">
        <v>18.690248503095322</v>
      </c>
      <c r="AT189" t="e">
        <v>#DIV/0!</v>
      </c>
      <c r="AU189" t="e">
        <v>#DIV/0!</v>
      </c>
      <c r="AV189"/>
      <c r="AW189"/>
      <c r="AX189" s="146"/>
      <c r="AY189" s="76" t="str">
        <f t="shared" ca="1" si="172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7"/>
        <v/>
      </c>
      <c r="CL189" s="179" t="str">
        <f t="shared" si="208"/>
        <v/>
      </c>
      <c r="CM189" s="180" t="str">
        <f t="shared" si="20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0"/>
        <v/>
      </c>
      <c r="DB189" s="146"/>
      <c r="DC189" s="76" t="str">
        <f t="shared" ca="1" si="173"/>
        <v/>
      </c>
      <c r="DD189" t="str">
        <f t="shared" si="211"/>
        <v/>
      </c>
      <c r="DE189" s="129" t="str">
        <f t="shared" si="283"/>
        <v/>
      </c>
      <c r="DF189" s="161" t="str">
        <f t="shared" si="284"/>
        <v/>
      </c>
      <c r="DG189" s="161" t="str">
        <f t="shared" si="285"/>
        <v/>
      </c>
      <c r="DH189" s="161" t="str">
        <f t="shared" si="286"/>
        <v/>
      </c>
      <c r="DI189" s="161" t="str">
        <f t="shared" si="287"/>
        <v/>
      </c>
      <c r="DJ189" s="161" t="str">
        <f t="shared" si="288"/>
        <v/>
      </c>
      <c r="DK189" s="161" t="str">
        <f t="shared" si="289"/>
        <v/>
      </c>
      <c r="DL189" s="161" t="str">
        <f t="shared" si="290"/>
        <v/>
      </c>
      <c r="DM189" s="161" t="str">
        <f t="shared" si="291"/>
        <v/>
      </c>
      <c r="DN189" s="161" t="str">
        <f>IF($AZ189="", "", (BJ189*$CW189)/$CZ189)</f>
        <v/>
      </c>
      <c r="DO189" s="161" t="str">
        <f t="shared" si="292"/>
        <v/>
      </c>
      <c r="DP189" s="161" t="str">
        <f t="shared" si="293"/>
        <v/>
      </c>
      <c r="DQ189" s="161" t="str">
        <f t="shared" si="294"/>
        <v/>
      </c>
      <c r="DR189" s="161" t="str">
        <f t="shared" si="295"/>
        <v/>
      </c>
      <c r="DS189" s="161" t="str">
        <f t="shared" si="296"/>
        <v/>
      </c>
      <c r="DT189" s="161" t="str">
        <f t="shared" si="297"/>
        <v/>
      </c>
      <c r="DU189" s="161" t="str">
        <f t="shared" si="298"/>
        <v/>
      </c>
      <c r="DV189" s="161" t="str">
        <f t="shared" si="299"/>
        <v/>
      </c>
      <c r="DW189" s="161" t="str">
        <f t="shared" si="300"/>
        <v/>
      </c>
      <c r="DX189" s="161" t="str">
        <f t="shared" si="301"/>
        <v/>
      </c>
      <c r="DY189" s="161" t="str">
        <f t="shared" si="302"/>
        <v/>
      </c>
      <c r="DZ189" s="161" t="str">
        <f t="shared" si="303"/>
        <v/>
      </c>
      <c r="EA189" s="161" t="str">
        <f t="shared" si="304"/>
        <v/>
      </c>
      <c r="EB189" s="161" t="str">
        <f t="shared" si="305"/>
        <v/>
      </c>
      <c r="EC189" s="161" t="str">
        <f t="shared" si="306"/>
        <v/>
      </c>
      <c r="ED189" s="161" t="str">
        <f t="shared" si="307"/>
        <v/>
      </c>
      <c r="EE189" s="161" t="str">
        <f t="shared" si="308"/>
        <v/>
      </c>
      <c r="EF189" s="161" t="str">
        <f t="shared" si="309"/>
        <v/>
      </c>
      <c r="EG189" s="161" t="str">
        <f t="shared" si="310"/>
        <v/>
      </c>
      <c r="EH189" s="161" t="str">
        <f t="shared" si="311"/>
        <v/>
      </c>
      <c r="EI189" s="161" t="str">
        <f t="shared" si="312"/>
        <v/>
      </c>
      <c r="EJ189" s="161" t="str">
        <f t="shared" si="313"/>
        <v/>
      </c>
      <c r="EK189" s="147" t="str">
        <f t="shared" si="250"/>
        <v/>
      </c>
      <c r="EL189" s="149"/>
      <c r="EN189" s="146"/>
      <c r="EO189" s="146"/>
      <c r="EP189" s="139" t="str">
        <f t="shared" si="251"/>
        <v/>
      </c>
      <c r="EQ189" s="139" t="str">
        <f t="shared" si="252"/>
        <v/>
      </c>
      <c r="ER189" s="139" t="str">
        <f t="shared" si="253"/>
        <v/>
      </c>
      <c r="ES189" s="139" t="str">
        <f t="shared" si="254"/>
        <v/>
      </c>
      <c r="ET189" s="139" t="str">
        <f t="shared" si="255"/>
        <v/>
      </c>
      <c r="EU189" s="139" t="str">
        <f t="shared" si="256"/>
        <v/>
      </c>
      <c r="EV189" s="139" t="str">
        <f t="shared" si="257"/>
        <v/>
      </c>
      <c r="EW189" s="139" t="str">
        <f t="shared" si="258"/>
        <v/>
      </c>
      <c r="EX189" s="139" t="str">
        <f t="shared" si="259"/>
        <v/>
      </c>
      <c r="EY189" s="139" t="str">
        <f t="shared" si="260"/>
        <v/>
      </c>
      <c r="EZ189" s="139" t="str">
        <f t="shared" si="261"/>
        <v/>
      </c>
      <c r="FA189" s="139" t="str">
        <f t="shared" si="262"/>
        <v/>
      </c>
      <c r="FB189" s="139" t="str">
        <f t="shared" si="263"/>
        <v/>
      </c>
      <c r="FC189" s="139" t="str">
        <f t="shared" si="264"/>
        <v/>
      </c>
      <c r="FD189" s="139" t="str">
        <f t="shared" si="265"/>
        <v/>
      </c>
      <c r="FE189" s="139" t="str">
        <f t="shared" si="266"/>
        <v/>
      </c>
      <c r="FF189" s="139" t="str">
        <f t="shared" si="267"/>
        <v/>
      </c>
      <c r="FG189" s="139" t="str">
        <f t="shared" si="268"/>
        <v/>
      </c>
      <c r="FH189" s="139" t="str">
        <f t="shared" si="269"/>
        <v/>
      </c>
      <c r="FI189" s="139" t="str">
        <f t="shared" si="270"/>
        <v/>
      </c>
      <c r="FJ189" s="139" t="str">
        <f t="shared" si="271"/>
        <v/>
      </c>
      <c r="FK189" s="139" t="str">
        <f t="shared" si="272"/>
        <v/>
      </c>
      <c r="FL189" s="139" t="str">
        <f t="shared" si="273"/>
        <v/>
      </c>
      <c r="FM189" s="139" t="str">
        <f t="shared" si="274"/>
        <v/>
      </c>
      <c r="FN189" s="139" t="str">
        <f t="shared" si="275"/>
        <v/>
      </c>
      <c r="FO189" s="139" t="str">
        <f t="shared" si="276"/>
        <v/>
      </c>
      <c r="FP189" s="139" t="str">
        <f t="shared" si="277"/>
        <v/>
      </c>
      <c r="FQ189" s="139" t="str">
        <f t="shared" si="278"/>
        <v/>
      </c>
      <c r="FR189" s="139" t="str">
        <f t="shared" si="279"/>
        <v/>
      </c>
      <c r="FS189" s="139" t="str">
        <f t="shared" si="280"/>
        <v/>
      </c>
      <c r="FT189" s="139" t="str">
        <f t="shared" si="281"/>
        <v/>
      </c>
      <c r="FU189" s="148" t="str">
        <f t="shared" si="282"/>
        <v/>
      </c>
      <c r="FV189" s="149"/>
      <c r="FY189" s="210">
        <v>184</v>
      </c>
      <c r="FZ189">
        <v>0.91832262256163988</v>
      </c>
      <c r="GA189">
        <v>1.892217716784875</v>
      </c>
      <c r="GB189">
        <v>1.9389230708716292</v>
      </c>
      <c r="GC189">
        <v>1.3227128810792754</v>
      </c>
      <c r="GD189">
        <v>1.6344033721791831</v>
      </c>
      <c r="GE189">
        <v>4.0375229395124945</v>
      </c>
      <c r="GF189">
        <v>7.5194216527017703</v>
      </c>
      <c r="GG189">
        <v>8.2729141327365276</v>
      </c>
      <c r="GH189">
        <v>6.8079725486684843</v>
      </c>
      <c r="GI189">
        <v>4.0546345145810667</v>
      </c>
      <c r="GJ189"/>
      <c r="GK189"/>
      <c r="GL189"/>
      <c r="GM189"/>
    </row>
    <row r="190" spans="1:195" s="7" customFormat="1">
      <c r="A190" s="1"/>
      <c r="B190" s="76" t="str">
        <f t="shared" ca="1" si="249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32.667567430454639</v>
      </c>
      <c r="AO190">
        <v>6.2432322826701618</v>
      </c>
      <c r="AP190">
        <v>47.026471611699932</v>
      </c>
      <c r="AQ190">
        <v>39.945342757288714</v>
      </c>
      <c r="AR190">
        <v>5.8625707926441937</v>
      </c>
      <c r="AS190">
        <v>28.888007647042944</v>
      </c>
      <c r="AT190">
        <v>3.6595984562814063</v>
      </c>
      <c r="AU190">
        <v>1.9881459545585212</v>
      </c>
      <c r="AV190"/>
      <c r="AW190"/>
      <c r="AX190" s="146"/>
      <c r="AY190" s="76" t="str">
        <f t="shared" ca="1" si="172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7"/>
        <v/>
      </c>
      <c r="CL190" s="179" t="str">
        <f t="shared" si="208"/>
        <v/>
      </c>
      <c r="CM190" s="180" t="str">
        <f t="shared" si="20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0"/>
        <v/>
      </c>
      <c r="DB190" s="146"/>
      <c r="DC190" s="76" t="str">
        <f t="shared" ca="1" si="173"/>
        <v/>
      </c>
      <c r="DD190" t="str">
        <f t="shared" si="211"/>
        <v/>
      </c>
      <c r="DE190" s="129" t="str">
        <f t="shared" si="283"/>
        <v/>
      </c>
      <c r="DF190" s="161" t="str">
        <f t="shared" si="284"/>
        <v/>
      </c>
      <c r="DG190" s="161" t="str">
        <f t="shared" si="285"/>
        <v/>
      </c>
      <c r="DH190" s="161" t="str">
        <f t="shared" si="286"/>
        <v/>
      </c>
      <c r="DI190" s="161" t="str">
        <f t="shared" si="287"/>
        <v/>
      </c>
      <c r="DJ190" s="161" t="str">
        <f t="shared" si="288"/>
        <v/>
      </c>
      <c r="DK190" s="161" t="str">
        <f t="shared" si="289"/>
        <v/>
      </c>
      <c r="DL190" s="161" t="str">
        <f t="shared" si="290"/>
        <v/>
      </c>
      <c r="DM190" s="161" t="str">
        <f t="shared" si="291"/>
        <v/>
      </c>
      <c r="DN190" s="161" t="str">
        <f>IF($AZ190="", "", (BJ190*$CW190)/$CZ190)</f>
        <v/>
      </c>
      <c r="DO190" s="161" t="str">
        <f t="shared" si="292"/>
        <v/>
      </c>
      <c r="DP190" s="161" t="str">
        <f t="shared" si="293"/>
        <v/>
      </c>
      <c r="DQ190" s="161" t="str">
        <f t="shared" si="294"/>
        <v/>
      </c>
      <c r="DR190" s="161" t="str">
        <f t="shared" si="295"/>
        <v/>
      </c>
      <c r="DS190" s="161" t="str">
        <f t="shared" si="296"/>
        <v/>
      </c>
      <c r="DT190" s="161" t="str">
        <f t="shared" si="297"/>
        <v/>
      </c>
      <c r="DU190" s="161" t="str">
        <f t="shared" si="298"/>
        <v/>
      </c>
      <c r="DV190" s="161" t="str">
        <f t="shared" si="299"/>
        <v/>
      </c>
      <c r="DW190" s="161" t="str">
        <f t="shared" si="300"/>
        <v/>
      </c>
      <c r="DX190" s="161" t="str">
        <f t="shared" si="301"/>
        <v/>
      </c>
      <c r="DY190" s="161" t="str">
        <f t="shared" si="302"/>
        <v/>
      </c>
      <c r="DZ190" s="161" t="str">
        <f t="shared" si="303"/>
        <v/>
      </c>
      <c r="EA190" s="161" t="str">
        <f t="shared" si="304"/>
        <v/>
      </c>
      <c r="EB190" s="161" t="str">
        <f t="shared" si="305"/>
        <v/>
      </c>
      <c r="EC190" s="161" t="str">
        <f t="shared" si="306"/>
        <v/>
      </c>
      <c r="ED190" s="161" t="str">
        <f t="shared" si="307"/>
        <v/>
      </c>
      <c r="EE190" s="161" t="str">
        <f t="shared" si="308"/>
        <v/>
      </c>
      <c r="EF190" s="161" t="str">
        <f t="shared" si="309"/>
        <v/>
      </c>
      <c r="EG190" s="161" t="str">
        <f t="shared" si="310"/>
        <v/>
      </c>
      <c r="EH190" s="161" t="str">
        <f t="shared" si="311"/>
        <v/>
      </c>
      <c r="EI190" s="161" t="str">
        <f t="shared" si="312"/>
        <v/>
      </c>
      <c r="EJ190" s="161" t="str">
        <f t="shared" si="313"/>
        <v/>
      </c>
      <c r="EK190" s="147" t="str">
        <f t="shared" si="250"/>
        <v/>
      </c>
      <c r="EL190" s="149"/>
      <c r="EN190" s="146"/>
      <c r="EO190" s="146"/>
      <c r="EP190" s="139" t="str">
        <f t="shared" si="251"/>
        <v/>
      </c>
      <c r="EQ190" s="139" t="str">
        <f t="shared" si="252"/>
        <v/>
      </c>
      <c r="ER190" s="139" t="str">
        <f t="shared" si="253"/>
        <v/>
      </c>
      <c r="ES190" s="139" t="str">
        <f t="shared" si="254"/>
        <v/>
      </c>
      <c r="ET190" s="139" t="str">
        <f t="shared" si="255"/>
        <v/>
      </c>
      <c r="EU190" s="139" t="str">
        <f t="shared" si="256"/>
        <v/>
      </c>
      <c r="EV190" s="139" t="str">
        <f t="shared" si="257"/>
        <v/>
      </c>
      <c r="EW190" s="139" t="str">
        <f t="shared" si="258"/>
        <v/>
      </c>
      <c r="EX190" s="139" t="str">
        <f t="shared" si="259"/>
        <v/>
      </c>
      <c r="EY190" s="139" t="str">
        <f t="shared" si="260"/>
        <v/>
      </c>
      <c r="EZ190" s="139" t="str">
        <f t="shared" si="261"/>
        <v/>
      </c>
      <c r="FA190" s="139" t="str">
        <f t="shared" si="262"/>
        <v/>
      </c>
      <c r="FB190" s="139" t="str">
        <f t="shared" si="263"/>
        <v/>
      </c>
      <c r="FC190" s="139" t="str">
        <f t="shared" si="264"/>
        <v/>
      </c>
      <c r="FD190" s="139" t="str">
        <f t="shared" si="265"/>
        <v/>
      </c>
      <c r="FE190" s="139" t="str">
        <f t="shared" si="266"/>
        <v/>
      </c>
      <c r="FF190" s="139" t="str">
        <f t="shared" si="267"/>
        <v/>
      </c>
      <c r="FG190" s="139" t="str">
        <f t="shared" si="268"/>
        <v/>
      </c>
      <c r="FH190" s="139" t="str">
        <f t="shared" si="269"/>
        <v/>
      </c>
      <c r="FI190" s="139" t="str">
        <f t="shared" si="270"/>
        <v/>
      </c>
      <c r="FJ190" s="139" t="str">
        <f t="shared" si="271"/>
        <v/>
      </c>
      <c r="FK190" s="139" t="str">
        <f t="shared" si="272"/>
        <v/>
      </c>
      <c r="FL190" s="139" t="str">
        <f t="shared" si="273"/>
        <v/>
      </c>
      <c r="FM190" s="139" t="str">
        <f t="shared" si="274"/>
        <v/>
      </c>
      <c r="FN190" s="139" t="str">
        <f t="shared" si="275"/>
        <v/>
      </c>
      <c r="FO190" s="139" t="str">
        <f t="shared" si="276"/>
        <v/>
      </c>
      <c r="FP190" s="139" t="str">
        <f t="shared" si="277"/>
        <v/>
      </c>
      <c r="FQ190" s="139" t="str">
        <f t="shared" si="278"/>
        <v/>
      </c>
      <c r="FR190" s="139" t="str">
        <f t="shared" si="279"/>
        <v/>
      </c>
      <c r="FS190" s="139" t="str">
        <f t="shared" si="280"/>
        <v/>
      </c>
      <c r="FT190" s="139" t="str">
        <f t="shared" si="281"/>
        <v/>
      </c>
      <c r="FU190" s="148" t="str">
        <f t="shared" si="282"/>
        <v/>
      </c>
      <c r="FV190" s="149"/>
      <c r="FY190" s="210">
        <v>185</v>
      </c>
      <c r="FZ190">
        <v>1.2557441761841437</v>
      </c>
      <c r="GA190">
        <v>1.4053617672005059</v>
      </c>
      <c r="GB190">
        <v>2.0183486913285167</v>
      </c>
      <c r="GC190">
        <v>1.3204849711313187</v>
      </c>
      <c r="GD190">
        <v>2.3078663040348619</v>
      </c>
      <c r="GE190">
        <v>5.5657663410810887</v>
      </c>
      <c r="GF190">
        <v>6.892963714791799</v>
      </c>
      <c r="GG190">
        <v>6.8492839314584746</v>
      </c>
      <c r="GH190">
        <v>4.2665944811163978</v>
      </c>
      <c r="GI190">
        <v>4.0200150541787778</v>
      </c>
      <c r="GJ190"/>
      <c r="GK190"/>
      <c r="GL190"/>
      <c r="GM190"/>
    </row>
    <row r="191" spans="1:195" s="7" customFormat="1">
      <c r="A191" s="1"/>
      <c r="B191" s="76" t="str">
        <f t="shared" ca="1" si="249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20.068563670126167</v>
      </c>
      <c r="AO191">
        <v>4.4434988751038142</v>
      </c>
      <c r="AP191">
        <v>32.808615230195535</v>
      </c>
      <c r="AQ191">
        <v>28.369689780595046</v>
      </c>
      <c r="AR191">
        <v>4.3196905930134175</v>
      </c>
      <c r="AS191">
        <v>21.040334312686834</v>
      </c>
      <c r="AT191">
        <v>2.8580453759302267</v>
      </c>
      <c r="AU191">
        <v>5.2976078312239245</v>
      </c>
      <c r="AV191"/>
      <c r="AW191"/>
      <c r="AX191" s="146"/>
      <c r="AY191" s="76" t="str">
        <f t="shared" ca="1" si="172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7"/>
        <v/>
      </c>
      <c r="CL191" s="179" t="str">
        <f t="shared" si="208"/>
        <v/>
      </c>
      <c r="CM191" s="180" t="str">
        <f t="shared" si="20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0"/>
        <v/>
      </c>
      <c r="DB191" s="146"/>
      <c r="DC191" s="76" t="str">
        <f t="shared" ca="1" si="173"/>
        <v/>
      </c>
      <c r="DD191" t="str">
        <f t="shared" si="211"/>
        <v/>
      </c>
      <c r="DE191" s="129" t="str">
        <f t="shared" si="283"/>
        <v/>
      </c>
      <c r="DF191" s="161" t="str">
        <f t="shared" si="284"/>
        <v/>
      </c>
      <c r="DG191" s="161" t="str">
        <f t="shared" si="285"/>
        <v/>
      </c>
      <c r="DH191" s="161" t="str">
        <f t="shared" si="286"/>
        <v/>
      </c>
      <c r="DI191" s="161" t="str">
        <f t="shared" si="287"/>
        <v/>
      </c>
      <c r="DJ191" s="161" t="str">
        <f t="shared" si="288"/>
        <v/>
      </c>
      <c r="DK191" s="161" t="str">
        <f t="shared" si="289"/>
        <v/>
      </c>
      <c r="DL191" s="161" t="str">
        <f t="shared" si="290"/>
        <v/>
      </c>
      <c r="DM191" s="161" t="str">
        <f t="shared" si="291"/>
        <v/>
      </c>
      <c r="DN191" s="161" t="str">
        <f>IF($AZ191="", "", (BJ191*$CW191)/$CZ191)</f>
        <v/>
      </c>
      <c r="DO191" s="161" t="str">
        <f t="shared" si="292"/>
        <v/>
      </c>
      <c r="DP191" s="161" t="str">
        <f t="shared" si="293"/>
        <v/>
      </c>
      <c r="DQ191" s="161" t="str">
        <f t="shared" si="294"/>
        <v/>
      </c>
      <c r="DR191" s="161" t="str">
        <f t="shared" si="295"/>
        <v/>
      </c>
      <c r="DS191" s="161" t="str">
        <f t="shared" si="296"/>
        <v/>
      </c>
      <c r="DT191" s="161" t="str">
        <f t="shared" si="297"/>
        <v/>
      </c>
      <c r="DU191" s="161" t="str">
        <f t="shared" si="298"/>
        <v/>
      </c>
      <c r="DV191" s="161" t="str">
        <f t="shared" si="299"/>
        <v/>
      </c>
      <c r="DW191" s="161" t="str">
        <f t="shared" si="300"/>
        <v/>
      </c>
      <c r="DX191" s="161" t="str">
        <f t="shared" si="301"/>
        <v/>
      </c>
      <c r="DY191" s="161" t="str">
        <f t="shared" si="302"/>
        <v/>
      </c>
      <c r="DZ191" s="161" t="str">
        <f t="shared" si="303"/>
        <v/>
      </c>
      <c r="EA191" s="161" t="str">
        <f t="shared" si="304"/>
        <v/>
      </c>
      <c r="EB191" s="161" t="str">
        <f t="shared" si="305"/>
        <v/>
      </c>
      <c r="EC191" s="161" t="str">
        <f t="shared" si="306"/>
        <v/>
      </c>
      <c r="ED191" s="161" t="str">
        <f t="shared" si="307"/>
        <v/>
      </c>
      <c r="EE191" s="161" t="str">
        <f t="shared" si="308"/>
        <v/>
      </c>
      <c r="EF191" s="161" t="str">
        <f t="shared" si="309"/>
        <v/>
      </c>
      <c r="EG191" s="161" t="str">
        <f t="shared" si="310"/>
        <v/>
      </c>
      <c r="EH191" s="161" t="str">
        <f t="shared" si="311"/>
        <v/>
      </c>
      <c r="EI191" s="161" t="str">
        <f t="shared" si="312"/>
        <v/>
      </c>
      <c r="EJ191" s="161" t="str">
        <f t="shared" si="313"/>
        <v/>
      </c>
      <c r="EK191" s="147" t="str">
        <f t="shared" si="250"/>
        <v/>
      </c>
      <c r="EL191" s="149"/>
      <c r="EN191" s="146"/>
      <c r="EO191" s="146"/>
      <c r="EP191" s="139" t="str">
        <f t="shared" si="251"/>
        <v/>
      </c>
      <c r="EQ191" s="139" t="str">
        <f t="shared" si="252"/>
        <v/>
      </c>
      <c r="ER191" s="139" t="str">
        <f t="shared" si="253"/>
        <v/>
      </c>
      <c r="ES191" s="139" t="str">
        <f t="shared" si="254"/>
        <v/>
      </c>
      <c r="ET191" s="139" t="str">
        <f t="shared" si="255"/>
        <v/>
      </c>
      <c r="EU191" s="139" t="str">
        <f t="shared" si="256"/>
        <v/>
      </c>
      <c r="EV191" s="139" t="str">
        <f t="shared" si="257"/>
        <v/>
      </c>
      <c r="EW191" s="139" t="str">
        <f t="shared" si="258"/>
        <v/>
      </c>
      <c r="EX191" s="139" t="str">
        <f t="shared" si="259"/>
        <v/>
      </c>
      <c r="EY191" s="139" t="str">
        <f t="shared" si="260"/>
        <v/>
      </c>
      <c r="EZ191" s="139" t="str">
        <f t="shared" si="261"/>
        <v/>
      </c>
      <c r="FA191" s="139" t="str">
        <f t="shared" si="262"/>
        <v/>
      </c>
      <c r="FB191" s="139" t="str">
        <f t="shared" si="263"/>
        <v/>
      </c>
      <c r="FC191" s="139" t="str">
        <f t="shared" si="264"/>
        <v/>
      </c>
      <c r="FD191" s="139" t="str">
        <f t="shared" si="265"/>
        <v/>
      </c>
      <c r="FE191" s="139" t="str">
        <f t="shared" si="266"/>
        <v/>
      </c>
      <c r="FF191" s="139" t="str">
        <f t="shared" si="267"/>
        <v/>
      </c>
      <c r="FG191" s="139" t="str">
        <f t="shared" si="268"/>
        <v/>
      </c>
      <c r="FH191" s="139" t="str">
        <f t="shared" si="269"/>
        <v/>
      </c>
      <c r="FI191" s="139" t="str">
        <f t="shared" si="270"/>
        <v/>
      </c>
      <c r="FJ191" s="139" t="str">
        <f t="shared" si="271"/>
        <v/>
      </c>
      <c r="FK191" s="139" t="str">
        <f t="shared" si="272"/>
        <v/>
      </c>
      <c r="FL191" s="139" t="str">
        <f t="shared" si="273"/>
        <v/>
      </c>
      <c r="FM191" s="139" t="str">
        <f t="shared" si="274"/>
        <v/>
      </c>
      <c r="FN191" s="139" t="str">
        <f t="shared" si="275"/>
        <v/>
      </c>
      <c r="FO191" s="139" t="str">
        <f t="shared" si="276"/>
        <v/>
      </c>
      <c r="FP191" s="139" t="str">
        <f t="shared" si="277"/>
        <v/>
      </c>
      <c r="FQ191" s="139" t="str">
        <f t="shared" si="278"/>
        <v/>
      </c>
      <c r="FR191" s="139" t="str">
        <f t="shared" si="279"/>
        <v/>
      </c>
      <c r="FS191" s="139" t="str">
        <f t="shared" si="280"/>
        <v/>
      </c>
      <c r="FT191" s="139" t="str">
        <f t="shared" si="281"/>
        <v/>
      </c>
      <c r="FU191" s="148" t="str">
        <f t="shared" si="282"/>
        <v/>
      </c>
      <c r="FV191" s="149"/>
      <c r="FY191" s="210">
        <v>186</v>
      </c>
      <c r="FZ191">
        <v>1.4270383515109895</v>
      </c>
      <c r="GA191">
        <v>2.1102908936624951</v>
      </c>
      <c r="GB191">
        <v>1.5058944426786909</v>
      </c>
      <c r="GC191">
        <v>0.5414796320849119</v>
      </c>
      <c r="GD191">
        <v>2.3067007953259013</v>
      </c>
      <c r="GE191">
        <v>5.9991556968832267</v>
      </c>
      <c r="GF191">
        <v>5.9887821112787787</v>
      </c>
      <c r="GG191">
        <v>4.2512767708126864</v>
      </c>
      <c r="GH191">
        <v>2.2816868956725136</v>
      </c>
      <c r="GI191">
        <v>3.4220491862640836</v>
      </c>
      <c r="GJ191"/>
      <c r="GK191"/>
      <c r="GL191"/>
      <c r="GM191"/>
    </row>
    <row r="192" spans="1:195" s="7" customFormat="1">
      <c r="A192" s="1"/>
      <c r="B192" s="76" t="str">
        <f t="shared" ca="1" si="249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21.626166572398191</v>
      </c>
      <c r="AO192">
        <v>5.0245019641422823</v>
      </c>
      <c r="AP192">
        <v>32.798151054000996</v>
      </c>
      <c r="AQ192">
        <v>29.349570852111974</v>
      </c>
      <c r="AR192">
        <v>4.6712983066712122</v>
      </c>
      <c r="AS192">
        <v>21.517948213688488</v>
      </c>
      <c r="AT192">
        <v>3.2714739219289881</v>
      </c>
      <c r="AU192">
        <v>9.1614591782094621</v>
      </c>
      <c r="AV192"/>
      <c r="AW192"/>
      <c r="AX192" s="146"/>
      <c r="AY192" s="76" t="str">
        <f t="shared" ca="1" si="172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7"/>
        <v/>
      </c>
      <c r="CL192" s="179" t="str">
        <f t="shared" si="208"/>
        <v/>
      </c>
      <c r="CM192" s="180" t="str">
        <f t="shared" si="20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0"/>
        <v/>
      </c>
      <c r="DB192" s="146"/>
      <c r="DC192" s="76" t="str">
        <f t="shared" ca="1" si="173"/>
        <v/>
      </c>
      <c r="DD192" t="str">
        <f t="shared" si="211"/>
        <v/>
      </c>
      <c r="DE192" s="129" t="str">
        <f t="shared" si="283"/>
        <v/>
      </c>
      <c r="DF192" s="161" t="str">
        <f t="shared" si="284"/>
        <v/>
      </c>
      <c r="DG192" s="161" t="str">
        <f t="shared" si="285"/>
        <v/>
      </c>
      <c r="DH192" s="161" t="str">
        <f t="shared" si="286"/>
        <v/>
      </c>
      <c r="DI192" s="161" t="str">
        <f t="shared" si="287"/>
        <v/>
      </c>
      <c r="DJ192" s="161" t="str">
        <f t="shared" si="288"/>
        <v/>
      </c>
      <c r="DK192" s="161" t="str">
        <f t="shared" si="289"/>
        <v/>
      </c>
      <c r="DL192" s="161" t="str">
        <f t="shared" si="290"/>
        <v/>
      </c>
      <c r="DM192" s="161" t="str">
        <f t="shared" si="291"/>
        <v/>
      </c>
      <c r="DN192" s="161" t="str">
        <f>IF($AZ192="", "", (BJ192*$CW192)/$CZ192)</f>
        <v/>
      </c>
      <c r="DO192" s="161" t="str">
        <f t="shared" si="292"/>
        <v/>
      </c>
      <c r="DP192" s="161" t="str">
        <f t="shared" si="293"/>
        <v/>
      </c>
      <c r="DQ192" s="161" t="str">
        <f t="shared" si="294"/>
        <v/>
      </c>
      <c r="DR192" s="161" t="str">
        <f t="shared" si="295"/>
        <v/>
      </c>
      <c r="DS192" s="161" t="str">
        <f t="shared" si="296"/>
        <v/>
      </c>
      <c r="DT192" s="161" t="str">
        <f t="shared" si="297"/>
        <v/>
      </c>
      <c r="DU192" s="161" t="str">
        <f t="shared" si="298"/>
        <v/>
      </c>
      <c r="DV192" s="161" t="str">
        <f t="shared" si="299"/>
        <v/>
      </c>
      <c r="DW192" s="161" t="str">
        <f t="shared" si="300"/>
        <v/>
      </c>
      <c r="DX192" s="161" t="str">
        <f t="shared" si="301"/>
        <v/>
      </c>
      <c r="DY192" s="161" t="str">
        <f t="shared" si="302"/>
        <v/>
      </c>
      <c r="DZ192" s="161" t="str">
        <f t="shared" si="303"/>
        <v/>
      </c>
      <c r="EA192" s="161" t="str">
        <f t="shared" si="304"/>
        <v/>
      </c>
      <c r="EB192" s="161" t="str">
        <f t="shared" si="305"/>
        <v/>
      </c>
      <c r="EC192" s="161" t="str">
        <f t="shared" si="306"/>
        <v/>
      </c>
      <c r="ED192" s="161" t="str">
        <f t="shared" si="307"/>
        <v/>
      </c>
      <c r="EE192" s="161" t="str">
        <f t="shared" si="308"/>
        <v/>
      </c>
      <c r="EF192" s="161" t="str">
        <f t="shared" si="309"/>
        <v/>
      </c>
      <c r="EG192" s="161" t="str">
        <f t="shared" si="310"/>
        <v/>
      </c>
      <c r="EH192" s="161" t="str">
        <f t="shared" si="311"/>
        <v/>
      </c>
      <c r="EI192" s="161" t="str">
        <f t="shared" si="312"/>
        <v/>
      </c>
      <c r="EJ192" s="161" t="str">
        <f t="shared" si="313"/>
        <v/>
      </c>
      <c r="EK192" s="147" t="str">
        <f t="shared" si="250"/>
        <v/>
      </c>
      <c r="EL192" s="149"/>
      <c r="EN192" s="146"/>
      <c r="EO192" s="146"/>
      <c r="EP192" s="139" t="str">
        <f t="shared" si="251"/>
        <v/>
      </c>
      <c r="EQ192" s="139" t="str">
        <f t="shared" si="252"/>
        <v/>
      </c>
      <c r="ER192" s="139" t="str">
        <f t="shared" si="253"/>
        <v/>
      </c>
      <c r="ES192" s="139" t="str">
        <f t="shared" si="254"/>
        <v/>
      </c>
      <c r="ET192" s="139" t="str">
        <f t="shared" si="255"/>
        <v/>
      </c>
      <c r="EU192" s="139" t="str">
        <f t="shared" si="256"/>
        <v/>
      </c>
      <c r="EV192" s="139" t="str">
        <f t="shared" si="257"/>
        <v/>
      </c>
      <c r="EW192" s="139" t="str">
        <f t="shared" si="258"/>
        <v/>
      </c>
      <c r="EX192" s="139" t="str">
        <f t="shared" si="259"/>
        <v/>
      </c>
      <c r="EY192" s="139" t="str">
        <f t="shared" si="260"/>
        <v/>
      </c>
      <c r="EZ192" s="139" t="str">
        <f t="shared" si="261"/>
        <v/>
      </c>
      <c r="FA192" s="139" t="str">
        <f t="shared" si="262"/>
        <v/>
      </c>
      <c r="FB192" s="139" t="str">
        <f t="shared" si="263"/>
        <v/>
      </c>
      <c r="FC192" s="139" t="str">
        <f t="shared" si="264"/>
        <v/>
      </c>
      <c r="FD192" s="139" t="str">
        <f t="shared" si="265"/>
        <v/>
      </c>
      <c r="FE192" s="139" t="str">
        <f t="shared" si="266"/>
        <v/>
      </c>
      <c r="FF192" s="139" t="str">
        <f t="shared" si="267"/>
        <v/>
      </c>
      <c r="FG192" s="139" t="str">
        <f t="shared" si="268"/>
        <v/>
      </c>
      <c r="FH192" s="139" t="str">
        <f t="shared" si="269"/>
        <v/>
      </c>
      <c r="FI192" s="139" t="str">
        <f t="shared" si="270"/>
        <v/>
      </c>
      <c r="FJ192" s="139" t="str">
        <f t="shared" si="271"/>
        <v/>
      </c>
      <c r="FK192" s="139" t="str">
        <f t="shared" si="272"/>
        <v/>
      </c>
      <c r="FL192" s="139" t="str">
        <f t="shared" si="273"/>
        <v/>
      </c>
      <c r="FM192" s="139" t="str">
        <f t="shared" si="274"/>
        <v/>
      </c>
      <c r="FN192" s="139" t="str">
        <f t="shared" si="275"/>
        <v/>
      </c>
      <c r="FO192" s="139" t="str">
        <f t="shared" si="276"/>
        <v/>
      </c>
      <c r="FP192" s="139" t="str">
        <f t="shared" si="277"/>
        <v/>
      </c>
      <c r="FQ192" s="139" t="str">
        <f t="shared" si="278"/>
        <v/>
      </c>
      <c r="FR192" s="139" t="str">
        <f t="shared" si="279"/>
        <v/>
      </c>
      <c r="FS192" s="139" t="str">
        <f t="shared" si="280"/>
        <v/>
      </c>
      <c r="FT192" s="139" t="str">
        <f t="shared" si="281"/>
        <v/>
      </c>
      <c r="FU192" s="148" t="str">
        <f t="shared" si="282"/>
        <v/>
      </c>
      <c r="FV192" s="149"/>
      <c r="FY192" s="210">
        <v>187</v>
      </c>
      <c r="FZ192">
        <v>1.4883858722914742</v>
      </c>
      <c r="GA192">
        <v>2.9110623979610759</v>
      </c>
      <c r="GB192">
        <v>1.7906192769546272</v>
      </c>
      <c r="GC192">
        <v>0.76234026808169075</v>
      </c>
      <c r="GD192">
        <v>1.8363458279456357</v>
      </c>
      <c r="GE192">
        <v>4.7580808591813142</v>
      </c>
      <c r="GF192">
        <v>5.2983602676089445</v>
      </c>
      <c r="GG192">
        <v>3.0322288287933379</v>
      </c>
      <c r="GH192">
        <v>2.3253667424644426</v>
      </c>
      <c r="GI192">
        <v>3.0961517166756973</v>
      </c>
      <c r="GJ192"/>
      <c r="GK192"/>
      <c r="GL192"/>
      <c r="GM192"/>
    </row>
    <row r="193" spans="1:195" s="7" customFormat="1">
      <c r="A193" s="1"/>
      <c r="B193" s="76" t="str">
        <f t="shared" ca="1" si="249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32.037694281886239</v>
      </c>
      <c r="AO193">
        <v>6.5135371490594505</v>
      </c>
      <c r="AP193">
        <v>45.783276842239466</v>
      </c>
      <c r="AQ193">
        <v>39.735056111749934</v>
      </c>
      <c r="AR193">
        <v>6.0865333639460006</v>
      </c>
      <c r="AS193">
        <v>27.285864847332281</v>
      </c>
      <c r="AT193">
        <v>3.6775382855431507</v>
      </c>
      <c r="AU193">
        <v>-2.9740690016630955</v>
      </c>
      <c r="AV193"/>
      <c r="AW193"/>
      <c r="AX193" s="146"/>
      <c r="AY193" s="76" t="str">
        <f t="shared" ca="1" si="172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7"/>
        <v/>
      </c>
      <c r="CL193" s="179" t="str">
        <f t="shared" si="208"/>
        <v/>
      </c>
      <c r="CM193" s="180" t="str">
        <f t="shared" si="20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0"/>
        <v/>
      </c>
      <c r="DB193" s="146"/>
      <c r="DC193" s="76" t="str">
        <f t="shared" ca="1" si="173"/>
        <v/>
      </c>
      <c r="DD193" t="str">
        <f t="shared" si="211"/>
        <v/>
      </c>
      <c r="DE193" s="129" t="str">
        <f t="shared" si="283"/>
        <v/>
      </c>
      <c r="DF193" s="161" t="str">
        <f t="shared" si="284"/>
        <v/>
      </c>
      <c r="DG193" s="161" t="str">
        <f t="shared" si="285"/>
        <v/>
      </c>
      <c r="DH193" s="161" t="str">
        <f t="shared" si="286"/>
        <v/>
      </c>
      <c r="DI193" s="161" t="str">
        <f t="shared" si="287"/>
        <v/>
      </c>
      <c r="DJ193" s="161" t="str">
        <f t="shared" si="288"/>
        <v/>
      </c>
      <c r="DK193" s="161" t="str">
        <f t="shared" si="289"/>
        <v/>
      </c>
      <c r="DL193" s="161" t="str">
        <f t="shared" si="290"/>
        <v/>
      </c>
      <c r="DM193" s="161" t="str">
        <f t="shared" si="291"/>
        <v/>
      </c>
      <c r="DN193" s="161" t="str">
        <f t="shared" ref="DN193:DN207" si="314">IF($AZ193="", "", (BJ193*$CW193)/$CZ193)</f>
        <v/>
      </c>
      <c r="DO193" s="161" t="str">
        <f t="shared" si="292"/>
        <v/>
      </c>
      <c r="DP193" s="161" t="str">
        <f t="shared" si="293"/>
        <v/>
      </c>
      <c r="DQ193" s="161" t="str">
        <f t="shared" si="294"/>
        <v/>
      </c>
      <c r="DR193" s="161" t="str">
        <f t="shared" si="295"/>
        <v/>
      </c>
      <c r="DS193" s="161" t="str">
        <f t="shared" si="296"/>
        <v/>
      </c>
      <c r="DT193" s="161" t="str">
        <f t="shared" si="297"/>
        <v/>
      </c>
      <c r="DU193" s="161" t="str">
        <f t="shared" si="298"/>
        <v/>
      </c>
      <c r="DV193" s="161" t="str">
        <f t="shared" si="299"/>
        <v/>
      </c>
      <c r="DW193" s="161" t="str">
        <f t="shared" si="300"/>
        <v/>
      </c>
      <c r="DX193" s="161" t="str">
        <f t="shared" si="301"/>
        <v/>
      </c>
      <c r="DY193" s="161" t="str">
        <f t="shared" si="302"/>
        <v/>
      </c>
      <c r="DZ193" s="161" t="str">
        <f t="shared" si="303"/>
        <v/>
      </c>
      <c r="EA193" s="161" t="str">
        <f t="shared" si="304"/>
        <v/>
      </c>
      <c r="EB193" s="161" t="str">
        <f t="shared" si="305"/>
        <v/>
      </c>
      <c r="EC193" s="161" t="str">
        <f t="shared" si="306"/>
        <v/>
      </c>
      <c r="ED193" s="161" t="str">
        <f t="shared" si="307"/>
        <v/>
      </c>
      <c r="EE193" s="161" t="str">
        <f t="shared" si="308"/>
        <v/>
      </c>
      <c r="EF193" s="161" t="str">
        <f t="shared" si="309"/>
        <v/>
      </c>
      <c r="EG193" s="161" t="str">
        <f t="shared" si="310"/>
        <v/>
      </c>
      <c r="EH193" s="161" t="str">
        <f t="shared" si="311"/>
        <v/>
      </c>
      <c r="EI193" s="161" t="str">
        <f t="shared" si="312"/>
        <v/>
      </c>
      <c r="EJ193" s="161" t="str">
        <f t="shared" si="313"/>
        <v/>
      </c>
      <c r="EK193" s="147" t="str">
        <f t="shared" si="250"/>
        <v/>
      </c>
      <c r="EL193" s="149"/>
      <c r="EN193" s="146"/>
      <c r="EO193" s="146"/>
      <c r="EP193" s="139" t="str">
        <f t="shared" si="251"/>
        <v/>
      </c>
      <c r="EQ193" s="139" t="str">
        <f t="shared" si="252"/>
        <v/>
      </c>
      <c r="ER193" s="139" t="str">
        <f t="shared" si="253"/>
        <v/>
      </c>
      <c r="ES193" s="139" t="str">
        <f t="shared" si="254"/>
        <v/>
      </c>
      <c r="ET193" s="139" t="str">
        <f t="shared" si="255"/>
        <v/>
      </c>
      <c r="EU193" s="139" t="str">
        <f t="shared" si="256"/>
        <v/>
      </c>
      <c r="EV193" s="139" t="str">
        <f t="shared" si="257"/>
        <v/>
      </c>
      <c r="EW193" s="139" t="str">
        <f t="shared" si="258"/>
        <v/>
      </c>
      <c r="EX193" s="139" t="str">
        <f t="shared" si="259"/>
        <v/>
      </c>
      <c r="EY193" s="139" t="str">
        <f t="shared" si="260"/>
        <v/>
      </c>
      <c r="EZ193" s="139" t="str">
        <f t="shared" si="261"/>
        <v/>
      </c>
      <c r="FA193" s="139" t="str">
        <f t="shared" si="262"/>
        <v/>
      </c>
      <c r="FB193" s="139" t="str">
        <f t="shared" si="263"/>
        <v/>
      </c>
      <c r="FC193" s="139" t="str">
        <f t="shared" si="264"/>
        <v/>
      </c>
      <c r="FD193" s="139" t="str">
        <f t="shared" si="265"/>
        <v/>
      </c>
      <c r="FE193" s="139" t="str">
        <f t="shared" si="266"/>
        <v/>
      </c>
      <c r="FF193" s="139" t="str">
        <f t="shared" si="267"/>
        <v/>
      </c>
      <c r="FG193" s="139" t="str">
        <f t="shared" si="268"/>
        <v/>
      </c>
      <c r="FH193" s="139" t="str">
        <f t="shared" si="269"/>
        <v/>
      </c>
      <c r="FI193" s="139" t="str">
        <f t="shared" si="270"/>
        <v/>
      </c>
      <c r="FJ193" s="139" t="str">
        <f t="shared" si="271"/>
        <v/>
      </c>
      <c r="FK193" s="139" t="str">
        <f t="shared" si="272"/>
        <v/>
      </c>
      <c r="FL193" s="139" t="str">
        <f t="shared" si="273"/>
        <v/>
      </c>
      <c r="FM193" s="139" t="str">
        <f t="shared" si="274"/>
        <v/>
      </c>
      <c r="FN193" s="139" t="str">
        <f t="shared" si="275"/>
        <v/>
      </c>
      <c r="FO193" s="139" t="str">
        <f t="shared" si="276"/>
        <v/>
      </c>
      <c r="FP193" s="139" t="str">
        <f t="shared" si="277"/>
        <v/>
      </c>
      <c r="FQ193" s="139" t="str">
        <f t="shared" si="278"/>
        <v/>
      </c>
      <c r="FR193" s="139" t="str">
        <f t="shared" si="279"/>
        <v/>
      </c>
      <c r="FS193" s="139" t="str">
        <f t="shared" si="280"/>
        <v/>
      </c>
      <c r="FT193" s="139" t="str">
        <f t="shared" si="281"/>
        <v/>
      </c>
      <c r="FU193" s="148" t="str">
        <f t="shared" si="282"/>
        <v/>
      </c>
      <c r="FV193" s="149"/>
      <c r="FY193" s="210">
        <v>188</v>
      </c>
      <c r="FZ193">
        <v>0.95978479319328858</v>
      </c>
      <c r="GA193">
        <v>2.7176989843118387</v>
      </c>
      <c r="GB193">
        <v>1.383368682579176</v>
      </c>
      <c r="GC193">
        <v>0.84688020861020685</v>
      </c>
      <c r="GD193">
        <v>2.0527418033827396</v>
      </c>
      <c r="GE193">
        <v>4.7882547405179157</v>
      </c>
      <c r="GF193">
        <v>6.6927124670500513</v>
      </c>
      <c r="GG193">
        <v>7.2346063014198858</v>
      </c>
      <c r="GH193">
        <v>6.3257421404263461</v>
      </c>
      <c r="GI193">
        <v>3.9266491036429985</v>
      </c>
      <c r="GJ193"/>
      <c r="GK193"/>
      <c r="GL193"/>
      <c r="GM193"/>
    </row>
    <row r="194" spans="1:195" s="7" customFormat="1">
      <c r="A194" s="1"/>
      <c r="B194" s="76" t="str">
        <f t="shared" ca="1" si="249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25.399123565024301</v>
      </c>
      <c r="AO194">
        <v>5.523025999452317</v>
      </c>
      <c r="AP194">
        <v>43.693066555897637</v>
      </c>
      <c r="AQ194">
        <v>35.912415760524809</v>
      </c>
      <c r="AR194">
        <v>5.0800539173313961</v>
      </c>
      <c r="AS194">
        <v>23.796303021787924</v>
      </c>
      <c r="AT194">
        <v>3.3565862539680293</v>
      </c>
      <c r="AU194">
        <v>3.0867968320639774</v>
      </c>
      <c r="AV194"/>
      <c r="AW194"/>
      <c r="AX194" s="146"/>
      <c r="AY194" s="76" t="str">
        <f t="shared" ca="1" si="172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7"/>
        <v/>
      </c>
      <c r="CL194" s="179" t="str">
        <f t="shared" si="208"/>
        <v/>
      </c>
      <c r="CM194" s="180" t="str">
        <f t="shared" si="20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0"/>
        <v/>
      </c>
      <c r="DB194" s="146"/>
      <c r="DC194" s="76" t="str">
        <f t="shared" ca="1" si="173"/>
        <v/>
      </c>
      <c r="DD194" t="str">
        <f t="shared" si="211"/>
        <v/>
      </c>
      <c r="DE194" s="129" t="str">
        <f t="shared" si="283"/>
        <v/>
      </c>
      <c r="DF194" s="161" t="str">
        <f t="shared" si="284"/>
        <v/>
      </c>
      <c r="DG194" s="161" t="str">
        <f t="shared" si="285"/>
        <v/>
      </c>
      <c r="DH194" s="161" t="str">
        <f t="shared" si="286"/>
        <v/>
      </c>
      <c r="DI194" s="161" t="str">
        <f t="shared" si="287"/>
        <v/>
      </c>
      <c r="DJ194" s="161" t="str">
        <f t="shared" si="288"/>
        <v/>
      </c>
      <c r="DK194" s="161" t="str">
        <f t="shared" si="289"/>
        <v/>
      </c>
      <c r="DL194" s="161" t="str">
        <f t="shared" si="290"/>
        <v/>
      </c>
      <c r="DM194" s="161" t="str">
        <f t="shared" si="291"/>
        <v/>
      </c>
      <c r="DN194" s="161" t="str">
        <f t="shared" si="314"/>
        <v/>
      </c>
      <c r="DO194" s="161" t="str">
        <f t="shared" ref="DO194:DO206" si="315">IF($AZ194="", "", (BK193*$CW194)/$CZ194)</f>
        <v/>
      </c>
      <c r="DP194" s="161" t="str">
        <f t="shared" ref="DP194:DP206" si="316">IF($AZ194="", "", (BL193*$CW194)/$CZ194)</f>
        <v/>
      </c>
      <c r="DQ194" s="161" t="str">
        <f t="shared" ref="DQ194:DQ206" si="317">IF($AZ194="", "", (BM193*$CW194)/$CZ194)</f>
        <v/>
      </c>
      <c r="DR194" s="161" t="str">
        <f t="shared" ref="DR194:DR206" si="318">IF($AZ194="", "", (BN193*$CW194)/$CZ194)</f>
        <v/>
      </c>
      <c r="DS194" s="161" t="str">
        <f t="shared" ref="DS194:DS206" si="319">IF($AZ194="", "", (BO193*$CW194)/$CZ194)</f>
        <v/>
      </c>
      <c r="DT194" s="161" t="str">
        <f t="shared" ref="DT194:DT206" si="320">IF($AZ194="", "", (BP193*$CW194)/$CZ194)</f>
        <v/>
      </c>
      <c r="DU194" s="161" t="str">
        <f t="shared" ref="DU194:DU206" si="321">IF($AZ194="", "", (BQ193*$CW194)/$CZ194)</f>
        <v/>
      </c>
      <c r="DV194" s="161" t="str">
        <f t="shared" ref="DV194:DV206" si="322">IF($AZ194="", "", (BR193*$CW194)/$CZ194)</f>
        <v/>
      </c>
      <c r="DW194" s="161" t="str">
        <f t="shared" ref="DW194:DW206" si="323">IF($AZ194="", "", (BS193*$CW194)/$CZ194)</f>
        <v/>
      </c>
      <c r="DX194" s="161" t="str">
        <f t="shared" ref="DX194:DX206" si="324">IF($AZ194="", "", (BT193*$CW194)/$CZ194)</f>
        <v/>
      </c>
      <c r="DY194" s="161" t="str">
        <f t="shared" ref="DY194:DY206" si="325">IF($AZ194="", "", (BU193*$CW194)/$CZ194)</f>
        <v/>
      </c>
      <c r="DZ194" s="161" t="str">
        <f t="shared" ref="DZ194:DZ206" si="326">IF($AZ194="", "", (BV193*$CW194)/$CZ194)</f>
        <v/>
      </c>
      <c r="EA194" s="161" t="str">
        <f t="shared" ref="EA194:EA206" si="327">IF($AZ194="", "", (BW193*$CW194)/$CZ194)</f>
        <v/>
      </c>
      <c r="EB194" s="161" t="str">
        <f t="shared" ref="EB194:EB206" si="328">IF($AZ194="", "", (BX193*$CW194)/$CZ194)</f>
        <v/>
      </c>
      <c r="EC194" s="161" t="str">
        <f t="shared" ref="EC194:EC206" si="329">IF($AZ194="", "", (BY193*$CW194)/$CZ194)</f>
        <v/>
      </c>
      <c r="ED194" s="161" t="str">
        <f t="shared" ref="ED194:ED206" si="330">IF($AZ194="", "", (BZ193*$CW194)/$CZ194)</f>
        <v/>
      </c>
      <c r="EE194" s="161" t="str">
        <f t="shared" ref="EE194:EE206" si="331">IF($AZ194="", "", (CA193*$CW194)/$CZ194)</f>
        <v/>
      </c>
      <c r="EF194" s="161" t="str">
        <f t="shared" ref="EF194:EF206" si="332">IF($AZ194="", "", (CB193*$CW194)/$CZ194)</f>
        <v/>
      </c>
      <c r="EG194" s="161" t="str">
        <f t="shared" ref="EG194:EG206" si="333">IF($AZ194="", "", (CC193*$CW194)/$CZ194)</f>
        <v/>
      </c>
      <c r="EH194" s="161" t="str">
        <f t="shared" ref="EH194:EH206" si="334">IF($AZ194="", "", (CD193*$CW194)/$CZ194)</f>
        <v/>
      </c>
      <c r="EI194" s="161" t="str">
        <f t="shared" ref="EI194:EI206" si="335">IF($AZ194="", "", (CE193*$CW194)/$CZ194)</f>
        <v/>
      </c>
      <c r="EJ194" s="161" t="str">
        <f t="shared" ref="EJ194:EJ206" si="336">IF($AZ194="", "", (CF193*$CW194)/$CZ194)</f>
        <v/>
      </c>
      <c r="EK194" s="147" t="str">
        <f t="shared" si="250"/>
        <v/>
      </c>
      <c r="EL194" s="149"/>
      <c r="EN194" s="146"/>
      <c r="EO194" s="146"/>
      <c r="EP194" s="139" t="str">
        <f t="shared" si="251"/>
        <v/>
      </c>
      <c r="EQ194" s="139" t="str">
        <f t="shared" si="252"/>
        <v/>
      </c>
      <c r="ER194" s="139" t="str">
        <f t="shared" si="253"/>
        <v/>
      </c>
      <c r="ES194" s="139" t="str">
        <f t="shared" si="254"/>
        <v/>
      </c>
      <c r="ET194" s="139" t="str">
        <f t="shared" si="255"/>
        <v/>
      </c>
      <c r="EU194" s="139" t="str">
        <f t="shared" si="256"/>
        <v/>
      </c>
      <c r="EV194" s="139" t="str">
        <f t="shared" si="257"/>
        <v/>
      </c>
      <c r="EW194" s="139" t="str">
        <f t="shared" si="258"/>
        <v/>
      </c>
      <c r="EX194" s="139" t="str">
        <f t="shared" si="259"/>
        <v/>
      </c>
      <c r="EY194" s="139" t="str">
        <f t="shared" si="260"/>
        <v/>
      </c>
      <c r="EZ194" s="139" t="str">
        <f t="shared" si="261"/>
        <v/>
      </c>
      <c r="FA194" s="139" t="str">
        <f t="shared" si="262"/>
        <v/>
      </c>
      <c r="FB194" s="139" t="str">
        <f t="shared" si="263"/>
        <v/>
      </c>
      <c r="FC194" s="139" t="str">
        <f t="shared" si="264"/>
        <v/>
      </c>
      <c r="FD194" s="139" t="str">
        <f t="shared" si="265"/>
        <v/>
      </c>
      <c r="FE194" s="139" t="str">
        <f t="shared" si="266"/>
        <v/>
      </c>
      <c r="FF194" s="139" t="str">
        <f t="shared" si="267"/>
        <v/>
      </c>
      <c r="FG194" s="139" t="str">
        <f t="shared" si="268"/>
        <v/>
      </c>
      <c r="FH194" s="139" t="str">
        <f t="shared" si="269"/>
        <v/>
      </c>
      <c r="FI194" s="139" t="str">
        <f t="shared" si="270"/>
        <v/>
      </c>
      <c r="FJ194" s="139" t="str">
        <f t="shared" si="271"/>
        <v/>
      </c>
      <c r="FK194" s="139" t="str">
        <f t="shared" si="272"/>
        <v/>
      </c>
      <c r="FL194" s="139" t="str">
        <f t="shared" si="273"/>
        <v/>
      </c>
      <c r="FM194" s="139" t="str">
        <f t="shared" si="274"/>
        <v/>
      </c>
      <c r="FN194" s="139" t="str">
        <f t="shared" si="275"/>
        <v/>
      </c>
      <c r="FO194" s="139" t="str">
        <f t="shared" si="276"/>
        <v/>
      </c>
      <c r="FP194" s="139" t="str">
        <f t="shared" si="277"/>
        <v/>
      </c>
      <c r="FQ194" s="139" t="str">
        <f t="shared" si="278"/>
        <v/>
      </c>
      <c r="FR194" s="139" t="str">
        <f t="shared" si="279"/>
        <v/>
      </c>
      <c r="FS194" s="139" t="str">
        <f t="shared" si="280"/>
        <v/>
      </c>
      <c r="FT194" s="139" t="str">
        <f t="shared" si="281"/>
        <v/>
      </c>
      <c r="FU194" s="148" t="str">
        <f t="shared" si="282"/>
        <v/>
      </c>
      <c r="FV194" s="149"/>
      <c r="FY194" s="210">
        <v>189</v>
      </c>
      <c r="FZ194">
        <v>1.5916466224593351</v>
      </c>
      <c r="GA194">
        <v>2.6093403961613388</v>
      </c>
      <c r="GB194">
        <v>1.1351893872428183</v>
      </c>
      <c r="GC194">
        <v>0.36393544392727212</v>
      </c>
      <c r="GD194">
        <v>1.7251782537264397</v>
      </c>
      <c r="GE194">
        <v>3.7288152492900015</v>
      </c>
      <c r="GF194">
        <v>2.0879399653308344</v>
      </c>
      <c r="GG194">
        <v>2.7738229466283704</v>
      </c>
      <c r="GH194">
        <v>3.5315168361608871</v>
      </c>
      <c r="GI194">
        <v>2.4838469001960655</v>
      </c>
      <c r="GJ194"/>
      <c r="GK194"/>
      <c r="GL194"/>
      <c r="GM194"/>
    </row>
    <row r="195" spans="1:195" s="7" customFormat="1">
      <c r="A195" s="1"/>
      <c r="B195" s="76" t="str">
        <f t="shared" ca="1" si="249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20.980660918327139</v>
      </c>
      <c r="AO195">
        <v>4.0302005595769774</v>
      </c>
      <c r="AP195">
        <v>33.068138389081774</v>
      </c>
      <c r="AQ195">
        <v>26.809344415501403</v>
      </c>
      <c r="AR195">
        <v>3.8153460247228197</v>
      </c>
      <c r="AS195">
        <v>17.720392519680502</v>
      </c>
      <c r="AT195">
        <v>2.3817680672470751</v>
      </c>
      <c r="AU195">
        <v>-5.406573345224019</v>
      </c>
      <c r="AV195"/>
      <c r="AW195"/>
      <c r="AX195" s="146"/>
      <c r="AY195" s="76" t="str">
        <f t="shared" ca="1" si="172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7"/>
        <v/>
      </c>
      <c r="CL195" s="179" t="str">
        <f t="shared" si="208"/>
        <v/>
      </c>
      <c r="CM195" s="180" t="str">
        <f t="shared" si="20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0"/>
        <v/>
      </c>
      <c r="DB195" s="146"/>
      <c r="DC195" s="76" t="str">
        <f t="shared" ca="1" si="173"/>
        <v/>
      </c>
      <c r="DD195" t="str">
        <f t="shared" si="211"/>
        <v/>
      </c>
      <c r="DE195" s="129" t="str">
        <f t="shared" si="283"/>
        <v/>
      </c>
      <c r="DF195" s="161" t="str">
        <f t="shared" si="284"/>
        <v/>
      </c>
      <c r="DG195" s="161" t="str">
        <f t="shared" si="285"/>
        <v/>
      </c>
      <c r="DH195" s="161" t="str">
        <f t="shared" si="286"/>
        <v/>
      </c>
      <c r="DI195" s="161" t="str">
        <f t="shared" si="287"/>
        <v/>
      </c>
      <c r="DJ195" s="161" t="str">
        <f t="shared" si="288"/>
        <v/>
      </c>
      <c r="DK195" s="161" t="str">
        <f t="shared" si="289"/>
        <v/>
      </c>
      <c r="DL195" s="161" t="str">
        <f t="shared" si="290"/>
        <v/>
      </c>
      <c r="DM195" s="161" t="str">
        <f t="shared" si="291"/>
        <v/>
      </c>
      <c r="DN195" s="161" t="str">
        <f t="shared" si="314"/>
        <v/>
      </c>
      <c r="DO195" s="161" t="str">
        <f t="shared" si="315"/>
        <v/>
      </c>
      <c r="DP195" s="161" t="str">
        <f t="shared" si="316"/>
        <v/>
      </c>
      <c r="DQ195" s="161" t="str">
        <f t="shared" si="317"/>
        <v/>
      </c>
      <c r="DR195" s="161" t="str">
        <f t="shared" si="318"/>
        <v/>
      </c>
      <c r="DS195" s="161" t="str">
        <f t="shared" si="319"/>
        <v/>
      </c>
      <c r="DT195" s="161" t="str">
        <f t="shared" si="320"/>
        <v/>
      </c>
      <c r="DU195" s="161" t="str">
        <f t="shared" si="321"/>
        <v/>
      </c>
      <c r="DV195" s="161" t="str">
        <f t="shared" si="322"/>
        <v/>
      </c>
      <c r="DW195" s="161" t="str">
        <f t="shared" si="323"/>
        <v/>
      </c>
      <c r="DX195" s="161" t="str">
        <f t="shared" si="324"/>
        <v/>
      </c>
      <c r="DY195" s="161" t="str">
        <f t="shared" si="325"/>
        <v/>
      </c>
      <c r="DZ195" s="161" t="str">
        <f t="shared" si="326"/>
        <v/>
      </c>
      <c r="EA195" s="161" t="str">
        <f t="shared" si="327"/>
        <v/>
      </c>
      <c r="EB195" s="161" t="str">
        <f t="shared" si="328"/>
        <v/>
      </c>
      <c r="EC195" s="161" t="str">
        <f t="shared" si="329"/>
        <v/>
      </c>
      <c r="ED195" s="161" t="str">
        <f t="shared" si="330"/>
        <v/>
      </c>
      <c r="EE195" s="161" t="str">
        <f t="shared" si="331"/>
        <v/>
      </c>
      <c r="EF195" s="161" t="str">
        <f t="shared" si="332"/>
        <v/>
      </c>
      <c r="EG195" s="161" t="str">
        <f t="shared" si="333"/>
        <v/>
      </c>
      <c r="EH195" s="161" t="str">
        <f t="shared" si="334"/>
        <v/>
      </c>
      <c r="EI195" s="161" t="str">
        <f t="shared" si="335"/>
        <v/>
      </c>
      <c r="EJ195" s="161" t="str">
        <f t="shared" si="336"/>
        <v/>
      </c>
      <c r="EK195" s="147" t="str">
        <f t="shared" si="250"/>
        <v/>
      </c>
      <c r="EL195" s="149"/>
      <c r="EN195" s="146"/>
      <c r="EO195" s="146"/>
      <c r="EP195" s="139" t="str">
        <f t="shared" si="251"/>
        <v/>
      </c>
      <c r="EQ195" s="139" t="str">
        <f t="shared" si="252"/>
        <v/>
      </c>
      <c r="ER195" s="139" t="str">
        <f t="shared" si="253"/>
        <v/>
      </c>
      <c r="ES195" s="139" t="str">
        <f t="shared" si="254"/>
        <v/>
      </c>
      <c r="ET195" s="139" t="str">
        <f t="shared" si="255"/>
        <v/>
      </c>
      <c r="EU195" s="139" t="str">
        <f t="shared" si="256"/>
        <v/>
      </c>
      <c r="EV195" s="139" t="str">
        <f t="shared" si="257"/>
        <v/>
      </c>
      <c r="EW195" s="139" t="str">
        <f t="shared" si="258"/>
        <v/>
      </c>
      <c r="EX195" s="139" t="str">
        <f t="shared" si="259"/>
        <v/>
      </c>
      <c r="EY195" s="139" t="str">
        <f t="shared" si="260"/>
        <v/>
      </c>
      <c r="EZ195" s="139" t="str">
        <f t="shared" si="261"/>
        <v/>
      </c>
      <c r="FA195" s="139" t="str">
        <f t="shared" si="262"/>
        <v/>
      </c>
      <c r="FB195" s="139" t="str">
        <f t="shared" si="263"/>
        <v/>
      </c>
      <c r="FC195" s="139" t="str">
        <f t="shared" si="264"/>
        <v/>
      </c>
      <c r="FD195" s="139" t="str">
        <f t="shared" si="265"/>
        <v/>
      </c>
      <c r="FE195" s="139" t="str">
        <f t="shared" si="266"/>
        <v/>
      </c>
      <c r="FF195" s="139" t="str">
        <f t="shared" si="267"/>
        <v/>
      </c>
      <c r="FG195" s="139" t="str">
        <f t="shared" si="268"/>
        <v/>
      </c>
      <c r="FH195" s="139" t="str">
        <f t="shared" si="269"/>
        <v/>
      </c>
      <c r="FI195" s="139" t="str">
        <f t="shared" si="270"/>
        <v/>
      </c>
      <c r="FJ195" s="139" t="str">
        <f t="shared" si="271"/>
        <v/>
      </c>
      <c r="FK195" s="139" t="str">
        <f t="shared" si="272"/>
        <v/>
      </c>
      <c r="FL195" s="139" t="str">
        <f t="shared" si="273"/>
        <v/>
      </c>
      <c r="FM195" s="139" t="str">
        <f t="shared" si="274"/>
        <v/>
      </c>
      <c r="FN195" s="139" t="str">
        <f t="shared" si="275"/>
        <v/>
      </c>
      <c r="FO195" s="139" t="str">
        <f t="shared" si="276"/>
        <v/>
      </c>
      <c r="FP195" s="139" t="str">
        <f t="shared" si="277"/>
        <v/>
      </c>
      <c r="FQ195" s="139" t="str">
        <f t="shared" si="278"/>
        <v/>
      </c>
      <c r="FR195" s="139" t="str">
        <f t="shared" si="279"/>
        <v/>
      </c>
      <c r="FS195" s="139" t="str">
        <f t="shared" si="280"/>
        <v/>
      </c>
      <c r="FT195" s="139" t="str">
        <f t="shared" si="281"/>
        <v/>
      </c>
      <c r="FU195" s="148" t="str">
        <f t="shared" si="282"/>
        <v/>
      </c>
      <c r="FV195" s="149"/>
      <c r="FY195" s="210">
        <v>190</v>
      </c>
      <c r="FZ195">
        <v>0.78225577224366993</v>
      </c>
      <c r="GA195">
        <v>2.6302232545680919</v>
      </c>
      <c r="GB195">
        <v>1.9825138443976988</v>
      </c>
      <c r="GC195">
        <v>0.88880334531448935</v>
      </c>
      <c r="GD195">
        <v>1.1733953866959344</v>
      </c>
      <c r="GE195">
        <v>3.1155395334965892</v>
      </c>
      <c r="GF195">
        <v>6.2303985710602792</v>
      </c>
      <c r="GG195">
        <v>7.9519533993061691</v>
      </c>
      <c r="GH195">
        <v>7.7691394990550728</v>
      </c>
      <c r="GI195">
        <v>3.7069874222579697</v>
      </c>
      <c r="GJ195"/>
      <c r="GK195"/>
      <c r="GL195"/>
      <c r="GM195"/>
    </row>
    <row r="196" spans="1:195" s="7" customFormat="1">
      <c r="A196" s="1"/>
      <c r="B196" s="76" t="str">
        <f t="shared" ca="1" si="249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27.359636645961348</v>
      </c>
      <c r="AO196">
        <v>4.5994206579391985</v>
      </c>
      <c r="AP196">
        <v>37.50265837188465</v>
      </c>
      <c r="AQ196">
        <v>30.849757351659065</v>
      </c>
      <c r="AR196">
        <v>4.4066770399434478</v>
      </c>
      <c r="AS196">
        <v>21.979817793223969</v>
      </c>
      <c r="AT196">
        <v>2.7940975898063947</v>
      </c>
      <c r="AU196">
        <v>-1.8376572869906522</v>
      </c>
      <c r="AV196"/>
      <c r="AW196"/>
      <c r="AX196" s="146"/>
      <c r="AY196" s="76" t="str">
        <f t="shared" ca="1" si="172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7"/>
        <v/>
      </c>
      <c r="CL196" s="179" t="str">
        <f t="shared" si="208"/>
        <v/>
      </c>
      <c r="CM196" s="180" t="str">
        <f t="shared" si="20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0"/>
        <v/>
      </c>
      <c r="DB196" s="146"/>
      <c r="DC196" s="76" t="str">
        <f t="shared" ca="1" si="173"/>
        <v/>
      </c>
      <c r="DD196" t="str">
        <f t="shared" si="211"/>
        <v/>
      </c>
      <c r="DE196" s="129" t="str">
        <f t="shared" si="283"/>
        <v/>
      </c>
      <c r="DF196" s="161" t="str">
        <f t="shared" si="284"/>
        <v/>
      </c>
      <c r="DG196" s="161" t="str">
        <f t="shared" si="285"/>
        <v/>
      </c>
      <c r="DH196" s="161" t="str">
        <f t="shared" si="286"/>
        <v/>
      </c>
      <c r="DI196" s="161" t="str">
        <f t="shared" si="287"/>
        <v/>
      </c>
      <c r="DJ196" s="161" t="str">
        <f t="shared" si="288"/>
        <v/>
      </c>
      <c r="DK196" s="161" t="str">
        <f t="shared" si="289"/>
        <v/>
      </c>
      <c r="DL196" s="161" t="str">
        <f t="shared" si="290"/>
        <v/>
      </c>
      <c r="DM196" s="161" t="str">
        <f t="shared" si="291"/>
        <v/>
      </c>
      <c r="DN196" s="161" t="str">
        <f t="shared" si="314"/>
        <v/>
      </c>
      <c r="DO196" s="161" t="str">
        <f t="shared" si="315"/>
        <v/>
      </c>
      <c r="DP196" s="161" t="str">
        <f t="shared" si="316"/>
        <v/>
      </c>
      <c r="DQ196" s="161" t="str">
        <f t="shared" si="317"/>
        <v/>
      </c>
      <c r="DR196" s="161" t="str">
        <f t="shared" si="318"/>
        <v/>
      </c>
      <c r="DS196" s="161" t="str">
        <f t="shared" si="319"/>
        <v/>
      </c>
      <c r="DT196" s="161" t="str">
        <f t="shared" si="320"/>
        <v/>
      </c>
      <c r="DU196" s="161" t="str">
        <f t="shared" si="321"/>
        <v/>
      </c>
      <c r="DV196" s="161" t="str">
        <f t="shared" si="322"/>
        <v/>
      </c>
      <c r="DW196" s="161" t="str">
        <f t="shared" si="323"/>
        <v/>
      </c>
      <c r="DX196" s="161" t="str">
        <f t="shared" si="324"/>
        <v/>
      </c>
      <c r="DY196" s="161" t="str">
        <f t="shared" si="325"/>
        <v/>
      </c>
      <c r="DZ196" s="161" t="str">
        <f t="shared" si="326"/>
        <v/>
      </c>
      <c r="EA196" s="161" t="str">
        <f t="shared" si="327"/>
        <v/>
      </c>
      <c r="EB196" s="161" t="str">
        <f t="shared" si="328"/>
        <v/>
      </c>
      <c r="EC196" s="161" t="str">
        <f t="shared" si="329"/>
        <v/>
      </c>
      <c r="ED196" s="161" t="str">
        <f t="shared" si="330"/>
        <v/>
      </c>
      <c r="EE196" s="161" t="str">
        <f t="shared" si="331"/>
        <v/>
      </c>
      <c r="EF196" s="161" t="str">
        <f t="shared" si="332"/>
        <v/>
      </c>
      <c r="EG196" s="161" t="str">
        <f t="shared" si="333"/>
        <v/>
      </c>
      <c r="EH196" s="161" t="str">
        <f t="shared" si="334"/>
        <v/>
      </c>
      <c r="EI196" s="161" t="str">
        <f t="shared" si="335"/>
        <v/>
      </c>
      <c r="EJ196" s="161" t="str">
        <f t="shared" si="336"/>
        <v/>
      </c>
      <c r="EK196" s="147" t="str">
        <f t="shared" si="250"/>
        <v/>
      </c>
      <c r="EL196" s="149"/>
      <c r="EN196" s="146"/>
      <c r="EO196" s="146"/>
      <c r="EP196" s="139" t="str">
        <f t="shared" si="251"/>
        <v/>
      </c>
      <c r="EQ196" s="139" t="str">
        <f t="shared" si="252"/>
        <v/>
      </c>
      <c r="ER196" s="139" t="str">
        <f t="shared" si="253"/>
        <v/>
      </c>
      <c r="ES196" s="139" t="str">
        <f t="shared" si="254"/>
        <v/>
      </c>
      <c r="ET196" s="139" t="str">
        <f t="shared" si="255"/>
        <v/>
      </c>
      <c r="EU196" s="139" t="str">
        <f t="shared" si="256"/>
        <v/>
      </c>
      <c r="EV196" s="139" t="str">
        <f t="shared" si="257"/>
        <v/>
      </c>
      <c r="EW196" s="139" t="str">
        <f t="shared" si="258"/>
        <v/>
      </c>
      <c r="EX196" s="139" t="str">
        <f t="shared" si="259"/>
        <v/>
      </c>
      <c r="EY196" s="139" t="str">
        <f t="shared" si="260"/>
        <v/>
      </c>
      <c r="EZ196" s="139" t="str">
        <f t="shared" si="261"/>
        <v/>
      </c>
      <c r="FA196" s="139" t="str">
        <f t="shared" si="262"/>
        <v/>
      </c>
      <c r="FB196" s="139" t="str">
        <f t="shared" si="263"/>
        <v/>
      </c>
      <c r="FC196" s="139" t="str">
        <f t="shared" si="264"/>
        <v/>
      </c>
      <c r="FD196" s="139" t="str">
        <f t="shared" si="265"/>
        <v/>
      </c>
      <c r="FE196" s="139" t="str">
        <f t="shared" si="266"/>
        <v/>
      </c>
      <c r="FF196" s="139" t="str">
        <f t="shared" si="267"/>
        <v/>
      </c>
      <c r="FG196" s="139" t="str">
        <f t="shared" si="268"/>
        <v/>
      </c>
      <c r="FH196" s="139" t="str">
        <f t="shared" si="269"/>
        <v/>
      </c>
      <c r="FI196" s="139" t="str">
        <f t="shared" si="270"/>
        <v/>
      </c>
      <c r="FJ196" s="139" t="str">
        <f t="shared" si="271"/>
        <v/>
      </c>
      <c r="FK196" s="139" t="str">
        <f t="shared" si="272"/>
        <v/>
      </c>
      <c r="FL196" s="139" t="str">
        <f t="shared" si="273"/>
        <v/>
      </c>
      <c r="FM196" s="139" t="str">
        <f t="shared" si="274"/>
        <v/>
      </c>
      <c r="FN196" s="139" t="str">
        <f t="shared" si="275"/>
        <v/>
      </c>
      <c r="FO196" s="139" t="str">
        <f t="shared" si="276"/>
        <v/>
      </c>
      <c r="FP196" s="139" t="str">
        <f t="shared" si="277"/>
        <v/>
      </c>
      <c r="FQ196" s="139" t="str">
        <f t="shared" si="278"/>
        <v/>
      </c>
      <c r="FR196" s="139" t="str">
        <f t="shared" si="279"/>
        <v/>
      </c>
      <c r="FS196" s="139" t="str">
        <f t="shared" si="280"/>
        <v/>
      </c>
      <c r="FT196" s="139" t="str">
        <f t="shared" si="281"/>
        <v/>
      </c>
      <c r="FU196" s="148" t="str">
        <f t="shared" si="282"/>
        <v/>
      </c>
      <c r="FV196" s="149"/>
      <c r="FY196" s="210">
        <v>191</v>
      </c>
      <c r="FZ196">
        <v>0.94708957256987913</v>
      </c>
      <c r="GA196">
        <v>1.2764845720662157</v>
      </c>
      <c r="GB196">
        <v>0.77043317818511547</v>
      </c>
      <c r="GC196">
        <v>0.70148951482657118</v>
      </c>
      <c r="GD196">
        <v>1.5124420826721376</v>
      </c>
      <c r="GE196">
        <v>2.3665755889674136</v>
      </c>
      <c r="GF196">
        <v>3.6975263610194045</v>
      </c>
      <c r="GG196">
        <v>7.828966396096753</v>
      </c>
      <c r="GH196">
        <v>7.6820434261988311</v>
      </c>
      <c r="GI196">
        <v>3.129754321162606</v>
      </c>
      <c r="GJ196"/>
      <c r="GK196"/>
      <c r="GL196"/>
      <c r="GM196"/>
    </row>
    <row r="197" spans="1:195" s="7" customFormat="1">
      <c r="A197" s="1"/>
      <c r="B197" s="76" t="str">
        <f t="shared" ca="1" si="249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34.325899956727547</v>
      </c>
      <c r="AO197">
        <v>6.8696927211141086</v>
      </c>
      <c r="AP197">
        <v>51.789521578054895</v>
      </c>
      <c r="AQ197">
        <v>43.848408666744291</v>
      </c>
      <c r="AR197">
        <v>6.4858899572528141</v>
      </c>
      <c r="AS197">
        <v>30.152305325181114</v>
      </c>
      <c r="AT197">
        <v>3.9896396566834125</v>
      </c>
      <c r="AU197">
        <v>-0.21643519876547979</v>
      </c>
      <c r="AV197"/>
      <c r="AW197"/>
      <c r="AX197" s="146"/>
      <c r="AY197" s="76" t="str">
        <f t="shared" ca="1" si="172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7"/>
        <v/>
      </c>
      <c r="CL197" s="179" t="str">
        <f t="shared" si="208"/>
        <v/>
      </c>
      <c r="CM197" s="180" t="str">
        <f t="shared" si="20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0"/>
        <v/>
      </c>
      <c r="DB197" s="146"/>
      <c r="DC197" s="76" t="str">
        <f t="shared" ca="1" si="173"/>
        <v/>
      </c>
      <c r="DD197" t="str">
        <f t="shared" si="211"/>
        <v/>
      </c>
      <c r="DE197" s="129" t="str">
        <f t="shared" si="283"/>
        <v/>
      </c>
      <c r="DF197" s="161" t="str">
        <f t="shared" si="284"/>
        <v/>
      </c>
      <c r="DG197" s="161" t="str">
        <f t="shared" si="285"/>
        <v/>
      </c>
      <c r="DH197" s="161" t="str">
        <f t="shared" si="286"/>
        <v/>
      </c>
      <c r="DI197" s="161" t="str">
        <f t="shared" si="287"/>
        <v/>
      </c>
      <c r="DJ197" s="161" t="str">
        <f t="shared" si="288"/>
        <v/>
      </c>
      <c r="DK197" s="161" t="str">
        <f t="shared" si="289"/>
        <v/>
      </c>
      <c r="DL197" s="161" t="str">
        <f t="shared" si="290"/>
        <v/>
      </c>
      <c r="DM197" s="161" t="str">
        <f t="shared" si="291"/>
        <v/>
      </c>
      <c r="DN197" s="161" t="str">
        <f t="shared" si="314"/>
        <v/>
      </c>
      <c r="DO197" s="161" t="str">
        <f t="shared" si="315"/>
        <v/>
      </c>
      <c r="DP197" s="161" t="str">
        <f t="shared" si="316"/>
        <v/>
      </c>
      <c r="DQ197" s="161" t="str">
        <f t="shared" si="317"/>
        <v/>
      </c>
      <c r="DR197" s="161" t="str">
        <f t="shared" si="318"/>
        <v/>
      </c>
      <c r="DS197" s="161" t="str">
        <f t="shared" si="319"/>
        <v/>
      </c>
      <c r="DT197" s="161" t="str">
        <f t="shared" si="320"/>
        <v/>
      </c>
      <c r="DU197" s="161" t="str">
        <f t="shared" si="321"/>
        <v/>
      </c>
      <c r="DV197" s="161" t="str">
        <f t="shared" si="322"/>
        <v/>
      </c>
      <c r="DW197" s="161" t="str">
        <f t="shared" si="323"/>
        <v/>
      </c>
      <c r="DX197" s="161" t="str">
        <f t="shared" si="324"/>
        <v/>
      </c>
      <c r="DY197" s="161" t="str">
        <f t="shared" si="325"/>
        <v/>
      </c>
      <c r="DZ197" s="161" t="str">
        <f t="shared" si="326"/>
        <v/>
      </c>
      <c r="EA197" s="161" t="str">
        <f t="shared" si="327"/>
        <v/>
      </c>
      <c r="EB197" s="161" t="str">
        <f t="shared" si="328"/>
        <v/>
      </c>
      <c r="EC197" s="161" t="str">
        <f t="shared" si="329"/>
        <v/>
      </c>
      <c r="ED197" s="161" t="str">
        <f t="shared" si="330"/>
        <v/>
      </c>
      <c r="EE197" s="161" t="str">
        <f t="shared" si="331"/>
        <v/>
      </c>
      <c r="EF197" s="161" t="str">
        <f t="shared" si="332"/>
        <v/>
      </c>
      <c r="EG197" s="161" t="str">
        <f t="shared" si="333"/>
        <v/>
      </c>
      <c r="EH197" s="161" t="str">
        <f t="shared" si="334"/>
        <v/>
      </c>
      <c r="EI197" s="161" t="str">
        <f t="shared" si="335"/>
        <v/>
      </c>
      <c r="EJ197" s="161" t="str">
        <f t="shared" si="336"/>
        <v/>
      </c>
      <c r="EK197" s="147" t="str">
        <f t="shared" si="250"/>
        <v/>
      </c>
      <c r="EL197" s="149"/>
      <c r="EN197" s="146"/>
      <c r="EO197" s="146"/>
      <c r="EP197" s="139" t="str">
        <f t="shared" si="251"/>
        <v/>
      </c>
      <c r="EQ197" s="139" t="str">
        <f t="shared" si="252"/>
        <v/>
      </c>
      <c r="ER197" s="139" t="str">
        <f t="shared" si="253"/>
        <v/>
      </c>
      <c r="ES197" s="139" t="str">
        <f t="shared" si="254"/>
        <v/>
      </c>
      <c r="ET197" s="139" t="str">
        <f t="shared" si="255"/>
        <v/>
      </c>
      <c r="EU197" s="139" t="str">
        <f t="shared" si="256"/>
        <v/>
      </c>
      <c r="EV197" s="139" t="str">
        <f t="shared" si="257"/>
        <v/>
      </c>
      <c r="EW197" s="139" t="str">
        <f t="shared" si="258"/>
        <v/>
      </c>
      <c r="EX197" s="139" t="str">
        <f t="shared" si="259"/>
        <v/>
      </c>
      <c r="EY197" s="139" t="str">
        <f t="shared" si="260"/>
        <v/>
      </c>
      <c r="EZ197" s="139" t="str">
        <f t="shared" si="261"/>
        <v/>
      </c>
      <c r="FA197" s="139" t="str">
        <f t="shared" si="262"/>
        <v/>
      </c>
      <c r="FB197" s="139" t="str">
        <f t="shared" si="263"/>
        <v/>
      </c>
      <c r="FC197" s="139" t="str">
        <f t="shared" si="264"/>
        <v/>
      </c>
      <c r="FD197" s="139" t="str">
        <f t="shared" si="265"/>
        <v/>
      </c>
      <c r="FE197" s="139" t="str">
        <f t="shared" si="266"/>
        <v/>
      </c>
      <c r="FF197" s="139" t="str">
        <f t="shared" si="267"/>
        <v/>
      </c>
      <c r="FG197" s="139" t="str">
        <f t="shared" si="268"/>
        <v/>
      </c>
      <c r="FH197" s="139" t="str">
        <f t="shared" si="269"/>
        <v/>
      </c>
      <c r="FI197" s="139" t="str">
        <f t="shared" si="270"/>
        <v/>
      </c>
      <c r="FJ197" s="139" t="str">
        <f t="shared" si="271"/>
        <v/>
      </c>
      <c r="FK197" s="139" t="str">
        <f t="shared" si="272"/>
        <v/>
      </c>
      <c r="FL197" s="139" t="str">
        <f t="shared" si="273"/>
        <v/>
      </c>
      <c r="FM197" s="139" t="str">
        <f t="shared" si="274"/>
        <v/>
      </c>
      <c r="FN197" s="139" t="str">
        <f t="shared" si="275"/>
        <v/>
      </c>
      <c r="FO197" s="139" t="str">
        <f t="shared" si="276"/>
        <v/>
      </c>
      <c r="FP197" s="139" t="str">
        <f t="shared" si="277"/>
        <v/>
      </c>
      <c r="FQ197" s="139" t="str">
        <f t="shared" si="278"/>
        <v/>
      </c>
      <c r="FR197" s="139" t="str">
        <f t="shared" si="279"/>
        <v/>
      </c>
      <c r="FS197" s="139" t="str">
        <f t="shared" si="280"/>
        <v/>
      </c>
      <c r="FT197" s="139" t="str">
        <f t="shared" si="281"/>
        <v/>
      </c>
      <c r="FU197" s="148" t="str">
        <f t="shared" si="282"/>
        <v/>
      </c>
      <c r="FV197" s="149"/>
      <c r="FY197" s="210">
        <v>192</v>
      </c>
      <c r="FZ197">
        <v>0.97399912116401066</v>
      </c>
      <c r="GA197">
        <v>1.8757520093453766</v>
      </c>
      <c r="GB197">
        <v>1.0821300217586183</v>
      </c>
      <c r="GC197">
        <v>0.78853353953044658</v>
      </c>
      <c r="GD197">
        <v>0.6567004302289623</v>
      </c>
      <c r="GE197">
        <v>1.6077564111447069</v>
      </c>
      <c r="GF197">
        <v>4.7039866022465695</v>
      </c>
      <c r="GG197">
        <v>4.9606384130685637</v>
      </c>
      <c r="GH197">
        <v>4.8035310383574785</v>
      </c>
      <c r="GI197">
        <v>2.4512770579528498</v>
      </c>
      <c r="GJ197"/>
      <c r="GK197"/>
      <c r="GL197"/>
      <c r="GM197"/>
    </row>
    <row r="198" spans="1:195" s="7" customFormat="1">
      <c r="A198" s="128"/>
      <c r="B198" s="76" t="str">
        <f t="shared" ca="1" si="249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25.815076663735141</v>
      </c>
      <c r="AO198">
        <v>5.1425788661043486</v>
      </c>
      <c r="AP198">
        <v>39.903984112165112</v>
      </c>
      <c r="AQ198">
        <v>33.243240611312736</v>
      </c>
      <c r="AR198">
        <v>4.791770566244443</v>
      </c>
      <c r="AS198">
        <v>21.234471780194415</v>
      </c>
      <c r="AT198">
        <v>3.1145940958202512</v>
      </c>
      <c r="AU198">
        <v>-0.10616021989498159</v>
      </c>
      <c r="AV198"/>
      <c r="AW198"/>
      <c r="AX198" s="128"/>
      <c r="AY198" s="76" t="str">
        <f t="shared" ca="1" si="172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7"/>
        <v/>
      </c>
      <c r="CL198" s="179" t="str">
        <f t="shared" si="208"/>
        <v/>
      </c>
      <c r="CM198" s="180" t="str">
        <f t="shared" si="20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0"/>
        <v/>
      </c>
      <c r="DB198" s="128"/>
      <c r="DC198" s="76" t="str">
        <f t="shared" ca="1" si="173"/>
        <v/>
      </c>
      <c r="DD198" t="str">
        <f t="shared" si="211"/>
        <v/>
      </c>
      <c r="DE198" s="129" t="str">
        <f t="shared" ref="DE198:DE207" si="337">IF((DD198)="", "", $C$15)</f>
        <v/>
      </c>
      <c r="DF198" s="161" t="str">
        <f t="shared" si="284"/>
        <v/>
      </c>
      <c r="DG198" s="161" t="str">
        <f t="shared" si="285"/>
        <v/>
      </c>
      <c r="DH198" s="161" t="str">
        <f t="shared" si="286"/>
        <v/>
      </c>
      <c r="DI198" s="161" t="str">
        <f t="shared" si="287"/>
        <v/>
      </c>
      <c r="DJ198" s="161" t="str">
        <f t="shared" si="288"/>
        <v/>
      </c>
      <c r="DK198" s="161" t="str">
        <f t="shared" si="289"/>
        <v/>
      </c>
      <c r="DL198" s="161" t="str">
        <f t="shared" si="290"/>
        <v/>
      </c>
      <c r="DM198" s="161" t="str">
        <f t="shared" si="291"/>
        <v/>
      </c>
      <c r="DN198" s="161" t="str">
        <f t="shared" si="314"/>
        <v/>
      </c>
      <c r="DO198" s="161" t="str">
        <f t="shared" si="315"/>
        <v/>
      </c>
      <c r="DP198" s="161" t="str">
        <f t="shared" si="316"/>
        <v/>
      </c>
      <c r="DQ198" s="161" t="str">
        <f t="shared" si="317"/>
        <v/>
      </c>
      <c r="DR198" s="161" t="str">
        <f t="shared" si="318"/>
        <v/>
      </c>
      <c r="DS198" s="161" t="str">
        <f t="shared" si="319"/>
        <v/>
      </c>
      <c r="DT198" s="161" t="str">
        <f t="shared" si="320"/>
        <v/>
      </c>
      <c r="DU198" s="161" t="str">
        <f t="shared" si="321"/>
        <v/>
      </c>
      <c r="DV198" s="161" t="str">
        <f t="shared" si="322"/>
        <v/>
      </c>
      <c r="DW198" s="161" t="str">
        <f t="shared" si="323"/>
        <v/>
      </c>
      <c r="DX198" s="161" t="str">
        <f t="shared" si="324"/>
        <v/>
      </c>
      <c r="DY198" s="161" t="str">
        <f t="shared" si="325"/>
        <v/>
      </c>
      <c r="DZ198" s="161" t="str">
        <f t="shared" si="326"/>
        <v/>
      </c>
      <c r="EA198" s="161" t="str">
        <f t="shared" si="327"/>
        <v/>
      </c>
      <c r="EB198" s="161" t="str">
        <f t="shared" si="328"/>
        <v/>
      </c>
      <c r="EC198" s="161" t="str">
        <f t="shared" si="329"/>
        <v/>
      </c>
      <c r="ED198" s="161" t="str">
        <f t="shared" si="330"/>
        <v/>
      </c>
      <c r="EE198" s="161" t="str">
        <f t="shared" si="331"/>
        <v/>
      </c>
      <c r="EF198" s="161" t="str">
        <f t="shared" si="332"/>
        <v/>
      </c>
      <c r="EG198" s="161" t="str">
        <f t="shared" si="333"/>
        <v/>
      </c>
      <c r="EH198" s="161" t="str">
        <f t="shared" si="334"/>
        <v/>
      </c>
      <c r="EI198" s="161" t="str">
        <f t="shared" si="335"/>
        <v/>
      </c>
      <c r="EJ198" s="161" t="str">
        <f t="shared" si="336"/>
        <v/>
      </c>
      <c r="EK198" s="147" t="str">
        <f t="shared" si="250"/>
        <v/>
      </c>
      <c r="EL198" s="149"/>
      <c r="EN198" s="146"/>
      <c r="EO198" s="146"/>
      <c r="EP198" s="139" t="str">
        <f t="shared" si="251"/>
        <v/>
      </c>
      <c r="EQ198" s="139" t="str">
        <f t="shared" si="252"/>
        <v/>
      </c>
      <c r="ER198" s="139" t="str">
        <f t="shared" si="253"/>
        <v/>
      </c>
      <c r="ES198" s="139" t="str">
        <f t="shared" si="254"/>
        <v/>
      </c>
      <c r="ET198" s="139" t="str">
        <f t="shared" si="255"/>
        <v/>
      </c>
      <c r="EU198" s="139" t="str">
        <f t="shared" si="256"/>
        <v/>
      </c>
      <c r="EV198" s="139" t="str">
        <f t="shared" si="257"/>
        <v/>
      </c>
      <c r="EW198" s="139" t="str">
        <f t="shared" si="258"/>
        <v/>
      </c>
      <c r="EX198" s="139" t="str">
        <f t="shared" si="259"/>
        <v/>
      </c>
      <c r="EY198" s="139" t="str">
        <f t="shared" si="260"/>
        <v/>
      </c>
      <c r="EZ198" s="139" t="str">
        <f t="shared" si="261"/>
        <v/>
      </c>
      <c r="FA198" s="139" t="str">
        <f t="shared" si="262"/>
        <v/>
      </c>
      <c r="FB198" s="139" t="str">
        <f t="shared" si="263"/>
        <v/>
      </c>
      <c r="FC198" s="139" t="str">
        <f t="shared" si="264"/>
        <v/>
      </c>
      <c r="FD198" s="139" t="str">
        <f t="shared" si="265"/>
        <v/>
      </c>
      <c r="FE198" s="139" t="str">
        <f t="shared" si="266"/>
        <v/>
      </c>
      <c r="FF198" s="139" t="str">
        <f t="shared" si="267"/>
        <v/>
      </c>
      <c r="FG198" s="139" t="str">
        <f t="shared" si="268"/>
        <v/>
      </c>
      <c r="FH198" s="139" t="str">
        <f t="shared" si="269"/>
        <v/>
      </c>
      <c r="FI198" s="139" t="str">
        <f t="shared" si="270"/>
        <v/>
      </c>
      <c r="FJ198" s="139" t="str">
        <f t="shared" si="271"/>
        <v/>
      </c>
      <c r="FK198" s="139" t="str">
        <f t="shared" si="272"/>
        <v/>
      </c>
      <c r="FL198" s="139" t="str">
        <f t="shared" si="273"/>
        <v/>
      </c>
      <c r="FM198" s="139" t="str">
        <f t="shared" si="274"/>
        <v/>
      </c>
      <c r="FN198" s="139" t="str">
        <f t="shared" si="275"/>
        <v/>
      </c>
      <c r="FO198" s="139" t="str">
        <f t="shared" si="276"/>
        <v/>
      </c>
      <c r="FP198" s="139" t="str">
        <f t="shared" si="277"/>
        <v/>
      </c>
      <c r="FQ198" s="139" t="str">
        <f t="shared" si="278"/>
        <v/>
      </c>
      <c r="FR198" s="139" t="str">
        <f t="shared" si="279"/>
        <v/>
      </c>
      <c r="FS198" s="139" t="str">
        <f t="shared" si="280"/>
        <v/>
      </c>
      <c r="FT198" s="139" t="str">
        <f t="shared" si="281"/>
        <v/>
      </c>
      <c r="FU198" s="148" t="str">
        <f t="shared" si="282"/>
        <v/>
      </c>
      <c r="FV198" s="149"/>
      <c r="FY198" s="210">
        <v>193</v>
      </c>
      <c r="FZ198">
        <v>1.0704612022644393</v>
      </c>
      <c r="GA198">
        <v>1.5451302414418575</v>
      </c>
      <c r="GB198">
        <v>1.3045436406468396</v>
      </c>
      <c r="GC198">
        <v>0.74089299628861349</v>
      </c>
      <c r="GD198">
        <v>2.1148229005148709</v>
      </c>
      <c r="GE198">
        <v>4.6739441005262146</v>
      </c>
      <c r="GF198">
        <v>7.8804092970561586</v>
      </c>
      <c r="GG198">
        <v>7.7251817364735418</v>
      </c>
      <c r="GH198">
        <v>3.4943906757085048</v>
      </c>
      <c r="GI198">
        <v>3.7701312560410227</v>
      </c>
      <c r="GJ198"/>
      <c r="GK198"/>
      <c r="GL198"/>
      <c r="GM198"/>
    </row>
    <row r="199" spans="1:195" s="7" customFormat="1">
      <c r="A199" s="1"/>
      <c r="B199" s="76" t="str">
        <f t="shared" ca="1" si="249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26.813828362541596</v>
      </c>
      <c r="AO199">
        <v>4.1206754148721618</v>
      </c>
      <c r="AP199">
        <v>27.383593552110412</v>
      </c>
      <c r="AQ199">
        <v>25.053791127298631</v>
      </c>
      <c r="AR199">
        <v>4.0072365302651258</v>
      </c>
      <c r="AS199">
        <v>20.61992270504701</v>
      </c>
      <c r="AT199">
        <v>2.4408024410194908</v>
      </c>
      <c r="AU199">
        <v>12.453052127505837</v>
      </c>
      <c r="AV199"/>
      <c r="AW199"/>
      <c r="AX199" s="146"/>
      <c r="AY199" s="76" t="str">
        <f t="shared" ca="1" si="172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7"/>
        <v/>
      </c>
      <c r="CL199" s="179" t="str">
        <f t="shared" si="208"/>
        <v/>
      </c>
      <c r="CM199" s="180" t="str">
        <f t="shared" si="20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0"/>
        <v/>
      </c>
      <c r="DB199" s="146"/>
      <c r="DC199" s="76" t="str">
        <f t="shared" ca="1" si="173"/>
        <v/>
      </c>
      <c r="DD199" t="str">
        <f t="shared" si="211"/>
        <v/>
      </c>
      <c r="DE199" s="129" t="str">
        <f t="shared" si="337"/>
        <v/>
      </c>
      <c r="DF199" s="161" t="str">
        <f t="shared" si="284"/>
        <v/>
      </c>
      <c r="DG199" s="161" t="str">
        <f t="shared" si="285"/>
        <v/>
      </c>
      <c r="DH199" s="161" t="str">
        <f t="shared" si="286"/>
        <v/>
      </c>
      <c r="DI199" s="161" t="str">
        <f t="shared" si="287"/>
        <v/>
      </c>
      <c r="DJ199" s="161" t="str">
        <f t="shared" si="288"/>
        <v/>
      </c>
      <c r="DK199" s="161" t="str">
        <f t="shared" si="289"/>
        <v/>
      </c>
      <c r="DL199" s="161" t="str">
        <f t="shared" si="290"/>
        <v/>
      </c>
      <c r="DM199" s="161" t="str">
        <f t="shared" si="291"/>
        <v/>
      </c>
      <c r="DN199" s="161" t="str">
        <f t="shared" si="314"/>
        <v/>
      </c>
      <c r="DO199" s="161" t="str">
        <f t="shared" si="315"/>
        <v/>
      </c>
      <c r="DP199" s="161" t="str">
        <f t="shared" si="316"/>
        <v/>
      </c>
      <c r="DQ199" s="161" t="str">
        <f t="shared" si="317"/>
        <v/>
      </c>
      <c r="DR199" s="161" t="str">
        <f t="shared" si="318"/>
        <v/>
      </c>
      <c r="DS199" s="161" t="str">
        <f t="shared" si="319"/>
        <v/>
      </c>
      <c r="DT199" s="161" t="str">
        <f t="shared" si="320"/>
        <v/>
      </c>
      <c r="DU199" s="161" t="str">
        <f t="shared" si="321"/>
        <v/>
      </c>
      <c r="DV199" s="161" t="str">
        <f t="shared" si="322"/>
        <v/>
      </c>
      <c r="DW199" s="161" t="str">
        <f t="shared" si="323"/>
        <v/>
      </c>
      <c r="DX199" s="161" t="str">
        <f t="shared" si="324"/>
        <v/>
      </c>
      <c r="DY199" s="161" t="str">
        <f t="shared" si="325"/>
        <v/>
      </c>
      <c r="DZ199" s="161" t="str">
        <f t="shared" si="326"/>
        <v/>
      </c>
      <c r="EA199" s="161" t="str">
        <f t="shared" si="327"/>
        <v/>
      </c>
      <c r="EB199" s="161" t="str">
        <f t="shared" si="328"/>
        <v/>
      </c>
      <c r="EC199" s="161" t="str">
        <f t="shared" si="329"/>
        <v/>
      </c>
      <c r="ED199" s="161" t="str">
        <f t="shared" si="330"/>
        <v/>
      </c>
      <c r="EE199" s="161" t="str">
        <f t="shared" si="331"/>
        <v/>
      </c>
      <c r="EF199" s="161" t="str">
        <f t="shared" si="332"/>
        <v/>
      </c>
      <c r="EG199" s="161" t="str">
        <f t="shared" si="333"/>
        <v/>
      </c>
      <c r="EH199" s="161" t="str">
        <f t="shared" si="334"/>
        <v/>
      </c>
      <c r="EI199" s="161" t="str">
        <f t="shared" si="335"/>
        <v/>
      </c>
      <c r="EJ199" s="161" t="str">
        <f t="shared" si="336"/>
        <v/>
      </c>
      <c r="EK199" s="147" t="str">
        <f t="shared" si="250"/>
        <v/>
      </c>
      <c r="EL199" s="149"/>
      <c r="EN199" s="146"/>
      <c r="EO199" s="146"/>
      <c r="EP199" s="139" t="str">
        <f t="shared" si="251"/>
        <v/>
      </c>
      <c r="EQ199" s="139" t="str">
        <f t="shared" si="252"/>
        <v/>
      </c>
      <c r="ER199" s="139" t="str">
        <f t="shared" si="253"/>
        <v/>
      </c>
      <c r="ES199" s="139" t="str">
        <f t="shared" si="254"/>
        <v/>
      </c>
      <c r="ET199" s="139" t="str">
        <f t="shared" si="255"/>
        <v/>
      </c>
      <c r="EU199" s="139" t="str">
        <f t="shared" si="256"/>
        <v/>
      </c>
      <c r="EV199" s="139" t="str">
        <f t="shared" si="257"/>
        <v/>
      </c>
      <c r="EW199" s="139" t="str">
        <f t="shared" si="258"/>
        <v/>
      </c>
      <c r="EX199" s="139" t="str">
        <f t="shared" si="259"/>
        <v/>
      </c>
      <c r="EY199" s="139" t="str">
        <f t="shared" si="260"/>
        <v/>
      </c>
      <c r="EZ199" s="139" t="str">
        <f t="shared" si="261"/>
        <v/>
      </c>
      <c r="FA199" s="139" t="str">
        <f t="shared" si="262"/>
        <v/>
      </c>
      <c r="FB199" s="139" t="str">
        <f t="shared" si="263"/>
        <v/>
      </c>
      <c r="FC199" s="139" t="str">
        <f t="shared" si="264"/>
        <v/>
      </c>
      <c r="FD199" s="139" t="str">
        <f t="shared" si="265"/>
        <v/>
      </c>
      <c r="FE199" s="139" t="str">
        <f t="shared" si="266"/>
        <v/>
      </c>
      <c r="FF199" s="139" t="str">
        <f t="shared" si="267"/>
        <v/>
      </c>
      <c r="FG199" s="139" t="str">
        <f t="shared" si="268"/>
        <v/>
      </c>
      <c r="FH199" s="139" t="str">
        <f t="shared" si="269"/>
        <v/>
      </c>
      <c r="FI199" s="139" t="str">
        <f t="shared" si="270"/>
        <v/>
      </c>
      <c r="FJ199" s="139" t="str">
        <f t="shared" si="271"/>
        <v/>
      </c>
      <c r="FK199" s="139" t="str">
        <f t="shared" si="272"/>
        <v/>
      </c>
      <c r="FL199" s="139" t="str">
        <f t="shared" si="273"/>
        <v/>
      </c>
      <c r="FM199" s="139" t="str">
        <f t="shared" si="274"/>
        <v/>
      </c>
      <c r="FN199" s="139" t="str">
        <f t="shared" si="275"/>
        <v/>
      </c>
      <c r="FO199" s="139" t="str">
        <f t="shared" si="276"/>
        <v/>
      </c>
      <c r="FP199" s="139" t="str">
        <f t="shared" si="277"/>
        <v/>
      </c>
      <c r="FQ199" s="139" t="str">
        <f t="shared" si="278"/>
        <v/>
      </c>
      <c r="FR199" s="139" t="str">
        <f t="shared" si="279"/>
        <v/>
      </c>
      <c r="FS199" s="139" t="str">
        <f t="shared" si="280"/>
        <v/>
      </c>
      <c r="FT199" s="139" t="str">
        <f t="shared" si="281"/>
        <v/>
      </c>
      <c r="FU199" s="148" t="str">
        <f t="shared" si="282"/>
        <v/>
      </c>
      <c r="FV199" s="149"/>
      <c r="FY199" s="210">
        <v>194</v>
      </c>
      <c r="FZ199">
        <v>1.4886114016693377</v>
      </c>
      <c r="GA199">
        <v>1.8315774681856787</v>
      </c>
      <c r="GB199">
        <v>0.99776661215429685</v>
      </c>
      <c r="GC199">
        <v>0.78063539293100781</v>
      </c>
      <c r="GD199">
        <v>2.6741029368433229</v>
      </c>
      <c r="GE199">
        <v>5.2782488356426587</v>
      </c>
      <c r="GF199">
        <v>3.311159162596466</v>
      </c>
      <c r="GG199">
        <v>4.3917362488674048</v>
      </c>
      <c r="GH199">
        <v>4.2680586504309215</v>
      </c>
      <c r="GI199">
        <v>3.3264497702133302</v>
      </c>
      <c r="GJ199"/>
      <c r="GK199"/>
      <c r="GL199"/>
      <c r="GM199"/>
    </row>
    <row r="200" spans="1:195" s="7" customFormat="1">
      <c r="A200" s="1"/>
      <c r="B200" s="76" t="str">
        <f t="shared" ca="1" si="249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31.65658349344011</v>
      </c>
      <c r="AO200">
        <v>5.9401279097167876</v>
      </c>
      <c r="AP200">
        <v>46.184671093654998</v>
      </c>
      <c r="AQ200">
        <v>38.399045451676947</v>
      </c>
      <c r="AR200">
        <v>5.5639745416693422</v>
      </c>
      <c r="AS200">
        <v>26.845125269375348</v>
      </c>
      <c r="AT200">
        <v>3.5153874430384477</v>
      </c>
      <c r="AU200">
        <v>6.0608623804414199</v>
      </c>
      <c r="AV200"/>
      <c r="AW200"/>
      <c r="AX200" s="146"/>
      <c r="AY200" s="76" t="str">
        <f t="shared" ca="1" si="172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7"/>
        <v/>
      </c>
      <c r="CL200" s="179" t="str">
        <f t="shared" si="208"/>
        <v/>
      </c>
      <c r="CM200" s="180" t="str">
        <f t="shared" si="20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0"/>
        <v/>
      </c>
      <c r="DB200" s="146"/>
      <c r="DC200" s="76" t="str">
        <f t="shared" ca="1" si="173"/>
        <v/>
      </c>
      <c r="DD200" t="str">
        <f t="shared" si="211"/>
        <v/>
      </c>
      <c r="DE200" s="129" t="str">
        <f t="shared" si="337"/>
        <v/>
      </c>
      <c r="DF200" s="161" t="str">
        <f t="shared" si="284"/>
        <v/>
      </c>
      <c r="DG200" s="161" t="str">
        <f t="shared" si="285"/>
        <v/>
      </c>
      <c r="DH200" s="161" t="str">
        <f t="shared" si="286"/>
        <v/>
      </c>
      <c r="DI200" s="161" t="str">
        <f t="shared" si="287"/>
        <v/>
      </c>
      <c r="DJ200" s="161" t="str">
        <f t="shared" si="288"/>
        <v/>
      </c>
      <c r="DK200" s="161" t="str">
        <f t="shared" si="289"/>
        <v/>
      </c>
      <c r="DL200" s="161" t="str">
        <f t="shared" si="290"/>
        <v/>
      </c>
      <c r="DM200" s="161" t="str">
        <f t="shared" si="291"/>
        <v/>
      </c>
      <c r="DN200" s="161" t="str">
        <f t="shared" si="314"/>
        <v/>
      </c>
      <c r="DO200" s="161" t="str">
        <f t="shared" si="315"/>
        <v/>
      </c>
      <c r="DP200" s="161" t="str">
        <f t="shared" si="316"/>
        <v/>
      </c>
      <c r="DQ200" s="161" t="str">
        <f t="shared" si="317"/>
        <v/>
      </c>
      <c r="DR200" s="161" t="str">
        <f t="shared" si="318"/>
        <v/>
      </c>
      <c r="DS200" s="161" t="str">
        <f t="shared" si="319"/>
        <v/>
      </c>
      <c r="DT200" s="161" t="str">
        <f t="shared" si="320"/>
        <v/>
      </c>
      <c r="DU200" s="161" t="str">
        <f t="shared" si="321"/>
        <v/>
      </c>
      <c r="DV200" s="161" t="str">
        <f t="shared" si="322"/>
        <v/>
      </c>
      <c r="DW200" s="161" t="str">
        <f t="shared" si="323"/>
        <v/>
      </c>
      <c r="DX200" s="161" t="str">
        <f t="shared" si="324"/>
        <v/>
      </c>
      <c r="DY200" s="161" t="str">
        <f t="shared" si="325"/>
        <v/>
      </c>
      <c r="DZ200" s="161" t="str">
        <f t="shared" si="326"/>
        <v/>
      </c>
      <c r="EA200" s="161" t="str">
        <f t="shared" si="327"/>
        <v/>
      </c>
      <c r="EB200" s="161" t="str">
        <f t="shared" si="328"/>
        <v/>
      </c>
      <c r="EC200" s="161" t="str">
        <f t="shared" si="329"/>
        <v/>
      </c>
      <c r="ED200" s="161" t="str">
        <f t="shared" si="330"/>
        <v/>
      </c>
      <c r="EE200" s="161" t="str">
        <f t="shared" si="331"/>
        <v/>
      </c>
      <c r="EF200" s="161" t="str">
        <f t="shared" si="332"/>
        <v/>
      </c>
      <c r="EG200" s="161" t="str">
        <f t="shared" si="333"/>
        <v/>
      </c>
      <c r="EH200" s="161" t="str">
        <f t="shared" si="334"/>
        <v/>
      </c>
      <c r="EI200" s="161" t="str">
        <f t="shared" si="335"/>
        <v/>
      </c>
      <c r="EJ200" s="161" t="str">
        <f t="shared" si="336"/>
        <v/>
      </c>
      <c r="EK200" s="147" t="str">
        <f t="shared" si="250"/>
        <v/>
      </c>
      <c r="EL200" s="149"/>
      <c r="EN200" s="146"/>
      <c r="EO200" s="146"/>
      <c r="EP200" s="139" t="str">
        <f t="shared" si="251"/>
        <v/>
      </c>
      <c r="EQ200" s="139" t="str">
        <f t="shared" si="252"/>
        <v/>
      </c>
      <c r="ER200" s="139" t="str">
        <f t="shared" si="253"/>
        <v/>
      </c>
      <c r="ES200" s="139" t="str">
        <f t="shared" si="254"/>
        <v/>
      </c>
      <c r="ET200" s="139" t="str">
        <f t="shared" si="255"/>
        <v/>
      </c>
      <c r="EU200" s="139" t="str">
        <f t="shared" si="256"/>
        <v/>
      </c>
      <c r="EV200" s="139" t="str">
        <f t="shared" si="257"/>
        <v/>
      </c>
      <c r="EW200" s="139" t="str">
        <f t="shared" si="258"/>
        <v/>
      </c>
      <c r="EX200" s="139" t="str">
        <f t="shared" si="259"/>
        <v/>
      </c>
      <c r="EY200" s="139" t="str">
        <f t="shared" si="260"/>
        <v/>
      </c>
      <c r="EZ200" s="139" t="str">
        <f t="shared" si="261"/>
        <v/>
      </c>
      <c r="FA200" s="139" t="str">
        <f t="shared" si="262"/>
        <v/>
      </c>
      <c r="FB200" s="139" t="str">
        <f t="shared" si="263"/>
        <v/>
      </c>
      <c r="FC200" s="139" t="str">
        <f t="shared" si="264"/>
        <v/>
      </c>
      <c r="FD200" s="139" t="str">
        <f t="shared" si="265"/>
        <v/>
      </c>
      <c r="FE200" s="139" t="str">
        <f t="shared" si="266"/>
        <v/>
      </c>
      <c r="FF200" s="139" t="str">
        <f t="shared" si="267"/>
        <v/>
      </c>
      <c r="FG200" s="139" t="str">
        <f t="shared" si="268"/>
        <v/>
      </c>
      <c r="FH200" s="139" t="str">
        <f t="shared" si="269"/>
        <v/>
      </c>
      <c r="FI200" s="139" t="str">
        <f t="shared" si="270"/>
        <v/>
      </c>
      <c r="FJ200" s="139" t="str">
        <f t="shared" si="271"/>
        <v/>
      </c>
      <c r="FK200" s="139" t="str">
        <f t="shared" si="272"/>
        <v/>
      </c>
      <c r="FL200" s="139" t="str">
        <f t="shared" si="273"/>
        <v/>
      </c>
      <c r="FM200" s="139" t="str">
        <f t="shared" si="274"/>
        <v/>
      </c>
      <c r="FN200" s="139" t="str">
        <f t="shared" si="275"/>
        <v/>
      </c>
      <c r="FO200" s="139" t="str">
        <f t="shared" si="276"/>
        <v/>
      </c>
      <c r="FP200" s="139" t="str">
        <f t="shared" si="277"/>
        <v/>
      </c>
      <c r="FQ200" s="139" t="str">
        <f t="shared" si="278"/>
        <v/>
      </c>
      <c r="FR200" s="139" t="str">
        <f t="shared" si="279"/>
        <v/>
      </c>
      <c r="FS200" s="139" t="str">
        <f t="shared" si="280"/>
        <v/>
      </c>
      <c r="FT200" s="139" t="str">
        <f t="shared" si="281"/>
        <v/>
      </c>
      <c r="FU200" s="148" t="str">
        <f t="shared" si="282"/>
        <v/>
      </c>
      <c r="FV200" s="149"/>
      <c r="FY200" s="210">
        <v>195</v>
      </c>
      <c r="FZ200">
        <v>1.1923137246116877</v>
      </c>
      <c r="GA200">
        <v>3.6884078811947387</v>
      </c>
      <c r="GB200">
        <v>2.4960108387027571</v>
      </c>
      <c r="GC200">
        <v>1.2173204880020612</v>
      </c>
      <c r="GD200">
        <v>1.9787131145447985</v>
      </c>
      <c r="GE200">
        <v>4.1862903986099305</v>
      </c>
      <c r="GF200">
        <v>5.8656365191534485</v>
      </c>
      <c r="GG200">
        <v>4.7490013084233187</v>
      </c>
      <c r="GH200">
        <v>2.5009789258779453</v>
      </c>
      <c r="GI200">
        <v>3.4580235230567835</v>
      </c>
      <c r="GJ200"/>
      <c r="GK200"/>
      <c r="GL200"/>
      <c r="GM200"/>
    </row>
    <row r="201" spans="1:195" s="7" customFormat="1">
      <c r="A201" s="1"/>
      <c r="B201" s="76" t="str">
        <f t="shared" ca="1" si="249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28.001742096411213</v>
      </c>
      <c r="AO201">
        <v>5.982646906477858</v>
      </c>
      <c r="AP201">
        <v>41.117810799698034</v>
      </c>
      <c r="AQ201">
        <v>35.902429432505883</v>
      </c>
      <c r="AR201">
        <v>5.5262015864562706</v>
      </c>
      <c r="AS201">
        <v>25.475217257762868</v>
      </c>
      <c r="AT201">
        <v>3.6156473811512768</v>
      </c>
      <c r="AU201">
        <v>5.937070025396733</v>
      </c>
      <c r="AV201"/>
      <c r="AW201"/>
      <c r="AX201" s="146"/>
      <c r="AY201" s="76" t="str">
        <f t="shared" ca="1" si="172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7"/>
        <v/>
      </c>
      <c r="CL201" s="179" t="str">
        <f t="shared" si="208"/>
        <v/>
      </c>
      <c r="CM201" s="180" t="str">
        <f t="shared" si="20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0"/>
        <v/>
      </c>
      <c r="DB201" s="146"/>
      <c r="DC201" s="76" t="str">
        <f t="shared" ca="1" si="173"/>
        <v/>
      </c>
      <c r="DD201" t="str">
        <f t="shared" si="211"/>
        <v/>
      </c>
      <c r="DE201" s="129" t="str">
        <f t="shared" si="337"/>
        <v/>
      </c>
      <c r="DF201" s="161" t="str">
        <f t="shared" si="284"/>
        <v/>
      </c>
      <c r="DG201" s="161" t="str">
        <f t="shared" si="285"/>
        <v/>
      </c>
      <c r="DH201" s="161" t="str">
        <f t="shared" si="286"/>
        <v/>
      </c>
      <c r="DI201" s="161" t="str">
        <f t="shared" si="287"/>
        <v/>
      </c>
      <c r="DJ201" s="161" t="str">
        <f t="shared" si="288"/>
        <v/>
      </c>
      <c r="DK201" s="161" t="str">
        <f t="shared" si="289"/>
        <v/>
      </c>
      <c r="DL201" s="161" t="str">
        <f t="shared" si="290"/>
        <v/>
      </c>
      <c r="DM201" s="161" t="str">
        <f t="shared" si="291"/>
        <v/>
      </c>
      <c r="DN201" s="161" t="str">
        <f t="shared" si="314"/>
        <v/>
      </c>
      <c r="DO201" s="161" t="str">
        <f t="shared" si="315"/>
        <v/>
      </c>
      <c r="DP201" s="161" t="str">
        <f t="shared" si="316"/>
        <v/>
      </c>
      <c r="DQ201" s="161" t="str">
        <f t="shared" si="317"/>
        <v/>
      </c>
      <c r="DR201" s="161" t="str">
        <f t="shared" si="318"/>
        <v/>
      </c>
      <c r="DS201" s="161" t="str">
        <f t="shared" si="319"/>
        <v/>
      </c>
      <c r="DT201" s="161" t="str">
        <f t="shared" si="320"/>
        <v/>
      </c>
      <c r="DU201" s="161" t="str">
        <f t="shared" si="321"/>
        <v/>
      </c>
      <c r="DV201" s="161" t="str">
        <f t="shared" si="322"/>
        <v/>
      </c>
      <c r="DW201" s="161" t="str">
        <f t="shared" si="323"/>
        <v/>
      </c>
      <c r="DX201" s="161" t="str">
        <f t="shared" si="324"/>
        <v/>
      </c>
      <c r="DY201" s="161" t="str">
        <f t="shared" si="325"/>
        <v/>
      </c>
      <c r="DZ201" s="161" t="str">
        <f t="shared" si="326"/>
        <v/>
      </c>
      <c r="EA201" s="161" t="str">
        <f t="shared" si="327"/>
        <v/>
      </c>
      <c r="EB201" s="161" t="str">
        <f t="shared" si="328"/>
        <v/>
      </c>
      <c r="EC201" s="161" t="str">
        <f t="shared" si="329"/>
        <v/>
      </c>
      <c r="ED201" s="161" t="str">
        <f t="shared" si="330"/>
        <v/>
      </c>
      <c r="EE201" s="161" t="str">
        <f t="shared" si="331"/>
        <v/>
      </c>
      <c r="EF201" s="161" t="str">
        <f t="shared" si="332"/>
        <v/>
      </c>
      <c r="EG201" s="161" t="str">
        <f t="shared" si="333"/>
        <v/>
      </c>
      <c r="EH201" s="161" t="str">
        <f t="shared" si="334"/>
        <v/>
      </c>
      <c r="EI201" s="161" t="str">
        <f t="shared" si="335"/>
        <v/>
      </c>
      <c r="EJ201" s="161" t="str">
        <f t="shared" si="336"/>
        <v/>
      </c>
      <c r="EK201" s="147" t="str">
        <f t="shared" si="250"/>
        <v/>
      </c>
      <c r="EL201" s="149"/>
      <c r="EN201" s="146"/>
      <c r="EO201" s="146"/>
      <c r="EP201" s="139" t="str">
        <f t="shared" si="251"/>
        <v/>
      </c>
      <c r="EQ201" s="139" t="str">
        <f t="shared" si="252"/>
        <v/>
      </c>
      <c r="ER201" s="139" t="str">
        <f t="shared" si="253"/>
        <v/>
      </c>
      <c r="ES201" s="139" t="str">
        <f t="shared" si="254"/>
        <v/>
      </c>
      <c r="ET201" s="139" t="str">
        <f t="shared" si="255"/>
        <v/>
      </c>
      <c r="EU201" s="139" t="str">
        <f t="shared" si="256"/>
        <v/>
      </c>
      <c r="EV201" s="139" t="str">
        <f t="shared" si="257"/>
        <v/>
      </c>
      <c r="EW201" s="139" t="str">
        <f t="shared" si="258"/>
        <v/>
      </c>
      <c r="EX201" s="139" t="str">
        <f t="shared" si="259"/>
        <v/>
      </c>
      <c r="EY201" s="139" t="str">
        <f t="shared" si="260"/>
        <v/>
      </c>
      <c r="EZ201" s="139" t="str">
        <f t="shared" si="261"/>
        <v/>
      </c>
      <c r="FA201" s="139" t="str">
        <f t="shared" si="262"/>
        <v/>
      </c>
      <c r="FB201" s="139" t="str">
        <f t="shared" si="263"/>
        <v/>
      </c>
      <c r="FC201" s="139" t="str">
        <f t="shared" si="264"/>
        <v/>
      </c>
      <c r="FD201" s="139" t="str">
        <f t="shared" si="265"/>
        <v/>
      </c>
      <c r="FE201" s="139" t="str">
        <f t="shared" si="266"/>
        <v/>
      </c>
      <c r="FF201" s="139" t="str">
        <f t="shared" si="267"/>
        <v/>
      </c>
      <c r="FG201" s="139" t="str">
        <f t="shared" si="268"/>
        <v/>
      </c>
      <c r="FH201" s="139" t="str">
        <f t="shared" si="269"/>
        <v/>
      </c>
      <c r="FI201" s="139" t="str">
        <f t="shared" si="270"/>
        <v/>
      </c>
      <c r="FJ201" s="139" t="str">
        <f t="shared" si="271"/>
        <v/>
      </c>
      <c r="FK201" s="139" t="str">
        <f t="shared" si="272"/>
        <v/>
      </c>
      <c r="FL201" s="139" t="str">
        <f t="shared" si="273"/>
        <v/>
      </c>
      <c r="FM201" s="139" t="str">
        <f t="shared" si="274"/>
        <v/>
      </c>
      <c r="FN201" s="139" t="str">
        <f t="shared" si="275"/>
        <v/>
      </c>
      <c r="FO201" s="139" t="str">
        <f t="shared" si="276"/>
        <v/>
      </c>
      <c r="FP201" s="139" t="str">
        <f t="shared" si="277"/>
        <v/>
      </c>
      <c r="FQ201" s="139" t="str">
        <f t="shared" si="278"/>
        <v/>
      </c>
      <c r="FR201" s="139" t="str">
        <f t="shared" si="279"/>
        <v/>
      </c>
      <c r="FS201" s="139" t="str">
        <f t="shared" si="280"/>
        <v/>
      </c>
      <c r="FT201" s="139" t="str">
        <f t="shared" si="281"/>
        <v/>
      </c>
      <c r="FU201" s="148" t="str">
        <f t="shared" si="282"/>
        <v/>
      </c>
      <c r="FV201" s="149"/>
      <c r="FY201" s="210">
        <v>196</v>
      </c>
      <c r="FZ201">
        <v>1.1386073921123561</v>
      </c>
      <c r="GA201">
        <v>2.2575307814335162</v>
      </c>
      <c r="GB201">
        <v>1.2714812750547999</v>
      </c>
      <c r="GC201">
        <v>0.45298758143769968</v>
      </c>
      <c r="GD201">
        <v>1.8798781255944661</v>
      </c>
      <c r="GE201">
        <v>4.0254172977206419</v>
      </c>
      <c r="GF201">
        <v>5.2537591554983525</v>
      </c>
      <c r="GG201">
        <v>6.5806907145390898</v>
      </c>
      <c r="GH201">
        <v>4.9371834411251641</v>
      </c>
      <c r="GI201">
        <v>3.3689710833295958</v>
      </c>
      <c r="GJ201"/>
      <c r="GK201"/>
      <c r="GL201"/>
      <c r="GM201"/>
    </row>
    <row r="202" spans="1:195" s="7" customFormat="1">
      <c r="A202" s="1"/>
      <c r="B202" s="76" t="str">
        <f t="shared" ca="1" si="249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27.073432313801128</v>
      </c>
      <c r="AO202">
        <v>4.9922286922930734</v>
      </c>
      <c r="AP202">
        <v>32.888840733492167</v>
      </c>
      <c r="AQ202">
        <v>29.83435477617428</v>
      </c>
      <c r="AR202">
        <v>4.6688612935213749</v>
      </c>
      <c r="AS202">
        <v>23.004158095751745</v>
      </c>
      <c r="AT202">
        <v>3.135268378350474</v>
      </c>
      <c r="AU202">
        <v>7.632483433236354</v>
      </c>
      <c r="AV202"/>
      <c r="AW202"/>
      <c r="AX202" s="146"/>
      <c r="AY202" s="76" t="str">
        <f t="shared" ca="1" si="172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7"/>
        <v/>
      </c>
      <c r="CL202" s="179" t="str">
        <f t="shared" si="208"/>
        <v/>
      </c>
      <c r="CM202" s="180" t="str">
        <f t="shared" si="20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0"/>
        <v/>
      </c>
      <c r="DB202" s="146"/>
      <c r="DC202" s="76" t="str">
        <f t="shared" ca="1" si="173"/>
        <v/>
      </c>
      <c r="DD202" t="str">
        <f t="shared" si="211"/>
        <v/>
      </c>
      <c r="DE202" s="129" t="str">
        <f t="shared" si="337"/>
        <v/>
      </c>
      <c r="DF202" s="161" t="str">
        <f t="shared" si="284"/>
        <v/>
      </c>
      <c r="DG202" s="161" t="str">
        <f t="shared" si="285"/>
        <v/>
      </c>
      <c r="DH202" s="161" t="str">
        <f t="shared" si="286"/>
        <v/>
      </c>
      <c r="DI202" s="161" t="str">
        <f t="shared" si="287"/>
        <v/>
      </c>
      <c r="DJ202" s="161" t="str">
        <f t="shared" si="288"/>
        <v/>
      </c>
      <c r="DK202" s="161" t="str">
        <f t="shared" si="289"/>
        <v/>
      </c>
      <c r="DL202" s="161" t="str">
        <f t="shared" si="290"/>
        <v/>
      </c>
      <c r="DM202" s="161" t="str">
        <f t="shared" si="291"/>
        <v/>
      </c>
      <c r="DN202" s="161" t="str">
        <f t="shared" si="314"/>
        <v/>
      </c>
      <c r="DO202" s="161" t="str">
        <f t="shared" si="315"/>
        <v/>
      </c>
      <c r="DP202" s="161" t="str">
        <f t="shared" si="316"/>
        <v/>
      </c>
      <c r="DQ202" s="161" t="str">
        <f t="shared" si="317"/>
        <v/>
      </c>
      <c r="DR202" s="161" t="str">
        <f t="shared" si="318"/>
        <v/>
      </c>
      <c r="DS202" s="161" t="str">
        <f t="shared" si="319"/>
        <v/>
      </c>
      <c r="DT202" s="161" t="str">
        <f t="shared" si="320"/>
        <v/>
      </c>
      <c r="DU202" s="161" t="str">
        <f t="shared" si="321"/>
        <v/>
      </c>
      <c r="DV202" s="161" t="str">
        <f t="shared" si="322"/>
        <v/>
      </c>
      <c r="DW202" s="161" t="str">
        <f t="shared" si="323"/>
        <v/>
      </c>
      <c r="DX202" s="161" t="str">
        <f t="shared" si="324"/>
        <v/>
      </c>
      <c r="DY202" s="161" t="str">
        <f t="shared" si="325"/>
        <v/>
      </c>
      <c r="DZ202" s="161" t="str">
        <f t="shared" si="326"/>
        <v/>
      </c>
      <c r="EA202" s="161" t="str">
        <f t="shared" si="327"/>
        <v/>
      </c>
      <c r="EB202" s="161" t="str">
        <f t="shared" si="328"/>
        <v/>
      </c>
      <c r="EC202" s="161" t="str">
        <f t="shared" si="329"/>
        <v/>
      </c>
      <c r="ED202" s="161" t="str">
        <f t="shared" si="330"/>
        <v/>
      </c>
      <c r="EE202" s="161" t="str">
        <f t="shared" si="331"/>
        <v/>
      </c>
      <c r="EF202" s="161" t="str">
        <f t="shared" si="332"/>
        <v/>
      </c>
      <c r="EG202" s="161" t="str">
        <f t="shared" si="333"/>
        <v/>
      </c>
      <c r="EH202" s="161" t="str">
        <f t="shared" si="334"/>
        <v/>
      </c>
      <c r="EI202" s="161" t="str">
        <f t="shared" si="335"/>
        <v/>
      </c>
      <c r="EJ202" s="161" t="str">
        <f t="shared" si="336"/>
        <v/>
      </c>
      <c r="EK202" s="147" t="str">
        <f t="shared" si="250"/>
        <v/>
      </c>
      <c r="EL202" s="149"/>
      <c r="EN202" s="146"/>
      <c r="EO202" s="146"/>
      <c r="EP202" s="139" t="str">
        <f t="shared" si="251"/>
        <v/>
      </c>
      <c r="EQ202" s="139" t="str">
        <f t="shared" si="252"/>
        <v/>
      </c>
      <c r="ER202" s="139" t="str">
        <f t="shared" si="253"/>
        <v/>
      </c>
      <c r="ES202" s="139" t="str">
        <f t="shared" si="254"/>
        <v/>
      </c>
      <c r="ET202" s="139" t="str">
        <f t="shared" si="255"/>
        <v/>
      </c>
      <c r="EU202" s="139" t="str">
        <f t="shared" si="256"/>
        <v/>
      </c>
      <c r="EV202" s="139" t="str">
        <f t="shared" si="257"/>
        <v/>
      </c>
      <c r="EW202" s="139" t="str">
        <f t="shared" si="258"/>
        <v/>
      </c>
      <c r="EX202" s="139" t="str">
        <f t="shared" si="259"/>
        <v/>
      </c>
      <c r="EY202" s="139" t="str">
        <f t="shared" si="260"/>
        <v/>
      </c>
      <c r="EZ202" s="139" t="str">
        <f t="shared" si="261"/>
        <v/>
      </c>
      <c r="FA202" s="139" t="str">
        <f t="shared" si="262"/>
        <v/>
      </c>
      <c r="FB202" s="139" t="str">
        <f t="shared" si="263"/>
        <v/>
      </c>
      <c r="FC202" s="139" t="str">
        <f t="shared" si="264"/>
        <v/>
      </c>
      <c r="FD202" s="139" t="str">
        <f t="shared" si="265"/>
        <v/>
      </c>
      <c r="FE202" s="139" t="str">
        <f t="shared" si="266"/>
        <v/>
      </c>
      <c r="FF202" s="139" t="str">
        <f t="shared" si="267"/>
        <v/>
      </c>
      <c r="FG202" s="139" t="str">
        <f t="shared" si="268"/>
        <v/>
      </c>
      <c r="FH202" s="139" t="str">
        <f t="shared" si="269"/>
        <v/>
      </c>
      <c r="FI202" s="139" t="str">
        <f t="shared" si="270"/>
        <v/>
      </c>
      <c r="FJ202" s="139" t="str">
        <f t="shared" si="271"/>
        <v/>
      </c>
      <c r="FK202" s="139" t="str">
        <f t="shared" si="272"/>
        <v/>
      </c>
      <c r="FL202" s="139" t="str">
        <f t="shared" si="273"/>
        <v/>
      </c>
      <c r="FM202" s="139" t="str">
        <f t="shared" si="274"/>
        <v/>
      </c>
      <c r="FN202" s="139" t="str">
        <f t="shared" si="275"/>
        <v/>
      </c>
      <c r="FO202" s="139" t="str">
        <f t="shared" si="276"/>
        <v/>
      </c>
      <c r="FP202" s="139" t="str">
        <f t="shared" si="277"/>
        <v/>
      </c>
      <c r="FQ202" s="139" t="str">
        <f t="shared" si="278"/>
        <v/>
      </c>
      <c r="FR202" s="139" t="str">
        <f t="shared" si="279"/>
        <v/>
      </c>
      <c r="FS202" s="139" t="str">
        <f t="shared" si="280"/>
        <v/>
      </c>
      <c r="FT202" s="139" t="str">
        <f t="shared" si="281"/>
        <v/>
      </c>
      <c r="FU202" s="148" t="str">
        <f t="shared" si="282"/>
        <v/>
      </c>
      <c r="FV202" s="149"/>
      <c r="FY202" s="210">
        <v>197</v>
      </c>
      <c r="FZ202">
        <v>1.6884469976265593</v>
      </c>
      <c r="GA202">
        <v>1.1755449433710601</v>
      </c>
      <c r="GB202">
        <v>0.65585485690974088</v>
      </c>
      <c r="GC202">
        <v>0.70976092450846728</v>
      </c>
      <c r="GD202">
        <v>2.4767053085546551</v>
      </c>
      <c r="GE202">
        <v>4.9918943444644892</v>
      </c>
      <c r="GF202">
        <v>4.2556040132179884</v>
      </c>
      <c r="GG202">
        <v>3.8404360939095388</v>
      </c>
      <c r="GH202">
        <v>2.2627833390820844</v>
      </c>
      <c r="GI202">
        <v>3.0155172002717405</v>
      </c>
      <c r="GJ202"/>
      <c r="GK202"/>
      <c r="GL202"/>
      <c r="GM202"/>
    </row>
    <row r="203" spans="1:195" s="7" customFormat="1">
      <c r="A203" s="1"/>
      <c r="B203" s="76" t="str">
        <f t="shared" ca="1" si="249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25.092777925977629</v>
      </c>
      <c r="AO203">
        <v>4.4205307270183711</v>
      </c>
      <c r="AP203">
        <v>30.784183943308026</v>
      </c>
      <c r="AQ203">
        <v>27.298942057958243</v>
      </c>
      <c r="AR203">
        <v>4.2069018216253271</v>
      </c>
      <c r="AS203">
        <v>21.655341306633289</v>
      </c>
      <c r="AT203">
        <v>2.7912705988019959</v>
      </c>
      <c r="AU203">
        <v>1.6928057072844884</v>
      </c>
      <c r="AV203"/>
      <c r="AW203"/>
      <c r="AX203" s="146"/>
      <c r="AY203" s="76" t="str">
        <f t="shared" ca="1" si="172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7"/>
        <v/>
      </c>
      <c r="CL203" s="179" t="str">
        <f t="shared" si="208"/>
        <v/>
      </c>
      <c r="CM203" s="180" t="str">
        <f t="shared" si="20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0"/>
        <v/>
      </c>
      <c r="DB203" s="146"/>
      <c r="DC203" s="76" t="str">
        <f t="shared" ca="1" si="173"/>
        <v/>
      </c>
      <c r="DD203" t="str">
        <f t="shared" si="211"/>
        <v/>
      </c>
      <c r="DE203" s="129" t="str">
        <f t="shared" si="337"/>
        <v/>
      </c>
      <c r="DF203" s="161" t="str">
        <f t="shared" si="284"/>
        <v/>
      </c>
      <c r="DG203" s="161" t="str">
        <f t="shared" si="285"/>
        <v/>
      </c>
      <c r="DH203" s="161" t="str">
        <f t="shared" si="286"/>
        <v/>
      </c>
      <c r="DI203" s="161" t="str">
        <f t="shared" si="287"/>
        <v/>
      </c>
      <c r="DJ203" s="161" t="str">
        <f t="shared" si="288"/>
        <v/>
      </c>
      <c r="DK203" s="161" t="str">
        <f t="shared" si="289"/>
        <v/>
      </c>
      <c r="DL203" s="161" t="str">
        <f t="shared" si="290"/>
        <v/>
      </c>
      <c r="DM203" s="161" t="str">
        <f t="shared" si="291"/>
        <v/>
      </c>
      <c r="DN203" s="161" t="str">
        <f t="shared" si="314"/>
        <v/>
      </c>
      <c r="DO203" s="161" t="str">
        <f t="shared" si="315"/>
        <v/>
      </c>
      <c r="DP203" s="161" t="str">
        <f t="shared" si="316"/>
        <v/>
      </c>
      <c r="DQ203" s="161" t="str">
        <f t="shared" si="317"/>
        <v/>
      </c>
      <c r="DR203" s="161" t="str">
        <f t="shared" si="318"/>
        <v/>
      </c>
      <c r="DS203" s="161" t="str">
        <f t="shared" si="319"/>
        <v/>
      </c>
      <c r="DT203" s="161" t="str">
        <f t="shared" si="320"/>
        <v/>
      </c>
      <c r="DU203" s="161" t="str">
        <f t="shared" si="321"/>
        <v/>
      </c>
      <c r="DV203" s="161" t="str">
        <f t="shared" si="322"/>
        <v/>
      </c>
      <c r="DW203" s="161" t="str">
        <f t="shared" si="323"/>
        <v/>
      </c>
      <c r="DX203" s="161" t="str">
        <f t="shared" si="324"/>
        <v/>
      </c>
      <c r="DY203" s="161" t="str">
        <f t="shared" si="325"/>
        <v/>
      </c>
      <c r="DZ203" s="161" t="str">
        <f t="shared" si="326"/>
        <v/>
      </c>
      <c r="EA203" s="161" t="str">
        <f t="shared" si="327"/>
        <v/>
      </c>
      <c r="EB203" s="161" t="str">
        <f t="shared" si="328"/>
        <v/>
      </c>
      <c r="EC203" s="161" t="str">
        <f t="shared" si="329"/>
        <v/>
      </c>
      <c r="ED203" s="161" t="str">
        <f t="shared" si="330"/>
        <v/>
      </c>
      <c r="EE203" s="161" t="str">
        <f t="shared" si="331"/>
        <v/>
      </c>
      <c r="EF203" s="161" t="str">
        <f t="shared" si="332"/>
        <v/>
      </c>
      <c r="EG203" s="161" t="str">
        <f t="shared" si="333"/>
        <v/>
      </c>
      <c r="EH203" s="161" t="str">
        <f t="shared" si="334"/>
        <v/>
      </c>
      <c r="EI203" s="161" t="str">
        <f t="shared" si="335"/>
        <v/>
      </c>
      <c r="EJ203" s="161" t="str">
        <f t="shared" si="336"/>
        <v/>
      </c>
      <c r="EK203" s="147" t="str">
        <f t="shared" si="250"/>
        <v/>
      </c>
      <c r="EL203" s="149"/>
      <c r="EN203" s="146"/>
      <c r="EO203" s="146"/>
      <c r="EP203" s="139" t="str">
        <f t="shared" si="251"/>
        <v/>
      </c>
      <c r="EQ203" s="139" t="str">
        <f t="shared" si="252"/>
        <v/>
      </c>
      <c r="ER203" s="139" t="str">
        <f t="shared" si="253"/>
        <v/>
      </c>
      <c r="ES203" s="139" t="str">
        <f t="shared" si="254"/>
        <v/>
      </c>
      <c r="ET203" s="139" t="str">
        <f t="shared" si="255"/>
        <v/>
      </c>
      <c r="EU203" s="139" t="str">
        <f t="shared" si="256"/>
        <v/>
      </c>
      <c r="EV203" s="139" t="str">
        <f t="shared" si="257"/>
        <v/>
      </c>
      <c r="EW203" s="139" t="str">
        <f t="shared" si="258"/>
        <v/>
      </c>
      <c r="EX203" s="139" t="str">
        <f t="shared" si="259"/>
        <v/>
      </c>
      <c r="EY203" s="139" t="str">
        <f t="shared" si="260"/>
        <v/>
      </c>
      <c r="EZ203" s="139" t="str">
        <f t="shared" si="261"/>
        <v/>
      </c>
      <c r="FA203" s="139" t="str">
        <f t="shared" si="262"/>
        <v/>
      </c>
      <c r="FB203" s="139" t="str">
        <f t="shared" si="263"/>
        <v/>
      </c>
      <c r="FC203" s="139" t="str">
        <f t="shared" si="264"/>
        <v/>
      </c>
      <c r="FD203" s="139" t="str">
        <f t="shared" si="265"/>
        <v/>
      </c>
      <c r="FE203" s="139" t="str">
        <f t="shared" si="266"/>
        <v/>
      </c>
      <c r="FF203" s="139" t="str">
        <f t="shared" si="267"/>
        <v/>
      </c>
      <c r="FG203" s="139" t="str">
        <f t="shared" si="268"/>
        <v/>
      </c>
      <c r="FH203" s="139" t="str">
        <f t="shared" si="269"/>
        <v/>
      </c>
      <c r="FI203" s="139" t="str">
        <f t="shared" si="270"/>
        <v/>
      </c>
      <c r="FJ203" s="139" t="str">
        <f t="shared" si="271"/>
        <v/>
      </c>
      <c r="FK203" s="139" t="str">
        <f t="shared" si="272"/>
        <v/>
      </c>
      <c r="FL203" s="139" t="str">
        <f t="shared" si="273"/>
        <v/>
      </c>
      <c r="FM203" s="139" t="str">
        <f t="shared" si="274"/>
        <v/>
      </c>
      <c r="FN203" s="139" t="str">
        <f t="shared" si="275"/>
        <v/>
      </c>
      <c r="FO203" s="139" t="str">
        <f t="shared" si="276"/>
        <v/>
      </c>
      <c r="FP203" s="139" t="str">
        <f t="shared" si="277"/>
        <v/>
      </c>
      <c r="FQ203" s="139" t="str">
        <f t="shared" si="278"/>
        <v/>
      </c>
      <c r="FR203" s="139" t="str">
        <f t="shared" si="279"/>
        <v/>
      </c>
      <c r="FS203" s="139" t="str">
        <f t="shared" si="280"/>
        <v/>
      </c>
      <c r="FT203" s="139" t="str">
        <f t="shared" si="281"/>
        <v/>
      </c>
      <c r="FU203" s="148" t="str">
        <f t="shared" si="282"/>
        <v/>
      </c>
      <c r="FV203" s="149"/>
      <c r="FY203" s="210">
        <v>198</v>
      </c>
      <c r="FZ203">
        <v>1.426812822133126</v>
      </c>
      <c r="GA203">
        <v>2.2283261058093147</v>
      </c>
      <c r="GB203">
        <v>1.3487896067642775</v>
      </c>
      <c r="GC203">
        <v>0.78300295677365372</v>
      </c>
      <c r="GD203">
        <v>1.5255755085744247</v>
      </c>
      <c r="GE203">
        <v>4.2668579606872017</v>
      </c>
      <c r="GF203">
        <v>5.823410843849727</v>
      </c>
      <c r="GG203">
        <v>3.135557535990555</v>
      </c>
      <c r="GH203">
        <v>1.4436949097989407</v>
      </c>
      <c r="GI203">
        <v>2.7670459800508604</v>
      </c>
      <c r="GJ203"/>
      <c r="GK203"/>
      <c r="GL203"/>
      <c r="GM203"/>
    </row>
    <row r="204" spans="1:195" s="7" customFormat="1">
      <c r="A204" s="1"/>
      <c r="B204" s="76" t="str">
        <f t="shared" ca="1" si="249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34.734251732266827</v>
      </c>
      <c r="AO204">
        <v>5.7317047231848033</v>
      </c>
      <c r="AP204">
        <v>42.786620849905447</v>
      </c>
      <c r="AQ204">
        <v>36.928439225134454</v>
      </c>
      <c r="AR204">
        <v>5.3474402046508356</v>
      </c>
      <c r="AS204">
        <v>28.438934049015103</v>
      </c>
      <c r="AT204">
        <v>3.3745069448696667</v>
      </c>
      <c r="AU204">
        <v>-1.3502163672397018</v>
      </c>
      <c r="AV204"/>
      <c r="AW204"/>
      <c r="AX204" s="146"/>
      <c r="AY204" s="76" t="str">
        <f t="shared" ca="1" si="172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7"/>
        <v/>
      </c>
      <c r="CL204" s="179" t="str">
        <f t="shared" si="208"/>
        <v/>
      </c>
      <c r="CM204" s="180" t="str">
        <f t="shared" si="20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0"/>
        <v/>
      </c>
      <c r="DB204" s="146"/>
      <c r="DC204" s="76" t="str">
        <f t="shared" ca="1" si="173"/>
        <v/>
      </c>
      <c r="DD204" t="str">
        <f t="shared" si="211"/>
        <v/>
      </c>
      <c r="DE204" s="129" t="str">
        <f t="shared" si="337"/>
        <v/>
      </c>
      <c r="DF204" s="161" t="str">
        <f t="shared" si="284"/>
        <v/>
      </c>
      <c r="DG204" s="161" t="str">
        <f t="shared" si="285"/>
        <v/>
      </c>
      <c r="DH204" s="161" t="str">
        <f t="shared" si="286"/>
        <v/>
      </c>
      <c r="DI204" s="161" t="str">
        <f t="shared" si="287"/>
        <v/>
      </c>
      <c r="DJ204" s="161" t="str">
        <f t="shared" si="288"/>
        <v/>
      </c>
      <c r="DK204" s="161" t="str">
        <f t="shared" si="289"/>
        <v/>
      </c>
      <c r="DL204" s="161" t="str">
        <f t="shared" si="290"/>
        <v/>
      </c>
      <c r="DM204" s="161" t="str">
        <f t="shared" si="291"/>
        <v/>
      </c>
      <c r="DN204" s="161" t="str">
        <f t="shared" si="314"/>
        <v/>
      </c>
      <c r="DO204" s="161" t="str">
        <f t="shared" si="315"/>
        <v/>
      </c>
      <c r="DP204" s="161" t="str">
        <f t="shared" si="316"/>
        <v/>
      </c>
      <c r="DQ204" s="161" t="str">
        <f t="shared" si="317"/>
        <v/>
      </c>
      <c r="DR204" s="161" t="str">
        <f t="shared" si="318"/>
        <v/>
      </c>
      <c r="DS204" s="161" t="str">
        <f t="shared" si="319"/>
        <v/>
      </c>
      <c r="DT204" s="161" t="str">
        <f t="shared" si="320"/>
        <v/>
      </c>
      <c r="DU204" s="161" t="str">
        <f t="shared" si="321"/>
        <v/>
      </c>
      <c r="DV204" s="161" t="str">
        <f t="shared" si="322"/>
        <v/>
      </c>
      <c r="DW204" s="161" t="str">
        <f t="shared" si="323"/>
        <v/>
      </c>
      <c r="DX204" s="161" t="str">
        <f t="shared" si="324"/>
        <v/>
      </c>
      <c r="DY204" s="161" t="str">
        <f t="shared" si="325"/>
        <v/>
      </c>
      <c r="DZ204" s="161" t="str">
        <f t="shared" si="326"/>
        <v/>
      </c>
      <c r="EA204" s="161" t="str">
        <f t="shared" si="327"/>
        <v/>
      </c>
      <c r="EB204" s="161" t="str">
        <f t="shared" si="328"/>
        <v/>
      </c>
      <c r="EC204" s="161" t="str">
        <f t="shared" si="329"/>
        <v/>
      </c>
      <c r="ED204" s="161" t="str">
        <f t="shared" si="330"/>
        <v/>
      </c>
      <c r="EE204" s="161" t="str">
        <f t="shared" si="331"/>
        <v/>
      </c>
      <c r="EF204" s="161" t="str">
        <f t="shared" si="332"/>
        <v/>
      </c>
      <c r="EG204" s="161" t="str">
        <f t="shared" si="333"/>
        <v/>
      </c>
      <c r="EH204" s="161" t="str">
        <f t="shared" si="334"/>
        <v/>
      </c>
      <c r="EI204" s="161" t="str">
        <f t="shared" si="335"/>
        <v/>
      </c>
      <c r="EJ204" s="161" t="str">
        <f t="shared" si="336"/>
        <v/>
      </c>
      <c r="EK204" s="147" t="str">
        <f t="shared" si="250"/>
        <v/>
      </c>
      <c r="EL204" s="149"/>
      <c r="EN204" s="146"/>
      <c r="EO204" s="146"/>
      <c r="EP204" s="139" t="str">
        <f t="shared" si="251"/>
        <v/>
      </c>
      <c r="EQ204" s="139" t="str">
        <f t="shared" si="252"/>
        <v/>
      </c>
      <c r="ER204" s="139" t="str">
        <f t="shared" si="253"/>
        <v/>
      </c>
      <c r="ES204" s="139" t="str">
        <f t="shared" si="254"/>
        <v/>
      </c>
      <c r="ET204" s="139" t="str">
        <f t="shared" si="255"/>
        <v/>
      </c>
      <c r="EU204" s="139" t="str">
        <f t="shared" si="256"/>
        <v/>
      </c>
      <c r="EV204" s="139" t="str">
        <f t="shared" si="257"/>
        <v/>
      </c>
      <c r="EW204" s="139" t="str">
        <f t="shared" si="258"/>
        <v/>
      </c>
      <c r="EX204" s="139" t="str">
        <f t="shared" si="259"/>
        <v/>
      </c>
      <c r="EY204" s="139" t="str">
        <f t="shared" si="260"/>
        <v/>
      </c>
      <c r="EZ204" s="139" t="str">
        <f t="shared" si="261"/>
        <v/>
      </c>
      <c r="FA204" s="139" t="str">
        <f t="shared" si="262"/>
        <v/>
      </c>
      <c r="FB204" s="139" t="str">
        <f t="shared" si="263"/>
        <v/>
      </c>
      <c r="FC204" s="139" t="str">
        <f t="shared" si="264"/>
        <v/>
      </c>
      <c r="FD204" s="139" t="str">
        <f t="shared" si="265"/>
        <v/>
      </c>
      <c r="FE204" s="139" t="str">
        <f t="shared" si="266"/>
        <v/>
      </c>
      <c r="FF204" s="139" t="str">
        <f t="shared" si="267"/>
        <v/>
      </c>
      <c r="FG204" s="139" t="str">
        <f t="shared" si="268"/>
        <v/>
      </c>
      <c r="FH204" s="139" t="str">
        <f t="shared" si="269"/>
        <v/>
      </c>
      <c r="FI204" s="139" t="str">
        <f t="shared" si="270"/>
        <v/>
      </c>
      <c r="FJ204" s="139" t="str">
        <f t="shared" si="271"/>
        <v/>
      </c>
      <c r="FK204" s="139" t="str">
        <f t="shared" si="272"/>
        <v/>
      </c>
      <c r="FL204" s="139" t="str">
        <f t="shared" si="273"/>
        <v/>
      </c>
      <c r="FM204" s="139" t="str">
        <f t="shared" si="274"/>
        <v/>
      </c>
      <c r="FN204" s="139" t="str">
        <f t="shared" si="275"/>
        <v/>
      </c>
      <c r="FO204" s="139" t="str">
        <f t="shared" si="276"/>
        <v/>
      </c>
      <c r="FP204" s="139" t="str">
        <f t="shared" si="277"/>
        <v/>
      </c>
      <c r="FQ204" s="139" t="str">
        <f t="shared" si="278"/>
        <v/>
      </c>
      <c r="FR204" s="139" t="str">
        <f t="shared" si="279"/>
        <v/>
      </c>
      <c r="FS204" s="139" t="str">
        <f t="shared" si="280"/>
        <v/>
      </c>
      <c r="FT204" s="139" t="str">
        <f t="shared" si="281"/>
        <v/>
      </c>
      <c r="FU204" s="148" t="str">
        <f t="shared" si="282"/>
        <v/>
      </c>
      <c r="FV204" s="149"/>
      <c r="FY204" s="210">
        <v>199</v>
      </c>
      <c r="FZ204">
        <v>0.7821430075547382</v>
      </c>
      <c r="GA204">
        <v>2.0251873624328667</v>
      </c>
      <c r="GB204">
        <v>2.3852764601537872</v>
      </c>
      <c r="GC204">
        <v>1.4429318227510128</v>
      </c>
      <c r="GD204">
        <v>1.4922899225214135</v>
      </c>
      <c r="GE204">
        <v>3.4158900620806421</v>
      </c>
      <c r="GF204">
        <v>3.4546485662251953</v>
      </c>
      <c r="GG204">
        <v>3.8170686069150497</v>
      </c>
      <c r="GH204">
        <v>3.3616449404657716</v>
      </c>
      <c r="GI204">
        <v>2.7687200903720397</v>
      </c>
      <c r="GJ204"/>
      <c r="GK204"/>
      <c r="GL204"/>
      <c r="GM204"/>
    </row>
    <row r="205" spans="1:195" s="7" customFormat="1">
      <c r="A205" s="1"/>
      <c r="B205" s="76" t="str">
        <f t="shared" ca="1" si="249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18.386670953160312</v>
      </c>
      <c r="AO205">
        <v>3.5443942550645993</v>
      </c>
      <c r="AP205">
        <v>24.228935637433793</v>
      </c>
      <c r="AQ205">
        <v>22.031232001123364</v>
      </c>
      <c r="AR205">
        <v>3.4329451266637592</v>
      </c>
      <c r="AS205">
        <v>17.754716492317279</v>
      </c>
      <c r="AT205">
        <v>2.4145618862488538</v>
      </c>
      <c r="AU205">
        <v>4.8184268615122141</v>
      </c>
      <c r="AV205"/>
      <c r="AW205"/>
      <c r="AX205" s="146"/>
      <c r="AY205" s="76" t="str">
        <f t="shared" ca="1" si="172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7"/>
        <v/>
      </c>
      <c r="CL205" s="179" t="str">
        <f t="shared" si="208"/>
        <v/>
      </c>
      <c r="CM205" s="180" t="str">
        <f t="shared" si="20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0"/>
        <v/>
      </c>
      <c r="DB205" s="146"/>
      <c r="DC205" s="76" t="str">
        <f t="shared" ca="1" si="173"/>
        <v/>
      </c>
      <c r="DD205" t="str">
        <f t="shared" si="211"/>
        <v/>
      </c>
      <c r="DE205" s="129" t="str">
        <f t="shared" si="337"/>
        <v/>
      </c>
      <c r="DF205" s="161" t="str">
        <f t="shared" si="284"/>
        <v/>
      </c>
      <c r="DG205" s="161" t="str">
        <f t="shared" si="285"/>
        <v/>
      </c>
      <c r="DH205" s="161" t="str">
        <f t="shared" si="286"/>
        <v/>
      </c>
      <c r="DI205" s="161" t="str">
        <f t="shared" si="287"/>
        <v/>
      </c>
      <c r="DJ205" s="161" t="str">
        <f t="shared" si="288"/>
        <v/>
      </c>
      <c r="DK205" s="161" t="str">
        <f t="shared" si="289"/>
        <v/>
      </c>
      <c r="DL205" s="161" t="str">
        <f t="shared" si="290"/>
        <v/>
      </c>
      <c r="DM205" s="161" t="str">
        <f t="shared" si="291"/>
        <v/>
      </c>
      <c r="DN205" s="161" t="str">
        <f t="shared" si="314"/>
        <v/>
      </c>
      <c r="DO205" s="161" t="str">
        <f t="shared" si="315"/>
        <v/>
      </c>
      <c r="DP205" s="161" t="str">
        <f t="shared" si="316"/>
        <v/>
      </c>
      <c r="DQ205" s="161" t="str">
        <f t="shared" si="317"/>
        <v/>
      </c>
      <c r="DR205" s="161" t="str">
        <f t="shared" si="318"/>
        <v/>
      </c>
      <c r="DS205" s="161" t="str">
        <f t="shared" si="319"/>
        <v/>
      </c>
      <c r="DT205" s="161" t="str">
        <f t="shared" si="320"/>
        <v/>
      </c>
      <c r="DU205" s="161" t="str">
        <f t="shared" si="321"/>
        <v/>
      </c>
      <c r="DV205" s="161" t="str">
        <f t="shared" si="322"/>
        <v/>
      </c>
      <c r="DW205" s="161" t="str">
        <f t="shared" si="323"/>
        <v/>
      </c>
      <c r="DX205" s="161" t="str">
        <f t="shared" si="324"/>
        <v/>
      </c>
      <c r="DY205" s="161" t="str">
        <f t="shared" si="325"/>
        <v/>
      </c>
      <c r="DZ205" s="161" t="str">
        <f t="shared" si="326"/>
        <v/>
      </c>
      <c r="EA205" s="161" t="str">
        <f t="shared" si="327"/>
        <v/>
      </c>
      <c r="EB205" s="161" t="str">
        <f t="shared" si="328"/>
        <v/>
      </c>
      <c r="EC205" s="161" t="str">
        <f t="shared" si="329"/>
        <v/>
      </c>
      <c r="ED205" s="161" t="str">
        <f t="shared" si="330"/>
        <v/>
      </c>
      <c r="EE205" s="161" t="str">
        <f t="shared" si="331"/>
        <v/>
      </c>
      <c r="EF205" s="161" t="str">
        <f t="shared" si="332"/>
        <v/>
      </c>
      <c r="EG205" s="161" t="str">
        <f t="shared" si="333"/>
        <v/>
      </c>
      <c r="EH205" s="161" t="str">
        <f t="shared" si="334"/>
        <v/>
      </c>
      <c r="EI205" s="161" t="str">
        <f t="shared" si="335"/>
        <v/>
      </c>
      <c r="EJ205" s="161" t="str">
        <f t="shared" si="336"/>
        <v/>
      </c>
      <c r="EK205" s="147" t="str">
        <f t="shared" si="250"/>
        <v/>
      </c>
      <c r="EL205" s="149"/>
      <c r="EN205" s="146"/>
      <c r="EO205" s="146"/>
      <c r="EP205" s="139" t="str">
        <f t="shared" si="251"/>
        <v/>
      </c>
      <c r="EQ205" s="139" t="str">
        <f t="shared" si="252"/>
        <v/>
      </c>
      <c r="ER205" s="139" t="str">
        <f t="shared" si="253"/>
        <v/>
      </c>
      <c r="ES205" s="139" t="str">
        <f t="shared" si="254"/>
        <v/>
      </c>
      <c r="ET205" s="139" t="str">
        <f t="shared" si="255"/>
        <v/>
      </c>
      <c r="EU205" s="139" t="str">
        <f t="shared" si="256"/>
        <v/>
      </c>
      <c r="EV205" s="139" t="str">
        <f t="shared" si="257"/>
        <v/>
      </c>
      <c r="EW205" s="139" t="str">
        <f t="shared" si="258"/>
        <v/>
      </c>
      <c r="EX205" s="139" t="str">
        <f t="shared" si="259"/>
        <v/>
      </c>
      <c r="EY205" s="139" t="str">
        <f t="shared" si="260"/>
        <v/>
      </c>
      <c r="EZ205" s="139" t="str">
        <f t="shared" si="261"/>
        <v/>
      </c>
      <c r="FA205" s="139" t="str">
        <f t="shared" si="262"/>
        <v/>
      </c>
      <c r="FB205" s="139" t="str">
        <f t="shared" si="263"/>
        <v/>
      </c>
      <c r="FC205" s="139" t="str">
        <f t="shared" si="264"/>
        <v/>
      </c>
      <c r="FD205" s="139" t="str">
        <f t="shared" si="265"/>
        <v/>
      </c>
      <c r="FE205" s="139" t="str">
        <f t="shared" si="266"/>
        <v/>
      </c>
      <c r="FF205" s="139" t="str">
        <f t="shared" si="267"/>
        <v/>
      </c>
      <c r="FG205" s="139" t="str">
        <f t="shared" si="268"/>
        <v/>
      </c>
      <c r="FH205" s="139" t="str">
        <f t="shared" si="269"/>
        <v/>
      </c>
      <c r="FI205" s="139" t="str">
        <f t="shared" si="270"/>
        <v/>
      </c>
      <c r="FJ205" s="139" t="str">
        <f t="shared" si="271"/>
        <v/>
      </c>
      <c r="FK205" s="139" t="str">
        <f t="shared" si="272"/>
        <v/>
      </c>
      <c r="FL205" s="139" t="str">
        <f t="shared" si="273"/>
        <v/>
      </c>
      <c r="FM205" s="139" t="str">
        <f t="shared" si="274"/>
        <v/>
      </c>
      <c r="FN205" s="139" t="str">
        <f t="shared" si="275"/>
        <v/>
      </c>
      <c r="FO205" s="139" t="str">
        <f t="shared" si="276"/>
        <v/>
      </c>
      <c r="FP205" s="139" t="str">
        <f t="shared" si="277"/>
        <v/>
      </c>
      <c r="FQ205" s="139" t="str">
        <f t="shared" si="278"/>
        <v/>
      </c>
      <c r="FR205" s="139" t="str">
        <f t="shared" si="279"/>
        <v/>
      </c>
      <c r="FS205" s="139" t="str">
        <f t="shared" si="280"/>
        <v/>
      </c>
      <c r="FT205" s="139" t="str">
        <f t="shared" si="281"/>
        <v/>
      </c>
      <c r="FU205" s="148" t="str">
        <f t="shared" si="282"/>
        <v/>
      </c>
      <c r="FV205" s="149"/>
      <c r="FY205" s="210">
        <v>200</v>
      </c>
      <c r="FZ205">
        <v>0.84427988115774544</v>
      </c>
      <c r="GA205">
        <v>1.8476172584278807</v>
      </c>
      <c r="GB205">
        <v>1.2610584221094046</v>
      </c>
      <c r="GC205">
        <v>0.48862881338078051</v>
      </c>
      <c r="GD205">
        <v>1.3830310166581614</v>
      </c>
      <c r="GE205">
        <v>2.5368655728283991</v>
      </c>
      <c r="GF205">
        <v>4.0517059848117958</v>
      </c>
      <c r="GG205">
        <v>4.0768443177408837</v>
      </c>
      <c r="GH205">
        <v>1.473713996816761</v>
      </c>
      <c r="GI205">
        <v>2.2332621792928364</v>
      </c>
      <c r="GJ205"/>
      <c r="GK205"/>
      <c r="GL205"/>
      <c r="GM205"/>
    </row>
    <row r="206" spans="1:195" s="7" customFormat="1">
      <c r="A206" s="1"/>
      <c r="B206" s="76" t="str">
        <f t="shared" ca="1" si="249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22.138214591505815</v>
      </c>
      <c r="AO206">
        <v>5.388240805206987</v>
      </c>
      <c r="AP206">
        <v>44.875610145109185</v>
      </c>
      <c r="AQ206">
        <v>36.231210028395964</v>
      </c>
      <c r="AR206">
        <v>5.1289489600264151</v>
      </c>
      <c r="AS206">
        <v>23.061445445608893</v>
      </c>
      <c r="AT206">
        <v>3.3205098327337286</v>
      </c>
      <c r="AU206">
        <v>-2.3327362181026867</v>
      </c>
      <c r="AV206"/>
      <c r="AW206"/>
      <c r="AX206" s="146"/>
      <c r="AY206" s="76" t="str">
        <f t="shared" ca="1" si="172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7"/>
        <v/>
      </c>
      <c r="CL206" s="179" t="str">
        <f t="shared" si="208"/>
        <v/>
      </c>
      <c r="CM206" s="180" t="str">
        <f t="shared" si="20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0"/>
        <v/>
      </c>
      <c r="DB206" s="146"/>
      <c r="DC206" s="76" t="str">
        <f t="shared" ca="1" si="173"/>
        <v/>
      </c>
      <c r="DD206" t="str">
        <f t="shared" si="211"/>
        <v/>
      </c>
      <c r="DE206" s="129" t="str">
        <f t="shared" si="337"/>
        <v/>
      </c>
      <c r="DF206" s="161" t="str">
        <f t="shared" si="284"/>
        <v/>
      </c>
      <c r="DG206" s="161" t="str">
        <f t="shared" si="285"/>
        <v/>
      </c>
      <c r="DH206" s="161" t="str">
        <f t="shared" si="286"/>
        <v/>
      </c>
      <c r="DI206" s="161" t="str">
        <f t="shared" si="287"/>
        <v/>
      </c>
      <c r="DJ206" s="161" t="str">
        <f t="shared" si="288"/>
        <v/>
      </c>
      <c r="DK206" s="161" t="str">
        <f t="shared" si="289"/>
        <v/>
      </c>
      <c r="DL206" s="161" t="str">
        <f t="shared" si="290"/>
        <v/>
      </c>
      <c r="DM206" s="161" t="str">
        <f t="shared" si="291"/>
        <v/>
      </c>
      <c r="DN206" s="161" t="str">
        <f t="shared" si="314"/>
        <v/>
      </c>
      <c r="DO206" s="161" t="str">
        <f t="shared" si="315"/>
        <v/>
      </c>
      <c r="DP206" s="161" t="str">
        <f t="shared" si="316"/>
        <v/>
      </c>
      <c r="DQ206" s="161" t="str">
        <f t="shared" si="317"/>
        <v/>
      </c>
      <c r="DR206" s="161" t="str">
        <f t="shared" si="318"/>
        <v/>
      </c>
      <c r="DS206" s="161" t="str">
        <f t="shared" si="319"/>
        <v/>
      </c>
      <c r="DT206" s="161" t="str">
        <f t="shared" si="320"/>
        <v/>
      </c>
      <c r="DU206" s="161" t="str">
        <f t="shared" si="321"/>
        <v/>
      </c>
      <c r="DV206" s="161" t="str">
        <f t="shared" si="322"/>
        <v/>
      </c>
      <c r="DW206" s="161" t="str">
        <f t="shared" si="323"/>
        <v/>
      </c>
      <c r="DX206" s="161" t="str">
        <f t="shared" si="324"/>
        <v/>
      </c>
      <c r="DY206" s="161" t="str">
        <f t="shared" si="325"/>
        <v/>
      </c>
      <c r="DZ206" s="161" t="str">
        <f t="shared" si="326"/>
        <v/>
      </c>
      <c r="EA206" s="161" t="str">
        <f t="shared" si="327"/>
        <v/>
      </c>
      <c r="EB206" s="161" t="str">
        <f t="shared" si="328"/>
        <v/>
      </c>
      <c r="EC206" s="161" t="str">
        <f t="shared" si="329"/>
        <v/>
      </c>
      <c r="ED206" s="161" t="str">
        <f t="shared" si="330"/>
        <v/>
      </c>
      <c r="EE206" s="161" t="str">
        <f t="shared" si="331"/>
        <v/>
      </c>
      <c r="EF206" s="161" t="str">
        <f t="shared" si="332"/>
        <v/>
      </c>
      <c r="EG206" s="161" t="str">
        <f t="shared" si="333"/>
        <v/>
      </c>
      <c r="EH206" s="161" t="str">
        <f t="shared" si="334"/>
        <v/>
      </c>
      <c r="EI206" s="161" t="str">
        <f t="shared" si="335"/>
        <v/>
      </c>
      <c r="EJ206" s="161" t="str">
        <f t="shared" si="336"/>
        <v/>
      </c>
      <c r="EK206" s="147" t="str">
        <f t="shared" si="250"/>
        <v/>
      </c>
      <c r="EL206" s="149"/>
      <c r="EN206" s="146"/>
      <c r="EO206" s="146"/>
      <c r="EP206" s="139" t="str">
        <f t="shared" si="251"/>
        <v/>
      </c>
      <c r="EQ206" s="139" t="str">
        <f t="shared" si="252"/>
        <v/>
      </c>
      <c r="ER206" s="139" t="str">
        <f t="shared" si="253"/>
        <v/>
      </c>
      <c r="ES206" s="139" t="str">
        <f t="shared" si="254"/>
        <v/>
      </c>
      <c r="ET206" s="139" t="str">
        <f t="shared" si="255"/>
        <v/>
      </c>
      <c r="EU206" s="139" t="str">
        <f t="shared" si="256"/>
        <v/>
      </c>
      <c r="EV206" s="139" t="str">
        <f t="shared" si="257"/>
        <v/>
      </c>
      <c r="EW206" s="139" t="str">
        <f t="shared" si="258"/>
        <v/>
      </c>
      <c r="EX206" s="139" t="str">
        <f t="shared" si="259"/>
        <v/>
      </c>
      <c r="EY206" s="139" t="str">
        <f t="shared" si="260"/>
        <v/>
      </c>
      <c r="EZ206" s="139" t="str">
        <f t="shared" si="261"/>
        <v/>
      </c>
      <c r="FA206" s="139" t="str">
        <f t="shared" si="262"/>
        <v/>
      </c>
      <c r="FB206" s="139" t="str">
        <f t="shared" si="263"/>
        <v/>
      </c>
      <c r="FC206" s="139" t="str">
        <f t="shared" si="264"/>
        <v/>
      </c>
      <c r="FD206" s="139" t="str">
        <f t="shared" si="265"/>
        <v/>
      </c>
      <c r="FE206" s="139" t="str">
        <f t="shared" si="266"/>
        <v/>
      </c>
      <c r="FF206" s="139" t="str">
        <f t="shared" si="267"/>
        <v/>
      </c>
      <c r="FG206" s="139" t="str">
        <f t="shared" si="268"/>
        <v/>
      </c>
      <c r="FH206" s="139" t="str">
        <f t="shared" si="269"/>
        <v/>
      </c>
      <c r="FI206" s="139" t="str">
        <f t="shared" si="270"/>
        <v/>
      </c>
      <c r="FJ206" s="139" t="str">
        <f t="shared" si="271"/>
        <v/>
      </c>
      <c r="FK206" s="139" t="str">
        <f t="shared" si="272"/>
        <v/>
      </c>
      <c r="FL206" s="139" t="str">
        <f t="shared" si="273"/>
        <v/>
      </c>
      <c r="FM206" s="139" t="str">
        <f t="shared" si="274"/>
        <v/>
      </c>
      <c r="FN206" s="139" t="str">
        <f t="shared" si="275"/>
        <v/>
      </c>
      <c r="FO206" s="139" t="str">
        <f t="shared" si="276"/>
        <v/>
      </c>
      <c r="FP206" s="139" t="str">
        <f t="shared" si="277"/>
        <v/>
      </c>
      <c r="FQ206" s="139" t="str">
        <f t="shared" si="278"/>
        <v/>
      </c>
      <c r="FR206" s="139" t="str">
        <f t="shared" si="279"/>
        <v/>
      </c>
      <c r="FS206" s="139" t="str">
        <f t="shared" si="280"/>
        <v/>
      </c>
      <c r="FT206" s="139" t="str">
        <f t="shared" si="281"/>
        <v/>
      </c>
      <c r="FU206" s="148" t="str">
        <f t="shared" si="282"/>
        <v/>
      </c>
      <c r="FV206" s="149"/>
      <c r="FY206" s="210">
        <v>201</v>
      </c>
      <c r="FZ206">
        <v>0.89141307396750835</v>
      </c>
      <c r="GA206">
        <v>1.0367478804943659</v>
      </c>
      <c r="GB206">
        <v>1.0193587227999996</v>
      </c>
      <c r="GC206">
        <v>0.56646631943656955</v>
      </c>
      <c r="GD206">
        <v>1.981426516514182</v>
      </c>
      <c r="GE206">
        <v>4.9466351773379049</v>
      </c>
      <c r="GF206">
        <v>6.4556279140681543</v>
      </c>
      <c r="GG206">
        <v>5.1520199141618699</v>
      </c>
      <c r="GH206">
        <v>1.6530160619709378</v>
      </c>
      <c r="GI206">
        <v>3.0169183241108275</v>
      </c>
      <c r="GJ206"/>
      <c r="GK206"/>
      <c r="GL206"/>
      <c r="GM206"/>
    </row>
    <row r="207" spans="1:195" s="7" customFormat="1">
      <c r="A207" s="1"/>
      <c r="B207" s="76" t="str">
        <f t="shared" ca="1" si="249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23.154438690597168</v>
      </c>
      <c r="AO207">
        <v>4.5488330427433947</v>
      </c>
      <c r="AP207">
        <v>35.678843646844193</v>
      </c>
      <c r="AQ207">
        <v>29.912805013764931</v>
      </c>
      <c r="AR207">
        <v>4.4036862147514579</v>
      </c>
      <c r="AS207">
        <v>20.82992783744961</v>
      </c>
      <c r="AT207">
        <v>2.6715257499045779</v>
      </c>
      <c r="AU207">
        <v>2.721680003917351</v>
      </c>
      <c r="AV207"/>
      <c r="AW207"/>
      <c r="AX207" s="146"/>
      <c r="AY207" s="76" t="str">
        <f t="shared" ca="1" si="172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7"/>
        <v/>
      </c>
      <c r="CL207" s="179" t="str">
        <f t="shared" si="208"/>
        <v/>
      </c>
      <c r="CM207" s="180" t="str">
        <f t="shared" si="20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0"/>
        <v/>
      </c>
      <c r="DB207" s="146"/>
      <c r="DC207" s="76" t="str">
        <f t="shared" ca="1" si="173"/>
        <v/>
      </c>
      <c r="DD207" t="str">
        <f t="shared" si="211"/>
        <v/>
      </c>
      <c r="DE207" s="129" t="str">
        <f t="shared" si="337"/>
        <v/>
      </c>
      <c r="DF207" s="161" t="str">
        <f t="shared" si="284"/>
        <v/>
      </c>
      <c r="DG207" s="161" t="str">
        <f t="shared" si="285"/>
        <v/>
      </c>
      <c r="DH207" s="161" t="str">
        <f t="shared" si="286"/>
        <v/>
      </c>
      <c r="DI207" s="161" t="str">
        <f t="shared" si="287"/>
        <v/>
      </c>
      <c r="DJ207" s="161" t="str">
        <f t="shared" si="288"/>
        <v/>
      </c>
      <c r="DK207" s="161" t="str">
        <f t="shared" si="289"/>
        <v/>
      </c>
      <c r="DL207" s="161" t="str">
        <f t="shared" si="290"/>
        <v/>
      </c>
      <c r="DM207" s="161" t="str">
        <f t="shared" si="291"/>
        <v/>
      </c>
      <c r="DN207" s="161" t="str">
        <f t="shared" si="314"/>
        <v/>
      </c>
      <c r="DO207" s="161" t="str">
        <f t="shared" ref="DO207:EJ207" si="338">IF($AZ207="", "", (BK207*$CW207)/$CZ207)</f>
        <v/>
      </c>
      <c r="DP207" s="161" t="str">
        <f t="shared" si="338"/>
        <v/>
      </c>
      <c r="DQ207" s="161" t="str">
        <f t="shared" si="338"/>
        <v/>
      </c>
      <c r="DR207" s="161" t="str">
        <f t="shared" si="338"/>
        <v/>
      </c>
      <c r="DS207" s="161" t="str">
        <f t="shared" si="338"/>
        <v/>
      </c>
      <c r="DT207" s="161" t="str">
        <f t="shared" si="338"/>
        <v/>
      </c>
      <c r="DU207" s="161" t="str">
        <f t="shared" si="338"/>
        <v/>
      </c>
      <c r="DV207" s="161" t="str">
        <f t="shared" si="338"/>
        <v/>
      </c>
      <c r="DW207" s="161" t="str">
        <f t="shared" si="338"/>
        <v/>
      </c>
      <c r="DX207" s="161" t="str">
        <f t="shared" si="338"/>
        <v/>
      </c>
      <c r="DY207" s="161" t="str">
        <f t="shared" si="338"/>
        <v/>
      </c>
      <c r="DZ207" s="161" t="str">
        <f t="shared" si="338"/>
        <v/>
      </c>
      <c r="EA207" s="161" t="str">
        <f t="shared" si="338"/>
        <v/>
      </c>
      <c r="EB207" s="161" t="str">
        <f t="shared" si="338"/>
        <v/>
      </c>
      <c r="EC207" s="161" t="str">
        <f t="shared" si="338"/>
        <v/>
      </c>
      <c r="ED207" s="161" t="str">
        <f t="shared" si="338"/>
        <v/>
      </c>
      <c r="EE207" s="161" t="str">
        <f t="shared" si="338"/>
        <v/>
      </c>
      <c r="EF207" s="161" t="str">
        <f t="shared" si="338"/>
        <v/>
      </c>
      <c r="EG207" s="161" t="str">
        <f t="shared" si="338"/>
        <v/>
      </c>
      <c r="EH207" s="161" t="str">
        <f t="shared" si="338"/>
        <v/>
      </c>
      <c r="EI207" s="161" t="str">
        <f t="shared" si="338"/>
        <v/>
      </c>
      <c r="EJ207" s="161" t="str">
        <f t="shared" si="338"/>
        <v/>
      </c>
      <c r="EK207" s="147" t="str">
        <f t="shared" si="250"/>
        <v/>
      </c>
      <c r="EL207" s="149"/>
      <c r="EN207" s="146"/>
      <c r="EO207" s="146"/>
      <c r="EP207" s="139" t="str">
        <f t="shared" si="251"/>
        <v/>
      </c>
      <c r="EQ207" s="139" t="str">
        <f t="shared" si="252"/>
        <v/>
      </c>
      <c r="ER207" s="139" t="str">
        <f t="shared" si="253"/>
        <v/>
      </c>
      <c r="ES207" s="139" t="str">
        <f t="shared" si="254"/>
        <v/>
      </c>
      <c r="ET207" s="139" t="str">
        <f t="shared" si="255"/>
        <v/>
      </c>
      <c r="EU207" s="139" t="str">
        <f t="shared" si="256"/>
        <v/>
      </c>
      <c r="EV207" s="139" t="str">
        <f t="shared" si="257"/>
        <v/>
      </c>
      <c r="EW207" s="139" t="str">
        <f t="shared" si="258"/>
        <v/>
      </c>
      <c r="EX207" s="139" t="str">
        <f t="shared" si="259"/>
        <v/>
      </c>
      <c r="EY207" s="139" t="str">
        <f t="shared" si="260"/>
        <v/>
      </c>
      <c r="EZ207" s="139" t="str">
        <f t="shared" si="261"/>
        <v/>
      </c>
      <c r="FA207" s="139" t="str">
        <f t="shared" si="262"/>
        <v/>
      </c>
      <c r="FB207" s="139" t="str">
        <f t="shared" si="263"/>
        <v/>
      </c>
      <c r="FC207" s="139" t="str">
        <f t="shared" si="264"/>
        <v/>
      </c>
      <c r="FD207" s="139" t="str">
        <f t="shared" si="265"/>
        <v/>
      </c>
      <c r="FE207" s="139" t="str">
        <f t="shared" si="266"/>
        <v/>
      </c>
      <c r="FF207" s="139" t="str">
        <f t="shared" si="267"/>
        <v/>
      </c>
      <c r="FG207" s="139" t="str">
        <f t="shared" si="268"/>
        <v/>
      </c>
      <c r="FH207" s="139" t="str">
        <f t="shared" si="269"/>
        <v/>
      </c>
      <c r="FI207" s="139" t="str">
        <f t="shared" si="270"/>
        <v/>
      </c>
      <c r="FJ207" s="139" t="str">
        <f t="shared" si="271"/>
        <v/>
      </c>
      <c r="FK207" s="139" t="str">
        <f t="shared" si="272"/>
        <v/>
      </c>
      <c r="FL207" s="139" t="str">
        <f t="shared" si="273"/>
        <v/>
      </c>
      <c r="FM207" s="139" t="str">
        <f t="shared" si="274"/>
        <v/>
      </c>
      <c r="FN207" s="139" t="str">
        <f t="shared" si="275"/>
        <v/>
      </c>
      <c r="FO207" s="139" t="str">
        <f t="shared" si="276"/>
        <v/>
      </c>
      <c r="FP207" s="139" t="str">
        <f t="shared" si="277"/>
        <v/>
      </c>
      <c r="FQ207" s="139" t="str">
        <f t="shared" si="278"/>
        <v/>
      </c>
      <c r="FR207" s="139" t="str">
        <f t="shared" si="279"/>
        <v/>
      </c>
      <c r="FS207" s="139" t="str">
        <f t="shared" si="280"/>
        <v/>
      </c>
      <c r="FT207" s="139" t="str">
        <f t="shared" si="281"/>
        <v/>
      </c>
      <c r="FU207" s="148" t="str">
        <f t="shared" si="282"/>
        <v/>
      </c>
      <c r="FV207" s="149"/>
      <c r="FY207" s="210">
        <v>202</v>
      </c>
      <c r="FZ207">
        <v>1.3384429880695774</v>
      </c>
      <c r="GA207">
        <v>2.7260143721281063</v>
      </c>
      <c r="GB207">
        <v>1.6034525581001176</v>
      </c>
      <c r="GC207">
        <v>0.83743528493485841</v>
      </c>
      <c r="GD207">
        <v>2.6690510330772876</v>
      </c>
      <c r="GE207">
        <v>5.3205771979611178</v>
      </c>
      <c r="GF207">
        <v>4.998334264864142</v>
      </c>
      <c r="GG207">
        <v>5.7193811569242605</v>
      </c>
      <c r="GH207">
        <v>4.1459309547135144</v>
      </c>
      <c r="GI207">
        <v>3.777639875367965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13.890529406320629</v>
      </c>
      <c r="AO208">
        <v>3.5089405635164623</v>
      </c>
      <c r="AP208">
        <v>29.979981919331294</v>
      </c>
      <c r="AQ208">
        <v>23.904304644797584</v>
      </c>
      <c r="AR208">
        <v>3.3806085231561944</v>
      </c>
      <c r="AS208">
        <v>14.689412310860828</v>
      </c>
      <c r="AT208">
        <v>2.419062759728992</v>
      </c>
      <c r="AU208">
        <v>-1.237110401600491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0.84439264584667728</v>
      </c>
      <c r="GA208">
        <v>2.6328162467960183</v>
      </c>
      <c r="GB208">
        <v>2.8326613549022106</v>
      </c>
      <c r="GC208">
        <v>1.3640243496738382</v>
      </c>
      <c r="GD208">
        <v>1.1428659041942859</v>
      </c>
      <c r="GE208">
        <v>3.7518594892421246</v>
      </c>
      <c r="GF208">
        <v>5.8236296525671936</v>
      </c>
      <c r="GG208">
        <v>3.1997345754937951</v>
      </c>
      <c r="GH208">
        <v>2.5137801095495962</v>
      </c>
      <c r="GI208">
        <v>2.9813353297117549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25.632545203023927</v>
      </c>
      <c r="AO209">
        <v>5.5674447153796836</v>
      </c>
      <c r="AP209">
        <v>40.065722161179387</v>
      </c>
      <c r="AQ209">
        <v>34.319908046962063</v>
      </c>
      <c r="AR209">
        <v>5.2255977897259429</v>
      </c>
      <c r="AS209">
        <v>25.251081734909913</v>
      </c>
      <c r="AT209">
        <v>3.7187973696868695</v>
      </c>
      <c r="AU209">
        <v>7.5651459110253585</v>
      </c>
      <c r="AV209"/>
      <c r="AW209"/>
      <c r="FY209" s="210">
        <v>204</v>
      </c>
      <c r="FZ209">
        <v>1.1182709832077931</v>
      </c>
      <c r="GA209">
        <v>2.2281065058932557</v>
      </c>
      <c r="GB209">
        <v>1.1763717180838009</v>
      </c>
      <c r="GC209">
        <v>0.94253593271778935</v>
      </c>
      <c r="GD209">
        <v>1.3282677302376809</v>
      </c>
      <c r="GE209">
        <v>4.1623436625050605</v>
      </c>
      <c r="GF209">
        <v>8.5127075678263484</v>
      </c>
      <c r="GG209">
        <v>7.8084127352913031</v>
      </c>
      <c r="GH209">
        <v>5.5190670345498374</v>
      </c>
      <c r="GI209">
        <v>3.7063953621155417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29.015127643051216</v>
      </c>
      <c r="AO210">
        <v>4.8311481195651922</v>
      </c>
      <c r="AP210">
        <v>30.125969503920622</v>
      </c>
      <c r="AQ210">
        <v>28.348346479534428</v>
      </c>
      <c r="AR210">
        <v>4.6159732631457269</v>
      </c>
      <c r="AS210">
        <v>25.367587315537609</v>
      </c>
      <c r="AT210">
        <v>3.0147677479603554</v>
      </c>
      <c r="AU210">
        <v>10.012337445546116</v>
      </c>
      <c r="AV210"/>
      <c r="AW210"/>
      <c r="FY210" s="210">
        <v>205</v>
      </c>
      <c r="FZ210">
        <v>1.2336631305544046</v>
      </c>
      <c r="GA210">
        <v>1.369062753677381</v>
      </c>
      <c r="GB210">
        <v>1.1449902462819987</v>
      </c>
      <c r="GC210">
        <v>1.065001392223341</v>
      </c>
      <c r="GD210">
        <v>2.1013099972709779</v>
      </c>
      <c r="GE210">
        <v>4.9433544358319619</v>
      </c>
      <c r="GF210">
        <v>5.3011691815270412</v>
      </c>
      <c r="GG210">
        <v>2.3488051866119855</v>
      </c>
      <c r="GH210">
        <v>0.96403075498546076</v>
      </c>
      <c r="GI210">
        <v>2.8559546369919886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21.18677503052503</v>
      </c>
      <c r="AO211">
        <v>5.0851368704800395</v>
      </c>
      <c r="AP211">
        <v>36.446776824850588</v>
      </c>
      <c r="AQ211">
        <v>31.33269672217747</v>
      </c>
      <c r="AR211">
        <v>4.7587037220836219</v>
      </c>
      <c r="AS211">
        <v>24.683194172105235</v>
      </c>
      <c r="AT211">
        <v>3.4699581229239933</v>
      </c>
      <c r="AU211">
        <v>6.4480327438473086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1.1386073921123565</v>
      </c>
      <c r="GA211">
        <v>3.2670299338735513</v>
      </c>
      <c r="GB211">
        <v>1.9419213781416402</v>
      </c>
      <c r="GC211">
        <v>1.0505673647685578</v>
      </c>
      <c r="GD211">
        <v>2.3251189880247951</v>
      </c>
      <c r="GE211">
        <v>4.9758513232417032</v>
      </c>
      <c r="GF211">
        <v>4.8822851752844754</v>
      </c>
      <c r="GG211">
        <v>5.3302574720276024</v>
      </c>
      <c r="GH211">
        <v>5.5952687686324936</v>
      </c>
      <c r="GI211">
        <v>3.8061577575619934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19.351128370742728</v>
      </c>
      <c r="AO212">
        <v>4.9170257260528523</v>
      </c>
      <c r="AP212">
        <v>36.495460578806089</v>
      </c>
      <c r="AQ212">
        <v>31.166506847845682</v>
      </c>
      <c r="AR212">
        <v>4.7094076977431065</v>
      </c>
      <c r="AS212">
        <v>23.206521631525668</v>
      </c>
      <c r="AT212">
        <v>3.1983725455558942</v>
      </c>
      <c r="AU212">
        <v>6.8941203189573628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9">AVERAGE(DF88:DF97)</f>
        <v>0</v>
      </c>
      <c r="DG212" s="182">
        <f t="shared" ref="DG212:DN212" si="340">AVERAGE(DG88:DG97)</f>
        <v>2.083333333333333</v>
      </c>
      <c r="DH212" s="182">
        <f t="shared" si="340"/>
        <v>7.2916666666666661</v>
      </c>
      <c r="DI212" s="182">
        <f t="shared" si="340"/>
        <v>9.3749999999999982</v>
      </c>
      <c r="DJ212" s="182">
        <f t="shared" si="340"/>
        <v>0</v>
      </c>
      <c r="DK212" s="182">
        <f t="shared" si="340"/>
        <v>0</v>
      </c>
      <c r="DL212" s="182">
        <f t="shared" si="340"/>
        <v>0</v>
      </c>
      <c r="DM212" s="182">
        <f t="shared" si="340"/>
        <v>0</v>
      </c>
      <c r="DN212" s="182">
        <f t="shared" si="340"/>
        <v>0</v>
      </c>
      <c r="DO212" s="182">
        <f t="shared" ref="DO212" si="341">AVERAGE(DO88:DO97)</f>
        <v>0</v>
      </c>
      <c r="DP212" s="182">
        <f t="shared" ref="DP212:DQ212" si="342">AVERAGE(DP88:DP97)</f>
        <v>0</v>
      </c>
      <c r="DQ212" s="182">
        <f t="shared" si="342"/>
        <v>0</v>
      </c>
      <c r="DR212" s="182">
        <f t="shared" si="339"/>
        <v>0</v>
      </c>
      <c r="DS212" s="182">
        <f t="shared" si="339"/>
        <v>0</v>
      </c>
      <c r="DT212" s="182">
        <f t="shared" si="339"/>
        <v>0</v>
      </c>
      <c r="DU212" s="182">
        <f t="shared" si="339"/>
        <v>0</v>
      </c>
      <c r="DV212" s="182">
        <f t="shared" si="339"/>
        <v>0</v>
      </c>
      <c r="DW212" s="182">
        <f t="shared" si="339"/>
        <v>0</v>
      </c>
      <c r="DX212" s="182">
        <f t="shared" si="339"/>
        <v>0</v>
      </c>
      <c r="DY212" s="182">
        <f t="shared" si="339"/>
        <v>0</v>
      </c>
      <c r="DZ212" s="182">
        <f t="shared" si="339"/>
        <v>0</v>
      </c>
      <c r="EA212" s="182">
        <f t="shared" si="339"/>
        <v>0</v>
      </c>
      <c r="EB212" s="182">
        <f t="shared" si="339"/>
        <v>0</v>
      </c>
      <c r="EC212" s="182">
        <f t="shared" si="339"/>
        <v>0</v>
      </c>
      <c r="ED212" s="182">
        <f t="shared" si="339"/>
        <v>0</v>
      </c>
      <c r="EE212" s="182">
        <f t="shared" si="339"/>
        <v>0</v>
      </c>
      <c r="EF212" s="182">
        <f t="shared" si="339"/>
        <v>0</v>
      </c>
      <c r="EG212" s="182">
        <f t="shared" si="339"/>
        <v>0</v>
      </c>
      <c r="EH212" s="182">
        <f t="shared" si="339"/>
        <v>0</v>
      </c>
      <c r="EI212" s="182">
        <f t="shared" si="339"/>
        <v>0</v>
      </c>
      <c r="EJ212" s="182">
        <f t="shared" si="339"/>
        <v>0</v>
      </c>
      <c r="FY212" s="210">
        <v>207</v>
      </c>
      <c r="FZ212">
        <v>0.69202853676601417</v>
      </c>
      <c r="GA212">
        <v>2.115291516438865</v>
      </c>
      <c r="GB212">
        <v>1.1306235400449804</v>
      </c>
      <c r="GC212">
        <v>0.62843734316111943</v>
      </c>
      <c r="GD212">
        <v>2.2184602141235827</v>
      </c>
      <c r="GE212">
        <v>5.1206863572278731</v>
      </c>
      <c r="GF212">
        <v>3.7873343406842799</v>
      </c>
      <c r="GG212">
        <v>6.7500542617615764</v>
      </c>
      <c r="GH212">
        <v>8.1651673409860237</v>
      </c>
      <c r="GI212">
        <v>3.6866781945455922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24.366773392049129</v>
      </c>
      <c r="AO213">
        <v>4.3520367216348177</v>
      </c>
      <c r="AP213">
        <v>26.128748607588008</v>
      </c>
      <c r="AQ213">
        <v>25.072548021916326</v>
      </c>
      <c r="AR213">
        <v>4.1655084325192817</v>
      </c>
      <c r="AS213">
        <v>21.380513124900226</v>
      </c>
      <c r="AT213">
        <v>2.7904070080491477</v>
      </c>
      <c r="AU213">
        <v>8.5368934881866458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3">AVERAGE(DF98:DF107)</f>
        <v>0</v>
      </c>
      <c r="DG213" s="185">
        <f t="shared" ref="DG213:DN213" si="344">AVERAGE(DG98:DG107)</f>
        <v>0</v>
      </c>
      <c r="DH213" s="185">
        <f t="shared" si="344"/>
        <v>7.291666666666667</v>
      </c>
      <c r="DI213" s="185">
        <f t="shared" si="344"/>
        <v>4.1666666666666661</v>
      </c>
      <c r="DJ213" s="185">
        <f t="shared" si="344"/>
        <v>0</v>
      </c>
      <c r="DK213" s="185">
        <f t="shared" si="344"/>
        <v>0</v>
      </c>
      <c r="DL213" s="185">
        <f t="shared" si="344"/>
        <v>0</v>
      </c>
      <c r="DM213" s="185">
        <f t="shared" si="344"/>
        <v>0</v>
      </c>
      <c r="DN213" s="185">
        <f t="shared" si="344"/>
        <v>0</v>
      </c>
      <c r="DO213" s="185">
        <f t="shared" ref="DO213" si="345">AVERAGE(DO98:DO107)</f>
        <v>0</v>
      </c>
      <c r="DP213" s="185">
        <f t="shared" ref="DP213:DQ213" si="346">AVERAGE(DP98:DP107)</f>
        <v>0</v>
      </c>
      <c r="DQ213" s="185">
        <f t="shared" si="346"/>
        <v>0</v>
      </c>
      <c r="DR213" s="185">
        <f t="shared" si="343"/>
        <v>0</v>
      </c>
      <c r="DS213" s="185">
        <f t="shared" si="343"/>
        <v>0</v>
      </c>
      <c r="DT213" s="185">
        <f t="shared" si="343"/>
        <v>0</v>
      </c>
      <c r="DU213" s="185">
        <f t="shared" si="343"/>
        <v>0</v>
      </c>
      <c r="DV213" s="185">
        <f t="shared" si="343"/>
        <v>0</v>
      </c>
      <c r="DW213" s="185">
        <f t="shared" si="343"/>
        <v>0</v>
      </c>
      <c r="DX213" s="185">
        <f t="shared" si="343"/>
        <v>0</v>
      </c>
      <c r="DY213" s="185">
        <f t="shared" si="343"/>
        <v>0</v>
      </c>
      <c r="DZ213" s="185">
        <f t="shared" si="343"/>
        <v>0</v>
      </c>
      <c r="EA213" s="185">
        <f t="shared" si="343"/>
        <v>0</v>
      </c>
      <c r="EB213" s="185">
        <f t="shared" si="343"/>
        <v>0</v>
      </c>
      <c r="EC213" s="185">
        <f t="shared" si="343"/>
        <v>0</v>
      </c>
      <c r="ED213" s="185">
        <f t="shared" si="343"/>
        <v>0</v>
      </c>
      <c r="EE213" s="185">
        <f t="shared" si="343"/>
        <v>0</v>
      </c>
      <c r="EF213" s="185">
        <f t="shared" si="343"/>
        <v>0</v>
      </c>
      <c r="EG213" s="185">
        <f t="shared" si="343"/>
        <v>0</v>
      </c>
      <c r="EH213" s="185">
        <f t="shared" si="343"/>
        <v>0</v>
      </c>
      <c r="EI213" s="185">
        <f t="shared" si="343"/>
        <v>0</v>
      </c>
      <c r="EJ213" s="185">
        <f t="shared" si="343"/>
        <v>0</v>
      </c>
      <c r="FY213" s="210">
        <v>208</v>
      </c>
      <c r="FZ213">
        <v>0.76180659865017497</v>
      </c>
      <c r="GA213">
        <v>1.2836871684573687</v>
      </c>
      <c r="GB213">
        <v>0.95375815742144632</v>
      </c>
      <c r="GC213">
        <v>0.55916299208150999</v>
      </c>
      <c r="GD213">
        <v>1.4034746112957572</v>
      </c>
      <c r="GE213">
        <v>3.8705967297472528</v>
      </c>
      <c r="GF213">
        <v>5.6942552985668824</v>
      </c>
      <c r="GG213">
        <v>5.4310742784619919</v>
      </c>
      <c r="GH213">
        <v>4.2609090087165358</v>
      </c>
      <c r="GI213">
        <v>2.9160506297619557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19.362835991825353</v>
      </c>
      <c r="AO214">
        <v>4.0355316663140357</v>
      </c>
      <c r="AP214">
        <v>28.187317167359978</v>
      </c>
      <c r="AQ214">
        <v>24.749074230432079</v>
      </c>
      <c r="AR214">
        <v>3.736478454075419</v>
      </c>
      <c r="AS214">
        <v>17.885050009027474</v>
      </c>
      <c r="AT214">
        <v>2.7049333551945396</v>
      </c>
      <c r="AU214">
        <v>3.2074370628988262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/>
      <c r="DG214" s="182"/>
      <c r="DH214" s="182">
        <f t="shared" ref="DG214:DN214" si="347">AVERAGE(DH108:DH117)</f>
        <v>1.0416666666666665</v>
      </c>
      <c r="DI214" s="182">
        <f t="shared" si="347"/>
        <v>17.708333333333336</v>
      </c>
      <c r="DJ214" s="182">
        <f t="shared" si="347"/>
        <v>1.0416666666666665</v>
      </c>
      <c r="DK214" s="182">
        <f t="shared" si="347"/>
        <v>0</v>
      </c>
      <c r="DL214" s="182">
        <f t="shared" si="347"/>
        <v>1.0416666666666665</v>
      </c>
      <c r="DM214" s="182">
        <f t="shared" si="347"/>
        <v>0</v>
      </c>
      <c r="DN214" s="182">
        <f t="shared" si="347"/>
        <v>0</v>
      </c>
      <c r="DO214" s="182">
        <f t="shared" ref="DF214:EJ214" si="348">AVERAGE(DO108:DO117)</f>
        <v>0</v>
      </c>
      <c r="DP214" s="182">
        <f t="shared" si="348"/>
        <v>0</v>
      </c>
      <c r="DQ214" s="182">
        <f t="shared" si="348"/>
        <v>0</v>
      </c>
      <c r="DR214" s="182">
        <f t="shared" si="348"/>
        <v>0</v>
      </c>
      <c r="DS214" s="182">
        <f t="shared" si="348"/>
        <v>0</v>
      </c>
      <c r="DT214" s="182">
        <f t="shared" si="348"/>
        <v>0</v>
      </c>
      <c r="DU214" s="182">
        <f t="shared" si="348"/>
        <v>0</v>
      </c>
      <c r="DV214" s="182">
        <f t="shared" si="348"/>
        <v>0</v>
      </c>
      <c r="DW214" s="182">
        <f t="shared" si="348"/>
        <v>0</v>
      </c>
      <c r="DX214" s="182">
        <f t="shared" si="348"/>
        <v>0</v>
      </c>
      <c r="DY214" s="182">
        <f t="shared" si="348"/>
        <v>0</v>
      </c>
      <c r="DZ214" s="182">
        <f t="shared" si="348"/>
        <v>0</v>
      </c>
      <c r="EA214" s="182">
        <f t="shared" si="348"/>
        <v>0</v>
      </c>
      <c r="EB214" s="182">
        <f t="shared" si="348"/>
        <v>0</v>
      </c>
      <c r="EC214" s="182">
        <f t="shared" si="348"/>
        <v>0</v>
      </c>
      <c r="ED214" s="182">
        <f t="shared" si="348"/>
        <v>0</v>
      </c>
      <c r="EE214" s="182">
        <f t="shared" si="348"/>
        <v>0</v>
      </c>
      <c r="EF214" s="182">
        <f t="shared" si="348"/>
        <v>0</v>
      </c>
      <c r="EG214" s="182">
        <f t="shared" si="348"/>
        <v>0</v>
      </c>
      <c r="EH214" s="182">
        <f t="shared" si="348"/>
        <v>0</v>
      </c>
      <c r="EI214" s="182">
        <f t="shared" si="348"/>
        <v>0</v>
      </c>
      <c r="EJ214" s="182">
        <f t="shared" si="348"/>
        <v>0</v>
      </c>
      <c r="FY214" s="210">
        <v>209</v>
      </c>
      <c r="FZ214">
        <v>1.014784703662069</v>
      </c>
      <c r="GA214">
        <v>3.4298627888557274</v>
      </c>
      <c r="GB214">
        <v>1.8206970496346777</v>
      </c>
      <c r="GC214">
        <v>0.66649468337437356</v>
      </c>
      <c r="GD214">
        <v>2.1450858247215585</v>
      </c>
      <c r="GE214">
        <v>4.2837147056102038</v>
      </c>
      <c r="GF214">
        <v>4.2817201496520338</v>
      </c>
      <c r="GG214">
        <v>7.3473374067387791</v>
      </c>
      <c r="GH214">
        <v>5.8922598440792058</v>
      </c>
      <c r="GI214">
        <v>3.6083723176024542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17.525844525844526</v>
      </c>
      <c r="AO215">
        <v>4.1598713629349033</v>
      </c>
      <c r="AP215">
        <v>28.931071798870995</v>
      </c>
      <c r="AQ215">
        <v>24.945800841472519</v>
      </c>
      <c r="AR215">
        <v>3.7913824403900431</v>
      </c>
      <c r="AS215">
        <v>18.788386145666419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9">AVERAGE(DF118:DF127)</f>
        <v>0</v>
      </c>
      <c r="DG215" s="182">
        <f t="shared" ref="DG215:DN215" si="350">AVERAGE(DG118:DG127)</f>
        <v>0</v>
      </c>
      <c r="DH215" s="182"/>
      <c r="DI215" s="182">
        <f t="shared" si="350"/>
        <v>1.0416666666666665</v>
      </c>
      <c r="DJ215" s="182">
        <f t="shared" si="350"/>
        <v>8.8068181818181834</v>
      </c>
      <c r="DK215" s="182">
        <f t="shared" si="350"/>
        <v>0</v>
      </c>
      <c r="DL215" s="182">
        <f t="shared" si="350"/>
        <v>0</v>
      </c>
      <c r="DM215" s="182">
        <f t="shared" si="350"/>
        <v>0</v>
      </c>
      <c r="DN215" s="182">
        <f t="shared" si="350"/>
        <v>0</v>
      </c>
      <c r="DO215" s="182">
        <f t="shared" ref="DO215" si="351">AVERAGE(DO118:DO127)</f>
        <v>0</v>
      </c>
      <c r="DP215" s="182">
        <f t="shared" si="349"/>
        <v>0</v>
      </c>
      <c r="DQ215" s="182">
        <f t="shared" si="349"/>
        <v>0</v>
      </c>
      <c r="DR215" s="182">
        <f t="shared" si="349"/>
        <v>0</v>
      </c>
      <c r="DS215" s="182">
        <f t="shared" si="349"/>
        <v>0</v>
      </c>
      <c r="DT215" s="182">
        <f t="shared" si="349"/>
        <v>0</v>
      </c>
      <c r="DU215" s="182">
        <f t="shared" si="349"/>
        <v>0</v>
      </c>
      <c r="DV215" s="182">
        <f t="shared" si="349"/>
        <v>0</v>
      </c>
      <c r="DW215" s="182">
        <f t="shared" si="349"/>
        <v>0</v>
      </c>
      <c r="DX215" s="182">
        <f t="shared" si="349"/>
        <v>0</v>
      </c>
      <c r="DY215" s="182">
        <f t="shared" si="349"/>
        <v>0</v>
      </c>
      <c r="DZ215" s="182">
        <f t="shared" si="349"/>
        <v>0</v>
      </c>
      <c r="EA215" s="182">
        <f t="shared" si="349"/>
        <v>0</v>
      </c>
      <c r="EB215" s="182">
        <f t="shared" si="349"/>
        <v>0</v>
      </c>
      <c r="EC215" s="182">
        <f t="shared" si="349"/>
        <v>0</v>
      </c>
      <c r="ED215" s="182">
        <f t="shared" si="349"/>
        <v>0</v>
      </c>
      <c r="EE215" s="182">
        <f t="shared" si="349"/>
        <v>0</v>
      </c>
      <c r="EF215" s="182">
        <f t="shared" si="349"/>
        <v>0</v>
      </c>
      <c r="EG215" s="182">
        <f t="shared" si="349"/>
        <v>0</v>
      </c>
      <c r="EH215" s="182">
        <f t="shared" si="349"/>
        <v>0</v>
      </c>
      <c r="EI215" s="182">
        <f t="shared" si="349"/>
        <v>0</v>
      </c>
      <c r="EJ215" s="182">
        <f t="shared" si="349"/>
        <v>0</v>
      </c>
      <c r="FY215" s="210">
        <v>210</v>
      </c>
      <c r="FZ215">
        <v>0.74113189567881643</v>
      </c>
      <c r="GA215">
        <v>1.6906835322316964</v>
      </c>
      <c r="GB215">
        <v>1.5023114534188051</v>
      </c>
      <c r="GC215">
        <v>0.59666024543154872</v>
      </c>
      <c r="GD215">
        <v>1.2340448122562959</v>
      </c>
      <c r="GE215">
        <v>2.8396078580244941</v>
      </c>
      <c r="GF215">
        <v>8.5743086069642072</v>
      </c>
      <c r="GG215">
        <v>10.76887634808924</v>
      </c>
      <c r="GH215">
        <v>6.2348887564261783</v>
      </c>
      <c r="GI215">
        <v>3.8237296248313171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20.132122133041246</v>
      </c>
      <c r="AO216">
        <v>3.2387885858369572</v>
      </c>
      <c r="AP216">
        <v>23.443616618544933</v>
      </c>
      <c r="AQ216">
        <v>20.197007443224649</v>
      </c>
      <c r="AR216">
        <v>3.1163293520308497</v>
      </c>
      <c r="AS216">
        <v>16.873961070688093</v>
      </c>
      <c r="AT216">
        <v>2.0163097354687802</v>
      </c>
      <c r="AU216">
        <v>14.647329617186118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52">AVERAGE(DF128:DF137)</f>
        <v>0</v>
      </c>
      <c r="DG216" s="182">
        <f t="shared" ref="DG216:DN216" si="353">AVERAGE(DG128:DG137)</f>
        <v>0</v>
      </c>
      <c r="DH216" s="182"/>
      <c r="DI216" s="182">
        <f t="shared" si="353"/>
        <v>2.083333333333333</v>
      </c>
      <c r="DJ216" s="182">
        <f t="shared" si="353"/>
        <v>7.6388888888888884</v>
      </c>
      <c r="DK216" s="182">
        <f t="shared" si="353"/>
        <v>1.0416666666666665</v>
      </c>
      <c r="DL216" s="182">
        <f t="shared" si="353"/>
        <v>0</v>
      </c>
      <c r="DM216" s="182">
        <f t="shared" si="353"/>
        <v>0</v>
      </c>
      <c r="DN216" s="182">
        <f t="shared" si="353"/>
        <v>0</v>
      </c>
      <c r="DO216" s="182">
        <f t="shared" ref="DO216" si="354">AVERAGE(DO128:DO137)</f>
        <v>0</v>
      </c>
      <c r="DP216" s="182">
        <f t="shared" si="352"/>
        <v>0</v>
      </c>
      <c r="DQ216" s="182">
        <f t="shared" si="352"/>
        <v>0</v>
      </c>
      <c r="DR216" s="182">
        <f t="shared" si="352"/>
        <v>0</v>
      </c>
      <c r="DS216" s="182">
        <f t="shared" si="352"/>
        <v>0</v>
      </c>
      <c r="DT216" s="182">
        <f t="shared" si="352"/>
        <v>0</v>
      </c>
      <c r="DU216" s="182">
        <f t="shared" si="352"/>
        <v>0</v>
      </c>
      <c r="DV216" s="182">
        <f t="shared" si="352"/>
        <v>0</v>
      </c>
      <c r="DW216" s="182">
        <f t="shared" si="352"/>
        <v>0</v>
      </c>
      <c r="DX216" s="182">
        <f t="shared" si="352"/>
        <v>0</v>
      </c>
      <c r="DY216" s="182">
        <f t="shared" si="352"/>
        <v>0</v>
      </c>
      <c r="DZ216" s="182">
        <f t="shared" si="352"/>
        <v>0</v>
      </c>
      <c r="EA216" s="182">
        <f t="shared" si="352"/>
        <v>0</v>
      </c>
      <c r="EB216" s="182">
        <f t="shared" si="352"/>
        <v>0</v>
      </c>
      <c r="EC216" s="182">
        <f t="shared" si="352"/>
        <v>0</v>
      </c>
      <c r="ED216" s="182">
        <f t="shared" si="352"/>
        <v>0</v>
      </c>
      <c r="EE216" s="182">
        <f t="shared" si="352"/>
        <v>0</v>
      </c>
      <c r="EF216" s="182">
        <f t="shared" si="352"/>
        <v>0</v>
      </c>
      <c r="EG216" s="182">
        <f t="shared" si="352"/>
        <v>0</v>
      </c>
      <c r="EH216" s="182">
        <f t="shared" si="352"/>
        <v>0</v>
      </c>
      <c r="EI216" s="182">
        <f t="shared" si="352"/>
        <v>0</v>
      </c>
      <c r="EJ216" s="182">
        <f t="shared" si="352"/>
        <v>0</v>
      </c>
      <c r="FY216" s="210">
        <v>211</v>
      </c>
      <c r="FZ216">
        <v>0.80326876928182378</v>
      </c>
      <c r="GA216">
        <v>1.9144533389163807</v>
      </c>
      <c r="GB216">
        <v>2.1563642460678123</v>
      </c>
      <c r="GC216">
        <v>1.0625350772481221</v>
      </c>
      <c r="GD216">
        <v>1.4754442008934967</v>
      </c>
      <c r="GE216">
        <v>3.4370452679218468</v>
      </c>
      <c r="GF216">
        <v>6.9855974478835288</v>
      </c>
      <c r="GG216">
        <v>6.5174780038108056</v>
      </c>
      <c r="GH216">
        <v>3.1247258302912844</v>
      </c>
      <c r="GI216">
        <v>3.3290463968299608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22.021160467392082</v>
      </c>
      <c r="AO217">
        <v>4.4942024370482017</v>
      </c>
      <c r="AP217">
        <v>29.85844240993141</v>
      </c>
      <c r="AQ217">
        <v>26.719629904862316</v>
      </c>
      <c r="AR217">
        <v>4.1290996532098445</v>
      </c>
      <c r="AS217">
        <v>19.920698817851733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55">AVERAGE(DF138:DF147)</f>
        <v>0</v>
      </c>
      <c r="DG217" s="182">
        <f t="shared" ref="DG217:DN217" si="356">AVERAGE(DG138:DG147)</f>
        <v>0</v>
      </c>
      <c r="DH217" s="182"/>
      <c r="DI217" s="182">
        <f t="shared" si="356"/>
        <v>9.8443223443223449</v>
      </c>
      <c r="DJ217" s="182">
        <f t="shared" si="356"/>
        <v>17.934149184149184</v>
      </c>
      <c r="DK217" s="182">
        <f t="shared" si="356"/>
        <v>9.4150641025641022</v>
      </c>
      <c r="DL217" s="182">
        <f t="shared" si="356"/>
        <v>0</v>
      </c>
      <c r="DM217" s="182">
        <f t="shared" si="356"/>
        <v>0</v>
      </c>
      <c r="DN217" s="182">
        <f t="shared" si="356"/>
        <v>0</v>
      </c>
      <c r="DO217" s="182">
        <f t="shared" ref="DO217" si="357">AVERAGE(DO138:DO147)</f>
        <v>0</v>
      </c>
      <c r="DP217" s="182">
        <f t="shared" si="355"/>
        <v>0</v>
      </c>
      <c r="DQ217" s="182">
        <f t="shared" si="355"/>
        <v>0</v>
      </c>
      <c r="DR217" s="182">
        <f t="shared" si="355"/>
        <v>0</v>
      </c>
      <c r="DS217" s="182">
        <f t="shared" si="355"/>
        <v>0</v>
      </c>
      <c r="DT217" s="182">
        <f t="shared" si="355"/>
        <v>0</v>
      </c>
      <c r="DU217" s="182">
        <f t="shared" si="355"/>
        <v>0</v>
      </c>
      <c r="DV217" s="182">
        <f t="shared" si="355"/>
        <v>0</v>
      </c>
      <c r="DW217" s="182">
        <f t="shared" si="355"/>
        <v>0</v>
      </c>
      <c r="DX217" s="182">
        <f t="shared" si="355"/>
        <v>0</v>
      </c>
      <c r="DY217" s="182">
        <f t="shared" si="355"/>
        <v>0</v>
      </c>
      <c r="DZ217" s="182">
        <f t="shared" si="355"/>
        <v>0</v>
      </c>
      <c r="EA217" s="182">
        <f t="shared" si="355"/>
        <v>0</v>
      </c>
      <c r="EB217" s="182">
        <f t="shared" si="355"/>
        <v>0</v>
      </c>
      <c r="EC217" s="182">
        <f t="shared" si="355"/>
        <v>0</v>
      </c>
      <c r="ED217" s="182">
        <f t="shared" si="355"/>
        <v>0</v>
      </c>
      <c r="EE217" s="182">
        <f t="shared" si="355"/>
        <v>0</v>
      </c>
      <c r="EF217" s="182">
        <f t="shared" si="355"/>
        <v>0</v>
      </c>
      <c r="EG217" s="182">
        <f t="shared" si="355"/>
        <v>0</v>
      </c>
      <c r="EH217" s="182">
        <f t="shared" si="355"/>
        <v>0</v>
      </c>
      <c r="EI217" s="182">
        <f t="shared" si="355"/>
        <v>0</v>
      </c>
      <c r="EJ217" s="182">
        <f t="shared" si="355"/>
        <v>0</v>
      </c>
      <c r="FY217" s="210">
        <v>212</v>
      </c>
      <c r="FZ217">
        <v>0.85062749146945027</v>
      </c>
      <c r="GA217">
        <v>2.6671722504487665</v>
      </c>
      <c r="GB217">
        <v>2.8753195405167937</v>
      </c>
      <c r="GC217">
        <v>1.135503972104883</v>
      </c>
      <c r="GD217">
        <v>2.5272962096621372</v>
      </c>
      <c r="GE217">
        <v>6.1552442208562468</v>
      </c>
      <c r="GF217">
        <v>4.2575784186301551</v>
      </c>
      <c r="GG217">
        <v>5.1482027042444543</v>
      </c>
      <c r="GH217">
        <v>5.356025913041023</v>
      </c>
      <c r="GI217">
        <v>3.9726665895965936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24.82990187004971</v>
      </c>
      <c r="AO218">
        <v>5.5420351310930185</v>
      </c>
      <c r="AP218">
        <v>37.048771778619916</v>
      </c>
      <c r="AQ218">
        <v>33.136259686140946</v>
      </c>
      <c r="AR218">
        <v>5.2652623351857581</v>
      </c>
      <c r="AS218">
        <v>23.846141152501801</v>
      </c>
      <c r="AT218">
        <v>3.5612101266387479</v>
      </c>
      <c r="AU218">
        <v>7.2163427276719272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8">AVERAGE(DF148:DF157)</f>
        <v>0</v>
      </c>
      <c r="DG218" s="182">
        <f t="shared" ref="DG218:DN218" si="359">AVERAGE(DG148:DG157)</f>
        <v>0</v>
      </c>
      <c r="DH218" s="182">
        <f t="shared" si="359"/>
        <v>0</v>
      </c>
      <c r="DI218" s="182"/>
      <c r="DJ218" s="182">
        <f t="shared" si="359"/>
        <v>7.8125</v>
      </c>
      <c r="DK218" s="182">
        <f t="shared" si="359"/>
        <v>6.5104166666666661</v>
      </c>
      <c r="DL218" s="182">
        <f t="shared" si="359"/>
        <v>0</v>
      </c>
      <c r="DM218" s="182">
        <f t="shared" si="359"/>
        <v>0</v>
      </c>
      <c r="DN218" s="182">
        <f t="shared" si="359"/>
        <v>0</v>
      </c>
      <c r="DO218" s="182">
        <f t="shared" ref="DO218" si="360">AVERAGE(DO148:DO157)</f>
        <v>0</v>
      </c>
      <c r="DP218" s="182">
        <f t="shared" si="358"/>
        <v>0</v>
      </c>
      <c r="DQ218" s="182">
        <f t="shared" si="358"/>
        <v>0</v>
      </c>
      <c r="DR218" s="182">
        <f t="shared" si="358"/>
        <v>0</v>
      </c>
      <c r="DS218" s="182">
        <f t="shared" si="358"/>
        <v>0</v>
      </c>
      <c r="DT218" s="182">
        <f t="shared" si="358"/>
        <v>0</v>
      </c>
      <c r="DU218" s="182">
        <f t="shared" si="358"/>
        <v>0</v>
      </c>
      <c r="DV218" s="182">
        <f t="shared" si="358"/>
        <v>0</v>
      </c>
      <c r="DW218" s="182">
        <f t="shared" si="358"/>
        <v>0</v>
      </c>
      <c r="DX218" s="182">
        <f t="shared" si="358"/>
        <v>0</v>
      </c>
      <c r="DY218" s="182">
        <f t="shared" si="358"/>
        <v>0</v>
      </c>
      <c r="DZ218" s="182">
        <f t="shared" si="358"/>
        <v>0</v>
      </c>
      <c r="EA218" s="182">
        <f t="shared" si="358"/>
        <v>0</v>
      </c>
      <c r="EB218" s="182">
        <f t="shared" si="358"/>
        <v>0</v>
      </c>
      <c r="EC218" s="182">
        <f t="shared" si="358"/>
        <v>0</v>
      </c>
      <c r="ED218" s="182">
        <f t="shared" si="358"/>
        <v>0</v>
      </c>
      <c r="EE218" s="182">
        <f t="shared" si="358"/>
        <v>0</v>
      </c>
      <c r="EF218" s="182">
        <f t="shared" si="358"/>
        <v>0</v>
      </c>
      <c r="EG218" s="182">
        <f t="shared" si="358"/>
        <v>0</v>
      </c>
      <c r="EH218" s="182">
        <f t="shared" si="358"/>
        <v>0</v>
      </c>
      <c r="EI218" s="182">
        <f t="shared" si="358"/>
        <v>0</v>
      </c>
      <c r="EJ218" s="182">
        <f t="shared" si="358"/>
        <v>0</v>
      </c>
      <c r="FY218" s="210">
        <v>213</v>
      </c>
      <c r="FZ218">
        <v>1.0834947169546445</v>
      </c>
      <c r="GA218">
        <v>3.3727409191759703</v>
      </c>
      <c r="GB218">
        <v>2.5537876242563007</v>
      </c>
      <c r="GC218">
        <v>0.87173341244812785</v>
      </c>
      <c r="GD218">
        <v>2.3203791278027315</v>
      </c>
      <c r="GE218">
        <v>4.577819418711794</v>
      </c>
      <c r="GF218">
        <v>3.308459885152458</v>
      </c>
      <c r="GG218">
        <v>6.8823827542443112</v>
      </c>
      <c r="GH218">
        <v>7.138761988027297</v>
      </c>
      <c r="GI218">
        <v>3.9241288114310411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19.338835312493789</v>
      </c>
      <c r="AO219">
        <v>4.3261395143549963</v>
      </c>
      <c r="AP219">
        <v>32.780197630655863</v>
      </c>
      <c r="AQ219">
        <v>27.087099657977497</v>
      </c>
      <c r="AR219">
        <v>4.0225992309444747</v>
      </c>
      <c r="AS219">
        <v>18.314993361703895</v>
      </c>
      <c r="AT219">
        <v>2.9053139119888236</v>
      </c>
      <c r="AU219">
        <v>10.540963752771559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61">AVERAGE(DF158:DF167)</f>
        <v>0</v>
      </c>
      <c r="DG219" s="182"/>
      <c r="DH219" s="182"/>
      <c r="DI219" s="182"/>
      <c r="DJ219" s="182">
        <f t="shared" ref="DG219:DN219" si="362">AVERAGE(DJ158:DJ167)</f>
        <v>2.083333333333333</v>
      </c>
      <c r="DK219" s="182">
        <f t="shared" si="362"/>
        <v>6.25</v>
      </c>
      <c r="DL219" s="182">
        <f t="shared" si="362"/>
        <v>4.9242424242424239</v>
      </c>
      <c r="DM219" s="182">
        <f t="shared" si="362"/>
        <v>1.0416666666666665</v>
      </c>
      <c r="DN219" s="182">
        <f t="shared" si="362"/>
        <v>0</v>
      </c>
      <c r="DO219" s="182">
        <f t="shared" ref="DO219" si="363">AVERAGE(DO158:DO167)</f>
        <v>0</v>
      </c>
      <c r="DP219" s="182">
        <f t="shared" si="361"/>
        <v>0</v>
      </c>
      <c r="DQ219" s="182">
        <f t="shared" si="361"/>
        <v>0</v>
      </c>
      <c r="DR219" s="182">
        <f t="shared" si="361"/>
        <v>0</v>
      </c>
      <c r="DS219" s="182">
        <f t="shared" si="361"/>
        <v>0</v>
      </c>
      <c r="DT219" s="182">
        <f t="shared" si="361"/>
        <v>0</v>
      </c>
      <c r="DU219" s="182">
        <f t="shared" si="361"/>
        <v>0</v>
      </c>
      <c r="DV219" s="182">
        <f t="shared" si="361"/>
        <v>0</v>
      </c>
      <c r="DW219" s="182">
        <f t="shared" si="361"/>
        <v>0</v>
      </c>
      <c r="DX219" s="182">
        <f t="shared" si="361"/>
        <v>0</v>
      </c>
      <c r="DY219" s="182">
        <f t="shared" si="361"/>
        <v>0</v>
      </c>
      <c r="DZ219" s="182">
        <f t="shared" si="361"/>
        <v>0</v>
      </c>
      <c r="EA219" s="182">
        <f t="shared" si="361"/>
        <v>0</v>
      </c>
      <c r="EB219" s="182">
        <f t="shared" si="361"/>
        <v>0</v>
      </c>
      <c r="EC219" s="182">
        <f t="shared" si="361"/>
        <v>0</v>
      </c>
      <c r="ED219" s="182">
        <f t="shared" si="361"/>
        <v>0</v>
      </c>
      <c r="EE219" s="182">
        <f t="shared" si="361"/>
        <v>0</v>
      </c>
      <c r="EF219" s="182">
        <f t="shared" si="361"/>
        <v>0</v>
      </c>
      <c r="EG219" s="182">
        <f t="shared" si="361"/>
        <v>0</v>
      </c>
      <c r="EH219" s="182">
        <f t="shared" si="361"/>
        <v>0</v>
      </c>
      <c r="EI219" s="182">
        <f t="shared" si="361"/>
        <v>0</v>
      </c>
      <c r="EJ219" s="182">
        <f t="shared" si="361"/>
        <v>0</v>
      </c>
      <c r="FY219" s="210">
        <v>214</v>
      </c>
      <c r="FZ219">
        <v>1.3447905983812825</v>
      </c>
      <c r="GA219">
        <v>2.3514874136535777</v>
      </c>
      <c r="GB219">
        <v>1.7283864866266256</v>
      </c>
      <c r="GC219">
        <v>1.027453932168257</v>
      </c>
      <c r="GD219">
        <v>1.365557879902594</v>
      </c>
      <c r="GE219">
        <v>2.5741117751516298</v>
      </c>
      <c r="GF219">
        <v>6.0865909711695139</v>
      </c>
      <c r="GG219">
        <v>8.1110056793638154</v>
      </c>
      <c r="GH219">
        <v>5.424954197353836</v>
      </c>
      <c r="GI219">
        <v>3.4412673340306394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23.343099651776516</v>
      </c>
      <c r="AO220">
        <v>5.5433856771940793</v>
      </c>
      <c r="AP220">
        <v>43.958457990729343</v>
      </c>
      <c r="AQ220">
        <v>36.502479232428414</v>
      </c>
      <c r="AR220">
        <v>5.0055928098513132</v>
      </c>
      <c r="AS220">
        <v>24.328282534605275</v>
      </c>
      <c r="AT220">
        <v>3.3775532520527278</v>
      </c>
      <c r="AU220">
        <v>-0.96536001616872458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64">AVERAGE(DF168:DF177)</f>
        <v>0</v>
      </c>
      <c r="DG220" s="182"/>
      <c r="DH220" s="182"/>
      <c r="DI220" s="182"/>
      <c r="DJ220" s="182"/>
      <c r="DK220" s="182">
        <f t="shared" ref="DG220:DN220" si="365">AVERAGE(DK168:DK177)</f>
        <v>5.208333333333333</v>
      </c>
      <c r="DL220" s="182">
        <f t="shared" si="365"/>
        <v>2.083333333333333</v>
      </c>
      <c r="DM220" s="182">
        <f t="shared" si="365"/>
        <v>2.083333333333333</v>
      </c>
      <c r="DN220" s="182">
        <f t="shared" si="365"/>
        <v>0</v>
      </c>
      <c r="DO220" s="182">
        <f t="shared" ref="DO220" si="366">AVERAGE(DO168:DO177)</f>
        <v>0</v>
      </c>
      <c r="DP220" s="182">
        <f t="shared" si="364"/>
        <v>0</v>
      </c>
      <c r="DQ220" s="182">
        <f t="shared" si="364"/>
        <v>0</v>
      </c>
      <c r="DR220" s="182">
        <f t="shared" si="364"/>
        <v>0</v>
      </c>
      <c r="DS220" s="182">
        <f t="shared" si="364"/>
        <v>0</v>
      </c>
      <c r="DT220" s="182">
        <f t="shared" si="364"/>
        <v>0</v>
      </c>
      <c r="DU220" s="182">
        <f t="shared" si="364"/>
        <v>0</v>
      </c>
      <c r="DV220" s="182">
        <f t="shared" si="364"/>
        <v>0</v>
      </c>
      <c r="DW220" s="182">
        <f t="shared" si="364"/>
        <v>0</v>
      </c>
      <c r="DX220" s="182">
        <f t="shared" si="364"/>
        <v>0</v>
      </c>
      <c r="DY220" s="182">
        <f t="shared" si="364"/>
        <v>0</v>
      </c>
      <c r="DZ220" s="182">
        <f t="shared" si="364"/>
        <v>0</v>
      </c>
      <c r="EA220" s="182">
        <f t="shared" si="364"/>
        <v>0</v>
      </c>
      <c r="EB220" s="182">
        <f t="shared" si="364"/>
        <v>0</v>
      </c>
      <c r="EC220" s="182">
        <f t="shared" si="364"/>
        <v>0</v>
      </c>
      <c r="ED220" s="182">
        <f t="shared" si="364"/>
        <v>0</v>
      </c>
      <c r="EE220" s="182">
        <f t="shared" si="364"/>
        <v>0</v>
      </c>
      <c r="EF220" s="182">
        <f t="shared" si="364"/>
        <v>0</v>
      </c>
      <c r="EG220" s="182">
        <f t="shared" si="364"/>
        <v>0</v>
      </c>
      <c r="EH220" s="182">
        <f t="shared" si="364"/>
        <v>0</v>
      </c>
      <c r="EI220" s="182">
        <f t="shared" si="364"/>
        <v>0</v>
      </c>
      <c r="EJ220" s="182">
        <f t="shared" si="364"/>
        <v>0</v>
      </c>
      <c r="FY220" s="210">
        <v>215</v>
      </c>
      <c r="FZ220">
        <v>0.8647290547512404</v>
      </c>
      <c r="GA220">
        <v>2.2505477849584219</v>
      </c>
      <c r="GB220">
        <v>1.6642739189358009</v>
      </c>
      <c r="GC220">
        <v>0.86824263806007473</v>
      </c>
      <c r="GD220">
        <v>1.9418278366573878</v>
      </c>
      <c r="GE220">
        <v>4.2061820268111214</v>
      </c>
      <c r="GF220">
        <v>3.6237010618886889</v>
      </c>
      <c r="GG220">
        <v>4.9321551945457216</v>
      </c>
      <c r="GH220">
        <v>6.1731187516649806</v>
      </c>
      <c r="GI220">
        <v>3.3370145308842907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17.429496718559218</v>
      </c>
      <c r="AO221">
        <v>4.1441416486124423</v>
      </c>
      <c r="AP221">
        <v>24.958707798012362</v>
      </c>
      <c r="AQ221">
        <v>23.327341715956543</v>
      </c>
      <c r="AR221">
        <v>3.8675678525195005</v>
      </c>
      <c r="AS221">
        <v>17.121985613444863</v>
      </c>
      <c r="AT221">
        <v>2.9807891203617065</v>
      </c>
      <c r="AU221">
        <v>7.0813586981182404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67">AVERAGE(DF178:DF187)</f>
        <v>0</v>
      </c>
      <c r="DG221" s="182"/>
      <c r="DH221" s="182"/>
      <c r="DI221" s="182"/>
      <c r="DJ221" s="182">
        <f t="shared" ref="DG221:DN221" si="368">AVERAGE(DJ178:DJ187)</f>
        <v>0</v>
      </c>
      <c r="DK221" s="182">
        <f t="shared" si="368"/>
        <v>0</v>
      </c>
      <c r="DL221" s="182">
        <f t="shared" si="368"/>
        <v>0</v>
      </c>
      <c r="DM221" s="182">
        <f t="shared" si="368"/>
        <v>1.0416666666666665</v>
      </c>
      <c r="DN221" s="182">
        <f t="shared" si="368"/>
        <v>0</v>
      </c>
      <c r="DO221" s="182">
        <f t="shared" ref="DO221" si="369">AVERAGE(DO178:DO187)</f>
        <v>0</v>
      </c>
      <c r="DP221" s="182">
        <f t="shared" si="367"/>
        <v>0</v>
      </c>
      <c r="DQ221" s="182">
        <f t="shared" si="367"/>
        <v>0</v>
      </c>
      <c r="DR221" s="182">
        <f t="shared" si="367"/>
        <v>0</v>
      </c>
      <c r="DS221" s="182">
        <f t="shared" si="367"/>
        <v>0</v>
      </c>
      <c r="DT221" s="182">
        <f t="shared" si="367"/>
        <v>0</v>
      </c>
      <c r="DU221" s="182">
        <f t="shared" si="367"/>
        <v>0</v>
      </c>
      <c r="DV221" s="182">
        <f t="shared" si="367"/>
        <v>0</v>
      </c>
      <c r="DW221" s="182">
        <f t="shared" si="367"/>
        <v>0</v>
      </c>
      <c r="DX221" s="182">
        <f t="shared" si="367"/>
        <v>0</v>
      </c>
      <c r="DY221" s="182">
        <f t="shared" si="367"/>
        <v>0</v>
      </c>
      <c r="DZ221" s="182">
        <f t="shared" si="367"/>
        <v>0</v>
      </c>
      <c r="EA221" s="182">
        <f t="shared" si="367"/>
        <v>0</v>
      </c>
      <c r="EB221" s="182">
        <f t="shared" si="367"/>
        <v>0</v>
      </c>
      <c r="EC221" s="182">
        <f t="shared" si="367"/>
        <v>0</v>
      </c>
      <c r="ED221" s="182">
        <f t="shared" si="367"/>
        <v>0</v>
      </c>
      <c r="EE221" s="182">
        <f t="shared" si="367"/>
        <v>0</v>
      </c>
      <c r="EF221" s="182">
        <f t="shared" si="367"/>
        <v>0</v>
      </c>
      <c r="EG221" s="182">
        <f t="shared" si="367"/>
        <v>0</v>
      </c>
      <c r="EH221" s="182">
        <f t="shared" si="367"/>
        <v>0</v>
      </c>
      <c r="EI221" s="182">
        <f t="shared" si="367"/>
        <v>0</v>
      </c>
      <c r="EJ221" s="182">
        <f t="shared" si="367"/>
        <v>0</v>
      </c>
      <c r="FY221" s="210">
        <v>216</v>
      </c>
      <c r="FZ221">
        <v>1.2766444085333657</v>
      </c>
      <c r="GA221">
        <v>2.8456283773169186</v>
      </c>
      <c r="GB221">
        <v>1.9439528838523557</v>
      </c>
      <c r="GC221">
        <v>0.89173099602035055</v>
      </c>
      <c r="GD221">
        <v>1.7187160052972648</v>
      </c>
      <c r="GE221">
        <v>4.5379523441765501</v>
      </c>
      <c r="GF221">
        <v>6.6571504411673841</v>
      </c>
      <c r="GG221">
        <v>7.6316827811788492</v>
      </c>
      <c r="GH221">
        <v>7.0863113803068991</v>
      </c>
      <c r="GI221">
        <v>4.0461164616649485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31.158012288839888</v>
      </c>
      <c r="AO222">
        <v>5.5144291192094759</v>
      </c>
      <c r="AP222">
        <v>38.972333962337792</v>
      </c>
      <c r="AQ222">
        <v>34.313065553669169</v>
      </c>
      <c r="AR222">
        <v>5.2271039585361567</v>
      </c>
      <c r="AS222">
        <v>25.528366593296475</v>
      </c>
      <c r="AT222">
        <v>3.1960461358171379</v>
      </c>
      <c r="AU222">
        <v>1.1649930424094708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1.0563596389826495</v>
      </c>
      <c r="GA222">
        <v>1.5403984358040039</v>
      </c>
      <c r="GB222">
        <v>1.4439041631276459</v>
      </c>
      <c r="GC222">
        <v>1.0270789100652824</v>
      </c>
      <c r="GD222">
        <v>1.7302713190581829</v>
      </c>
      <c r="GE222">
        <v>4.2467958889467878</v>
      </c>
      <c r="GF222">
        <v>5.6911458099787957</v>
      </c>
      <c r="GG222">
        <v>6.8780209552218023</v>
      </c>
      <c r="GH222">
        <v>5.6826837090168185</v>
      </c>
      <c r="GI222">
        <v>3.5091416233209434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29.194680481758077</v>
      </c>
      <c r="AO223">
        <v>5.4462418880480659</v>
      </c>
      <c r="AP223">
        <v>38.886929882735934</v>
      </c>
      <c r="AQ223">
        <v>34.294761645739911</v>
      </c>
      <c r="AR223">
        <v>5.077654380697199</v>
      </c>
      <c r="AS223">
        <v>24.352313964057672</v>
      </c>
      <c r="AT223">
        <v>3.0282017354756037</v>
      </c>
      <c r="AU223">
        <v>-5.4885761617477442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0.84416711646881359</v>
      </c>
      <c r="GA223">
        <v>2.0483568437111845</v>
      </c>
      <c r="GB223">
        <v>1.3930720842906219</v>
      </c>
      <c r="GC223">
        <v>0.71400174310247022</v>
      </c>
      <c r="GD223">
        <v>1.9921707608377472</v>
      </c>
      <c r="GE223">
        <v>4.3094490658855937</v>
      </c>
      <c r="GF223">
        <v>4.3798032913885789</v>
      </c>
      <c r="GG223">
        <v>4.4553427514600781</v>
      </c>
      <c r="GH223">
        <v>3.6512746089800148</v>
      </c>
      <c r="GI223">
        <v>3.0330045510379446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20.466539740896359</v>
      </c>
      <c r="AO224">
        <v>4.2749821443277796</v>
      </c>
      <c r="AP224">
        <v>32.009077031263423</v>
      </c>
      <c r="AQ224">
        <v>27.134775473160875</v>
      </c>
      <c r="AR224">
        <v>3.9992267210295243</v>
      </c>
      <c r="AS224">
        <v>16.991062626884812</v>
      </c>
      <c r="AT224">
        <v>2.951212557028942</v>
      </c>
      <c r="AU224">
        <v>16.790939431025265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0.64466981457838768</v>
      </c>
      <c r="GA224">
        <v>1.8963166755968899</v>
      </c>
      <c r="GB224">
        <v>1.8061525433223937</v>
      </c>
      <c r="GC224">
        <v>1.3024737589178148</v>
      </c>
      <c r="GD224">
        <v>2.1619306389224637</v>
      </c>
      <c r="GE224">
        <v>4.355158794107334</v>
      </c>
      <c r="GF224">
        <v>6.1004954942771734</v>
      </c>
      <c r="GG224">
        <v>7.3058177780782323</v>
      </c>
      <c r="GH224">
        <v>5.5272639450598318</v>
      </c>
      <c r="GI224">
        <v>3.836468964995519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30.845930893725011</v>
      </c>
      <c r="AO225">
        <v>5.4305965459030059</v>
      </c>
      <c r="AP225">
        <v>40.075646150151037</v>
      </c>
      <c r="AQ225">
        <v>34.490329473931084</v>
      </c>
      <c r="AR225">
        <v>5.0303143941385038</v>
      </c>
      <c r="AS225">
        <v>23.372460849664208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7.5367849815570626E-2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1.0971452214807074</v>
      </c>
      <c r="GA225">
        <v>2.1313044259991747</v>
      </c>
      <c r="GB225">
        <v>1.6089455363562986</v>
      </c>
      <c r="GC225">
        <v>0.92941507315114746</v>
      </c>
      <c r="GD225">
        <v>2.0958624239703916</v>
      </c>
      <c r="GE225">
        <v>5.6372454085210784</v>
      </c>
      <c r="GF225">
        <v>9.7251617319476313</v>
      </c>
      <c r="GG225">
        <v>7.3400452152531921</v>
      </c>
      <c r="GH225">
        <v>3.5812990558715949</v>
      </c>
      <c r="GI225">
        <v>4.179704838189279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19.770628141805002</v>
      </c>
      <c r="AO226">
        <v>5.6885339900455358</v>
      </c>
      <c r="AP226">
        <v>47.772967628148265</v>
      </c>
      <c r="AQ226">
        <v>38.006243133352598</v>
      </c>
      <c r="AR226">
        <v>5.3587326648230142</v>
      </c>
      <c r="AS226">
        <v>24.697064304967508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70">((DG213*$H$372)+(DH213*$I$372)+(DI213*$J$372)+(DJ213*$K$372)+(DK213*$L$372)+(DL213*$M$372)+(DM213*$N$372)+(DN213*$O$372)+(DO213*$P$372)+(DP213*$Q$372)+(DQ213*$R$372)+(DR213*$S$372)+(DS213*$T$372)+(DT213*$U$372))/SUM(DG213:DT213)</f>
        <v>6.824876759214836E-2</v>
      </c>
      <c r="DH226" s="205">
        <f>(LN(DG226/DG225))/(DE213-DE212)</f>
        <v>-3.674867126615263E-3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1.0500120286709447</v>
      </c>
      <c r="GA226">
        <v>1.9576624435595629</v>
      </c>
      <c r="GB226">
        <v>1.7695145464474504</v>
      </c>
      <c r="GC226">
        <v>0.73670718023914983</v>
      </c>
      <c r="GD226">
        <v>1.4391502176572666</v>
      </c>
      <c r="GE226">
        <v>3.1891535716629558</v>
      </c>
      <c r="GF226">
        <v>5.9028340646391992</v>
      </c>
      <c r="GG226">
        <v>6.4455343089543637</v>
      </c>
      <c r="GH226">
        <v>3.2342400350301919</v>
      </c>
      <c r="GI226">
        <v>3.0561635570094294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23.894856591254435</v>
      </c>
      <c r="AO227">
        <v>4.8969397742613392</v>
      </c>
      <c r="AP227">
        <v>37.370596791888495</v>
      </c>
      <c r="AQ227">
        <v>30.805958579145056</v>
      </c>
      <c r="AR227">
        <v>4.6067831024696311</v>
      </c>
      <c r="AS227">
        <v>21.190405519440048</v>
      </c>
      <c r="AT227">
        <v>2.881667709173648</v>
      </c>
      <c r="AU227">
        <v>1.8623476530329046</v>
      </c>
      <c r="AV227"/>
      <c r="AW227"/>
      <c r="DE227" s="187">
        <f>DE111</f>
        <v>39714</v>
      </c>
      <c r="DF227" s="205"/>
      <c r="DG227" s="205">
        <f t="shared" si="370"/>
        <v>0.15519114209900142</v>
      </c>
      <c r="DH227" s="205">
        <f t="shared" ref="DH227:DH234" si="371">(LN(DG227/DG226))/(DE214-DE213)</f>
        <v>2.0036540374922487E-2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1.3446778336923506</v>
      </c>
      <c r="GA227">
        <v>1.7547498083974871</v>
      </c>
      <c r="GB227">
        <v>0.84034348121097047</v>
      </c>
      <c r="GC227">
        <v>0.69148137072603133</v>
      </c>
      <c r="GD227">
        <v>2.2484075573663667</v>
      </c>
      <c r="GE227">
        <v>3.9940449206977808</v>
      </c>
      <c r="GF227">
        <v>5.7032768277028545</v>
      </c>
      <c r="GG227">
        <v>6.4908711475323262</v>
      </c>
      <c r="GH227">
        <v>4.9295698074693668</v>
      </c>
      <c r="GI227">
        <v>3.5823639014164663</v>
      </c>
      <c r="GJ227"/>
      <c r="GK227"/>
      <c r="GL227"/>
      <c r="GM227"/>
    </row>
    <row r="228" spans="1:195" s="7" customFormat="1">
      <c r="A228" s="9" t="s">
        <v>60</v>
      </c>
      <c r="B228">
        <v>0.53713474771310921</v>
      </c>
      <c r="C228">
        <v>5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32.174200094090189</v>
      </c>
      <c r="AO228">
        <v>5.8481829325975223</v>
      </c>
      <c r="AP228">
        <v>39.332494161626471</v>
      </c>
      <c r="AQ228">
        <v>34.945637310570504</v>
      </c>
      <c r="AR228">
        <v>5.4706619672832222</v>
      </c>
      <c r="AS228">
        <v>24.413389145275207</v>
      </c>
      <c r="AT228">
        <v>3.3542527963384714</v>
      </c>
      <c r="AU228">
        <v>3.433482617450383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70"/>
        <v>0.24514671837679278</v>
      </c>
      <c r="DH228" s="205">
        <f t="shared" si="371"/>
        <v>1.385452575172348E-2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1.0088881521060911</v>
      </c>
      <c r="GA228">
        <v>2.6828406206221165</v>
      </c>
      <c r="GB228">
        <v>1.8663538279396805</v>
      </c>
      <c r="GC228">
        <v>1.0204753234681274</v>
      </c>
      <c r="GD228">
        <v>3.0259752179828974</v>
      </c>
      <c r="GE228">
        <v>7.4587319603565341</v>
      </c>
      <c r="GF228">
        <v>6.2627063548612467</v>
      </c>
      <c r="GG228">
        <v>4.1220009133089848</v>
      </c>
      <c r="GH228">
        <v>3.2651186981504696</v>
      </c>
      <c r="GI228">
        <v>4.059245426055079</v>
      </c>
      <c r="GJ228"/>
      <c r="GK228"/>
      <c r="GL228"/>
      <c r="GM228"/>
    </row>
    <row r="229" spans="1:195" s="7" customFormat="1">
      <c r="A229" s="90"/>
      <c r="B229">
        <v>0.13992274264173554</v>
      </c>
      <c r="C229">
        <v>4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28.836682661903637</v>
      </c>
      <c r="AO229">
        <v>5.7472207578742518</v>
      </c>
      <c r="AP229">
        <v>41.847997206660267</v>
      </c>
      <c r="AQ229">
        <v>36.033688658204674</v>
      </c>
      <c r="AR229">
        <v>5.5039228200810362</v>
      </c>
      <c r="AS229">
        <v>24.750963100009567</v>
      </c>
      <c r="AT229">
        <v>3.2548344117862977</v>
      </c>
      <c r="AU229">
        <v>-8.496032667404414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70"/>
        <v>0.2537976833591401</v>
      </c>
      <c r="DH229" s="205">
        <f t="shared" si="371"/>
        <v>1.2385909141153352E-3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1.1100659714819807</v>
      </c>
      <c r="GA229">
        <v>3.204798143047713</v>
      </c>
      <c r="GB229">
        <v>1.4206660874944033</v>
      </c>
      <c r="GC229">
        <v>0.38398636776651618</v>
      </c>
      <c r="GD229">
        <v>3.0353247822912088</v>
      </c>
      <c r="GE229">
        <v>6.6268382999574804</v>
      </c>
      <c r="GF229">
        <v>6.8322166495087213</v>
      </c>
      <c r="GG229">
        <v>7.9072995780994662</v>
      </c>
      <c r="GH229">
        <v>4.6184368299753809</v>
      </c>
      <c r="GI229">
        <v>4.3208794934130612</v>
      </c>
      <c r="GJ229"/>
      <c r="GK229"/>
      <c r="GL229"/>
      <c r="GM229"/>
    </row>
    <row r="230" spans="1:195" s="7" customFormat="1">
      <c r="A230" s="77"/>
      <c r="B230">
        <v>4.6226694515282052E-2</v>
      </c>
      <c r="C230">
        <v>9</v>
      </c>
      <c r="D230">
        <v>39646</v>
      </c>
      <c r="E230">
        <v>0</v>
      </c>
      <c r="F230">
        <v>0</v>
      </c>
      <c r="G230">
        <v>31.25</v>
      </c>
      <c r="H230">
        <v>20.833333333333332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20.653830052433772</v>
      </c>
      <c r="AO230">
        <v>5.0939741985279001</v>
      </c>
      <c r="AP230">
        <v>40.937008461138596</v>
      </c>
      <c r="AQ230">
        <v>33.45560626780177</v>
      </c>
      <c r="AR230">
        <v>4.7893146979766072</v>
      </c>
      <c r="AS230">
        <v>23.09982481629444</v>
      </c>
      <c r="AT230">
        <v>3.133075093868527</v>
      </c>
      <c r="AU230">
        <v>-1.9204253722945062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70"/>
        <v>0.27776514522764006</v>
      </c>
      <c r="DH230" s="205">
        <f t="shared" si="371"/>
        <v>3.7599386619748773E-3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0.88506546365580363</v>
      </c>
      <c r="GA230">
        <v>2.6909490788098411</v>
      </c>
      <c r="GB230">
        <v>2.3231350695596031</v>
      </c>
      <c r="GC230">
        <v>1.3157342723791459</v>
      </c>
      <c r="GD230">
        <v>1.4483251940470603</v>
      </c>
      <c r="GE230">
        <v>3.540763151151392</v>
      </c>
      <c r="GF230">
        <v>5.9612873435985527</v>
      </c>
      <c r="GG230">
        <v>3.8997559299088898</v>
      </c>
      <c r="GH230">
        <v>2.2118990352572441</v>
      </c>
      <c r="GI230">
        <v>3.0138166205887451</v>
      </c>
      <c r="GJ230"/>
      <c r="GK230"/>
      <c r="GL230"/>
      <c r="GM230"/>
    </row>
    <row r="231" spans="1:195" s="7" customFormat="1">
      <c r="A231" s="77"/>
      <c r="B231">
        <v>0.1015971771714419</v>
      </c>
      <c r="C231">
        <v>8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21.714436071073273</v>
      </c>
      <c r="AO231">
        <v>4.7915890840579705</v>
      </c>
      <c r="AP231">
        <v>34.265589394628044</v>
      </c>
      <c r="AQ231">
        <v>29.861792799157726</v>
      </c>
      <c r="AR231">
        <v>4.6255029259585871</v>
      </c>
      <c r="AS231">
        <v>20.576085239632114</v>
      </c>
      <c r="AT231">
        <v>3.0768280962539447</v>
      </c>
      <c r="AU231">
        <v>1.231344981497462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 t="str">
        <f>DE151</f>
        <v/>
      </c>
      <c r="DF231" s="205"/>
      <c r="DG231" s="205">
        <f t="shared" si="370"/>
        <v>0.35898162992727084</v>
      </c>
      <c r="DH231" s="205">
        <f t="shared" si="371"/>
        <v>5.3436512865533796E-3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1.2005187363375001</v>
      </c>
      <c r="GA231">
        <v>2.7518978533112288</v>
      </c>
      <c r="GB231">
        <v>1.3941793740088435</v>
      </c>
      <c r="GC231">
        <v>0.40972134030360602</v>
      </c>
      <c r="GD231">
        <v>1.1106379335043775</v>
      </c>
      <c r="GE231">
        <v>3.4223408024728403</v>
      </c>
      <c r="GF231">
        <v>6.781827333462191</v>
      </c>
      <c r="GG231">
        <v>7.2058588757113515</v>
      </c>
      <c r="GH231">
        <v>6.3843381108978168</v>
      </c>
      <c r="GI231">
        <v>3.4673914886050858</v>
      </c>
      <c r="GJ231"/>
      <c r="GK231"/>
      <c r="GL231"/>
      <c r="GM231"/>
    </row>
    <row r="232" spans="1:195" s="7" customFormat="1">
      <c r="A232" s="77"/>
      <c r="B232">
        <v>0.97362236468372654</v>
      </c>
      <c r="C232">
        <v>8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24.007510055304174</v>
      </c>
      <c r="AO232">
        <v>5.9020427300892289</v>
      </c>
      <c r="AP232">
        <v>46.124461142276417</v>
      </c>
      <c r="AQ232">
        <v>38.63588607951489</v>
      </c>
      <c r="AR232">
        <v>5.5544854018561205</v>
      </c>
      <c r="AS232">
        <v>26.520418913817299</v>
      </c>
      <c r="AT232">
        <v>3.9798047060888422</v>
      </c>
      <c r="AU232">
        <v>3.361994867232954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70"/>
        <v>0.60396707327499377</v>
      </c>
      <c r="DH232" s="205">
        <f t="shared" si="371"/>
        <v>8.2579121419595718E-3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1.0913614346136615</v>
      </c>
      <c r="GA232">
        <v>3.0686197592830897</v>
      </c>
      <c r="GB232">
        <v>1.7354365651290997</v>
      </c>
      <c r="GC232">
        <v>0.65607854381021258</v>
      </c>
      <c r="GD232">
        <v>1.4617678492552924</v>
      </c>
      <c r="GE232">
        <v>4.7756320941740444</v>
      </c>
      <c r="GF232">
        <v>8.1882787918482496</v>
      </c>
      <c r="GG232">
        <v>7.9092103852075049</v>
      </c>
      <c r="GH232">
        <v>6.9362112551418971</v>
      </c>
      <c r="GI232">
        <v>4.0860874192832499</v>
      </c>
      <c r="GJ232"/>
      <c r="GK232"/>
      <c r="GL232"/>
      <c r="GM232"/>
    </row>
    <row r="233" spans="1:195" s="7" customFormat="1">
      <c r="A233" s="77"/>
      <c r="B233">
        <v>0.59449358947661857</v>
      </c>
      <c r="C233">
        <v>9</v>
      </c>
      <c r="D233">
        <v>39646</v>
      </c>
      <c r="E233">
        <v>0</v>
      </c>
      <c r="F233">
        <v>0</v>
      </c>
      <c r="G233">
        <v>31.25</v>
      </c>
      <c r="H233">
        <v>20.833333333333332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23.25090749725058</v>
      </c>
      <c r="AO233">
        <v>5.2299956015077331</v>
      </c>
      <c r="AP233">
        <v>38.399905473600093</v>
      </c>
      <c r="AQ233">
        <v>32.805800453522913</v>
      </c>
      <c r="AR233">
        <v>4.8222893723141826</v>
      </c>
      <c r="AS233">
        <v>21.621082568769456</v>
      </c>
      <c r="AT233">
        <v>3.2370942178455056</v>
      </c>
      <c r="AU233">
        <v>-8.6913804435557562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70"/>
        <v>0.70520672406783669</v>
      </c>
      <c r="DH233" s="205">
        <f t="shared" si="371"/>
        <v>3.9736231655051121E-3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0.67933331614260462</v>
      </c>
      <c r="GA233">
        <v>2.7850043032690839</v>
      </c>
      <c r="GB233">
        <v>2.4524040087980312</v>
      </c>
      <c r="GC233">
        <v>0.85665298450246119</v>
      </c>
      <c r="GD233">
        <v>1.0764066135285781</v>
      </c>
      <c r="GE233">
        <v>3.2041023901819736</v>
      </c>
      <c r="GF233">
        <v>4.6907804544140772</v>
      </c>
      <c r="GG233">
        <v>4.4721866889009085</v>
      </c>
      <c r="GH233">
        <v>4.9841353551976546</v>
      </c>
      <c r="GI233">
        <v>3.0100665704455429</v>
      </c>
      <c r="GJ233"/>
      <c r="GK233"/>
      <c r="GL233"/>
      <c r="GM233"/>
    </row>
    <row r="234" spans="1:195" s="7" customFormat="1">
      <c r="A234" s="77"/>
      <c r="B234">
        <v>0.22927850969750119</v>
      </c>
      <c r="C234">
        <v>7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22.837847714099279</v>
      </c>
      <c r="AO234">
        <v>4.4087501500125246</v>
      </c>
      <c r="AP234">
        <v>30.082971814390326</v>
      </c>
      <c r="AQ234">
        <v>26.820642817163048</v>
      </c>
      <c r="AR234">
        <v>4.1784482255516853</v>
      </c>
      <c r="AS234">
        <v>21.373493905623182</v>
      </c>
      <c r="AT234">
        <v>2.8519018675936039</v>
      </c>
      <c r="AU234">
        <v>4.4885606616529623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70"/>
        <v>1.1944339475291872</v>
      </c>
      <c r="DH234" s="205">
        <f t="shared" si="371"/>
        <v>1.3866754805465821E-2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0.63820943957775111</v>
      </c>
      <c r="GA234">
        <v>1.7408427778199382</v>
      </c>
      <c r="GB234">
        <v>1.638867365239542</v>
      </c>
      <c r="GC234">
        <v>1.0600656287109274</v>
      </c>
      <c r="GD234">
        <v>1.6412602284115505</v>
      </c>
      <c r="GE234">
        <v>3.2472447592605644</v>
      </c>
      <c r="GF234">
        <v>7.3999236467263012</v>
      </c>
      <c r="GG234">
        <v>6.9746450603383066</v>
      </c>
      <c r="GH234">
        <v>2.2650090515082337</v>
      </c>
      <c r="GI234">
        <v>3.2165042346142583</v>
      </c>
      <c r="GJ234"/>
      <c r="GK234"/>
      <c r="GL234"/>
      <c r="GM234"/>
    </row>
    <row r="235" spans="1:195" s="7" customFormat="1">
      <c r="A235" s="77"/>
      <c r="B235">
        <v>0.17550116686660466</v>
      </c>
      <c r="C235">
        <v>9</v>
      </c>
      <c r="D235">
        <v>39646</v>
      </c>
      <c r="E235">
        <v>0</v>
      </c>
      <c r="F235">
        <v>0</v>
      </c>
      <c r="G235">
        <v>31.25</v>
      </c>
      <c r="H235">
        <v>20.833333333333332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26.148314403389104</v>
      </c>
      <c r="AO235">
        <v>5.6907980810173893</v>
      </c>
      <c r="AP235">
        <v>40.763093343039209</v>
      </c>
      <c r="AQ235">
        <v>34.936748407856044</v>
      </c>
      <c r="AR235">
        <v>5.3022362517656898</v>
      </c>
      <c r="AS235">
        <v>24.33750486686791</v>
      </c>
      <c r="AT235">
        <v>3.3870071833124058</v>
      </c>
      <c r="AU235">
        <v>-2.1774261526121421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0.60320764394673887</v>
      </c>
      <c r="GA235">
        <v>2.79211481571937</v>
      </c>
      <c r="GB235">
        <v>2.8517827653986192</v>
      </c>
      <c r="GC235">
        <v>1.6480308979300777</v>
      </c>
      <c r="GD235">
        <v>1.8462788707189417</v>
      </c>
      <c r="GE235">
        <v>4.0842911059520821</v>
      </c>
      <c r="GF235">
        <v>5.3738367380134164</v>
      </c>
      <c r="GG235">
        <v>6.0106882929796672</v>
      </c>
      <c r="GH235">
        <v>5.4379421597774416</v>
      </c>
      <c r="GI235">
        <v>3.7405461628159342</v>
      </c>
      <c r="GJ235"/>
      <c r="GK235"/>
      <c r="GL235"/>
      <c r="GM235"/>
    </row>
    <row r="236" spans="1:195" s="7" customFormat="1">
      <c r="A236" s="77"/>
      <c r="B236">
        <v>0.11385332560235906</v>
      </c>
      <c r="C236">
        <v>8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34.56947958420502</v>
      </c>
      <c r="AO236">
        <v>6.1254805523468754</v>
      </c>
      <c r="AP236">
        <v>45.181594910036409</v>
      </c>
      <c r="AQ236">
        <v>38.326128930740495</v>
      </c>
      <c r="AR236">
        <v>5.7013781729929249</v>
      </c>
      <c r="AS236">
        <v>27.910155609804324</v>
      </c>
      <c r="AT236">
        <v>3.7677183366853719</v>
      </c>
      <c r="AU236">
        <v>3.9942782572797908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1.1533855435277371</v>
      </c>
      <c r="GA236">
        <v>2.4329022621672975</v>
      </c>
      <c r="GB236">
        <v>1.9360489167562012</v>
      </c>
      <c r="GC236">
        <v>0.92528093509118747</v>
      </c>
      <c r="GD236">
        <v>1.7731230853568332</v>
      </c>
      <c r="GE236">
        <v>3.5376232552760305</v>
      </c>
      <c r="GF236">
        <v>3.572963520637737</v>
      </c>
      <c r="GG236">
        <v>5.5731087843870837</v>
      </c>
      <c r="GH236">
        <v>4.7559745310729209</v>
      </c>
      <c r="GI236">
        <v>3.1149140133673843</v>
      </c>
      <c r="GJ236"/>
      <c r="GK236"/>
      <c r="GL236"/>
      <c r="GM236"/>
    </row>
    <row r="237" spans="1:195" s="7" customFormat="1">
      <c r="A237" s="77"/>
      <c r="B237">
        <v>0.21113843472593086</v>
      </c>
      <c r="C237">
        <v>3</v>
      </c>
      <c r="D237">
        <v>39646</v>
      </c>
      <c r="E237">
        <v>0</v>
      </c>
      <c r="F237">
        <v>0</v>
      </c>
      <c r="G237">
        <v>0</v>
      </c>
      <c r="H237">
        <v>10.416666666666666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25.252156570484168</v>
      </c>
      <c r="AO237">
        <v>4.502114773531547</v>
      </c>
      <c r="AP237">
        <v>34.614683699078327</v>
      </c>
      <c r="AQ237">
        <v>28.780971953870516</v>
      </c>
      <c r="AR237">
        <v>4.2440389507042351</v>
      </c>
      <c r="AS237">
        <v>20.179307522389262</v>
      </c>
      <c r="AT237">
        <v>2.9169819086726529</v>
      </c>
      <c r="AU237">
        <v>11.227359002469399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0.82337964880852343</v>
      </c>
      <c r="GA237">
        <v>1.1625804004221569</v>
      </c>
      <c r="GB237">
        <v>1.3069527117989947</v>
      </c>
      <c r="GC237">
        <v>0.83348621163513914</v>
      </c>
      <c r="GD237">
        <v>1.4455628669799481</v>
      </c>
      <c r="GE237">
        <v>3.3398313377233264</v>
      </c>
      <c r="GF237">
        <v>5.4079247949110814</v>
      </c>
      <c r="GG237">
        <v>5.0641046511272245</v>
      </c>
      <c r="GH237">
        <v>3.0300083998832159</v>
      </c>
      <c r="GI237">
        <v>2.7979042318531024</v>
      </c>
      <c r="GJ237"/>
      <c r="GK237"/>
      <c r="GL237"/>
      <c r="GM237"/>
    </row>
    <row r="238" spans="1:195" s="7" customFormat="1">
      <c r="A238" s="77"/>
      <c r="B238">
        <v>0.38133631956511271</v>
      </c>
      <c r="C238">
        <v>1</v>
      </c>
      <c r="D238">
        <v>39673</v>
      </c>
      <c r="E238">
        <v>0</v>
      </c>
      <c r="F238">
        <v>0</v>
      </c>
      <c r="G238">
        <v>0</v>
      </c>
      <c r="H238">
        <v>20.833333333333332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28.369256730469964</v>
      </c>
      <c r="AO238">
        <v>5.0806877073861418</v>
      </c>
      <c r="AP238">
        <v>36.336429803682108</v>
      </c>
      <c r="AQ238">
        <v>31.579786656212001</v>
      </c>
      <c r="AR238">
        <v>5.0283490954632741</v>
      </c>
      <c r="AS238">
        <v>25.282847397792217</v>
      </c>
      <c r="AT238">
        <v>3.0620557169900633</v>
      </c>
      <c r="AU238">
        <v>10.980675463097045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1.3710235588418236</v>
      </c>
      <c r="GA238">
        <v>2.0457381645991144</v>
      </c>
      <c r="GB238">
        <v>0.74649232500133245</v>
      </c>
      <c r="GC238">
        <v>0.30875483058063513</v>
      </c>
      <c r="GD238">
        <v>2.1902413980723798</v>
      </c>
      <c r="GE238">
        <v>4.8789522848697588</v>
      </c>
      <c r="GF238">
        <v>3.93477049469801</v>
      </c>
      <c r="GG238">
        <v>4.525976994121681</v>
      </c>
      <c r="GH238">
        <v>2.971114878241532</v>
      </c>
      <c r="GI238">
        <v>2.8788987062145703</v>
      </c>
      <c r="GJ238"/>
      <c r="GK238"/>
      <c r="GL238"/>
      <c r="GM238"/>
    </row>
    <row r="239" spans="1:195" s="7" customFormat="1">
      <c r="A239" s="77" t="s">
        <v>61</v>
      </c>
      <c r="B239">
        <v>0.64728062682192467</v>
      </c>
      <c r="C239">
        <v>10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37.743155809332279</v>
      </c>
      <c r="AO239">
        <v>5.9609428565015916</v>
      </c>
      <c r="AP239">
        <v>37.494347589673566</v>
      </c>
      <c r="AQ239">
        <v>34.772336494851231</v>
      </c>
      <c r="AR239">
        <v>5.4948888394829432</v>
      </c>
      <c r="AS239">
        <v>27.048060644881538</v>
      </c>
      <c r="AT239">
        <v>3.6556759480612975</v>
      </c>
      <c r="AU239">
        <v>11.04288870893568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1.1324853111785151</v>
      </c>
      <c r="GA239">
        <v>2.9895600872434884</v>
      </c>
      <c r="GB239">
        <v>1.6637754540846941</v>
      </c>
      <c r="GC239">
        <v>0.85930446098092017</v>
      </c>
      <c r="GD239">
        <v>1.1499178618681674</v>
      </c>
      <c r="GE239">
        <v>2.8851113782210906</v>
      </c>
      <c r="GF239">
        <v>9.4173599579882552</v>
      </c>
      <c r="GG239">
        <v>9.2966513772269046</v>
      </c>
      <c r="GH239">
        <v>4.7014003455074072</v>
      </c>
      <c r="GI239">
        <v>3.7725721242330406</v>
      </c>
      <c r="GJ239"/>
      <c r="GK239"/>
      <c r="GL239"/>
      <c r="GM239"/>
    </row>
    <row r="240" spans="1:195" s="7" customFormat="1">
      <c r="A240" s="77" t="s">
        <v>62</v>
      </c>
      <c r="B240">
        <v>0.12093612078322025</v>
      </c>
      <c r="C240">
        <v>1</v>
      </c>
      <c r="D240">
        <v>39673</v>
      </c>
      <c r="E240">
        <v>0</v>
      </c>
      <c r="F240">
        <v>0</v>
      </c>
      <c r="G240">
        <v>0</v>
      </c>
      <c r="H240">
        <v>20.833333333333332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31.017045947652566</v>
      </c>
      <c r="AO240">
        <v>6.4605265423475684</v>
      </c>
      <c r="AP240">
        <v>44.110272950583095</v>
      </c>
      <c r="AQ240">
        <v>39.460512203035933</v>
      </c>
      <c r="AR240">
        <v>5.9983726398300439</v>
      </c>
      <c r="AS240">
        <v>28.553405875198582</v>
      </c>
      <c r="AT240">
        <v>3.6100225320201926</v>
      </c>
      <c r="AU240">
        <v>-0.80060407304930514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2.083333333333333</v>
      </c>
      <c r="DH240" s="182">
        <v>7.2916666666666661</v>
      </c>
      <c r="DI240" s="182">
        <v>9.3749999999999982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0.65877137786017781</v>
      </c>
      <c r="GA240">
        <v>1.9008908477257915</v>
      </c>
      <c r="GB240">
        <v>2.0002157554671829</v>
      </c>
      <c r="GC240">
        <v>1.0767306996756438</v>
      </c>
      <c r="GD240">
        <v>2.0915034760620048</v>
      </c>
      <c r="GE240">
        <v>4.4400958534317203</v>
      </c>
      <c r="GF240">
        <v>6.6617482484450257</v>
      </c>
      <c r="GG240">
        <v>10.03071282787532</v>
      </c>
      <c r="GH240">
        <v>7.7633559936643781</v>
      </c>
      <c r="GI240">
        <v>4.3076325155996686</v>
      </c>
      <c r="GJ240"/>
      <c r="GK240"/>
      <c r="GL240"/>
      <c r="GM240"/>
    </row>
    <row r="241" spans="1:195" s="7" customFormat="1">
      <c r="A241" s="77"/>
      <c r="B241">
        <v>5.9951378477799189E-2</v>
      </c>
      <c r="C241">
        <v>8</v>
      </c>
      <c r="D241">
        <v>39673</v>
      </c>
      <c r="E241">
        <v>0</v>
      </c>
      <c r="F241">
        <v>0</v>
      </c>
      <c r="G241">
        <v>0</v>
      </c>
      <c r="H241">
        <v>20.833333333333332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22.049004815715158</v>
      </c>
      <c r="AO241">
        <v>4.3902243826003602</v>
      </c>
      <c r="AP241">
        <v>32.284766654451438</v>
      </c>
      <c r="AQ241">
        <v>27.290731158956273</v>
      </c>
      <c r="AR241">
        <v>4.0822680636288933</v>
      </c>
      <c r="AS241">
        <v>19.490813447534961</v>
      </c>
      <c r="AT241">
        <v>2.9407658703681867</v>
      </c>
      <c r="AU241">
        <v>2.9229185770884416</v>
      </c>
      <c r="AV241"/>
      <c r="AW241"/>
      <c r="DE241" s="187">
        <v>39673</v>
      </c>
      <c r="DF241" s="185">
        <v>0</v>
      </c>
      <c r="DG241" s="185">
        <v>0</v>
      </c>
      <c r="DH241" s="185">
        <v>7.291666666666667</v>
      </c>
      <c r="DI241" s="185">
        <v>4.1666666666666661</v>
      </c>
      <c r="DJ241" s="185">
        <v>0</v>
      </c>
      <c r="DK241" s="185">
        <v>0</v>
      </c>
      <c r="DL241" s="185">
        <v>0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1.2551803527394849</v>
      </c>
      <c r="GA241">
        <v>2.1269696927197392</v>
      </c>
      <c r="GB241">
        <v>1.6508417017341084</v>
      </c>
      <c r="GC241">
        <v>0.91937229341244331</v>
      </c>
      <c r="GD241">
        <v>1.9589015850074776</v>
      </c>
      <c r="GE241">
        <v>3.8410438655043535</v>
      </c>
      <c r="GF241">
        <v>4.3684395576104897</v>
      </c>
      <c r="GG241">
        <v>5.311526894932264</v>
      </c>
      <c r="GH241">
        <v>3.7754065331938369</v>
      </c>
      <c r="GI241">
        <v>3.1628526110778119</v>
      </c>
      <c r="GJ241"/>
      <c r="GK241"/>
      <c r="GL241"/>
      <c r="GM241"/>
    </row>
    <row r="242" spans="1:195" s="7" customFormat="1">
      <c r="A242" s="1"/>
      <c r="B242">
        <v>0.26570591277377376</v>
      </c>
      <c r="C242">
        <v>1</v>
      </c>
      <c r="D242">
        <v>39673</v>
      </c>
      <c r="E242">
        <v>0</v>
      </c>
      <c r="F242">
        <v>0</v>
      </c>
      <c r="G242">
        <v>0</v>
      </c>
      <c r="H242">
        <v>20.833333333333332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23.98665595250193</v>
      </c>
      <c r="AO242">
        <v>4.9974668124920951</v>
      </c>
      <c r="AP242">
        <v>42.144153858944762</v>
      </c>
      <c r="AQ242">
        <v>34.128711848614842</v>
      </c>
      <c r="AR242">
        <v>4.7696305489939039</v>
      </c>
      <c r="AS242">
        <v>21.742135901694549</v>
      </c>
      <c r="AT242">
        <v>3.0461004280268522</v>
      </c>
      <c r="AU242">
        <v>2.5684787899263926</v>
      </c>
      <c r="AV242"/>
      <c r="AW242"/>
      <c r="BI242" s="162"/>
      <c r="DE242" s="187">
        <v>39714</v>
      </c>
      <c r="DF242" s="182">
        <v>6.510416666666667</v>
      </c>
      <c r="DG242" s="182">
        <v>8.928571428571427</v>
      </c>
      <c r="DH242" s="182">
        <v>1.0416666666666665</v>
      </c>
      <c r="DI242" s="182">
        <v>17.708333333333336</v>
      </c>
      <c r="DJ242" s="182">
        <v>1.0416666666666665</v>
      </c>
      <c r="DK242" s="182">
        <v>0</v>
      </c>
      <c r="DL242" s="182">
        <v>1.0416666666666665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1.3778222279092553</v>
      </c>
      <c r="GA242">
        <v>1.8559090370087017</v>
      </c>
      <c r="GB242">
        <v>1.109697050509864</v>
      </c>
      <c r="GC242">
        <v>0.747683406666526</v>
      </c>
      <c r="GD242">
        <v>2.2478508747076598</v>
      </c>
      <c r="GE242">
        <v>5.9828898660430347</v>
      </c>
      <c r="GF242">
        <v>8.1428348380657329</v>
      </c>
      <c r="GG242">
        <v>4.7242230913054399</v>
      </c>
      <c r="GH242">
        <v>0.96625646741161031</v>
      </c>
      <c r="GI242">
        <v>3.4844803827563693</v>
      </c>
      <c r="GJ242"/>
      <c r="GK242"/>
      <c r="GL242"/>
      <c r="GM242"/>
    </row>
    <row r="243" spans="1:195" s="7" customFormat="1">
      <c r="A243" s="1"/>
      <c r="B243">
        <v>0.64563462550410744</v>
      </c>
      <c r="C243">
        <v>10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26.148476567613773</v>
      </c>
      <c r="AO243">
        <v>5.9830167776310637</v>
      </c>
      <c r="AP243">
        <v>48.457793130415602</v>
      </c>
      <c r="AQ243">
        <v>39.908684097746303</v>
      </c>
      <c r="AR243">
        <v>5.5703801481027293</v>
      </c>
      <c r="AS243">
        <v>26.070850331168788</v>
      </c>
      <c r="AT243">
        <v>3.5338197619169454</v>
      </c>
      <c r="AU243">
        <v>-0.38424447319826616</v>
      </c>
      <c r="AV243"/>
      <c r="AW243"/>
      <c r="DE243" s="187">
        <v>39747</v>
      </c>
      <c r="DF243" s="182">
        <v>0</v>
      </c>
      <c r="DG243" s="182">
        <v>0</v>
      </c>
      <c r="DH243" s="182">
        <v>0</v>
      </c>
      <c r="DI243" s="182">
        <v>1.0416666666666665</v>
      </c>
      <c r="DJ243" s="182">
        <v>8.8068181818181834</v>
      </c>
      <c r="DK243" s="182">
        <v>0</v>
      </c>
      <c r="DL243" s="182">
        <v>0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1.1859661142999827</v>
      </c>
      <c r="GA243">
        <v>1.0256862975908363</v>
      </c>
      <c r="GB243">
        <v>0.74758872437196877</v>
      </c>
      <c r="GC243">
        <v>0.94607701055388738</v>
      </c>
      <c r="GD243">
        <v>2.1739236956269448</v>
      </c>
      <c r="GE243">
        <v>6.2761854483164559</v>
      </c>
      <c r="GF243">
        <v>6.2079618700731576</v>
      </c>
      <c r="GG243">
        <v>2.3893405256488167</v>
      </c>
      <c r="GH243">
        <v>2.2627833390820844</v>
      </c>
      <c r="GI243">
        <v>3.1562836238857117</v>
      </c>
      <c r="GJ243"/>
      <c r="GK243"/>
      <c r="GL243"/>
      <c r="GM243"/>
    </row>
    <row r="244" spans="1:195" s="7" customFormat="1">
      <c r="A244" s="1"/>
      <c r="B244">
        <v>0.86684860380390938</v>
      </c>
      <c r="C244">
        <v>10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20.986196588678204</v>
      </c>
      <c r="AO244">
        <v>4.2973171216493364</v>
      </c>
      <c r="AP244">
        <v>34.686645917719247</v>
      </c>
      <c r="AQ244">
        <v>28.211072685380916</v>
      </c>
      <c r="AR244">
        <v>4.1306784168655195</v>
      </c>
      <c r="AS244">
        <v>20.134969202380265</v>
      </c>
      <c r="AT244">
        <v>2.7626186206168111</v>
      </c>
      <c r="AU244">
        <v>3.804089576338189</v>
      </c>
      <c r="AV244"/>
      <c r="AW244"/>
      <c r="DE244" s="187">
        <v>39775</v>
      </c>
      <c r="DF244" s="182">
        <v>0</v>
      </c>
      <c r="DG244" s="182">
        <v>0</v>
      </c>
      <c r="DH244" s="182">
        <v>1.0416666666666665</v>
      </c>
      <c r="DI244" s="182">
        <v>2.083333333333333</v>
      </c>
      <c r="DJ244" s="182">
        <v>7.6388888888888884</v>
      </c>
      <c r="DK244" s="182">
        <v>1.0416666666666665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1.6259718299567569</v>
      </c>
      <c r="GA244">
        <v>3.7142073734686551</v>
      </c>
      <c r="GB244">
        <v>1.4893129903665279</v>
      </c>
      <c r="GC244">
        <v>0.39464091235793936</v>
      </c>
      <c r="GD244">
        <v>2.2295832291718845</v>
      </c>
      <c r="GE244">
        <v>5.6415625396900104</v>
      </c>
      <c r="GF244">
        <v>6.2353189390697201</v>
      </c>
      <c r="GG244">
        <v>6.5106737841863822</v>
      </c>
      <c r="GH244">
        <v>4.7345047210538347</v>
      </c>
      <c r="GI244">
        <v>3.8384429494752665</v>
      </c>
      <c r="GJ244"/>
      <c r="GK244"/>
      <c r="GL244"/>
      <c r="GM244"/>
    </row>
    <row r="245" spans="1:195" s="7" customFormat="1">
      <c r="A245" s="1"/>
      <c r="B245">
        <v>0.37174200723126138</v>
      </c>
      <c r="C245">
        <v>10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21.2184840202675</v>
      </c>
      <c r="AO245">
        <v>4.8132544304068992</v>
      </c>
      <c r="AP245">
        <v>35.735367996032267</v>
      </c>
      <c r="AQ245">
        <v>29.822572192207375</v>
      </c>
      <c r="AR245">
        <v>4.4546567138378697</v>
      </c>
      <c r="AS245">
        <v>21.144807477896158</v>
      </c>
      <c r="AT245">
        <v>2.9655076748067906</v>
      </c>
      <c r="AU245">
        <v>-2.2264581202348888</v>
      </c>
      <c r="AV245"/>
      <c r="AW245"/>
      <c r="DE245" s="187">
        <v>39799</v>
      </c>
      <c r="DF245" s="182">
        <v>0</v>
      </c>
      <c r="DG245" s="182">
        <v>0</v>
      </c>
      <c r="DH245" s="182">
        <v>29.24465240641711</v>
      </c>
      <c r="DI245" s="182">
        <v>9.8443223443223449</v>
      </c>
      <c r="DJ245" s="182">
        <v>17.934149184149184</v>
      </c>
      <c r="DK245" s="182">
        <v>9.4150641025641022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0">
        <v>240</v>
      </c>
      <c r="FZ245">
        <v>1.0088881521060911</v>
      </c>
      <c r="GA245">
        <v>2.0810669605553311</v>
      </c>
      <c r="GB245">
        <v>1.6839257681282205</v>
      </c>
      <c r="GC245">
        <v>0.74014471110318114</v>
      </c>
      <c r="GD245">
        <v>1.532472088107165</v>
      </c>
      <c r="GE245">
        <v>4.4140497064141773</v>
      </c>
      <c r="GF245">
        <v>7.0669858943357955</v>
      </c>
      <c r="GG245">
        <v>5.6455404976417656</v>
      </c>
      <c r="GH245">
        <v>4.1250231696266706</v>
      </c>
      <c r="GI245">
        <v>3.4488358730935542</v>
      </c>
      <c r="GJ245"/>
      <c r="GK245"/>
      <c r="GL245"/>
      <c r="GM245"/>
    </row>
    <row r="246" spans="1:195" s="7" customFormat="1">
      <c r="A246" s="1"/>
      <c r="B246">
        <v>0.50665750508697216</v>
      </c>
      <c r="C246">
        <v>6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27.154922003580488</v>
      </c>
      <c r="AO246">
        <v>5.5359963206474898</v>
      </c>
      <c r="AP246">
        <v>40.686818509102665</v>
      </c>
      <c r="AQ246">
        <v>34.388719453252286</v>
      </c>
      <c r="AR246">
        <v>5.1231770594073236</v>
      </c>
      <c r="AS246">
        <v>24.966174695476198</v>
      </c>
      <c r="AT246">
        <v>3.5969282038779675</v>
      </c>
      <c r="AU246">
        <v>6.6683663231144115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2.6041666666666665</v>
      </c>
      <c r="DJ246" s="182">
        <v>7.8125</v>
      </c>
      <c r="DK246" s="182">
        <v>6.5104166666666661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1.056585168360513</v>
      </c>
      <c r="GA246">
        <v>2.6910541793473359</v>
      </c>
      <c r="GB246">
        <v>1.2569688980638067</v>
      </c>
      <c r="GC246">
        <v>0.71925918845083703</v>
      </c>
      <c r="GD246">
        <v>2.0040051353994026</v>
      </c>
      <c r="GE246">
        <v>3.5061855132394952</v>
      </c>
      <c r="GF246">
        <v>3.8806979836842248</v>
      </c>
      <c r="GG246">
        <v>9.016572420380033</v>
      </c>
      <c r="GH246">
        <v>8.8356659918999867</v>
      </c>
      <c r="GI246">
        <v>3.7885731039500929</v>
      </c>
      <c r="GJ246"/>
      <c r="GK246"/>
      <c r="GL246"/>
      <c r="GM246"/>
    </row>
    <row r="247" spans="1:195" s="7" customFormat="1">
      <c r="A247" s="77" t="s">
        <v>61</v>
      </c>
      <c r="B247">
        <v>0.11964422235175776</v>
      </c>
      <c r="C247">
        <v>6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23.402625892828489</v>
      </c>
      <c r="AO247">
        <v>4.5969035774405711</v>
      </c>
      <c r="AP247">
        <v>33.434910664240441</v>
      </c>
      <c r="AQ247">
        <v>28.775324847640412</v>
      </c>
      <c r="AR247">
        <v>4.345867697734926</v>
      </c>
      <c r="AS247">
        <v>20.660310697544414</v>
      </c>
      <c r="AT247">
        <v>2.9664570806890089</v>
      </c>
      <c r="AU247">
        <v>13.049435229042965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11.458333333333334</v>
      </c>
      <c r="DJ247" s="182">
        <v>2.083333333333333</v>
      </c>
      <c r="DK247" s="182">
        <v>6.25</v>
      </c>
      <c r="DL247" s="182">
        <v>4.9242424242424239</v>
      </c>
      <c r="DM247" s="182">
        <v>1.0416666666666665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1.1243930641416344</v>
      </c>
      <c r="GA247">
        <v>2.0035164130545526</v>
      </c>
      <c r="GB247">
        <v>1.4749276650319885</v>
      </c>
      <c r="GC247">
        <v>0.72972857153902004</v>
      </c>
      <c r="GD247">
        <v>1.9292066118033446</v>
      </c>
      <c r="GE247">
        <v>7.0937860691015135</v>
      </c>
      <c r="GF247">
        <v>10.478785600172513</v>
      </c>
      <c r="GG247">
        <v>5.7302641000186769</v>
      </c>
      <c r="GH247">
        <v>2.7424474938955639</v>
      </c>
      <c r="GI247">
        <v>4.0420560130826519</v>
      </c>
      <c r="GJ247"/>
      <c r="GK247"/>
      <c r="GL247"/>
      <c r="GM247"/>
    </row>
    <row r="248" spans="1:195" s="7" customFormat="1">
      <c r="A248" s="77" t="s">
        <v>62</v>
      </c>
      <c r="B248">
        <v>0.12417447437390305</v>
      </c>
      <c r="C248">
        <v>9</v>
      </c>
      <c r="D248">
        <v>39714</v>
      </c>
      <c r="E248">
        <v>0</v>
      </c>
      <c r="F248">
        <v>0</v>
      </c>
      <c r="G248">
        <v>0</v>
      </c>
      <c r="H248">
        <v>10.416666666666666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21.851388731297209</v>
      </c>
      <c r="AO248">
        <v>4.0905531994599391</v>
      </c>
      <c r="AP248">
        <v>29.739162438598058</v>
      </c>
      <c r="AQ248">
        <v>25.211735255142713</v>
      </c>
      <c r="AR248">
        <v>3.8528170670344037</v>
      </c>
      <c r="AS248">
        <v>18.565005437734687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8.1018518518518512</v>
      </c>
      <c r="DH248" s="182">
        <v>8.1018518518518512</v>
      </c>
      <c r="DI248" s="182">
        <v>2.083333333333333</v>
      </c>
      <c r="DJ248" s="182">
        <v>3.125</v>
      </c>
      <c r="DK248" s="182">
        <v>5.208333333333333</v>
      </c>
      <c r="DL248" s="182">
        <v>2.083333333333333</v>
      </c>
      <c r="DM248" s="182">
        <v>2.083333333333333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0">
        <v>243</v>
      </c>
      <c r="FZ248">
        <v>0.97377359178614697</v>
      </c>
      <c r="GA248">
        <v>2.629084776258833</v>
      </c>
      <c r="GB248">
        <v>1.9017334240532635</v>
      </c>
      <c r="GC248">
        <v>0.82889073784453671</v>
      </c>
      <c r="GD248">
        <v>2.5135533642614138</v>
      </c>
      <c r="GE248">
        <v>4.8455160393778112</v>
      </c>
      <c r="GF248">
        <v>4.3179746838380035</v>
      </c>
      <c r="GG248">
        <v>7.2763906390118676</v>
      </c>
      <c r="GH248">
        <v>5.4612207817037612</v>
      </c>
      <c r="GI248">
        <v>3.7836217674731514</v>
      </c>
      <c r="GJ248"/>
      <c r="GK248"/>
      <c r="GL248"/>
      <c r="GM248"/>
    </row>
    <row r="249" spans="1:195" s="7" customFormat="1">
      <c r="A249" s="1"/>
      <c r="B249">
        <v>0.29948993633292575</v>
      </c>
      <c r="C249">
        <v>9</v>
      </c>
      <c r="D249">
        <v>39714</v>
      </c>
      <c r="E249">
        <v>0</v>
      </c>
      <c r="F249">
        <v>0</v>
      </c>
      <c r="G249">
        <v>0</v>
      </c>
      <c r="H249">
        <v>10.416666666666666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29.987902017167109</v>
      </c>
      <c r="AO249">
        <v>4.2749801275217303</v>
      </c>
      <c r="AP249">
        <v>27.926700977807137</v>
      </c>
      <c r="AQ249">
        <v>25.851963635240839</v>
      </c>
      <c r="AR249">
        <v>3.9717723587319904</v>
      </c>
      <c r="AS249">
        <v>19.689567213443667</v>
      </c>
      <c r="AT249">
        <v>2.4901041123981416</v>
      </c>
      <c r="AU249">
        <v>5.2292943810894394</v>
      </c>
      <c r="AV249"/>
      <c r="AW249"/>
      <c r="DE249" s="187">
        <v>39987</v>
      </c>
      <c r="DF249" s="182">
        <v>0</v>
      </c>
      <c r="DG249" s="182">
        <v>0</v>
      </c>
      <c r="DH249" s="182">
        <v>7.7570921985815602</v>
      </c>
      <c r="DI249" s="182">
        <v>5.6089743589743595</v>
      </c>
      <c r="DJ249" s="182">
        <v>0</v>
      </c>
      <c r="DK249" s="182">
        <v>0</v>
      </c>
      <c r="DL249" s="182">
        <v>0</v>
      </c>
      <c r="DM249" s="182">
        <v>1.0416666666666665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1.2148458289971538</v>
      </c>
      <c r="GA249">
        <v>2.9613214295862464</v>
      </c>
      <c r="GB249">
        <v>1.773682400899891</v>
      </c>
      <c r="GC249">
        <v>0.50393217202982776</v>
      </c>
      <c r="GD249">
        <v>3.1091268635450016</v>
      </c>
      <c r="GE249">
        <v>6.5057264069157164</v>
      </c>
      <c r="GF249">
        <v>3.4715135874084551</v>
      </c>
      <c r="GG249">
        <v>3.4371609390166764</v>
      </c>
      <c r="GH249">
        <v>2.5783591035911426</v>
      </c>
      <c r="GI249">
        <v>3.5316180334423213</v>
      </c>
      <c r="GJ249"/>
      <c r="GK249"/>
      <c r="GL249"/>
      <c r="GM249"/>
    </row>
    <row r="250" spans="1:195" s="7" customFormat="1">
      <c r="A250" s="1"/>
      <c r="B250">
        <v>0.91399144104084495</v>
      </c>
      <c r="C250">
        <v>8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21.914510836385837</v>
      </c>
      <c r="AO250">
        <v>5.6031137908654838</v>
      </c>
      <c r="AP250">
        <v>47.330145628024326</v>
      </c>
      <c r="AQ250">
        <v>37.868138358532484</v>
      </c>
      <c r="AR250">
        <v>5.1947952172307614</v>
      </c>
      <c r="AS250">
        <v>28.563745857960622</v>
      </c>
      <c r="AT250">
        <v>3.7556305974388056</v>
      </c>
      <c r="AU250">
        <v>5.3533186749025976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1.173834717121232</v>
      </c>
      <c r="GA250">
        <v>1.685725697276603</v>
      </c>
      <c r="GB250">
        <v>1.0233564062149858</v>
      </c>
      <c r="GC250">
        <v>0.66649468337437356</v>
      </c>
      <c r="GD250">
        <v>2.1486626806476474</v>
      </c>
      <c r="GE250">
        <v>5.258514432621979</v>
      </c>
      <c r="GF250">
        <v>7.1931408054213524</v>
      </c>
      <c r="GG250">
        <v>6.6952461050006313</v>
      </c>
      <c r="GH250">
        <v>3.541806581722406</v>
      </c>
      <c r="GI250">
        <v>3.5901412407894715</v>
      </c>
      <c r="GJ250"/>
      <c r="GK250"/>
      <c r="GL250"/>
      <c r="GM250"/>
    </row>
    <row r="251" spans="1:195" s="7" customFormat="1">
      <c r="A251" s="1"/>
      <c r="B251">
        <v>0.99368176432130895</v>
      </c>
      <c r="C251">
        <v>1</v>
      </c>
      <c r="D251">
        <v>39714</v>
      </c>
      <c r="E251">
        <v>65.104166666666671</v>
      </c>
      <c r="F251">
        <v>0</v>
      </c>
      <c r="G251">
        <v>0</v>
      </c>
      <c r="H251">
        <v>31.25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29.203834811224901</v>
      </c>
      <c r="AO251">
        <v>6.441156174269028</v>
      </c>
      <c r="AP251">
        <v>49.025002839532149</v>
      </c>
      <c r="AQ251">
        <v>40.931657595806918</v>
      </c>
      <c r="AR251">
        <v>6.0129014380011139</v>
      </c>
      <c r="AS251">
        <v>26.658768221742996</v>
      </c>
      <c r="AT251">
        <v>3.7862793370365271</v>
      </c>
      <c r="AU251">
        <v>7.218974739862337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1.3099015674392021</v>
      </c>
      <c r="GA251">
        <v>3.2266919637885327</v>
      </c>
      <c r="GB251">
        <v>2.0519338522191775</v>
      </c>
      <c r="GC251">
        <v>0.83464415456171048</v>
      </c>
      <c r="GD251">
        <v>1.4099802432570709</v>
      </c>
      <c r="GE251">
        <v>2.8248162646859858</v>
      </c>
      <c r="GF251">
        <v>3.7482705747276368</v>
      </c>
      <c r="GG251">
        <v>3.0102918350771071</v>
      </c>
      <c r="GH251">
        <v>1.3367808889312878</v>
      </c>
      <c r="GI251">
        <v>2.4449763503711059</v>
      </c>
      <c r="GJ251"/>
      <c r="GK251"/>
      <c r="GL251"/>
      <c r="GM251"/>
    </row>
    <row r="252" spans="1:195" s="7" customFormat="1">
      <c r="A252" s="1"/>
      <c r="B252">
        <v>0.42825452686043319</v>
      </c>
      <c r="C252">
        <v>3</v>
      </c>
      <c r="D252">
        <v>39714</v>
      </c>
      <c r="E252">
        <v>0</v>
      </c>
      <c r="F252">
        <v>0</v>
      </c>
      <c r="G252">
        <v>10.416666666666666</v>
      </c>
      <c r="H252">
        <v>31.25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24.316804724140063</v>
      </c>
      <c r="AO252">
        <v>4.6265031001322487</v>
      </c>
      <c r="AP252">
        <v>32.429651015219591</v>
      </c>
      <c r="AQ252">
        <v>28.370535087932012</v>
      </c>
      <c r="AR252">
        <v>4.4015327241671045</v>
      </c>
      <c r="AS252">
        <v>20.947220150080604</v>
      </c>
      <c r="AT252">
        <v>2.8908820663857031</v>
      </c>
      <c r="AU252">
        <v>7.4132079733086433</v>
      </c>
      <c r="AV252"/>
      <c r="AW252"/>
      <c r="FY252" s="210">
        <v>247</v>
      </c>
      <c r="FZ252">
        <v>1.233324836487609</v>
      </c>
      <c r="GA252">
        <v>1.2557227213363411</v>
      </c>
      <c r="GB252">
        <v>1.0193587227999994</v>
      </c>
      <c r="GC252">
        <v>0.87978198816964304</v>
      </c>
      <c r="GD252">
        <v>0.68874342344610895</v>
      </c>
      <c r="GE252">
        <v>1.6345499167933015</v>
      </c>
      <c r="GF252">
        <v>7.9054115542928045</v>
      </c>
      <c r="GG252">
        <v>7.9440839738238376</v>
      </c>
      <c r="GH252">
        <v>4.0944420576766074</v>
      </c>
      <c r="GI252">
        <v>2.9782704643423128</v>
      </c>
      <c r="GJ252"/>
      <c r="GK252"/>
      <c r="GL252"/>
      <c r="GM252"/>
    </row>
    <row r="253" spans="1:195" s="7" customFormat="1">
      <c r="A253" s="1"/>
      <c r="B253">
        <v>0.23319064322419569</v>
      </c>
      <c r="C253">
        <v>4</v>
      </c>
      <c r="D253">
        <v>39714</v>
      </c>
      <c r="E253">
        <v>0</v>
      </c>
      <c r="F253">
        <v>0</v>
      </c>
      <c r="G253">
        <v>0</v>
      </c>
      <c r="H253">
        <v>52.083333333333336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25.998140995236973</v>
      </c>
      <c r="AO253">
        <v>5.1591363152949512</v>
      </c>
      <c r="AP253">
        <v>34.097059245641205</v>
      </c>
      <c r="AQ253">
        <v>30.639647242384196</v>
      </c>
      <c r="AR253">
        <v>4.7083115988318776</v>
      </c>
      <c r="AS253">
        <v>21.715294503919051</v>
      </c>
      <c r="AT253">
        <v>3.1948498050578777</v>
      </c>
      <c r="AU253">
        <v>2.843541376731479</v>
      </c>
      <c r="AV253"/>
      <c r="AW253"/>
      <c r="FY253" s="210">
        <v>248</v>
      </c>
      <c r="FZ253">
        <v>0.85017643271372323</v>
      </c>
      <c r="GA253">
        <v>2.608555463144512</v>
      </c>
      <c r="GB253">
        <v>2.3044233260996316</v>
      </c>
      <c r="GC253">
        <v>1.059607426542261</v>
      </c>
      <c r="GD253">
        <v>1.9705936564006206</v>
      </c>
      <c r="GE253">
        <v>4.6497356242160093</v>
      </c>
      <c r="GF253">
        <v>4.8591497811696076</v>
      </c>
      <c r="GG253">
        <v>6.4629855247005858</v>
      </c>
      <c r="GH253">
        <v>5.6851048380321485</v>
      </c>
      <c r="GI253">
        <v>3.6703041870459656</v>
      </c>
      <c r="GJ253"/>
      <c r="GK253"/>
      <c r="GL253"/>
      <c r="GM253"/>
    </row>
    <row r="254" spans="1:195" s="7" customFormat="1">
      <c r="A254" s="1"/>
      <c r="B254">
        <v>0.16742093171626404</v>
      </c>
      <c r="C254">
        <v>6</v>
      </c>
      <c r="D254">
        <v>39714</v>
      </c>
      <c r="E254">
        <v>0</v>
      </c>
      <c r="F254">
        <v>0</v>
      </c>
      <c r="G254">
        <v>0</v>
      </c>
      <c r="H254">
        <v>20.833333333333332</v>
      </c>
      <c r="I254">
        <v>0</v>
      </c>
      <c r="J254">
        <v>0</v>
      </c>
      <c r="K254">
        <v>10.416666666666666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18.987866300366303</v>
      </c>
      <c r="AO254">
        <v>4.5893375930628979</v>
      </c>
      <c r="AP254">
        <v>27.920447765119633</v>
      </c>
      <c r="AQ254">
        <v>26.371796649449845</v>
      </c>
      <c r="AR254">
        <v>4.1854323988435969</v>
      </c>
      <c r="AS254">
        <v>22.414464851280549</v>
      </c>
      <c r="AT254">
        <v>3.1920645131001049</v>
      </c>
      <c r="AU254">
        <v>6.3175717504222311</v>
      </c>
      <c r="AV254"/>
      <c r="AW254"/>
      <c r="FY254" s="210">
        <v>249</v>
      </c>
      <c r="FZ254">
        <v>0.86472905475124029</v>
      </c>
      <c r="GA254">
        <v>1.8839162719510054</v>
      </c>
      <c r="GB254">
        <v>2.0164628563717768</v>
      </c>
      <c r="GC254">
        <v>1.1049164161210712</v>
      </c>
      <c r="GD254">
        <v>2.0929206376890761</v>
      </c>
      <c r="GE254">
        <v>5.1864794300420414</v>
      </c>
      <c r="GF254">
        <v>8.494417238896748</v>
      </c>
      <c r="GG254">
        <v>10.525976429698778</v>
      </c>
      <c r="GH254">
        <v>7.9896099728910457</v>
      </c>
      <c r="GI254">
        <v>4.7088055824829667</v>
      </c>
      <c r="GJ254"/>
      <c r="GK254"/>
      <c r="GL254"/>
      <c r="GM254"/>
    </row>
    <row r="255" spans="1:195" s="7" customFormat="1">
      <c r="A255" s="1"/>
      <c r="B255">
        <v>0.34334537544760302</v>
      </c>
      <c r="C255">
        <v>7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32.959318289281526</v>
      </c>
      <c r="AO255">
        <v>5.6991771780881937</v>
      </c>
      <c r="AP255">
        <v>41.690904030847101</v>
      </c>
      <c r="AQ255">
        <v>36.414219268796984</v>
      </c>
      <c r="AR255">
        <v>5.2593970381836836</v>
      </c>
      <c r="AS255">
        <v>26.398332264590103</v>
      </c>
      <c r="AT255">
        <v>3.1655821203759906</v>
      </c>
      <c r="AU255">
        <v>5.1100288672165481</v>
      </c>
      <c r="AV255"/>
      <c r="AW255"/>
      <c r="FY255" s="210">
        <v>250</v>
      </c>
      <c r="FZ255">
        <v>1.0007959050692103</v>
      </c>
      <c r="GA255">
        <v>1.8087680404981059</v>
      </c>
      <c r="GB255">
        <v>2.1196971904138149</v>
      </c>
      <c r="GC255">
        <v>0.9694319817434266</v>
      </c>
      <c r="GD255">
        <v>1.5540719504542944</v>
      </c>
      <c r="GE255">
        <v>4.4317197384826317</v>
      </c>
      <c r="GF255">
        <v>6.2056689813020984</v>
      </c>
      <c r="GG255">
        <v>4.9233919002143507</v>
      </c>
      <c r="GH255">
        <v>3.5741494141572083</v>
      </c>
      <c r="GI255">
        <v>3.3174741731845274</v>
      </c>
      <c r="GJ255"/>
      <c r="GK255"/>
      <c r="GL255"/>
      <c r="GM255"/>
    </row>
    <row r="256" spans="1:195" s="7" customFormat="1">
      <c r="A256" s="1"/>
      <c r="B256">
        <v>0.1650108690288592</v>
      </c>
      <c r="C256">
        <v>1</v>
      </c>
      <c r="D256">
        <v>39714</v>
      </c>
      <c r="E256">
        <v>65.104166666666671</v>
      </c>
      <c r="F256">
        <v>0</v>
      </c>
      <c r="G256">
        <v>0</v>
      </c>
      <c r="H256">
        <v>31.25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21.920690089661065</v>
      </c>
      <c r="AO256">
        <v>4.9831865716636488</v>
      </c>
      <c r="AP256">
        <v>37.876329769033532</v>
      </c>
      <c r="AQ256">
        <v>31.746932821111951</v>
      </c>
      <c r="AR256">
        <v>4.7128729996677121</v>
      </c>
      <c r="AS256">
        <v>20.905446467411235</v>
      </c>
      <c r="AT256">
        <v>3.1543328583797261</v>
      </c>
      <c r="AU256">
        <v>5.9276192562093311</v>
      </c>
      <c r="AV256"/>
      <c r="AW256"/>
      <c r="FY256" s="210">
        <v>251</v>
      </c>
      <c r="FZ256">
        <v>1.6246782519873078</v>
      </c>
      <c r="GA256">
        <v>1.4880103359190866</v>
      </c>
      <c r="GB256">
        <v>0.74026962246836958</v>
      </c>
      <c r="GC256">
        <v>0.86977384406910319</v>
      </c>
      <c r="GD256">
        <v>2.2409720939646904</v>
      </c>
      <c r="GE256">
        <v>4.1772192911079733</v>
      </c>
      <c r="GF256">
        <v>4.6659229506710425</v>
      </c>
      <c r="GG256">
        <v>4.2449001931204737</v>
      </c>
      <c r="GH256">
        <v>2.6032886735839416</v>
      </c>
      <c r="GI256">
        <v>3.016287050232116</v>
      </c>
      <c r="GJ256"/>
      <c r="GK256"/>
      <c r="GL256"/>
      <c r="GM256"/>
    </row>
    <row r="257" spans="1:195" s="7" customFormat="1">
      <c r="A257" s="1"/>
      <c r="B257">
        <v>0.28658812856355809</v>
      </c>
      <c r="C257">
        <v>5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22.344287367724867</v>
      </c>
      <c r="AO257">
        <v>5.6511619961546584</v>
      </c>
      <c r="AP257">
        <v>43.345465225912427</v>
      </c>
      <c r="AQ257">
        <v>36.755567582775733</v>
      </c>
      <c r="AR257">
        <v>5.3220404329866353</v>
      </c>
      <c r="AS257">
        <v>21.999042675048653</v>
      </c>
      <c r="AT257">
        <v>3.3532069726905482</v>
      </c>
      <c r="AU257">
        <v>0.34909048376563379</v>
      </c>
      <c r="AV257"/>
      <c r="AW257"/>
      <c r="FY257" s="210">
        <v>252</v>
      </c>
      <c r="FZ257">
        <v>1.2418681422802169</v>
      </c>
      <c r="GA257">
        <v>2.5098874765673087</v>
      </c>
      <c r="GB257">
        <v>1.3883551260496449</v>
      </c>
      <c r="GC257">
        <v>0.43698761559272403</v>
      </c>
      <c r="GD257">
        <v>1.279584826039653</v>
      </c>
      <c r="GE257">
        <v>2.476915232088432</v>
      </c>
      <c r="GF257">
        <v>4.569403042699121</v>
      </c>
      <c r="GG257">
        <v>6.6142590405379087</v>
      </c>
      <c r="GH257">
        <v>5.0404501485319662</v>
      </c>
      <c r="GI257">
        <v>2.9372806253003083</v>
      </c>
      <c r="GJ257"/>
      <c r="GK257"/>
      <c r="GL257"/>
      <c r="GM257"/>
    </row>
    <row r="258" spans="1:195" s="7" customFormat="1">
      <c r="A258" s="1"/>
      <c r="B258">
        <v>0.3555296526483982</v>
      </c>
      <c r="C258">
        <v>4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56.818181818181813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31.627941954082047</v>
      </c>
      <c r="AO258">
        <v>5.9705451111900434</v>
      </c>
      <c r="AP258">
        <v>42.916517736675807</v>
      </c>
      <c r="AQ258">
        <v>37.349111601841457</v>
      </c>
      <c r="AR258">
        <v>5.3696679338356663</v>
      </c>
      <c r="AS258">
        <v>26.890178968050098</v>
      </c>
      <c r="AT258">
        <v>3.6996810323751279</v>
      </c>
      <c r="AU258">
        <v>4.0160561292991046</v>
      </c>
      <c r="AV258"/>
      <c r="AW258"/>
      <c r="FY258" s="210">
        <v>253</v>
      </c>
      <c r="FZ258">
        <v>1.3379919293138505</v>
      </c>
      <c r="GA258">
        <v>3.7607606214407854</v>
      </c>
      <c r="GB258">
        <v>2.5110315126908942</v>
      </c>
      <c r="GC258">
        <v>0.80570839391033322</v>
      </c>
      <c r="GD258">
        <v>2.216699951341818</v>
      </c>
      <c r="GE258">
        <v>6.3788973377940374</v>
      </c>
      <c r="GF258">
        <v>6.0965487438921731</v>
      </c>
      <c r="GG258">
        <v>3.5875178812423782</v>
      </c>
      <c r="GH258">
        <v>3.734493107402431</v>
      </c>
      <c r="GI258">
        <v>3.8566797070912706</v>
      </c>
      <c r="GJ258"/>
      <c r="GK258"/>
      <c r="GL258"/>
      <c r="GM258"/>
    </row>
    <row r="259" spans="1:195" s="7" customFormat="1">
      <c r="A259" s="90"/>
      <c r="B259">
        <v>0.5049748861500396</v>
      </c>
      <c r="C259">
        <v>3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24.356434900405876</v>
      </c>
      <c r="AO259">
        <v>5.6750485248070799</v>
      </c>
      <c r="AP259">
        <v>39.607805237991187</v>
      </c>
      <c r="AQ259">
        <v>34.531759805608793</v>
      </c>
      <c r="AR259">
        <v>5.3079975951757463</v>
      </c>
      <c r="AS259">
        <v>23.747716306758996</v>
      </c>
      <c r="AT259">
        <v>3.6240135752522544</v>
      </c>
      <c r="AU259">
        <v>8.9650011760960417</v>
      </c>
      <c r="AV259"/>
      <c r="AW259"/>
      <c r="FY259" s="210">
        <v>254</v>
      </c>
      <c r="FZ259">
        <v>1.2211934393088586</v>
      </c>
      <c r="GA259">
        <v>2.7910020242942553</v>
      </c>
      <c r="GB259">
        <v>1.7285697269910552</v>
      </c>
      <c r="GC259">
        <v>0.84172464795638891</v>
      </c>
      <c r="GD259">
        <v>0.74826145215847162</v>
      </c>
      <c r="GE259">
        <v>1.8472032419156048</v>
      </c>
      <c r="GF259">
        <v>4.8131071267533505</v>
      </c>
      <c r="GG259">
        <v>4.4612919753714451</v>
      </c>
      <c r="GH259">
        <v>3.4406760662454472</v>
      </c>
      <c r="GI259">
        <v>2.4886789412473904</v>
      </c>
      <c r="GJ259"/>
      <c r="GK259"/>
      <c r="GL259"/>
      <c r="GM259"/>
    </row>
    <row r="260" spans="1:195" s="7" customFormat="1">
      <c r="A260" s="77" t="s">
        <v>61</v>
      </c>
      <c r="B260">
        <v>0.2703065931121782</v>
      </c>
      <c r="C260">
        <v>4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56.818181818181813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23.845309162717637</v>
      </c>
      <c r="AO260">
        <v>5.1558557370985776</v>
      </c>
      <c r="AP260">
        <v>30.693251213176538</v>
      </c>
      <c r="AQ260">
        <v>29.087286765432435</v>
      </c>
      <c r="AR260">
        <v>4.9226640848458585</v>
      </c>
      <c r="AS260">
        <v>22.13150194782687</v>
      </c>
      <c r="AT260">
        <v>3.0775379319670022</v>
      </c>
      <c r="AU260">
        <v>7.4733893182422628</v>
      </c>
      <c r="AV260"/>
      <c r="AW260"/>
      <c r="FY260" s="210">
        <v>255</v>
      </c>
      <c r="FZ260">
        <v>1.1942838907147271</v>
      </c>
      <c r="GA260">
        <v>3.3432180513965291</v>
      </c>
      <c r="GB260">
        <v>2.1553754860123298</v>
      </c>
      <c r="GC260">
        <v>0.87634445730561172</v>
      </c>
      <c r="GD260">
        <v>1.6232282601443737</v>
      </c>
      <c r="GE260">
        <v>2.9677573102415682</v>
      </c>
      <c r="GF260">
        <v>3.5789870180143883</v>
      </c>
      <c r="GG260">
        <v>3.8624473067737828</v>
      </c>
      <c r="GH260">
        <v>1.9411815611706564</v>
      </c>
      <c r="GI260">
        <v>2.6378768994678272</v>
      </c>
      <c r="GJ260"/>
      <c r="GK260"/>
      <c r="GL260"/>
      <c r="GM260"/>
    </row>
    <row r="261" spans="1:195" s="7" customFormat="1">
      <c r="A261" s="77" t="s">
        <v>62</v>
      </c>
      <c r="B261">
        <v>0.75525225445138222</v>
      </c>
      <c r="C261">
        <v>9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27.310829914230645</v>
      </c>
      <c r="AO261">
        <v>5.3441771209952833</v>
      </c>
      <c r="AP261">
        <v>37.52431365645873</v>
      </c>
      <c r="AQ261">
        <v>32.976923350190681</v>
      </c>
      <c r="AR261">
        <v>4.9068535569129947</v>
      </c>
      <c r="AS261">
        <v>23.861871350692564</v>
      </c>
      <c r="AT261" t="e">
        <v>#DIV/0!</v>
      </c>
      <c r="AU261" t="e">
        <v>#DIV/0!</v>
      </c>
      <c r="AV261"/>
      <c r="AW261"/>
      <c r="FY261" s="210">
        <v>256</v>
      </c>
      <c r="FZ261">
        <v>0.92478299756227655</v>
      </c>
      <c r="GA261">
        <v>2.2513488925266105</v>
      </c>
      <c r="GB261">
        <v>1.1386915928583785</v>
      </c>
      <c r="GC261">
        <v>0.72586277504799201</v>
      </c>
      <c r="GD261">
        <v>1.3983698861587122</v>
      </c>
      <c r="GE261">
        <v>3.2905484488193633</v>
      </c>
      <c r="GF261">
        <v>6.2532816693911482</v>
      </c>
      <c r="GG261">
        <v>4.3629900245914079</v>
      </c>
      <c r="GH261">
        <v>2.3222728160986086</v>
      </c>
      <c r="GI261">
        <v>2.7721385580283924</v>
      </c>
      <c r="GJ261"/>
      <c r="GK261"/>
      <c r="GL261"/>
      <c r="GM261"/>
    </row>
    <row r="262" spans="1:195" s="7" customFormat="1" ht="12.75" customHeight="1">
      <c r="A262" s="77"/>
      <c r="B262">
        <v>0.44826710982494888</v>
      </c>
      <c r="C262">
        <v>1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20.477116880462855</v>
      </c>
      <c r="AO262">
        <v>3.5508262693967039</v>
      </c>
      <c r="AP262">
        <v>26.010324007007856</v>
      </c>
      <c r="AQ262">
        <v>22.198287695058816</v>
      </c>
      <c r="AR262">
        <v>3.3673010906042036</v>
      </c>
      <c r="AS262">
        <v>17.572294337945987</v>
      </c>
      <c r="AT262">
        <v>2.3291550219722605</v>
      </c>
      <c r="AU262">
        <v>2.8819885693695877</v>
      </c>
      <c r="AV262"/>
      <c r="AW262"/>
      <c r="FY262" s="210">
        <v>257</v>
      </c>
      <c r="FZ262">
        <v>1.453947900105121</v>
      </c>
      <c r="GA262">
        <v>1.890481823684103</v>
      </c>
      <c r="GB262">
        <v>1.5285908671532495</v>
      </c>
      <c r="GC262">
        <v>0.79682355709820019</v>
      </c>
      <c r="GD262">
        <v>1.5884792702226733</v>
      </c>
      <c r="GE262">
        <v>2.8202021313089398</v>
      </c>
      <c r="GF262">
        <v>3.3357249668341393</v>
      </c>
      <c r="GG262">
        <v>5.0378718700953415</v>
      </c>
      <c r="GH262">
        <v>4.7698220695989839</v>
      </c>
      <c r="GI262">
        <v>2.9207997411017765</v>
      </c>
      <c r="GJ262"/>
      <c r="GK262"/>
      <c r="GL262"/>
      <c r="GM262"/>
    </row>
    <row r="263" spans="1:195" s="7" customFormat="1">
      <c r="A263" s="77"/>
      <c r="B263">
        <v>0.16245232837377754</v>
      </c>
      <c r="C263">
        <v>7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10.416666666666666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22.61727950807073</v>
      </c>
      <c r="AO263">
        <v>4.3466553257298308</v>
      </c>
      <c r="AP263">
        <v>37.487127163909612</v>
      </c>
      <c r="AQ263">
        <v>29.633689659168564</v>
      </c>
      <c r="AR263">
        <v>4.110796059438143</v>
      </c>
      <c r="AS263">
        <v>19.460798874125221</v>
      </c>
      <c r="AT263">
        <v>2.7127816389274044</v>
      </c>
      <c r="AU263">
        <v>-5.9094413259144094</v>
      </c>
      <c r="AV263"/>
      <c r="AW263"/>
      <c r="FY263" s="210">
        <v>258</v>
      </c>
      <c r="FZ263">
        <v>0.80326876928182378</v>
      </c>
      <c r="GA263">
        <v>2.7653092192911801</v>
      </c>
      <c r="GB263">
        <v>1.7414954094070356</v>
      </c>
      <c r="GC263">
        <v>0.83818357012029054</v>
      </c>
      <c r="GD263">
        <v>2.4316581043593342</v>
      </c>
      <c r="GE263">
        <v>5.6190905435699658</v>
      </c>
      <c r="GF263">
        <v>4.5246228434450035</v>
      </c>
      <c r="GG263">
        <v>7.5877616333789097</v>
      </c>
      <c r="GH263">
        <v>8.4661888391759188</v>
      </c>
      <c r="GI263">
        <v>4.1684795722256309</v>
      </c>
      <c r="GJ263"/>
      <c r="GK263"/>
      <c r="GL263"/>
      <c r="GM263"/>
    </row>
    <row r="264" spans="1:195" s="7" customFormat="1">
      <c r="A264" s="77"/>
      <c r="B264">
        <v>0.12963034958729591</v>
      </c>
      <c r="C264">
        <v>1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26.322364311814017</v>
      </c>
      <c r="AO264">
        <v>5.4729351180442114</v>
      </c>
      <c r="AP264">
        <v>39.762809568230239</v>
      </c>
      <c r="AQ264">
        <v>34.120636260065069</v>
      </c>
      <c r="AR264">
        <v>5.0596133498592373</v>
      </c>
      <c r="AS264">
        <v>24.122082141418073</v>
      </c>
      <c r="AT264">
        <v>3.2829436734204713</v>
      </c>
      <c r="AU264">
        <v>0.70955489684297346</v>
      </c>
      <c r="AV264"/>
      <c r="AW264"/>
      <c r="FY264" s="210">
        <v>259</v>
      </c>
      <c r="FZ264">
        <v>1.5297352782341913</v>
      </c>
      <c r="GA264">
        <v>2.3917760876190064</v>
      </c>
      <c r="GB264">
        <v>1.1347130640905787</v>
      </c>
      <c r="GC264">
        <v>0.62132221412827671</v>
      </c>
      <c r="GD264">
        <v>2.1591683118553515</v>
      </c>
      <c r="GE264">
        <v>5.6241379292945464</v>
      </c>
      <c r="GF264">
        <v>7.0970629303234123</v>
      </c>
      <c r="GG264">
        <v>9.6696954125967061</v>
      </c>
      <c r="GH264">
        <v>9.1446967079067267</v>
      </c>
      <c r="GI264">
        <v>4.5628251061916618</v>
      </c>
      <c r="GJ264"/>
      <c r="GK264"/>
      <c r="GL264"/>
      <c r="GM264"/>
    </row>
    <row r="265" spans="1:195" s="7" customFormat="1">
      <c r="A265" s="77"/>
      <c r="B265">
        <v>0.98404509019712094</v>
      </c>
      <c r="C265">
        <v>3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34.160478240441478</v>
      </c>
      <c r="AO265">
        <v>6.9850491595352251</v>
      </c>
      <c r="AP265">
        <v>53.569632737735638</v>
      </c>
      <c r="AQ265">
        <v>44.868233890895752</v>
      </c>
      <c r="AR265">
        <v>6.4965560641393374</v>
      </c>
      <c r="AS265">
        <v>31.34549578930303</v>
      </c>
      <c r="AT265">
        <v>3.9978415758480477</v>
      </c>
      <c r="AU265">
        <v>2.406512462453982</v>
      </c>
      <c r="AV265"/>
      <c r="AW265"/>
      <c r="FY265" s="210">
        <v>260</v>
      </c>
      <c r="FZ265">
        <v>1.4064764132285625</v>
      </c>
      <c r="GA265">
        <v>2.3892270770101049</v>
      </c>
      <c r="GB265">
        <v>2.5029071765166506</v>
      </c>
      <c r="GC265">
        <v>1.6158271968510283</v>
      </c>
      <c r="GD265">
        <v>1.3699615102315854</v>
      </c>
      <c r="GE265">
        <v>2.9318795446606787</v>
      </c>
      <c r="GF265">
        <v>5.7628481906834033</v>
      </c>
      <c r="GG265">
        <v>6.4200643198922425</v>
      </c>
      <c r="GH265">
        <v>4.9066023291751</v>
      </c>
      <c r="GI265">
        <v>3.4909557087580714</v>
      </c>
      <c r="GJ265"/>
      <c r="GK265"/>
      <c r="GL265"/>
      <c r="GM265"/>
    </row>
    <row r="266" spans="1:195" s="7" customFormat="1">
      <c r="A266" s="1"/>
      <c r="B266">
        <v>0.37962561695285046</v>
      </c>
      <c r="C266">
        <v>10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23.292640766299247</v>
      </c>
      <c r="AO266">
        <v>4.8091855904021035</v>
      </c>
      <c r="AP266">
        <v>35.299075413986785</v>
      </c>
      <c r="AQ266">
        <v>29.905169275519668</v>
      </c>
      <c r="AR266">
        <v>4.5325665185296229</v>
      </c>
      <c r="AS266">
        <v>20.551569540163023</v>
      </c>
      <c r="AT266">
        <v>2.9205631806131329</v>
      </c>
      <c r="AU266">
        <v>4.8553430461225373</v>
      </c>
      <c r="AV266"/>
      <c r="AW266"/>
      <c r="FY266" s="210">
        <v>261</v>
      </c>
      <c r="FZ266">
        <v>1.2208551452420633</v>
      </c>
      <c r="GA266">
        <v>3.1765155037714461</v>
      </c>
      <c r="GB266">
        <v>2.632719623778065</v>
      </c>
      <c r="GC266">
        <v>1.1350773687554041</v>
      </c>
      <c r="GD266">
        <v>2.1764764306441791</v>
      </c>
      <c r="GE266">
        <v>5.9374605384371435</v>
      </c>
      <c r="GF266">
        <v>6.1988553808650932</v>
      </c>
      <c r="GG266">
        <v>5.7767227616984771</v>
      </c>
      <c r="GH266">
        <v>4.4500291035947894</v>
      </c>
      <c r="GI266">
        <v>3.9560817943926545</v>
      </c>
      <c r="GJ266"/>
      <c r="GK266"/>
      <c r="GL266"/>
      <c r="GM266"/>
    </row>
    <row r="267" spans="1:195" s="7" customFormat="1">
      <c r="A267" s="1"/>
      <c r="B267">
        <v>0.51639565470429449</v>
      </c>
      <c r="C267">
        <v>10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25.420149168164265</v>
      </c>
      <c r="AO267">
        <v>4.3223164328879236</v>
      </c>
      <c r="AP267">
        <v>27.806521232526229</v>
      </c>
      <c r="AQ267">
        <v>25.6713223071241</v>
      </c>
      <c r="AR267">
        <v>4.1726261469167367</v>
      </c>
      <c r="AS267">
        <v>20.440748988317541</v>
      </c>
      <c r="AT267">
        <v>2.8008056324443591</v>
      </c>
      <c r="AU267">
        <v>8.7062579407687384</v>
      </c>
      <c r="AV267"/>
      <c r="AW267"/>
      <c r="FY267" s="210">
        <v>262</v>
      </c>
      <c r="FZ267">
        <v>1.0911359052357981</v>
      </c>
      <c r="GA267">
        <v>1.8817432220722341</v>
      </c>
      <c r="GB267">
        <v>1.6602762355208149</v>
      </c>
      <c r="GC267">
        <v>1.2299848076775541</v>
      </c>
      <c r="GD267">
        <v>2.71600833333666</v>
      </c>
      <c r="GE267">
        <v>4.9910763860592873</v>
      </c>
      <c r="GF267">
        <v>6.5345279919498411</v>
      </c>
      <c r="GG267">
        <v>5.1685363595965308</v>
      </c>
      <c r="GH267">
        <v>1.7016198380511036</v>
      </c>
      <c r="GI267">
        <v>3.6425086340856532</v>
      </c>
      <c r="GJ267"/>
      <c r="GK267"/>
      <c r="GL267"/>
      <c r="GM267"/>
    </row>
    <row r="268" spans="1:195" s="7" customFormat="1">
      <c r="A268" s="1"/>
      <c r="B268">
        <v>0.51524086435954608</v>
      </c>
      <c r="C268">
        <v>1</v>
      </c>
      <c r="D268">
        <v>39775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16.939846611721613</v>
      </c>
      <c r="AO268">
        <v>4.2570211795643358</v>
      </c>
      <c r="AP268">
        <v>34.436046534379422</v>
      </c>
      <c r="AQ268">
        <v>28.494991275687283</v>
      </c>
      <c r="AR268">
        <v>4.1072000323198647</v>
      </c>
      <c r="AS268">
        <v>22.246462672252861</v>
      </c>
      <c r="AT268">
        <v>2.8342664997213238</v>
      </c>
      <c r="AU268">
        <v>5.7414236977676305</v>
      </c>
      <c r="AV268"/>
      <c r="AW268"/>
      <c r="FY268" s="210">
        <v>263</v>
      </c>
      <c r="FZ268">
        <v>1.5648498385541352</v>
      </c>
      <c r="GA268">
        <v>2.5970878808742257</v>
      </c>
      <c r="GB268">
        <v>2.2253776296687966</v>
      </c>
      <c r="GC268">
        <v>1.3650943166952239</v>
      </c>
      <c r="GD268">
        <v>0.77601976735610845</v>
      </c>
      <c r="GE268">
        <v>0.66869417020307709</v>
      </c>
      <c r="GF268">
        <v>4.2005369676980964</v>
      </c>
      <c r="GG268">
        <v>8.6773434685984672</v>
      </c>
      <c r="GH268">
        <v>7.2159419981686286</v>
      </c>
      <c r="GI268">
        <v>3.1815872352029624</v>
      </c>
      <c r="GJ268"/>
      <c r="GK268"/>
      <c r="GL268"/>
      <c r="GM268"/>
    </row>
    <row r="269" spans="1:195" s="7" customFormat="1">
      <c r="A269" s="1"/>
      <c r="B269">
        <v>0.90631676554586882</v>
      </c>
      <c r="C269">
        <v>2</v>
      </c>
      <c r="D269">
        <v>39775</v>
      </c>
      <c r="E269">
        <v>0</v>
      </c>
      <c r="F269">
        <v>0</v>
      </c>
      <c r="G269">
        <v>0</v>
      </c>
      <c r="H269">
        <v>20.833333333333332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29.299618496016343</v>
      </c>
      <c r="AO269">
        <v>5.558482550706862</v>
      </c>
      <c r="AP269">
        <v>39.024438704279405</v>
      </c>
      <c r="AQ269">
        <v>34.286329186119971</v>
      </c>
      <c r="AR269">
        <v>5.2216958156942948</v>
      </c>
      <c r="AS269">
        <v>25.694343565007216</v>
      </c>
      <c r="AT269">
        <v>3.4152485969534587</v>
      </c>
      <c r="AU269">
        <v>7.641926571159515</v>
      </c>
      <c r="AV269"/>
      <c r="AW269"/>
      <c r="FY269" s="210">
        <v>264</v>
      </c>
      <c r="FZ269">
        <v>0.69225406614387763</v>
      </c>
      <c r="GA269">
        <v>1.5713029910442085</v>
      </c>
      <c r="GB269">
        <v>1.3612704780445557</v>
      </c>
      <c r="GC269">
        <v>0.59666024543154883</v>
      </c>
      <c r="GD269">
        <v>0.91501364694080123</v>
      </c>
      <c r="GE269">
        <v>3.7437767836845914</v>
      </c>
      <c r="GF269">
        <v>6.1846491186514845</v>
      </c>
      <c r="GG269">
        <v>6.3530655519376165</v>
      </c>
      <c r="GH269">
        <v>6.3670298984568454</v>
      </c>
      <c r="GI269">
        <v>3.1589441120688782</v>
      </c>
      <c r="GJ269"/>
      <c r="GK269"/>
      <c r="GL269"/>
      <c r="GM269"/>
    </row>
    <row r="270" spans="1:195" s="7" customFormat="1">
      <c r="A270" s="1"/>
      <c r="B270">
        <v>0.71243810430361654</v>
      </c>
      <c r="C270">
        <v>2</v>
      </c>
      <c r="D270">
        <v>39775</v>
      </c>
      <c r="E270">
        <v>0</v>
      </c>
      <c r="F270">
        <v>0</v>
      </c>
      <c r="G270">
        <v>0</v>
      </c>
      <c r="H270">
        <v>20.833333333333332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18.724328665818028</v>
      </c>
      <c r="AO270">
        <v>3.569790037961984</v>
      </c>
      <c r="AP270">
        <v>30.043825453152998</v>
      </c>
      <c r="AQ270">
        <v>24.381708642242266</v>
      </c>
      <c r="AR270">
        <v>3.3942110823842482</v>
      </c>
      <c r="AS270">
        <v>19.515172846272637</v>
      </c>
      <c r="AT270">
        <v>2.3169839022637477</v>
      </c>
      <c r="AU270">
        <v>-0.17597244705559034</v>
      </c>
      <c r="AV270"/>
      <c r="AW270"/>
      <c r="FY270" s="210">
        <v>265</v>
      </c>
      <c r="FZ270">
        <v>0.49371204815610514</v>
      </c>
      <c r="GA270">
        <v>1.3043235462661698</v>
      </c>
      <c r="GB270">
        <v>0.68529666363144015</v>
      </c>
      <c r="GC270">
        <v>0.58037019656980748</v>
      </c>
      <c r="GD270">
        <v>0.89585379944081478</v>
      </c>
      <c r="GE270">
        <v>2.7902020767451106</v>
      </c>
      <c r="GF270">
        <v>5.3013344695496478</v>
      </c>
      <c r="GG270">
        <v>4.6768367107087805</v>
      </c>
      <c r="GH270">
        <v>4.057273328944401</v>
      </c>
      <c r="GI270">
        <v>2.412547985808319</v>
      </c>
      <c r="GJ270"/>
      <c r="GK270"/>
      <c r="GL270"/>
      <c r="GM270"/>
    </row>
    <row r="271" spans="1:195" s="7" customFormat="1">
      <c r="A271" s="77"/>
      <c r="B271">
        <v>0.5783866288877475</v>
      </c>
      <c r="C271">
        <v>6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10.416666666666666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21.775471924994768</v>
      </c>
      <c r="AO271">
        <v>3.8841713296628333</v>
      </c>
      <c r="AP271">
        <v>28.082343819754961</v>
      </c>
      <c r="AQ271">
        <v>24.180700241241791</v>
      </c>
      <c r="AR271">
        <v>3.6641268040639838</v>
      </c>
      <c r="AS271">
        <v>20.23242373180523</v>
      </c>
      <c r="AT271">
        <v>2.434271924848332</v>
      </c>
      <c r="AU271">
        <v>7.5038250285813639</v>
      </c>
      <c r="AV271"/>
      <c r="AW271"/>
      <c r="FY271" s="210">
        <v>266</v>
      </c>
      <c r="FZ271">
        <v>0.72056995739638974</v>
      </c>
      <c r="GA271">
        <v>2.7021349408366957</v>
      </c>
      <c r="GB271">
        <v>2.2725836884147439</v>
      </c>
      <c r="GC271">
        <v>0.86754593412114656</v>
      </c>
      <c r="GD271">
        <v>1.5982552162596262</v>
      </c>
      <c r="GE271">
        <v>3.1534692982316361</v>
      </c>
      <c r="GF271">
        <v>3.443433663313626</v>
      </c>
      <c r="GG271">
        <v>6.4146643737923634</v>
      </c>
      <c r="GH271">
        <v>6.2148831157216167</v>
      </c>
      <c r="GI271">
        <v>3.2412447098175372</v>
      </c>
      <c r="GJ271"/>
      <c r="GK271"/>
      <c r="GL271"/>
      <c r="GM271"/>
    </row>
    <row r="272" spans="1:195" s="7" customFormat="1">
      <c r="A272" s="77"/>
      <c r="B272">
        <v>0.6293730667726507</v>
      </c>
      <c r="C272">
        <v>9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10.416666666666666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23.298475498696476</v>
      </c>
      <c r="AO272">
        <v>3.9953778559356623</v>
      </c>
      <c r="AP272">
        <v>29.971637972202835</v>
      </c>
      <c r="AQ272">
        <v>25.440287661082888</v>
      </c>
      <c r="AR272">
        <v>3.7616636314063516</v>
      </c>
      <c r="AS272">
        <v>20.58288215884901</v>
      </c>
      <c r="AT272">
        <v>2.6058677824649568</v>
      </c>
      <c r="AU272">
        <v>5.3282262734753978</v>
      </c>
      <c r="AV272"/>
      <c r="AW272"/>
      <c r="FY272" s="210">
        <v>267</v>
      </c>
      <c r="FZ272">
        <v>1.1384946274234244</v>
      </c>
      <c r="GA272">
        <v>3.2013066448101659</v>
      </c>
      <c r="GB272">
        <v>2.1376414456215542</v>
      </c>
      <c r="GC272">
        <v>0.81762276612287654</v>
      </c>
      <c r="GD272">
        <v>1.0300975867062494</v>
      </c>
      <c r="GE272">
        <v>2.6810046115870998</v>
      </c>
      <c r="GF272">
        <v>3.192725696545208</v>
      </c>
      <c r="GG272">
        <v>2.1099277276291541</v>
      </c>
      <c r="GH272">
        <v>2.6032886735839416</v>
      </c>
      <c r="GI272">
        <v>2.3081847694245878</v>
      </c>
      <c r="GJ272"/>
      <c r="GK272"/>
      <c r="GL272"/>
      <c r="GM272"/>
    </row>
    <row r="273" spans="1:195" s="7" customFormat="1">
      <c r="A273" s="1"/>
      <c r="B273">
        <v>0.77597270496954263</v>
      </c>
      <c r="C273">
        <v>5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15.995669261294259</v>
      </c>
      <c r="AO273">
        <v>4.1456410138869311</v>
      </c>
      <c r="AP273">
        <v>30.649923137093285</v>
      </c>
      <c r="AQ273">
        <v>26.142744197202529</v>
      </c>
      <c r="AR273">
        <v>4.1088013591565051</v>
      </c>
      <c r="AS273">
        <v>21.745155477912046</v>
      </c>
      <c r="AT273">
        <v>2.8622460878577383</v>
      </c>
      <c r="AU273">
        <v>5.8971084240739851</v>
      </c>
      <c r="AV273"/>
      <c r="AW273"/>
      <c r="FY273" s="210">
        <v>268</v>
      </c>
      <c r="FZ273">
        <v>0.91197501224993527</v>
      </c>
      <c r="GA273">
        <v>2.0177940898616664</v>
      </c>
      <c r="GB273">
        <v>1.1489879296969845</v>
      </c>
      <c r="GC273">
        <v>0.55980939257239326</v>
      </c>
      <c r="GD273">
        <v>1.7471436143088006</v>
      </c>
      <c r="GE273">
        <v>3.6769777171184623</v>
      </c>
      <c r="GF273">
        <v>5.7484202068153802</v>
      </c>
      <c r="GG273">
        <v>5.1149029859863564</v>
      </c>
      <c r="GH273">
        <v>3.3617429734566042</v>
      </c>
      <c r="GI273">
        <v>3.0740240808033925</v>
      </c>
      <c r="GJ273"/>
      <c r="GK273"/>
      <c r="GL273"/>
      <c r="GM273"/>
    </row>
    <row r="274" spans="1:195" s="7" customFormat="1">
      <c r="A274" s="1"/>
      <c r="B274">
        <v>0.56242222392116714</v>
      </c>
      <c r="C274">
        <v>4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27.924440262215995</v>
      </c>
      <c r="AO274">
        <v>6.1973694548429101</v>
      </c>
      <c r="AP274">
        <v>44.682621604248347</v>
      </c>
      <c r="AQ274">
        <v>38.946058504255092</v>
      </c>
      <c r="AR274">
        <v>5.7537698405081779</v>
      </c>
      <c r="AS274">
        <v>27.653688557924632</v>
      </c>
      <c r="AT274">
        <v>3.691972373879242</v>
      </c>
      <c r="AU274">
        <v>1.6098474200253501</v>
      </c>
      <c r="AV274"/>
      <c r="AW274"/>
      <c r="FY274" s="210">
        <v>269</v>
      </c>
      <c r="FZ274">
        <v>0.82972725912022827</v>
      </c>
      <c r="GA274">
        <v>3.4726630772387455</v>
      </c>
      <c r="GB274">
        <v>1.738653229136512</v>
      </c>
      <c r="GC274">
        <v>0.46708131917067208</v>
      </c>
      <c r="GD274">
        <v>2.5466905055991687</v>
      </c>
      <c r="GE274">
        <v>6.3447171218153802</v>
      </c>
      <c r="GF274">
        <v>7.0241242088606723</v>
      </c>
      <c r="GG274">
        <v>8.0253546462214072</v>
      </c>
      <c r="GH274">
        <v>5.9869772744872742</v>
      </c>
      <c r="GI274">
        <v>4.3237577051950744</v>
      </c>
      <c r="GJ274"/>
      <c r="GK274"/>
      <c r="GL274"/>
      <c r="GM274"/>
    </row>
    <row r="275" spans="1:195" s="7" customFormat="1">
      <c r="A275" s="1"/>
      <c r="B275">
        <v>0.77934350020225573</v>
      </c>
      <c r="C275">
        <v>10</v>
      </c>
      <c r="D275">
        <v>39775</v>
      </c>
      <c r="E275">
        <v>0</v>
      </c>
      <c r="F275">
        <v>0</v>
      </c>
      <c r="G275">
        <v>10.416666666666666</v>
      </c>
      <c r="H275">
        <v>0</v>
      </c>
      <c r="I275">
        <v>20.833333333333332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28.91231796410144</v>
      </c>
      <c r="AO275">
        <v>6.7478445824089395</v>
      </c>
      <c r="AP275">
        <v>51.551191549625486</v>
      </c>
      <c r="AQ275">
        <v>43.935133042240459</v>
      </c>
      <c r="AR275">
        <v>6.2853038808511652</v>
      </c>
      <c r="AS275">
        <v>28.369829903525087</v>
      </c>
      <c r="AT275">
        <v>3.9658293186555196</v>
      </c>
      <c r="AU275">
        <v>1.0497573374738658</v>
      </c>
      <c r="AV275"/>
      <c r="AW275"/>
      <c r="FY275" s="210">
        <v>270</v>
      </c>
      <c r="FZ275">
        <v>0.77450181927358452</v>
      </c>
      <c r="GA275">
        <v>2.5837558496504922</v>
      </c>
      <c r="GB275">
        <v>1.760433424062628</v>
      </c>
      <c r="GC275">
        <v>0.69418922429048835</v>
      </c>
      <c r="GD275">
        <v>2.1200147841776475</v>
      </c>
      <c r="GE275">
        <v>5.4871052002500598</v>
      </c>
      <c r="GF275">
        <v>8.7368376638103165</v>
      </c>
      <c r="GG275">
        <v>6.2862903339371243</v>
      </c>
      <c r="GH275">
        <v>2.6821878359301876</v>
      </c>
      <c r="GI275">
        <v>3.8729598386858481</v>
      </c>
      <c r="GJ275"/>
      <c r="GK275"/>
      <c r="GL275"/>
      <c r="GM275"/>
    </row>
    <row r="276" spans="1:195" s="7" customFormat="1">
      <c r="A276" s="1"/>
      <c r="B276">
        <v>0.81614983893694215</v>
      </c>
      <c r="C276">
        <v>5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25.604792862771586</v>
      </c>
      <c r="AO276">
        <v>5.1217946149822238</v>
      </c>
      <c r="AP276">
        <v>39.6039663724642</v>
      </c>
      <c r="AQ276">
        <v>32.79674946700743</v>
      </c>
      <c r="AR276">
        <v>4.7953318343309608</v>
      </c>
      <c r="AS276">
        <v>23.964477834874483</v>
      </c>
      <c r="AT276">
        <v>3.0596346020195084</v>
      </c>
      <c r="AU276">
        <v>-0.88915740308286084</v>
      </c>
      <c r="AV276"/>
      <c r="AW276"/>
      <c r="FY276" s="210">
        <v>271</v>
      </c>
      <c r="FZ276">
        <v>0.97366082709721535</v>
      </c>
      <c r="GA276">
        <v>2.6506893285804241</v>
      </c>
      <c r="GB276">
        <v>3.1132484517063079</v>
      </c>
      <c r="GC276">
        <v>1.8702360128981268</v>
      </c>
      <c r="GD276">
        <v>2.2166161240955011</v>
      </c>
      <c r="GE276">
        <v>3.8260294625484397</v>
      </c>
      <c r="GF276">
        <v>6.4956415833000012</v>
      </c>
      <c r="GG276">
        <v>7.0462294081940371</v>
      </c>
      <c r="GH276">
        <v>3.3085349242147815</v>
      </c>
      <c r="GI276">
        <v>3.9694991805288207</v>
      </c>
      <c r="GJ276"/>
      <c r="GK276"/>
      <c r="GL276"/>
      <c r="GM276"/>
    </row>
    <row r="277" spans="1:195" s="7" customFormat="1">
      <c r="A277" s="1"/>
      <c r="B277">
        <v>0.70824486601505598</v>
      </c>
      <c r="C277">
        <v>8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34.722222222222221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36.164985350500459</v>
      </c>
      <c r="AO277">
        <v>5.8968181234265726</v>
      </c>
      <c r="AP277">
        <v>41.884415497025699</v>
      </c>
      <c r="AQ277">
        <v>36.660793651179311</v>
      </c>
      <c r="AR277">
        <v>5.3697553821591359</v>
      </c>
      <c r="AS277">
        <v>27.607932342324066</v>
      </c>
      <c r="AT277">
        <v>3.3769824034703668</v>
      </c>
      <c r="AU277">
        <v>6.0815261567745553</v>
      </c>
      <c r="AV277"/>
      <c r="AW277"/>
      <c r="FY277" s="210">
        <v>272</v>
      </c>
      <c r="FZ277">
        <v>0.87073837099615004</v>
      </c>
      <c r="GA277">
        <v>2.6433881399500909</v>
      </c>
      <c r="GB277">
        <v>2.2368376115723017</v>
      </c>
      <c r="GC277">
        <v>1.0317277241229061</v>
      </c>
      <c r="GD277">
        <v>1.704521433875906</v>
      </c>
      <c r="GE277">
        <v>3.2230367854335009</v>
      </c>
      <c r="GF277">
        <v>3.5641337762810474</v>
      </c>
      <c r="GG277">
        <v>3.9928637907159414</v>
      </c>
      <c r="GH277">
        <v>2.8528212747369288</v>
      </c>
      <c r="GI277">
        <v>2.8146079898703809</v>
      </c>
      <c r="GJ277"/>
      <c r="GK277"/>
      <c r="GL277"/>
      <c r="GM277"/>
    </row>
    <row r="278" spans="1:195" s="7" customFormat="1">
      <c r="A278" s="1"/>
      <c r="B278">
        <v>0.10728546457373644</v>
      </c>
      <c r="C278">
        <v>1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34.41217057608641</v>
      </c>
      <c r="AO278">
        <v>5.2635130599757378</v>
      </c>
      <c r="AP278">
        <v>33.886269150701565</v>
      </c>
      <c r="AQ278">
        <v>30.617417713585478</v>
      </c>
      <c r="AR278">
        <v>5.0535876051811419</v>
      </c>
      <c r="AS278">
        <v>27.104739088767332</v>
      </c>
      <c r="AT278">
        <v>3.3345726493160304</v>
      </c>
      <c r="AU278">
        <v>11.850427021015605</v>
      </c>
      <c r="AV278"/>
      <c r="AW278"/>
      <c r="FY278" s="210">
        <v>273</v>
      </c>
      <c r="FZ278">
        <v>0.59697279832396588</v>
      </c>
      <c r="GA278">
        <v>2.0847051533539003</v>
      </c>
      <c r="GB278">
        <v>0.90432723503390877</v>
      </c>
      <c r="GC278">
        <v>0.59521221948821201</v>
      </c>
      <c r="GD278">
        <v>1.0374264649516063</v>
      </c>
      <c r="GE278">
        <v>1.5696271684625192</v>
      </c>
      <c r="GF278">
        <v>4.8810083160519859</v>
      </c>
      <c r="GG278">
        <v>5.4257019977793286</v>
      </c>
      <c r="GH278">
        <v>2.7144326353741581</v>
      </c>
      <c r="GI278">
        <v>2.2688179334003609</v>
      </c>
      <c r="GJ278"/>
      <c r="GK278"/>
      <c r="GL278"/>
      <c r="GM278"/>
    </row>
    <row r="279" spans="1:195" s="7" customFormat="1">
      <c r="A279" s="1"/>
      <c r="B279">
        <v>0.80164247943414968</v>
      </c>
      <c r="C279">
        <v>3</v>
      </c>
      <c r="D279">
        <v>39799</v>
      </c>
      <c r="E279">
        <v>0</v>
      </c>
      <c r="F279">
        <v>0</v>
      </c>
      <c r="G279">
        <v>0</v>
      </c>
      <c r="H279">
        <v>24.038461538461537</v>
      </c>
      <c r="I279">
        <v>24.038461538461537</v>
      </c>
      <c r="J279">
        <v>24.038461538461537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22.868977665852661</v>
      </c>
      <c r="AO279">
        <v>4.7091181580826342</v>
      </c>
      <c r="AP279">
        <v>41.162857955593978</v>
      </c>
      <c r="AQ279">
        <v>32.472533273019721</v>
      </c>
      <c r="AR279">
        <v>4.4801622210804011</v>
      </c>
      <c r="AS279">
        <v>22.323456611318107</v>
      </c>
      <c r="AT279">
        <v>2.6465856963772283</v>
      </c>
      <c r="AU279">
        <v>-2.6081227103208944</v>
      </c>
      <c r="AV279"/>
      <c r="AW279"/>
      <c r="FY279" s="210">
        <v>274</v>
      </c>
      <c r="FZ279">
        <v>0.67922055145367288</v>
      </c>
      <c r="GA279">
        <v>1.1546127888447173</v>
      </c>
      <c r="GB279">
        <v>0.8319521339762902</v>
      </c>
      <c r="GC279">
        <v>0.86818929779305321</v>
      </c>
      <c r="GD279">
        <v>1.4306638661778555</v>
      </c>
      <c r="GE279">
        <v>3.8370419702395004</v>
      </c>
      <c r="GF279">
        <v>4.6334911029235073</v>
      </c>
      <c r="GG279">
        <v>6.4806844578544744</v>
      </c>
      <c r="GH279">
        <v>7.4428005706073623</v>
      </c>
      <c r="GI279">
        <v>3.1875301393254483</v>
      </c>
      <c r="GJ279"/>
      <c r="GK279"/>
      <c r="GL279"/>
      <c r="GM279"/>
    </row>
    <row r="280" spans="1:195" s="7" customFormat="1">
      <c r="A280" s="1"/>
      <c r="B280">
        <v>0.66441437163660133</v>
      </c>
      <c r="C280">
        <v>4</v>
      </c>
      <c r="D280">
        <v>39799</v>
      </c>
      <c r="E280">
        <v>0</v>
      </c>
      <c r="F280">
        <v>0</v>
      </c>
      <c r="G280">
        <v>292.44652406417111</v>
      </c>
      <c r="H280">
        <v>0</v>
      </c>
      <c r="I280">
        <v>113.63636363636363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17.376181153608012</v>
      </c>
      <c r="AO280">
        <v>4.6530454352748674</v>
      </c>
      <c r="AP280">
        <v>37.917356000936167</v>
      </c>
      <c r="AQ280">
        <v>30.943966892404404</v>
      </c>
      <c r="AR280">
        <v>4.2875400668653931</v>
      </c>
      <c r="AS280">
        <v>18.846046704803971</v>
      </c>
      <c r="AT280">
        <v>2.8683312215907737</v>
      </c>
      <c r="AU280">
        <v>-2.7719698069642495</v>
      </c>
      <c r="AV280"/>
      <c r="AW280"/>
      <c r="FY280" s="210">
        <v>275</v>
      </c>
      <c r="FZ280">
        <v>0.72068272208532158</v>
      </c>
      <c r="GA280">
        <v>2.1713414183577981</v>
      </c>
      <c r="GB280">
        <v>1.8722373463114059</v>
      </c>
      <c r="GC280">
        <v>0.91365351233343373</v>
      </c>
      <c r="GD280">
        <v>1.4545180646128719</v>
      </c>
      <c r="GE280">
        <v>3.7642593259685908</v>
      </c>
      <c r="GF280">
        <v>5.6788224802939471</v>
      </c>
      <c r="GG280">
        <v>5.1858349977501073</v>
      </c>
      <c r="GH280">
        <v>3.8771116876877656</v>
      </c>
      <c r="GI280">
        <v>3.097293510212606</v>
      </c>
      <c r="GJ280"/>
      <c r="GK280"/>
      <c r="GL280"/>
      <c r="GM280"/>
    </row>
    <row r="281" spans="1:195" s="7" customFormat="1">
      <c r="A281" s="1"/>
      <c r="B281">
        <v>0.21371041295614734</v>
      </c>
      <c r="C281">
        <v>8</v>
      </c>
      <c r="D281">
        <v>39799</v>
      </c>
      <c r="E281">
        <v>0</v>
      </c>
      <c r="F281">
        <v>0</v>
      </c>
      <c r="G281">
        <v>0</v>
      </c>
      <c r="H281">
        <v>74.404761904761912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17.940716155643013</v>
      </c>
      <c r="AO281">
        <v>3.5478410925623791</v>
      </c>
      <c r="AP281">
        <v>27.915848431594299</v>
      </c>
      <c r="AQ281">
        <v>23.197750825820599</v>
      </c>
      <c r="AR281">
        <v>3.2687583557340618</v>
      </c>
      <c r="AS281">
        <v>14.592153755967933</v>
      </c>
      <c r="AT281">
        <v>2.1773766545609203</v>
      </c>
      <c r="AU281">
        <v>-4.7949971653644816</v>
      </c>
      <c r="AV281"/>
      <c r="AW281"/>
      <c r="FY281" s="210">
        <v>276</v>
      </c>
      <c r="FZ281">
        <v>1.1242802994527026</v>
      </c>
      <c r="GA281">
        <v>2.6651641898658993</v>
      </c>
      <c r="GB281">
        <v>2.235617242249762</v>
      </c>
      <c r="GC281">
        <v>1.0998441322759442</v>
      </c>
      <c r="GD281">
        <v>1.756234891594487</v>
      </c>
      <c r="GE281">
        <v>4.0227445645326991</v>
      </c>
      <c r="GF281">
        <v>7.0984853485349308</v>
      </c>
      <c r="GG281">
        <v>8.6431493491089988</v>
      </c>
      <c r="GH281">
        <v>6.511112648056705</v>
      </c>
      <c r="GI281">
        <v>4.1296614950446742</v>
      </c>
      <c r="GJ281"/>
      <c r="GK281"/>
      <c r="GL281"/>
      <c r="GM281"/>
    </row>
    <row r="282" spans="1:195" s="7" customFormat="1">
      <c r="A282" s="1"/>
      <c r="B282">
        <v>0.60132137084747583</v>
      </c>
      <c r="C282">
        <v>3</v>
      </c>
      <c r="D282">
        <v>39799</v>
      </c>
      <c r="E282">
        <v>0</v>
      </c>
      <c r="F282">
        <v>0</v>
      </c>
      <c r="G282">
        <v>0</v>
      </c>
      <c r="H282">
        <v>24.038461538461537</v>
      </c>
      <c r="I282">
        <v>24.038461538461537</v>
      </c>
      <c r="J282">
        <v>24.038461538461537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21.499087225815948</v>
      </c>
      <c r="AO282">
        <v>4.7597076172492283</v>
      </c>
      <c r="AP282">
        <v>36.554557090497639</v>
      </c>
      <c r="AQ282">
        <v>30.62878489790538</v>
      </c>
      <c r="AR282">
        <v>4.5393364455892513</v>
      </c>
      <c r="AS282">
        <v>24.111976544638836</v>
      </c>
      <c r="AT282">
        <v>2.9548786207205713</v>
      </c>
      <c r="AU282">
        <v>2.4679876907329428</v>
      </c>
      <c r="AV282"/>
      <c r="AW282"/>
      <c r="FY282" s="210">
        <v>277</v>
      </c>
      <c r="FZ282">
        <v>1.1532727788388053</v>
      </c>
      <c r="GA282">
        <v>2.5851567156970865</v>
      </c>
      <c r="GB282">
        <v>2.8563707542953236</v>
      </c>
      <c r="GC282">
        <v>1.4702513415641525</v>
      </c>
      <c r="GD282">
        <v>0.46480128888679251</v>
      </c>
      <c r="GE282">
        <v>1.6310987317481369</v>
      </c>
      <c r="GF282">
        <v>6.9238763826233409</v>
      </c>
      <c r="GG282">
        <v>6.830462887051385</v>
      </c>
      <c r="GH282">
        <v>3.5337425485870373</v>
      </c>
      <c r="GI282">
        <v>3.0202449255372374</v>
      </c>
      <c r="GJ282"/>
      <c r="GK282"/>
      <c r="GL282"/>
      <c r="GM282"/>
    </row>
    <row r="283" spans="1:195" s="7" customFormat="1">
      <c r="A283" s="1"/>
      <c r="B283">
        <v>0.54362307649438701</v>
      </c>
      <c r="C283">
        <v>2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10.416666666666666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16.941806789546153</v>
      </c>
      <c r="AO283">
        <v>3.2710966202534486</v>
      </c>
      <c r="AP283">
        <v>25.205863860325895</v>
      </c>
      <c r="AQ283">
        <v>21.220294549454263</v>
      </c>
      <c r="AR283">
        <v>3.1369551639951432</v>
      </c>
      <c r="AS283">
        <v>17.996212031343784</v>
      </c>
      <c r="AT283">
        <v>2.2391195560392729</v>
      </c>
      <c r="AU283">
        <v>4.356985568837322</v>
      </c>
      <c r="AV283"/>
      <c r="AW283"/>
      <c r="FY283" s="210">
        <v>278</v>
      </c>
      <c r="FZ283">
        <v>1.1040566552370712</v>
      </c>
      <c r="GA283">
        <v>2.6524449337171991</v>
      </c>
      <c r="GB283">
        <v>1.8819033338887834</v>
      </c>
      <c r="GC283">
        <v>1.1023104472511633</v>
      </c>
      <c r="GD283">
        <v>1.0374264649516063</v>
      </c>
      <c r="GE283">
        <v>4.3133018291812801</v>
      </c>
      <c r="GF283">
        <v>10.61513476525953</v>
      </c>
      <c r="GG283">
        <v>6.4245064724326619</v>
      </c>
      <c r="GH283">
        <v>4.1258827457291289</v>
      </c>
      <c r="GI283">
        <v>3.8797067820053392</v>
      </c>
      <c r="GJ283"/>
      <c r="GK283"/>
      <c r="GL283"/>
      <c r="GM283"/>
    </row>
    <row r="284" spans="1:195" s="7" customFormat="1">
      <c r="A284" s="1"/>
      <c r="B284">
        <v>0.41129004561145077</v>
      </c>
      <c r="C284">
        <v>8</v>
      </c>
      <c r="D284">
        <v>39799</v>
      </c>
      <c r="E284">
        <v>0</v>
      </c>
      <c r="F284">
        <v>0</v>
      </c>
      <c r="G284">
        <v>0</v>
      </c>
      <c r="H284">
        <v>74.404761904761912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19.513972675131157</v>
      </c>
      <c r="AO284">
        <v>4.3988810358073458</v>
      </c>
      <c r="AP284">
        <v>32.229946393592456</v>
      </c>
      <c r="AQ284">
        <v>27.361778002869976</v>
      </c>
      <c r="AR284">
        <v>4.2894675423876736</v>
      </c>
      <c r="AS284">
        <v>19.177746524762082</v>
      </c>
      <c r="AT284">
        <v>2.7223409335437219</v>
      </c>
      <c r="AU284">
        <v>4.1734582598618468</v>
      </c>
      <c r="AV284"/>
      <c r="AW284"/>
      <c r="FY284" s="210">
        <v>279</v>
      </c>
      <c r="FZ284">
        <v>1.1739474818101636</v>
      </c>
      <c r="GA284">
        <v>3.1277347087921008</v>
      </c>
      <c r="GB284">
        <v>1.9271449771418916</v>
      </c>
      <c r="GC284">
        <v>0.98306438374575633</v>
      </c>
      <c r="GD284">
        <v>3.1126087941200726</v>
      </c>
      <c r="GE284">
        <v>6.1766627330781105</v>
      </c>
      <c r="GF284">
        <v>3.2445315606428302</v>
      </c>
      <c r="GG284">
        <v>6.6355742918805856</v>
      </c>
      <c r="GH284">
        <v>7.2865894346863556</v>
      </c>
      <c r="GI284">
        <v>4.2488705749798124</v>
      </c>
      <c r="GJ284"/>
      <c r="GK284"/>
      <c r="GL284"/>
      <c r="GM284"/>
    </row>
    <row r="285" spans="1:195" s="7" customFormat="1">
      <c r="A285" s="1"/>
      <c r="B285">
        <v>0.92467388266822503</v>
      </c>
      <c r="C285">
        <v>7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28.81084449544047</v>
      </c>
      <c r="AO285">
        <v>6.4874518372945307</v>
      </c>
      <c r="AP285">
        <v>47.013719184412388</v>
      </c>
      <c r="AQ285">
        <v>40.759746346845134</v>
      </c>
      <c r="AR285">
        <v>5.9434952891728461</v>
      </c>
      <c r="AS285">
        <v>26.720574610619266</v>
      </c>
      <c r="AT285">
        <v>3.6670233652331423</v>
      </c>
      <c r="AU285">
        <v>-0.57131588429058455</v>
      </c>
      <c r="AV285"/>
      <c r="AW285"/>
      <c r="FY285" s="210">
        <v>280</v>
      </c>
      <c r="FZ285">
        <v>1.5711974488658398</v>
      </c>
      <c r="GA285">
        <v>2.7155988397881039</v>
      </c>
      <c r="GB285">
        <v>1.6096593708931255</v>
      </c>
      <c r="GC285">
        <v>0.66467476889003807</v>
      </c>
      <c r="GD285">
        <v>2.1174568460572716</v>
      </c>
      <c r="GE285">
        <v>4.318515938682566</v>
      </c>
      <c r="GF285">
        <v>4.3255778721353648</v>
      </c>
      <c r="GG285">
        <v>6.0189429667311085</v>
      </c>
      <c r="GH285">
        <v>4.554759980316117</v>
      </c>
      <c r="GI285">
        <v>3.4000928779199633</v>
      </c>
      <c r="GJ285"/>
      <c r="GK285"/>
      <c r="GL285"/>
      <c r="GM285"/>
    </row>
    <row r="286" spans="1:195" s="7" customFormat="1">
      <c r="A286" s="1"/>
      <c r="B286">
        <v>0.10968987008310904</v>
      </c>
      <c r="C286">
        <v>4</v>
      </c>
      <c r="D286">
        <v>39799</v>
      </c>
      <c r="E286">
        <v>0</v>
      </c>
      <c r="F286">
        <v>0</v>
      </c>
      <c r="G286">
        <v>292.44652406417111</v>
      </c>
      <c r="H286">
        <v>0</v>
      </c>
      <c r="I286">
        <v>113.63636363636363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24.317176950908568</v>
      </c>
      <c r="AO286">
        <v>5.6798287081783307</v>
      </c>
      <c r="AP286">
        <v>41.150362186926266</v>
      </c>
      <c r="AQ286">
        <v>34.998275974068378</v>
      </c>
      <c r="AR286">
        <v>5.3205740289857379</v>
      </c>
      <c r="AS286">
        <v>24.42146775102799</v>
      </c>
      <c r="AT286">
        <v>3.4681410386788678</v>
      </c>
      <c r="AU286">
        <v>10.686259365146256</v>
      </c>
      <c r="AV286"/>
      <c r="AW286"/>
      <c r="FY286" s="210">
        <v>281</v>
      </c>
      <c r="FZ286">
        <v>0.99489935351323289</v>
      </c>
      <c r="GA286">
        <v>1.9128713090225207</v>
      </c>
      <c r="GB286">
        <v>1.6345403298093566</v>
      </c>
      <c r="GC286">
        <v>0.80901106671916934</v>
      </c>
      <c r="GD286">
        <v>3.2251084350312405</v>
      </c>
      <c r="GE286">
        <v>7.6995347340365328</v>
      </c>
      <c r="GF286">
        <v>6.9982969099643224</v>
      </c>
      <c r="GG286">
        <v>6.3657364769610787</v>
      </c>
      <c r="GH286">
        <v>4.6870462467601097</v>
      </c>
      <c r="GI286">
        <v>4.4878016808496213</v>
      </c>
      <c r="GJ286"/>
      <c r="GK286"/>
      <c r="GL286"/>
      <c r="GM286"/>
    </row>
    <row r="287" spans="1:195" s="7" customFormat="1">
      <c r="A287" s="1"/>
      <c r="B287">
        <v>0.89575586313278777</v>
      </c>
      <c r="C287">
        <v>10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31.25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27.617834091492568</v>
      </c>
      <c r="AO287">
        <v>5.8896821939755766</v>
      </c>
      <c r="AP287">
        <v>42.139543002983331</v>
      </c>
      <c r="AQ287">
        <v>35.47038530316366</v>
      </c>
      <c r="AR287">
        <v>5.544009464911432</v>
      </c>
      <c r="AS287">
        <v>27.799490114901381</v>
      </c>
      <c r="AT287">
        <v>3.8441014120836985</v>
      </c>
      <c r="AU287">
        <v>8.8835775701554365</v>
      </c>
      <c r="AV287"/>
      <c r="AW287"/>
      <c r="FY287" s="210">
        <v>282</v>
      </c>
      <c r="FZ287">
        <v>1.0153485271067277</v>
      </c>
      <c r="GA287">
        <v>2.130011664524543</v>
      </c>
      <c r="GB287">
        <v>1.4051087617399511</v>
      </c>
      <c r="GC287">
        <v>0.53315488213599438</v>
      </c>
      <c r="GD287">
        <v>1.3053895610131916</v>
      </c>
      <c r="GE287">
        <v>3.163400834036969</v>
      </c>
      <c r="GF287">
        <v>5.9161590112072648</v>
      </c>
      <c r="GG287">
        <v>7.729667806338548</v>
      </c>
      <c r="GH287">
        <v>6.7416868773007375</v>
      </c>
      <c r="GI287">
        <v>3.4465167244918931</v>
      </c>
      <c r="GJ287"/>
      <c r="GK287"/>
      <c r="GL287"/>
      <c r="GM287"/>
    </row>
    <row r="288" spans="1:195" s="7" customFormat="1">
      <c r="A288" s="1"/>
      <c r="B288">
        <v>0.27951255339377523</v>
      </c>
      <c r="C288">
        <v>10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17.908542556980056</v>
      </c>
      <c r="AO288">
        <v>4.1102835975131509</v>
      </c>
      <c r="AP288">
        <v>28.940918006588337</v>
      </c>
      <c r="AQ288">
        <v>24.934676897555153</v>
      </c>
      <c r="AR288">
        <v>3.9201880234999216</v>
      </c>
      <c r="AS288">
        <v>18.581942970916383</v>
      </c>
      <c r="AT288">
        <v>2.6648289946222863</v>
      </c>
      <c r="AU288">
        <v>3.7197819138317332</v>
      </c>
      <c r="AV288"/>
      <c r="AW288"/>
      <c r="FY288" s="210">
        <v>283</v>
      </c>
      <c r="FZ288">
        <v>1.1590565657058514</v>
      </c>
      <c r="GA288">
        <v>2.9016386493693092</v>
      </c>
      <c r="GB288">
        <v>2.1014161305610228</v>
      </c>
      <c r="GC288">
        <v>0.75401865169474924</v>
      </c>
      <c r="GD288">
        <v>1.0826399317792652</v>
      </c>
      <c r="GE288">
        <v>3.1393500853904142</v>
      </c>
      <c r="GF288">
        <v>5.8867910956970873</v>
      </c>
      <c r="GG288">
        <v>5.1173786777366868</v>
      </c>
      <c r="GH288">
        <v>2.9597778638844048</v>
      </c>
      <c r="GI288">
        <v>2.9157333940438339</v>
      </c>
      <c r="GJ288"/>
      <c r="GK288"/>
      <c r="GL288"/>
      <c r="GM288"/>
    </row>
    <row r="289" spans="1:195" s="7" customFormat="1">
      <c r="A289" s="1"/>
      <c r="B289">
        <v>0.73368513581858563</v>
      </c>
      <c r="C289">
        <v>7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10.416666666666666</v>
      </c>
      <c r="J289">
        <v>10.416666666666666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16.126653439153436</v>
      </c>
      <c r="AO289">
        <v>3.3514693399497602</v>
      </c>
      <c r="AP289">
        <v>27.028688021591837</v>
      </c>
      <c r="AQ289">
        <v>22.078231922219945</v>
      </c>
      <c r="AR289">
        <v>3.1649475745736053</v>
      </c>
      <c r="AS289">
        <v>16.574175531219996</v>
      </c>
      <c r="AT289" t="e">
        <v>#DIV/0!</v>
      </c>
      <c r="AU289" t="e">
        <v>#DIV/0!</v>
      </c>
      <c r="AV289"/>
      <c r="AW289"/>
      <c r="FY289" s="210">
        <v>284</v>
      </c>
      <c r="FZ289">
        <v>0.91220054162779873</v>
      </c>
      <c r="GA289">
        <v>3.3828268928826257</v>
      </c>
      <c r="GB289">
        <v>2.123554819771948</v>
      </c>
      <c r="GC289">
        <v>0.98888504951931477</v>
      </c>
      <c r="GD289">
        <v>2.9223749520824112</v>
      </c>
      <c r="GE289">
        <v>6.9435238976527636</v>
      </c>
      <c r="GF289">
        <v>7.4277783767432402</v>
      </c>
      <c r="GG289">
        <v>3.9490422604597146</v>
      </c>
      <c r="GH289">
        <v>1.4857875678193837</v>
      </c>
      <c r="GI289">
        <v>3.9744929531794622</v>
      </c>
      <c r="GJ289"/>
      <c r="GK289"/>
      <c r="GL289"/>
      <c r="GM289"/>
    </row>
    <row r="290" spans="1:195" s="7" customFormat="1">
      <c r="A290" s="1"/>
      <c r="B290">
        <v>0.83637030424266223</v>
      </c>
      <c r="C290">
        <v>6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10.416666666666666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24.176884127105108</v>
      </c>
      <c r="AO290">
        <v>4.7288109341795366</v>
      </c>
      <c r="AP290">
        <v>35.69628272883746</v>
      </c>
      <c r="AQ290">
        <v>30.546186879195883</v>
      </c>
      <c r="AR290">
        <v>4.3372713186342482</v>
      </c>
      <c r="AS290">
        <v>19.517691156244819</v>
      </c>
      <c r="AT290">
        <v>2.864373901746605</v>
      </c>
      <c r="AU290">
        <v>-2.5079743856945402</v>
      </c>
      <c r="AV290"/>
      <c r="AW290"/>
      <c r="FY290" s="210">
        <v>285</v>
      </c>
      <c r="FZ290">
        <v>1.1040566552370712</v>
      </c>
      <c r="GA290">
        <v>3.0279004368379758</v>
      </c>
      <c r="GB290">
        <v>1.7266726518453486</v>
      </c>
      <c r="GC290">
        <v>0.93896188152104476</v>
      </c>
      <c r="GD290">
        <v>2.0861373798990952</v>
      </c>
      <c r="GE290">
        <v>3.6691927993121016</v>
      </c>
      <c r="GF290">
        <v>3.9876067924045504</v>
      </c>
      <c r="GG290">
        <v>5.9147878148019464</v>
      </c>
      <c r="GH290">
        <v>4.3889098695269562</v>
      </c>
      <c r="GI290">
        <v>3.2539600637199007</v>
      </c>
      <c r="GJ290"/>
      <c r="GK290"/>
      <c r="GL290"/>
      <c r="GM290"/>
    </row>
    <row r="291" spans="1:195" s="7" customFormat="1">
      <c r="A291" s="1"/>
      <c r="B291">
        <v>0.83950428025641699</v>
      </c>
      <c r="C291">
        <v>1</v>
      </c>
      <c r="D291">
        <v>39847</v>
      </c>
      <c r="E291">
        <v>0</v>
      </c>
      <c r="F291">
        <v>0</v>
      </c>
      <c r="G291">
        <v>0</v>
      </c>
      <c r="H291">
        <v>20.833333333333332</v>
      </c>
      <c r="I291">
        <v>52.083333333333336</v>
      </c>
      <c r="J291">
        <v>20.833333333333332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26.5085322243782</v>
      </c>
      <c r="AO291">
        <v>4.5323054448182631</v>
      </c>
      <c r="AP291">
        <v>34.083409454960105</v>
      </c>
      <c r="AQ291">
        <v>28.735755065613848</v>
      </c>
      <c r="AR291">
        <v>4.2328985621230686</v>
      </c>
      <c r="AS291">
        <v>21.196500478663808</v>
      </c>
      <c r="AT291">
        <v>2.6776051101437854</v>
      </c>
      <c r="AU291">
        <v>1.560093378487506</v>
      </c>
      <c r="AV291"/>
      <c r="AW291"/>
      <c r="FY291" s="210">
        <v>286</v>
      </c>
      <c r="FZ291">
        <v>1.3095632733724067</v>
      </c>
      <c r="GA291">
        <v>1.4906880563009279</v>
      </c>
      <c r="GB291">
        <v>1.5413708788152547</v>
      </c>
      <c r="GC291">
        <v>0.87173341244812785</v>
      </c>
      <c r="GD291">
        <v>1.9007101699234743</v>
      </c>
      <c r="GE291">
        <v>4.9370260853320449</v>
      </c>
      <c r="GF291">
        <v>7.5949464019922353</v>
      </c>
      <c r="GG291">
        <v>9.00194116893638</v>
      </c>
      <c r="GH291">
        <v>7.1317742639414359</v>
      </c>
      <c r="GI291">
        <v>4.2560982127330265</v>
      </c>
      <c r="GJ291"/>
      <c r="GK291"/>
      <c r="GL291"/>
      <c r="GM291"/>
    </row>
    <row r="292" spans="1:195" s="7" customFormat="1">
      <c r="A292" s="1"/>
      <c r="B292">
        <v>3.5419216104912721E-3</v>
      </c>
      <c r="C292">
        <v>10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27.464396426419267</v>
      </c>
      <c r="AO292">
        <v>6.0887097112902309</v>
      </c>
      <c r="AP292">
        <v>47.693789797533405</v>
      </c>
      <c r="AQ292">
        <v>39.2862941607168</v>
      </c>
      <c r="AR292">
        <v>5.7345643537335667</v>
      </c>
      <c r="AS292">
        <v>26.049320571186605</v>
      </c>
      <c r="AT292">
        <v>3.5144721299518582</v>
      </c>
      <c r="AU292">
        <v>1.0524761166327214</v>
      </c>
      <c r="AV292"/>
      <c r="AW292"/>
      <c r="FY292" s="210">
        <v>287</v>
      </c>
      <c r="FZ292">
        <v>1.4205779765103528</v>
      </c>
      <c r="GA292">
        <v>2.0299159312188526</v>
      </c>
      <c r="GB292">
        <v>1.414933680165817</v>
      </c>
      <c r="GC292">
        <v>0.91722756353017842</v>
      </c>
      <c r="GD292">
        <v>2.7319515724610204</v>
      </c>
      <c r="GE292">
        <v>5.9713964013457899</v>
      </c>
      <c r="GF292">
        <v>7.8909479891745473</v>
      </c>
      <c r="GG292">
        <v>7.8912363877140512</v>
      </c>
      <c r="GH292">
        <v>5.0147503975903156</v>
      </c>
      <c r="GI292">
        <v>4.4398947166733436</v>
      </c>
      <c r="GJ292"/>
      <c r="GK292"/>
      <c r="GL292"/>
      <c r="GM292"/>
    </row>
    <row r="293" spans="1:195" s="7" customFormat="1">
      <c r="A293" s="1"/>
      <c r="B293">
        <v>0.96577249832207102</v>
      </c>
      <c r="C293">
        <v>1</v>
      </c>
      <c r="D293">
        <v>39847</v>
      </c>
      <c r="E293">
        <v>0</v>
      </c>
      <c r="F293">
        <v>0</v>
      </c>
      <c r="G293">
        <v>0</v>
      </c>
      <c r="H293">
        <v>20.833333333333332</v>
      </c>
      <c r="I293">
        <v>52.083333333333336</v>
      </c>
      <c r="J293">
        <v>20.833333333333332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18.515589820443545</v>
      </c>
      <c r="AO293">
        <v>4.5227072565986521</v>
      </c>
      <c r="AP293">
        <v>39.381421165687193</v>
      </c>
      <c r="AQ293">
        <v>30.469278354829303</v>
      </c>
      <c r="AR293">
        <v>4.1582275040215784</v>
      </c>
      <c r="AS293">
        <v>20.041077938861601</v>
      </c>
      <c r="AT293">
        <v>2.8173097474702473</v>
      </c>
      <c r="AU293">
        <v>-3.2363419996513088</v>
      </c>
      <c r="AV293"/>
      <c r="AW293"/>
      <c r="FY293" s="210">
        <v>288</v>
      </c>
      <c r="FZ293">
        <v>0.84439264584667728</v>
      </c>
      <c r="GA293">
        <v>2.1045974218101655</v>
      </c>
      <c r="GB293">
        <v>1.4840871178236534</v>
      </c>
      <c r="GC293">
        <v>0.73316610240305147</v>
      </c>
      <c r="GD293">
        <v>2.8745456674544738</v>
      </c>
      <c r="GE293">
        <v>6.3578079994496477</v>
      </c>
      <c r="GF293">
        <v>4.7722612981010553</v>
      </c>
      <c r="GG293">
        <v>5.35623023545112</v>
      </c>
      <c r="GH293">
        <v>4.3689042288223936</v>
      </c>
      <c r="GI293">
        <v>3.7682525566117118</v>
      </c>
      <c r="GJ293"/>
      <c r="GK293"/>
      <c r="GL293"/>
      <c r="GM293"/>
    </row>
    <row r="294" spans="1:195" s="7" customFormat="1">
      <c r="A294" s="1"/>
      <c r="B294">
        <v>0.5689566271311346</v>
      </c>
      <c r="C294">
        <v>9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23.386950765940128</v>
      </c>
      <c r="AO294">
        <v>5.5876906198695631</v>
      </c>
      <c r="AP294">
        <v>45.999943786603446</v>
      </c>
      <c r="AQ294">
        <v>37.136674429653766</v>
      </c>
      <c r="AR294">
        <v>5.2046136431187495</v>
      </c>
      <c r="AS294">
        <v>26.84565313913674</v>
      </c>
      <c r="AT294">
        <v>3.6815450499176188</v>
      </c>
      <c r="AU294">
        <v>1.6915181723700716</v>
      </c>
      <c r="AV294"/>
      <c r="AW294"/>
      <c r="FY294" s="210">
        <v>289</v>
      </c>
      <c r="FZ294">
        <v>0.63843496895561458</v>
      </c>
      <c r="GA294">
        <v>1.6540994481215601</v>
      </c>
      <c r="GB294">
        <v>1.3346597946070937</v>
      </c>
      <c r="GC294">
        <v>0.79253419407666992</v>
      </c>
      <c r="GD294">
        <v>3.2036179655454844</v>
      </c>
      <c r="GE294">
        <v>6.0288101931088605</v>
      </c>
      <c r="GF294">
        <v>3.8477126462339415</v>
      </c>
      <c r="GG294">
        <v>4.7872794652189823</v>
      </c>
      <c r="GH294">
        <v>2.9688891658153818</v>
      </c>
      <c r="GI294">
        <v>3.47746137795431</v>
      </c>
      <c r="GJ294"/>
      <c r="GK294"/>
      <c r="GL294"/>
      <c r="GM294"/>
    </row>
    <row r="295" spans="1:195" s="7" customFormat="1">
      <c r="A295" s="1"/>
      <c r="B295">
        <v>0.57121204308430173</v>
      </c>
      <c r="C295">
        <v>9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34.004941979519579</v>
      </c>
      <c r="AO295">
        <v>6.3049110057375639</v>
      </c>
      <c r="AP295">
        <v>41.847358072177286</v>
      </c>
      <c r="AQ295">
        <v>37.916728940877675</v>
      </c>
      <c r="AR295">
        <v>5.913276333427671</v>
      </c>
      <c r="AS295">
        <v>26.912903884517917</v>
      </c>
      <c r="AT295">
        <v>3.4103327633764002</v>
      </c>
      <c r="AU295">
        <v>0.98026900451273047</v>
      </c>
      <c r="AV295"/>
      <c r="AW295"/>
      <c r="FY295" s="210">
        <v>290</v>
      </c>
      <c r="FZ295">
        <v>1.2005187363375001</v>
      </c>
      <c r="GA295">
        <v>2.6497908225708038</v>
      </c>
      <c r="GB295">
        <v>2.6303439345137436</v>
      </c>
      <c r="GC295">
        <v>1.2888946971825064</v>
      </c>
      <c r="GD295">
        <v>1.4226729216712959</v>
      </c>
      <c r="GE295">
        <v>4.2105857833864153</v>
      </c>
      <c r="GF295">
        <v>7.4531605258961608</v>
      </c>
      <c r="GG295">
        <v>6.6663217402956647</v>
      </c>
      <c r="GH295">
        <v>4.6616740011837692</v>
      </c>
      <c r="GI295">
        <v>3.8049098720021006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29.57611130467826</v>
      </c>
      <c r="AO296">
        <v>4.9813097431205851</v>
      </c>
      <c r="AP296">
        <v>35.563387871285443</v>
      </c>
      <c r="AQ296">
        <v>31.296476910279502</v>
      </c>
      <c r="AR296">
        <v>4.7235928270634835</v>
      </c>
      <c r="AS296">
        <v>22.925054431456026</v>
      </c>
      <c r="AT296">
        <v>2.9083337136189846</v>
      </c>
      <c r="AU296">
        <v>3.7418589125857649</v>
      </c>
      <c r="AV296"/>
      <c r="AW296"/>
      <c r="FY296" s="210">
        <v>291</v>
      </c>
      <c r="FZ296">
        <v>1.0355721713223591</v>
      </c>
      <c r="GA296">
        <v>2.9334608892049649</v>
      </c>
      <c r="GB296">
        <v>1.6402950343131963</v>
      </c>
      <c r="GC296">
        <v>0.86255683034171149</v>
      </c>
      <c r="GD296">
        <v>1.4085403078859517</v>
      </c>
      <c r="GE296">
        <v>2.7104005337094068</v>
      </c>
      <c r="GF296">
        <v>5.8504610037851625</v>
      </c>
      <c r="GG296">
        <v>7.4105436608682167</v>
      </c>
      <c r="GH296">
        <v>6.1822214157587307</v>
      </c>
      <c r="GI296">
        <v>3.4624270245294415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39.453139402128372</v>
      </c>
      <c r="AO297">
        <v>6.574161714726996</v>
      </c>
      <c r="AP297">
        <v>42.599328526224816</v>
      </c>
      <c r="AQ297">
        <v>38.814846542667183</v>
      </c>
      <c r="AR297">
        <v>6.1661092208755885</v>
      </c>
      <c r="AS297">
        <v>30.659540177052261</v>
      </c>
      <c r="AT297">
        <v>3.9388426941336672</v>
      </c>
      <c r="AU297">
        <v>17.559378563086035</v>
      </c>
      <c r="AV297"/>
      <c r="AW297"/>
      <c r="FY297" s="210">
        <v>292</v>
      </c>
      <c r="FZ297">
        <v>1.6060864798079202</v>
      </c>
      <c r="GA297">
        <v>1.5441588300772</v>
      </c>
      <c r="GB297">
        <v>1.5873565682386626</v>
      </c>
      <c r="GC297">
        <v>1.215891069944582</v>
      </c>
      <c r="GD297">
        <v>2.3522372809903991</v>
      </c>
      <c r="GE297">
        <v>4.6863916320711123</v>
      </c>
      <c r="GF297">
        <v>6.7759941183627213</v>
      </c>
      <c r="GG297">
        <v>7.5696307042748572</v>
      </c>
      <c r="GH297">
        <v>4.2213617192488222</v>
      </c>
      <c r="GI297">
        <v>3.9450966798078952</v>
      </c>
      <c r="GJ297"/>
      <c r="GK297"/>
      <c r="GL297"/>
      <c r="GM297"/>
    </row>
    <row r="298" spans="1:195" s="7" customFormat="1">
      <c r="A298" s="1"/>
      <c r="B298">
        <v>0.71832991559252246</v>
      </c>
      <c r="C298">
        <v>6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10.416666666666666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25.831056097766442</v>
      </c>
      <c r="AO298">
        <v>4.9772354101953695</v>
      </c>
      <c r="AP298">
        <v>40.642646817978758</v>
      </c>
      <c r="AQ298">
        <v>33.386444649895822</v>
      </c>
      <c r="AR298">
        <v>4.7838473767996037</v>
      </c>
      <c r="AS298">
        <v>23.253294506525148</v>
      </c>
      <c r="AT298">
        <v>2.8367473209605958</v>
      </c>
      <c r="AU298">
        <v>-3.9368384139285775</v>
      </c>
      <c r="AV298"/>
      <c r="AW298"/>
      <c r="FY298" s="210">
        <v>293</v>
      </c>
      <c r="FZ298">
        <v>1.564962603243067</v>
      </c>
      <c r="GA298">
        <v>1.4506189822515587</v>
      </c>
      <c r="GB298">
        <v>1.4662988064127211</v>
      </c>
      <c r="GC298">
        <v>0.93343129876425202</v>
      </c>
      <c r="GD298">
        <v>1.8751987657441522</v>
      </c>
      <c r="GE298">
        <v>4.4161499028699076</v>
      </c>
      <c r="GF298">
        <v>6.0850626760042381</v>
      </c>
      <c r="GG298">
        <v>5.6059272755342286</v>
      </c>
      <c r="GH298">
        <v>3.387434086561028</v>
      </c>
      <c r="GI298">
        <v>3.3693224501673904</v>
      </c>
      <c r="GJ298"/>
      <c r="GK298"/>
      <c r="GL298"/>
      <c r="GM298"/>
    </row>
    <row r="299" spans="1:195" s="7" customFormat="1">
      <c r="A299" s="1"/>
      <c r="B299">
        <v>0.65684084996301029</v>
      </c>
      <c r="C299">
        <v>4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19.456190018856248</v>
      </c>
      <c r="AO299">
        <v>4.2925912768052461</v>
      </c>
      <c r="AP299">
        <v>34.389077405613634</v>
      </c>
      <c r="AQ299">
        <v>28.017801045862626</v>
      </c>
      <c r="AR299">
        <v>3.999297394632884</v>
      </c>
      <c r="AS299">
        <v>18.804392021074467</v>
      </c>
      <c r="AT299">
        <v>2.6812361054674088</v>
      </c>
      <c r="AU299">
        <v>0.63780407080144619</v>
      </c>
      <c r="AV299"/>
      <c r="AW299"/>
      <c r="FY299" s="210">
        <v>294</v>
      </c>
      <c r="FZ299">
        <v>1.0913614346136618</v>
      </c>
      <c r="GA299">
        <v>2.0991307185197852</v>
      </c>
      <c r="GB299">
        <v>0.84361941563090981</v>
      </c>
      <c r="GC299">
        <v>0.51273069521429304</v>
      </c>
      <c r="GD299">
        <v>1.456137331055986</v>
      </c>
      <c r="GE299">
        <v>3.9424216385853579</v>
      </c>
      <c r="GF299">
        <v>5.281362713069286</v>
      </c>
      <c r="GG299">
        <v>6.3937169211225227</v>
      </c>
      <c r="GH299">
        <v>6.4370054515652653</v>
      </c>
      <c r="GI299">
        <v>3.2366512339176792</v>
      </c>
      <c r="GJ299"/>
      <c r="GK299"/>
      <c r="GL299"/>
      <c r="GM299"/>
    </row>
    <row r="300" spans="1:195" s="7" customFormat="1">
      <c r="A300" s="1"/>
      <c r="B300">
        <v>0.91055166453161984</v>
      </c>
      <c r="C300">
        <v>4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36.743030281193214</v>
      </c>
      <c r="AO300">
        <v>5.7865209615751247</v>
      </c>
      <c r="AP300">
        <v>37.032523520840819</v>
      </c>
      <c r="AQ300">
        <v>34.11046731173866</v>
      </c>
      <c r="AR300">
        <v>5.3801174234532194</v>
      </c>
      <c r="AS300">
        <v>28.787850208221791</v>
      </c>
      <c r="AT300">
        <v>3.6791997249026474</v>
      </c>
      <c r="AU300">
        <v>5.9120026518274162</v>
      </c>
      <c r="AV300"/>
      <c r="AW300"/>
      <c r="FY300" s="210">
        <v>295</v>
      </c>
      <c r="FZ300">
        <v>1.3916982618131819</v>
      </c>
      <c r="GA300">
        <v>3.1948053699502728</v>
      </c>
      <c r="GB300">
        <v>1.9786075607165303</v>
      </c>
      <c r="GC300">
        <v>0.93142318595769968</v>
      </c>
      <c r="GD300">
        <v>1.3868400250272552</v>
      </c>
      <c r="GE300">
        <v>3.4420926536464278</v>
      </c>
      <c r="GF300">
        <v>5.9938528126568409</v>
      </c>
      <c r="GG300">
        <v>5.3861727398476233</v>
      </c>
      <c r="GH300">
        <v>2.7689981831024459</v>
      </c>
      <c r="GI300">
        <v>3.0725962996731289</v>
      </c>
      <c r="GJ300"/>
      <c r="GK300"/>
      <c r="GL300"/>
      <c r="GM300"/>
    </row>
    <row r="301" spans="1:195" s="7" customFormat="1">
      <c r="A301" s="1"/>
      <c r="B301">
        <v>0.60751131809790415</v>
      </c>
      <c r="C301">
        <v>3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28.409090909090907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25.683839801946419</v>
      </c>
      <c r="AO301">
        <v>4.8344470329440421</v>
      </c>
      <c r="AP301">
        <v>34.333954106423825</v>
      </c>
      <c r="AQ301">
        <v>30.098186345105994</v>
      </c>
      <c r="AR301">
        <v>4.5283430856857771</v>
      </c>
      <c r="AS301">
        <v>22.670762381745522</v>
      </c>
      <c r="AT301">
        <v>2.9974132714949828</v>
      </c>
      <c r="AU301">
        <v>11.080859671157876</v>
      </c>
      <c r="AV301"/>
      <c r="AW301"/>
      <c r="FY301" s="210">
        <v>296</v>
      </c>
      <c r="FZ301">
        <v>1.2556314114952118</v>
      </c>
      <c r="GA301">
        <v>2.194257910739851</v>
      </c>
      <c r="GB301">
        <v>1.8509716726150529</v>
      </c>
      <c r="GC301">
        <v>0.90536653158465674</v>
      </c>
      <c r="GD301">
        <v>1.6578322013567706</v>
      </c>
      <c r="GE301">
        <v>3.8163897699593372</v>
      </c>
      <c r="GF301">
        <v>4.9560634431295201</v>
      </c>
      <c r="GG301">
        <v>7.8173271150147414</v>
      </c>
      <c r="GH301">
        <v>6.8254119359443877</v>
      </c>
      <c r="GI301">
        <v>3.6373934718368996</v>
      </c>
      <c r="GJ301"/>
      <c r="GK301"/>
      <c r="GL301"/>
      <c r="GM301"/>
    </row>
    <row r="302" spans="1:195" s="7" customFormat="1">
      <c r="A302" s="1"/>
      <c r="B302">
        <v>0.83230012064697179</v>
      </c>
      <c r="C302">
        <v>5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10.416666666666666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27.953952630902336</v>
      </c>
      <c r="AO302">
        <v>6.2535464049854754</v>
      </c>
      <c r="AP302">
        <v>47.662393200963166</v>
      </c>
      <c r="AQ302">
        <v>40.035851923795313</v>
      </c>
      <c r="AR302">
        <v>5.8839273820841358</v>
      </c>
      <c r="AS302">
        <v>27.409354614253246</v>
      </c>
      <c r="AT302">
        <v>4.0732013044941331</v>
      </c>
      <c r="AU302">
        <v>4.0756098595032881</v>
      </c>
      <c r="AV302"/>
      <c r="AW302"/>
      <c r="FY302" s="210">
        <v>297</v>
      </c>
      <c r="FZ302">
        <v>1.3859144749461361</v>
      </c>
      <c r="GA302">
        <v>2.8300215460204985</v>
      </c>
      <c r="GB302">
        <v>1.4951724493515686</v>
      </c>
      <c r="GC302">
        <v>0.89736346347169227</v>
      </c>
      <c r="GD302">
        <v>1.6006166545452212</v>
      </c>
      <c r="GE302">
        <v>3.163400834036969</v>
      </c>
      <c r="GF302">
        <v>3.3555026539498312</v>
      </c>
      <c r="GG302">
        <v>5.0512979290571858</v>
      </c>
      <c r="GH302">
        <v>5.4574760846445622</v>
      </c>
      <c r="GI302">
        <v>3.0056259359586974</v>
      </c>
      <c r="GJ302"/>
      <c r="GK302"/>
      <c r="GL302"/>
      <c r="GM302"/>
    </row>
    <row r="303" spans="1:195" s="7" customFormat="1">
      <c r="A303" s="1"/>
      <c r="B303">
        <v>0.39207352238531246</v>
      </c>
      <c r="C303">
        <v>3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28.409090909090907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35.069026782721636</v>
      </c>
      <c r="AO303">
        <v>6.4779837737363737</v>
      </c>
      <c r="AP303">
        <v>45.472645478867427</v>
      </c>
      <c r="AQ303">
        <v>39.722832616384274</v>
      </c>
      <c r="AR303">
        <v>6.1412754204764353</v>
      </c>
      <c r="AS303">
        <v>30.963059741114503</v>
      </c>
      <c r="AT303">
        <v>3.9597105105435291</v>
      </c>
      <c r="AU303">
        <v>2.5207971020632942</v>
      </c>
      <c r="AV303"/>
      <c r="AW303"/>
      <c r="FY303" s="210">
        <v>298</v>
      </c>
      <c r="FZ303">
        <v>0.93911009022193026</v>
      </c>
      <c r="GA303">
        <v>2.6971836141799157</v>
      </c>
      <c r="GB303">
        <v>2.1041102703306431</v>
      </c>
      <c r="GC303">
        <v>0.81687448093744441</v>
      </c>
      <c r="GD303">
        <v>1.1338950015958122</v>
      </c>
      <c r="GE303">
        <v>3.7076893609166324</v>
      </c>
      <c r="GF303">
        <v>6.907021146138888</v>
      </c>
      <c r="GG303">
        <v>6.0698785443003196</v>
      </c>
      <c r="GH303">
        <v>4.3374296103272751</v>
      </c>
      <c r="GI303">
        <v>3.2972615364321536</v>
      </c>
      <c r="GJ303"/>
      <c r="GK303"/>
      <c r="GL303"/>
      <c r="GM303"/>
    </row>
    <row r="304" spans="1:195" s="7" customFormat="1">
      <c r="A304" s="1"/>
      <c r="B304">
        <v>0.35612534315052091</v>
      </c>
      <c r="C304">
        <v>10</v>
      </c>
      <c r="D304">
        <v>39910</v>
      </c>
      <c r="E304">
        <v>0</v>
      </c>
      <c r="F304">
        <v>0</v>
      </c>
      <c r="G304">
        <v>0</v>
      </c>
      <c r="H304">
        <v>104.16666666666667</v>
      </c>
      <c r="I304">
        <v>0</v>
      </c>
      <c r="J304">
        <v>20.833333333333332</v>
      </c>
      <c r="K304">
        <v>10.416666666666666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26.679796349686445</v>
      </c>
      <c r="AO304">
        <v>5.5740537457886266</v>
      </c>
      <c r="AP304">
        <v>35.403857694550894</v>
      </c>
      <c r="AQ304">
        <v>32.66424527377395</v>
      </c>
      <c r="AR304">
        <v>5.199015199458632</v>
      </c>
      <c r="AS304">
        <v>25.266932919399888</v>
      </c>
      <c r="AT304">
        <v>3.3375870401389562</v>
      </c>
      <c r="AU304">
        <v>-3.6436543678610884</v>
      </c>
      <c r="AV304"/>
      <c r="AW304"/>
      <c r="FY304" s="210">
        <v>299</v>
      </c>
      <c r="FZ304">
        <v>1.2002932069596366</v>
      </c>
      <c r="GA304">
        <v>2.3198407921149555</v>
      </c>
      <c r="GB304">
        <v>1.2228046718803938</v>
      </c>
      <c r="GC304">
        <v>0.70935292904484615</v>
      </c>
      <c r="GD304">
        <v>2.3710086787989724</v>
      </c>
      <c r="GE304">
        <v>6.6329606471044702</v>
      </c>
      <c r="GF304">
        <v>6.2350669611383003</v>
      </c>
      <c r="GG304">
        <v>3.8919621692380746</v>
      </c>
      <c r="GH304">
        <v>3.399673245300435</v>
      </c>
      <c r="GI304">
        <v>3.5647764855011514</v>
      </c>
      <c r="GJ304"/>
      <c r="GK304"/>
      <c r="GL304"/>
      <c r="GM304"/>
    </row>
    <row r="305" spans="1:195" s="7" customFormat="1">
      <c r="A305" s="1"/>
      <c r="B305">
        <v>0.66440722594433232</v>
      </c>
      <c r="C305">
        <v>9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34.224214017872107</v>
      </c>
      <c r="AO305">
        <v>5.1237559501224759</v>
      </c>
      <c r="AP305">
        <v>29.883591259725623</v>
      </c>
      <c r="AQ305">
        <v>28.733499219637896</v>
      </c>
      <c r="AR305">
        <v>4.8537677877411927</v>
      </c>
      <c r="AS305">
        <v>26.632993697407965</v>
      </c>
      <c r="AT305">
        <v>3.1060329719358823</v>
      </c>
      <c r="AU305">
        <v>13.336234579277271</v>
      </c>
      <c r="AV305"/>
      <c r="AW305"/>
      <c r="FY305" s="210">
        <v>300</v>
      </c>
      <c r="FZ305">
        <v>0.81573846052736987</v>
      </c>
      <c r="GA305">
        <v>1.5384461796390398</v>
      </c>
      <c r="GB305">
        <v>0.84872982905328131</v>
      </c>
      <c r="GC305">
        <v>0.47783774845664434</v>
      </c>
      <c r="GD305">
        <v>1.8582226341712724</v>
      </c>
      <c r="GE305">
        <v>4.149026809151378</v>
      </c>
      <c r="GF305">
        <v>6.4192040144866702</v>
      </c>
      <c r="GG305">
        <v>5.7536586457937027</v>
      </c>
      <c r="GH305">
        <v>3.5115111954563254</v>
      </c>
      <c r="GI305">
        <v>3.1731122861058352</v>
      </c>
      <c r="GJ305"/>
      <c r="GK305"/>
      <c r="GL305"/>
      <c r="GM305"/>
    </row>
    <row r="306" spans="1:195" s="7" customFormat="1">
      <c r="A306" s="1"/>
      <c r="B306">
        <v>0.15717319768023863</v>
      </c>
      <c r="C306">
        <v>8</v>
      </c>
      <c r="D306">
        <v>39910</v>
      </c>
      <c r="E306">
        <v>0</v>
      </c>
      <c r="F306">
        <v>0</v>
      </c>
      <c r="G306">
        <v>0</v>
      </c>
      <c r="H306">
        <v>10.416666666666666</v>
      </c>
      <c r="I306">
        <v>10.416666666666666</v>
      </c>
      <c r="J306">
        <v>20.833333333333332</v>
      </c>
      <c r="K306">
        <v>0</v>
      </c>
      <c r="L306">
        <v>10.416666666666666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24.673502424587767</v>
      </c>
      <c r="AO306">
        <v>5.6067517557555373</v>
      </c>
      <c r="AP306">
        <v>43.784419534812642</v>
      </c>
      <c r="AQ306">
        <v>35.988873035039958</v>
      </c>
      <c r="AR306">
        <v>5.1993194079937703</v>
      </c>
      <c r="AS306">
        <v>24.276553334251844</v>
      </c>
      <c r="AT306">
        <v>3.4086483538607033</v>
      </c>
      <c r="AU306">
        <v>1.1617552267706661</v>
      </c>
      <c r="AV306"/>
      <c r="AW306"/>
      <c r="FY306" s="210">
        <v>301</v>
      </c>
      <c r="FZ306">
        <v>1.0273671595965466</v>
      </c>
      <c r="GA306">
        <v>2.0594677227343046</v>
      </c>
      <c r="GB306">
        <v>2.3102475740588302</v>
      </c>
      <c r="GC306">
        <v>1.3078708581608709</v>
      </c>
      <c r="GD306">
        <v>2.244473257624171</v>
      </c>
      <c r="GE306">
        <v>4.6166311552028203</v>
      </c>
      <c r="GF306">
        <v>3.2954122254344038</v>
      </c>
      <c r="GG306">
        <v>3.1917358095637316</v>
      </c>
      <c r="GH306">
        <v>2.9688891658153818</v>
      </c>
      <c r="GI306">
        <v>3.1149808102872649</v>
      </c>
      <c r="GJ306"/>
      <c r="GK306"/>
      <c r="GL306"/>
      <c r="GM306"/>
    </row>
    <row r="307" spans="1:195" s="7" customFormat="1">
      <c r="A307" s="1"/>
      <c r="B307">
        <v>0.10611260841351822</v>
      </c>
      <c r="C307">
        <v>2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24.597371293602912</v>
      </c>
      <c r="AO307">
        <v>5.0163573183747898</v>
      </c>
      <c r="AP307">
        <v>40.895760841110501</v>
      </c>
      <c r="AQ307">
        <v>33.496478871719141</v>
      </c>
      <c r="AR307">
        <v>4.8146262053298949</v>
      </c>
      <c r="AS307">
        <v>24.814499080905414</v>
      </c>
      <c r="AT307">
        <v>3.1630320218659769</v>
      </c>
      <c r="AU307">
        <v>0.11231136581281387</v>
      </c>
      <c r="AV307"/>
      <c r="AW307"/>
      <c r="FY307" s="210">
        <v>302</v>
      </c>
      <c r="FZ307">
        <v>0.82349241349745528</v>
      </c>
      <c r="GA307">
        <v>1.6377972701420223</v>
      </c>
      <c r="GB307">
        <v>0.80644582519119956</v>
      </c>
      <c r="GC307">
        <v>0.73284138374812158</v>
      </c>
      <c r="GD307">
        <v>0.70981677561043743</v>
      </c>
      <c r="GE307">
        <v>2.4642918002015004</v>
      </c>
      <c r="GF307">
        <v>6.5339727724103707</v>
      </c>
      <c r="GG307">
        <v>6.2394040303251144</v>
      </c>
      <c r="GH307">
        <v>5.1682719544864621</v>
      </c>
      <c r="GI307">
        <v>2.78615745077578</v>
      </c>
      <c r="GJ307"/>
      <c r="GK307"/>
      <c r="GL307"/>
      <c r="GM307"/>
    </row>
    <row r="308" spans="1:195" s="7" customFormat="1">
      <c r="A308" s="1"/>
      <c r="B308">
        <v>2.8351809936924433E-2</v>
      </c>
      <c r="C308">
        <v>2</v>
      </c>
      <c r="D308">
        <v>39949</v>
      </c>
      <c r="E308">
        <v>0</v>
      </c>
      <c r="F308">
        <v>0</v>
      </c>
      <c r="G308">
        <v>0</v>
      </c>
      <c r="H308">
        <v>10.416666666666666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33.013390043574262</v>
      </c>
      <c r="AO308">
        <v>5.8041872163635055</v>
      </c>
      <c r="AP308">
        <v>40.77786092427705</v>
      </c>
      <c r="AQ308">
        <v>35.504205082824171</v>
      </c>
      <c r="AR308">
        <v>5.4793905180987483</v>
      </c>
      <c r="AS308">
        <v>27.629124743478506</v>
      </c>
      <c r="AT308">
        <v>3.4625762030705443</v>
      </c>
      <c r="AU308">
        <v>8.2826338646544357</v>
      </c>
      <c r="AV308"/>
      <c r="AW308"/>
      <c r="FY308" s="210">
        <v>303</v>
      </c>
      <c r="FZ308">
        <v>1.3982714015027502</v>
      </c>
      <c r="GA308">
        <v>3.2987054791481847</v>
      </c>
      <c r="GB308">
        <v>2.0027586287172783</v>
      </c>
      <c r="GC308">
        <v>0.63235168407967501</v>
      </c>
      <c r="GD308">
        <v>1.690811381642936</v>
      </c>
      <c r="GE308">
        <v>3.1593602276074098</v>
      </c>
      <c r="GF308">
        <v>4.5524069906615621</v>
      </c>
      <c r="GG308">
        <v>5.9177515249505159</v>
      </c>
      <c r="GH308">
        <v>5.5039513926909152</v>
      </c>
      <c r="GI308">
        <v>3.4422328556170125</v>
      </c>
      <c r="GJ308"/>
      <c r="GK308"/>
      <c r="GL308"/>
      <c r="GM308"/>
    </row>
    <row r="309" spans="1:195" s="7" customFormat="1">
      <c r="A309" s="1"/>
      <c r="B309">
        <v>0.38780216835592363</v>
      </c>
      <c r="C309">
        <v>7</v>
      </c>
      <c r="D309">
        <v>39949</v>
      </c>
      <c r="E309">
        <v>0</v>
      </c>
      <c r="F309">
        <v>0</v>
      </c>
      <c r="G309">
        <v>0</v>
      </c>
      <c r="H309">
        <v>10.416666666666666</v>
      </c>
      <c r="I309">
        <v>10.416666666666666</v>
      </c>
      <c r="J309">
        <v>20.833333333333332</v>
      </c>
      <c r="K309">
        <v>10.416666666666666</v>
      </c>
      <c r="L309">
        <v>10.416666666666666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24.510810574229691</v>
      </c>
      <c r="AO309">
        <v>4.8952567654551213</v>
      </c>
      <c r="AP309">
        <v>34.593891606578268</v>
      </c>
      <c r="AQ309">
        <v>30.154406847552547</v>
      </c>
      <c r="AR309">
        <v>4.6342919290051565</v>
      </c>
      <c r="AS309">
        <v>23.953052873165635</v>
      </c>
      <c r="AT309">
        <v>3.2149032817707313</v>
      </c>
      <c r="AU309">
        <v>10.351869620929108</v>
      </c>
      <c r="AV309"/>
      <c r="AW309"/>
      <c r="FY309" s="210">
        <v>304</v>
      </c>
      <c r="FZ309">
        <v>1.5711974488658398</v>
      </c>
      <c r="GA309">
        <v>2.0705003819018231</v>
      </c>
      <c r="GB309">
        <v>2.4324662793183984</v>
      </c>
      <c r="GC309">
        <v>1.1957916016778103</v>
      </c>
      <c r="GD309">
        <v>2.4333050453983396</v>
      </c>
      <c r="GE309">
        <v>5.295433249285395</v>
      </c>
      <c r="GF309">
        <v>6.3231316916965774</v>
      </c>
      <c r="GG309">
        <v>8.156446489503443</v>
      </c>
      <c r="GH309">
        <v>7.2740739766986877</v>
      </c>
      <c r="GI309">
        <v>4.588530925492285</v>
      </c>
      <c r="GJ309"/>
      <c r="GK309"/>
      <c r="GL309"/>
      <c r="GM309"/>
    </row>
    <row r="310" spans="1:195" s="7" customFormat="1">
      <c r="A310" s="1"/>
      <c r="B310">
        <v>0.6677998445999096</v>
      </c>
      <c r="C310">
        <v>2</v>
      </c>
      <c r="D310">
        <v>39949</v>
      </c>
      <c r="E310">
        <v>0</v>
      </c>
      <c r="F310">
        <v>0</v>
      </c>
      <c r="G310">
        <v>0</v>
      </c>
      <c r="H310">
        <v>10.416666666666666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21.274241384701725</v>
      </c>
      <c r="AO310">
        <v>4.7622581091811211</v>
      </c>
      <c r="AP310">
        <v>36.993222433171546</v>
      </c>
      <c r="AQ310">
        <v>31.294137553294746</v>
      </c>
      <c r="AR310">
        <v>4.4254150747126912</v>
      </c>
      <c r="AS310">
        <v>19.466419080527867</v>
      </c>
      <c r="AT310" t="e">
        <v>#DIV/0!</v>
      </c>
      <c r="AU310" t="e">
        <v>#DIV/0!</v>
      </c>
      <c r="AV310"/>
      <c r="AW310"/>
      <c r="FY310" s="210">
        <v>305</v>
      </c>
      <c r="FZ310">
        <v>1.2557441761841437</v>
      </c>
      <c r="GA310">
        <v>2.1359836986655703</v>
      </c>
      <c r="GB310">
        <v>1.0979300137664127</v>
      </c>
      <c r="GC310">
        <v>0.56386035056666151</v>
      </c>
      <c r="GD310">
        <v>2.8992396505384845</v>
      </c>
      <c r="GE310">
        <v>6.8891589271412785</v>
      </c>
      <c r="GF310">
        <v>6.723896299857957</v>
      </c>
      <c r="GG310">
        <v>8.5410166338809237</v>
      </c>
      <c r="GH310">
        <v>7.3228560190362799</v>
      </c>
      <c r="GI310">
        <v>4.5774638754925974</v>
      </c>
      <c r="GJ310"/>
      <c r="GK310"/>
      <c r="GL310"/>
      <c r="GM310"/>
    </row>
    <row r="311" spans="1:195" s="7" customFormat="1">
      <c r="A311" s="1"/>
      <c r="B311">
        <v>0.18787881893002734</v>
      </c>
      <c r="C311">
        <v>3</v>
      </c>
      <c r="D311">
        <v>39949</v>
      </c>
      <c r="E311">
        <v>0</v>
      </c>
      <c r="F311">
        <v>81.018518518518519</v>
      </c>
      <c r="G311">
        <v>81.018518518518519</v>
      </c>
      <c r="H311">
        <v>0</v>
      </c>
      <c r="I311">
        <v>0</v>
      </c>
      <c r="J311">
        <v>10.416666666666666</v>
      </c>
      <c r="K311">
        <v>10.416666666666666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25.471618080993075</v>
      </c>
      <c r="AO311">
        <v>4.5758766728294189</v>
      </c>
      <c r="AP311">
        <v>35.031642818920524</v>
      </c>
      <c r="AQ311">
        <v>29.547087092391408</v>
      </c>
      <c r="AR311">
        <v>4.193911221908702</v>
      </c>
      <c r="AS311">
        <v>22.202667014961474</v>
      </c>
      <c r="AT311" t="e">
        <v>#DIV/0!</v>
      </c>
      <c r="AU311" t="e">
        <v>#DIV/0!</v>
      </c>
      <c r="AV311"/>
      <c r="AW311"/>
      <c r="FY311" s="210">
        <v>306</v>
      </c>
      <c r="FZ311">
        <v>1.3222584939958164</v>
      </c>
      <c r="GA311">
        <v>2.1361250787260273</v>
      </c>
      <c r="GB311">
        <v>1.8220011896532238</v>
      </c>
      <c r="GC311">
        <v>1.1713650011893681</v>
      </c>
      <c r="GD311">
        <v>1.5389940140123586</v>
      </c>
      <c r="GE311">
        <v>2.36147583716465</v>
      </c>
      <c r="GF311">
        <v>2.3621520859475367</v>
      </c>
      <c r="GG311">
        <v>6.5208478086411423</v>
      </c>
      <c r="GH311">
        <v>7.9839245004911845</v>
      </c>
      <c r="GI311">
        <v>3.2701355220209871</v>
      </c>
      <c r="GJ311"/>
      <c r="GK311"/>
      <c r="GL311"/>
      <c r="GM311"/>
    </row>
    <row r="312" spans="1:195" s="7" customFormat="1">
      <c r="A312" s="1"/>
      <c r="B312">
        <v>0.47434796015376546</v>
      </c>
      <c r="C312">
        <v>7</v>
      </c>
      <c r="D312">
        <v>39949</v>
      </c>
      <c r="E312">
        <v>0</v>
      </c>
      <c r="F312">
        <v>0</v>
      </c>
      <c r="G312">
        <v>0</v>
      </c>
      <c r="H312">
        <v>10.416666666666666</v>
      </c>
      <c r="I312">
        <v>10.416666666666666</v>
      </c>
      <c r="J312">
        <v>20.833333333333332</v>
      </c>
      <c r="K312">
        <v>10.416666666666666</v>
      </c>
      <c r="L312">
        <v>10.416666666666666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26.402095632647494</v>
      </c>
      <c r="AO312">
        <v>5.4003816358368484</v>
      </c>
      <c r="AP312">
        <v>41.459255036455055</v>
      </c>
      <c r="AQ312">
        <v>34.916645463676431</v>
      </c>
      <c r="AR312">
        <v>5.0445569589774442</v>
      </c>
      <c r="AS312">
        <v>24.854691463506107</v>
      </c>
      <c r="AT312">
        <v>3.2010658322705456</v>
      </c>
      <c r="AU312">
        <v>-8.4873620649018768</v>
      </c>
      <c r="AV312"/>
      <c r="AW312"/>
      <c r="FY312" s="210">
        <v>307</v>
      </c>
      <c r="FZ312">
        <v>1.262317315873712</v>
      </c>
      <c r="GA312">
        <v>0.87001325117853723</v>
      </c>
      <c r="GB312">
        <v>1.008671845845849</v>
      </c>
      <c r="GC312">
        <v>0.98953145001019815</v>
      </c>
      <c r="GD312">
        <v>1.2464515744422071</v>
      </c>
      <c r="GE312">
        <v>2.6608372441895947</v>
      </c>
      <c r="GF312">
        <v>5.5276654394226332</v>
      </c>
      <c r="GG312">
        <v>6.5810223961225862</v>
      </c>
      <c r="GH312">
        <v>4.8292221514619031</v>
      </c>
      <c r="GI312">
        <v>2.9676877088414586</v>
      </c>
      <c r="GJ312"/>
      <c r="GK312"/>
      <c r="GL312"/>
      <c r="GM312"/>
    </row>
    <row r="313" spans="1:195" s="7" customFormat="1">
      <c r="A313" s="1"/>
      <c r="B313">
        <v>0.90840665716685809</v>
      </c>
      <c r="C313">
        <v>4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22.925200379410718</v>
      </c>
      <c r="AO313">
        <v>4.3764874946908154</v>
      </c>
      <c r="AP313">
        <v>32.705520862744514</v>
      </c>
      <c r="AQ313">
        <v>28.242392025982362</v>
      </c>
      <c r="AR313">
        <v>4.1420546308500068</v>
      </c>
      <c r="AS313">
        <v>21.209836984960145</v>
      </c>
      <c r="AT313">
        <v>2.6151806484457252</v>
      </c>
      <c r="AU313">
        <v>1.7993059127505893</v>
      </c>
      <c r="AV313"/>
      <c r="AW313"/>
      <c r="FY313" s="210">
        <v>308</v>
      </c>
      <c r="FZ313">
        <v>0.79506375755601133</v>
      </c>
      <c r="GA313">
        <v>2.2977380775886083</v>
      </c>
      <c r="GB313">
        <v>1.8926253272159057</v>
      </c>
      <c r="GC313">
        <v>0.98720165536769244</v>
      </c>
      <c r="GD313">
        <v>2.0404293266946234</v>
      </c>
      <c r="GE313">
        <v>6.3376753889526691</v>
      </c>
      <c r="GF313">
        <v>6.5935456378930217</v>
      </c>
      <c r="GG313">
        <v>2.9466867781479364</v>
      </c>
      <c r="GH313">
        <v>2.3762424084520566</v>
      </c>
      <c r="GI313">
        <v>3.3876925506615594</v>
      </c>
      <c r="GJ313"/>
      <c r="GK313"/>
      <c r="GL313"/>
      <c r="GM313"/>
    </row>
    <row r="314" spans="1:195" s="7" customFormat="1">
      <c r="A314" s="1"/>
      <c r="B314">
        <v>5.1727520120499193E-2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24.804392903051383</v>
      </c>
      <c r="AO314">
        <v>4.8350579041823067</v>
      </c>
      <c r="AP314">
        <v>38.930940283842816</v>
      </c>
      <c r="AQ314">
        <v>32.010453655381014</v>
      </c>
      <c r="AR314">
        <v>4.4696015570493035</v>
      </c>
      <c r="AS314">
        <v>22.096806046140472</v>
      </c>
      <c r="AT314">
        <v>2.9424480888082978</v>
      </c>
      <c r="AU314">
        <v>3.1495993818422914</v>
      </c>
      <c r="AV314"/>
      <c r="AW314"/>
      <c r="FY314" s="210">
        <v>309</v>
      </c>
      <c r="FZ314">
        <v>1.4889496957361328</v>
      </c>
      <c r="GA314">
        <v>3.0408032005208332</v>
      </c>
      <c r="GB314">
        <v>2.160868464268511</v>
      </c>
      <c r="GC314">
        <v>0.91950881374515647</v>
      </c>
      <c r="GD314">
        <v>1.0558089436090048</v>
      </c>
      <c r="GE314">
        <v>2.7748550507497942</v>
      </c>
      <c r="GF314">
        <v>5.3829806012592334</v>
      </c>
      <c r="GG314">
        <v>6.2165137045749903</v>
      </c>
      <c r="GH314">
        <v>4.7625195795752404</v>
      </c>
      <c r="GI314">
        <v>3.1366761229258446</v>
      </c>
      <c r="GJ314"/>
      <c r="GK314"/>
      <c r="GL314"/>
      <c r="GM314"/>
    </row>
    <row r="315" spans="1:195" s="7" customFormat="1">
      <c r="A315" s="1"/>
      <c r="B315">
        <v>0.54564260229468209</v>
      </c>
      <c r="C315">
        <v>4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30.868949788839888</v>
      </c>
      <c r="AO315">
        <v>5.2342700936188589</v>
      </c>
      <c r="AP315">
        <v>34.240133243006383</v>
      </c>
      <c r="AQ315">
        <v>31.547739787081237</v>
      </c>
      <c r="AR315">
        <v>4.7630542311502992</v>
      </c>
      <c r="AS315">
        <v>25.373460526666236</v>
      </c>
      <c r="AT315">
        <v>3.2469111039374607</v>
      </c>
      <c r="AU315">
        <v>2.9091433343061994</v>
      </c>
      <c r="AV315"/>
      <c r="AW315"/>
      <c r="FY315" s="210">
        <v>310</v>
      </c>
      <c r="FZ315">
        <v>1.4682749927647745</v>
      </c>
      <c r="GA315">
        <v>2.0801309812249986</v>
      </c>
      <c r="GB315">
        <v>1.5887921517705363</v>
      </c>
      <c r="GC315">
        <v>0.77895199877938548</v>
      </c>
      <c r="GD315">
        <v>1.3398849467343137</v>
      </c>
      <c r="GE315">
        <v>4.0869762719556793</v>
      </c>
      <c r="GF315">
        <v>4.9609275679088416</v>
      </c>
      <c r="GG315">
        <v>4.9150694639137402</v>
      </c>
      <c r="GH315">
        <v>5.153909217901937</v>
      </c>
      <c r="GI315">
        <v>3.1456544532296222</v>
      </c>
      <c r="GJ315"/>
      <c r="GK315"/>
      <c r="GL315"/>
      <c r="GM315"/>
    </row>
    <row r="316" spans="1:195" s="7" customFormat="1">
      <c r="A316" s="1"/>
      <c r="B316">
        <v>0.45486861369671083</v>
      </c>
      <c r="C316">
        <v>1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26.024893221291059</v>
      </c>
      <c r="AO316">
        <v>4.5620266533800864</v>
      </c>
      <c r="AP316">
        <v>32.880763651456824</v>
      </c>
      <c r="AQ316">
        <v>28.545487802841517</v>
      </c>
      <c r="AR316">
        <v>4.367750627396271</v>
      </c>
      <c r="AS316">
        <v>22.068697631933389</v>
      </c>
      <c r="AT316">
        <v>2.7499283001964638</v>
      </c>
      <c r="AU316">
        <v>2.072971048585122</v>
      </c>
      <c r="AV316"/>
      <c r="AW316"/>
      <c r="FY316" s="210">
        <v>311</v>
      </c>
      <c r="FZ316">
        <v>1.1733836583655051</v>
      </c>
      <c r="GA316">
        <v>1.3544110802971239</v>
      </c>
      <c r="GB316">
        <v>1.2663713025292229</v>
      </c>
      <c r="GC316">
        <v>1.0701600864391352</v>
      </c>
      <c r="GD316">
        <v>1.5634098476933413</v>
      </c>
      <c r="GE316">
        <v>5.2632681258950864</v>
      </c>
      <c r="GF316">
        <v>8.6958791904911692</v>
      </c>
      <c r="GG316">
        <v>7.4568918943875069</v>
      </c>
      <c r="GH316">
        <v>6.3518162236070896</v>
      </c>
      <c r="GI316">
        <v>4.0401065661669486</v>
      </c>
      <c r="GJ316"/>
      <c r="GK316"/>
      <c r="GL316"/>
      <c r="GM316"/>
    </row>
    <row r="317" spans="1:195" s="7" customFormat="1">
      <c r="A317" s="1"/>
      <c r="B317">
        <v>0.73401142985867152</v>
      </c>
      <c r="C317">
        <v>2</v>
      </c>
      <c r="D317">
        <v>39949</v>
      </c>
      <c r="E317">
        <v>0</v>
      </c>
      <c r="F317">
        <v>0</v>
      </c>
      <c r="G317">
        <v>0</v>
      </c>
      <c r="H317">
        <v>10.416666666666666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28.785436904462642</v>
      </c>
      <c r="AO317">
        <v>4.5133945173009025</v>
      </c>
      <c r="AP317">
        <v>28.526861888267412</v>
      </c>
      <c r="AQ317">
        <v>26.137075738478323</v>
      </c>
      <c r="AR317">
        <v>4.2781936793724391</v>
      </c>
      <c r="AS317">
        <v>22.502352008134395</v>
      </c>
      <c r="AT317">
        <v>2.7885890582100021</v>
      </c>
      <c r="AU317">
        <v>13.077184558373274</v>
      </c>
      <c r="AV317"/>
      <c r="AW317"/>
      <c r="FY317" s="210">
        <v>312</v>
      </c>
      <c r="FZ317">
        <v>0.70624286473673614</v>
      </c>
      <c r="GA317">
        <v>2.7373447721701529</v>
      </c>
      <c r="GB317">
        <v>1.7037801678086415</v>
      </c>
      <c r="GC317">
        <v>0.83850525195624392</v>
      </c>
      <c r="GD317">
        <v>2.1399027125984467</v>
      </c>
      <c r="GE317">
        <v>7.2793400463680102</v>
      </c>
      <c r="GF317">
        <v>9.5941170591772913</v>
      </c>
      <c r="GG317">
        <v>7.5834145903195598</v>
      </c>
      <c r="GH317">
        <v>7.1836971987246585</v>
      </c>
      <c r="GI317">
        <v>4.7088709611847648</v>
      </c>
      <c r="GJ317"/>
      <c r="GK317"/>
      <c r="GL317"/>
      <c r="GM317"/>
    </row>
    <row r="318" spans="1:195" s="7" customFormat="1">
      <c r="A318" s="1"/>
      <c r="B318">
        <v>0.45183806556895778</v>
      </c>
      <c r="C318">
        <v>2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15.654537635089497</v>
      </c>
      <c r="AO318">
        <v>4.1052863453120167</v>
      </c>
      <c r="AP318">
        <v>34.6068302085121</v>
      </c>
      <c r="AQ318">
        <v>27.902491676388461</v>
      </c>
      <c r="AR318">
        <v>3.7687218160388687</v>
      </c>
      <c r="AS318">
        <v>17.542082333592219</v>
      </c>
      <c r="AT318">
        <v>2.8149601770939032</v>
      </c>
      <c r="AU318">
        <v>3.8198061868047555</v>
      </c>
      <c r="AV318"/>
      <c r="AW318"/>
      <c r="FY318" s="210">
        <v>313</v>
      </c>
      <c r="FZ318">
        <v>1.5030512590179232</v>
      </c>
      <c r="GA318">
        <v>1.4503007900963192</v>
      </c>
      <c r="GB318">
        <v>0.98905696989070335</v>
      </c>
      <c r="GC318">
        <v>0.60419894099489391</v>
      </c>
      <c r="GD318">
        <v>1.9852707694650089</v>
      </c>
      <c r="GE318">
        <v>4.6524731562977895</v>
      </c>
      <c r="GF318">
        <v>4.1148326287747441</v>
      </c>
      <c r="GG318">
        <v>4.2992809961005722</v>
      </c>
      <c r="GH318">
        <v>3.0291488237807584</v>
      </c>
      <c r="GI318">
        <v>2.8839487876674905</v>
      </c>
      <c r="GJ318"/>
      <c r="GK318"/>
      <c r="GL318"/>
      <c r="GM318"/>
    </row>
    <row r="319" spans="1:195" s="7" customFormat="1">
      <c r="A319" s="1"/>
      <c r="B319">
        <v>0.98105624874251807</v>
      </c>
      <c r="C319">
        <v>4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19.756247889226607</v>
      </c>
      <c r="AO319">
        <v>4.8611987061130346</v>
      </c>
      <c r="AP319">
        <v>38.231667829149039</v>
      </c>
      <c r="AQ319">
        <v>31.598601566618242</v>
      </c>
      <c r="AR319">
        <v>4.8500769171264615</v>
      </c>
      <c r="AS319">
        <v>23.438948170120302</v>
      </c>
      <c r="AT319">
        <v>3.1720917172681844</v>
      </c>
      <c r="AU319">
        <v>5.2464872696606566</v>
      </c>
      <c r="AV319"/>
      <c r="AW319"/>
      <c r="FY319" s="210">
        <v>314</v>
      </c>
      <c r="FZ319">
        <v>1.4063636485396309</v>
      </c>
      <c r="GA319">
        <v>1.2521595115415065</v>
      </c>
      <c r="GB319">
        <v>1.860621420611094</v>
      </c>
      <c r="GC319">
        <v>1.3659791222133688</v>
      </c>
      <c r="GD319">
        <v>3.0391338996752011</v>
      </c>
      <c r="GE319">
        <v>7.009715177943229</v>
      </c>
      <c r="GF319">
        <v>7.094261853298554</v>
      </c>
      <c r="GG319">
        <v>4.358573773319387</v>
      </c>
      <c r="GH319">
        <v>2.1812839928645831</v>
      </c>
      <c r="GI319">
        <v>4.1258524978543694</v>
      </c>
      <c r="GJ319"/>
      <c r="GK319"/>
      <c r="GL319"/>
      <c r="GM319"/>
    </row>
    <row r="320" spans="1:195" s="7" customFormat="1">
      <c r="A320" s="1"/>
      <c r="B320">
        <v>0.74166109975568628</v>
      </c>
      <c r="C320">
        <v>8</v>
      </c>
      <c r="D320">
        <v>39987</v>
      </c>
      <c r="E320">
        <v>0</v>
      </c>
      <c r="F320">
        <v>0</v>
      </c>
      <c r="G320">
        <v>0</v>
      </c>
      <c r="H320">
        <v>56.089743589743591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37.029463379960092</v>
      </c>
      <c r="AO320">
        <v>6.5785926190928166</v>
      </c>
      <c r="AP320">
        <v>48.207400325736899</v>
      </c>
      <c r="AQ320">
        <v>41.3408770898386</v>
      </c>
      <c r="AR320">
        <v>6.386977891628753</v>
      </c>
      <c r="AS320">
        <v>31.770389081805867</v>
      </c>
      <c r="AT320">
        <v>3.9613917033170707</v>
      </c>
      <c r="AU320">
        <v>14.330133143781875</v>
      </c>
      <c r="AV320"/>
      <c r="AW320"/>
      <c r="FY320" s="210">
        <v>315</v>
      </c>
      <c r="FZ320">
        <v>0.90607846069395737</v>
      </c>
      <c r="GA320">
        <v>1.4016999651664903</v>
      </c>
      <c r="GB320">
        <v>1.8441368083219123</v>
      </c>
      <c r="GC320">
        <v>1.1951937456144546</v>
      </c>
      <c r="GD320">
        <v>1.3544065886857317</v>
      </c>
      <c r="GE320">
        <v>3.1927790859640339</v>
      </c>
      <c r="GF320">
        <v>6.2336733476709725</v>
      </c>
      <c r="GG320">
        <v>4.9174547348893958</v>
      </c>
      <c r="GH320">
        <v>1.7029859743747955</v>
      </c>
      <c r="GI320">
        <v>2.8190650786665654</v>
      </c>
      <c r="GJ320"/>
      <c r="GK320"/>
      <c r="GL320"/>
      <c r="GM320"/>
    </row>
    <row r="321" spans="1:195" s="7" customFormat="1">
      <c r="A321" s="1"/>
      <c r="B321">
        <v>0.24277967060962902</v>
      </c>
      <c r="C321">
        <v>3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36.916748216380569</v>
      </c>
      <c r="AO321">
        <v>6.7761416497013043</v>
      </c>
      <c r="AP321">
        <v>47.218768547700897</v>
      </c>
      <c r="AQ321">
        <v>42.007149645130305</v>
      </c>
      <c r="AR321">
        <v>6.2976887313878285</v>
      </c>
      <c r="AS321">
        <v>30.109224128664636</v>
      </c>
      <c r="AT321">
        <v>3.817187896337769</v>
      </c>
      <c r="AU321">
        <v>33.914001633252255</v>
      </c>
      <c r="AV321"/>
      <c r="AW321"/>
      <c r="FY321" s="210">
        <v>316</v>
      </c>
      <c r="FZ321">
        <v>1.8456396096716148</v>
      </c>
      <c r="GA321">
        <v>3.0330327734217546</v>
      </c>
      <c r="GB321">
        <v>1.492478465058334</v>
      </c>
      <c r="GC321">
        <v>0.75570204584637157</v>
      </c>
      <c r="GD321">
        <v>1.7552671168822354</v>
      </c>
      <c r="GE321">
        <v>5.9462688371307904</v>
      </c>
      <c r="GF321">
        <v>10.392107643624719</v>
      </c>
      <c r="GG321">
        <v>8.8890156247440704</v>
      </c>
      <c r="GH321">
        <v>6.5234969312094391</v>
      </c>
      <c r="GI321">
        <v>4.6506275623547335</v>
      </c>
      <c r="GJ321"/>
      <c r="GK321"/>
      <c r="GL321"/>
      <c r="GM321"/>
    </row>
    <row r="322" spans="1:195" s="7" customFormat="1">
      <c r="A322" s="1"/>
      <c r="B322">
        <v>0.14160309941507809</v>
      </c>
      <c r="C322">
        <v>8</v>
      </c>
      <c r="D322">
        <v>39987</v>
      </c>
      <c r="E322">
        <v>0</v>
      </c>
      <c r="F322">
        <v>0</v>
      </c>
      <c r="G322">
        <v>0</v>
      </c>
      <c r="H322">
        <v>56.089743589743591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18.833269739519739</v>
      </c>
      <c r="AO322">
        <v>4.7088907364955652</v>
      </c>
      <c r="AP322">
        <v>36.476407665957993</v>
      </c>
      <c r="AQ322">
        <v>30.489279531842293</v>
      </c>
      <c r="AR322">
        <v>4.6100236550563869</v>
      </c>
      <c r="AS322">
        <v>19.993520693852851</v>
      </c>
      <c r="AT322">
        <v>3.0226116932506764</v>
      </c>
      <c r="AU322">
        <v>23.067823248953232</v>
      </c>
      <c r="AV322"/>
      <c r="AW322"/>
      <c r="FY322" s="210">
        <v>317</v>
      </c>
      <c r="FZ322">
        <v>1.1510770833579023</v>
      </c>
      <c r="GA322">
        <v>2.3110732667670759</v>
      </c>
      <c r="GB322">
        <v>1.4855227013555272</v>
      </c>
      <c r="GC322">
        <v>0.62448826986139983</v>
      </c>
      <c r="GD322">
        <v>1.0730112016260156</v>
      </c>
      <c r="GE322">
        <v>2.7925421868936517</v>
      </c>
      <c r="GF322">
        <v>4.7500503331904582</v>
      </c>
      <c r="GG322">
        <v>4.7746706504764136</v>
      </c>
      <c r="GH322">
        <v>3.362504516568229</v>
      </c>
      <c r="GI322">
        <v>2.5937578943944111</v>
      </c>
      <c r="GJ322"/>
      <c r="GK322"/>
      <c r="GL322"/>
      <c r="GM322"/>
    </row>
    <row r="323" spans="1:195" s="7" customFormat="1">
      <c r="A323" s="1"/>
      <c r="B323">
        <v>0.22970799415215226</v>
      </c>
      <c r="C323">
        <v>2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18.901074951939314</v>
      </c>
      <c r="AO323">
        <v>4.3389740359805717</v>
      </c>
      <c r="AP323">
        <v>33.277044954587076</v>
      </c>
      <c r="AQ323">
        <v>27.94342037738868</v>
      </c>
      <c r="AR323">
        <v>4.0841035574314688</v>
      </c>
      <c r="AS323">
        <v>21.223501178608945</v>
      </c>
      <c r="AT323">
        <v>2.9637611497629011</v>
      </c>
      <c r="AU323">
        <v>4.3388496470599289</v>
      </c>
      <c r="AV323"/>
      <c r="AW323"/>
      <c r="FY323" s="210">
        <v>318</v>
      </c>
      <c r="FZ323">
        <v>0.64455704988945584</v>
      </c>
      <c r="GA323">
        <v>1.3240455109259663</v>
      </c>
      <c r="GB323">
        <v>1.277987228229535</v>
      </c>
      <c r="GC323">
        <v>0.95515004568823747</v>
      </c>
      <c r="GD323">
        <v>2.1302697437387708</v>
      </c>
      <c r="GE323">
        <v>5.4778813069447923</v>
      </c>
      <c r="GF323">
        <v>4.3975249210596639</v>
      </c>
      <c r="GG323">
        <v>4.8628665835818241</v>
      </c>
      <c r="GH323">
        <v>5.3669202518146095</v>
      </c>
      <c r="GI323">
        <v>3.327770834747005</v>
      </c>
      <c r="GJ323"/>
      <c r="GK323"/>
      <c r="GL323"/>
      <c r="GM323"/>
    </row>
    <row r="324" spans="1:195" s="7" customFormat="1">
      <c r="A324" s="1"/>
      <c r="B324">
        <v>4.6590235669995206E-2</v>
      </c>
      <c r="C324">
        <v>9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26.559819146675768</v>
      </c>
      <c r="AO324">
        <v>4.9837881624899776</v>
      </c>
      <c r="AP324">
        <v>32.959712874254706</v>
      </c>
      <c r="AQ324">
        <v>29.654900908530085</v>
      </c>
      <c r="AR324">
        <v>4.5124047771739111</v>
      </c>
      <c r="AS324">
        <v>22.853408440891457</v>
      </c>
      <c r="AT324">
        <v>3.1486581990174423</v>
      </c>
      <c r="AU324">
        <v>5.9780603255175135</v>
      </c>
      <c r="AV324"/>
      <c r="AW324"/>
      <c r="FY324" s="210">
        <v>319</v>
      </c>
      <c r="FZ324">
        <v>1.0765832831982807</v>
      </c>
      <c r="GA324">
        <v>3.5722006460895583</v>
      </c>
      <c r="GB324">
        <v>2.6239669506832808</v>
      </c>
      <c r="GC324">
        <v>1.0317277241229061</v>
      </c>
      <c r="GD324">
        <v>1.1122951392486831</v>
      </c>
      <c r="GE324">
        <v>3.3847794252631149</v>
      </c>
      <c r="GF324">
        <v>8.6126439655147369</v>
      </c>
      <c r="GG324">
        <v>9.926319159051161</v>
      </c>
      <c r="GH324">
        <v>7.3477855890290797</v>
      </c>
      <c r="GI324">
        <v>4.2437890409591406</v>
      </c>
      <c r="GJ324"/>
      <c r="GK324"/>
      <c r="GL324"/>
      <c r="GM324"/>
    </row>
    <row r="325" spans="1:195" s="7" customFormat="1">
      <c r="A325" s="1"/>
      <c r="B325">
        <v>0.31352930661821343</v>
      </c>
      <c r="C325">
        <v>8</v>
      </c>
      <c r="D325">
        <v>39987</v>
      </c>
      <c r="E325">
        <v>0</v>
      </c>
      <c r="F325">
        <v>0</v>
      </c>
      <c r="G325">
        <v>0</v>
      </c>
      <c r="H325">
        <v>56.089743589743591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23.596587398370879</v>
      </c>
      <c r="AO325">
        <v>4.6058638688508928</v>
      </c>
      <c r="AP325">
        <v>37.879601217493381</v>
      </c>
      <c r="AQ325">
        <v>30.93948417696474</v>
      </c>
      <c r="AR325">
        <v>4.3056086693916331</v>
      </c>
      <c r="AS325">
        <v>20.914429484187842</v>
      </c>
      <c r="AT325">
        <v>2.7702984052141688</v>
      </c>
      <c r="AU325">
        <v>-1.5326165451733764</v>
      </c>
      <c r="AV325"/>
      <c r="AW325"/>
      <c r="FY325" s="210">
        <v>320</v>
      </c>
      <c r="FZ325">
        <v>1.303328427749634</v>
      </c>
      <c r="GA325">
        <v>1.8984885316779128</v>
      </c>
      <c r="GB325">
        <v>1.3787972186842161</v>
      </c>
      <c r="GC325">
        <v>0.53780369619361845</v>
      </c>
      <c r="GD325">
        <v>1.6244111755042192</v>
      </c>
      <c r="GE325">
        <v>4.8624763602877321</v>
      </c>
      <c r="GF325">
        <v>5.6660363283043402</v>
      </c>
      <c r="GG325">
        <v>4.6053354137477083</v>
      </c>
      <c r="GH325">
        <v>2.9130809327023046</v>
      </c>
      <c r="GI325">
        <v>3.0088148434022264</v>
      </c>
      <c r="GJ325"/>
      <c r="GK325"/>
      <c r="GL325"/>
      <c r="GM325"/>
    </row>
    <row r="326" spans="1:195" s="7" customFormat="1">
      <c r="A326" s="1"/>
      <c r="B326">
        <v>0.56147695778315931</v>
      </c>
      <c r="C326">
        <v>6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21.239198590761092</v>
      </c>
      <c r="AO326">
        <v>4.5665509149456884</v>
      </c>
      <c r="AP326">
        <v>34.485261052891936</v>
      </c>
      <c r="AQ326">
        <v>29.518572046183827</v>
      </c>
      <c r="AR326">
        <v>4.2672959139321902</v>
      </c>
      <c r="AS326">
        <v>20.620953649189218</v>
      </c>
      <c r="AT326">
        <v>2.8558389599890308</v>
      </c>
      <c r="AU326">
        <v>2.5541189824435935</v>
      </c>
      <c r="AV326"/>
      <c r="AW326"/>
      <c r="FY326" s="210">
        <v>321</v>
      </c>
      <c r="FZ326">
        <v>1.4619273824530699</v>
      </c>
      <c r="GA326">
        <v>1.8559090370087015</v>
      </c>
      <c r="GB326">
        <v>0.8855560656850241</v>
      </c>
      <c r="GC326">
        <v>0.54534239175696342</v>
      </c>
      <c r="GD326">
        <v>0.91312488635546263</v>
      </c>
      <c r="GE326">
        <v>2.4027328259664631</v>
      </c>
      <c r="GF326">
        <v>4.9798443142620199</v>
      </c>
      <c r="GG326">
        <v>3.8323039069050182</v>
      </c>
      <c r="GH326">
        <v>2.0434913088766526</v>
      </c>
      <c r="GI326">
        <v>2.2264001253988464</v>
      </c>
      <c r="GJ326"/>
      <c r="GK326"/>
      <c r="GL326"/>
      <c r="GM326"/>
    </row>
    <row r="327" spans="1:195" s="7" customFormat="1">
      <c r="A327" s="1"/>
      <c r="B327">
        <v>0.84251118565336913</v>
      </c>
      <c r="C327">
        <v>10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23.387732969847331</v>
      </c>
      <c r="AO327">
        <v>5.9488568777894297</v>
      </c>
      <c r="AP327">
        <v>45.279973213726841</v>
      </c>
      <c r="AQ327">
        <v>38.235697975872128</v>
      </c>
      <c r="AR327">
        <v>5.4596777344165668</v>
      </c>
      <c r="AS327">
        <v>25.32413466823462</v>
      </c>
      <c r="AT327">
        <v>3.7374896662211099</v>
      </c>
      <c r="AU327">
        <v>-0.57380380141595988</v>
      </c>
      <c r="AV327"/>
      <c r="AW327"/>
      <c r="FY327" s="210">
        <v>322</v>
      </c>
      <c r="FZ327">
        <v>1.2413043188355581</v>
      </c>
      <c r="GA327">
        <v>2.6106588445201147</v>
      </c>
      <c r="GB327">
        <v>2.1940875576008123</v>
      </c>
      <c r="GC327">
        <v>1.1121334298484629</v>
      </c>
      <c r="GD327">
        <v>0.65866000055056284</v>
      </c>
      <c r="GE327">
        <v>2.2026663827021133</v>
      </c>
      <c r="GF327">
        <v>6.1299857438971967</v>
      </c>
      <c r="GG327">
        <v>8.2703117646619475</v>
      </c>
      <c r="GH327">
        <v>7.3228560190362799</v>
      </c>
      <c r="GI327">
        <v>3.421519164264589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32.0321554636812</v>
      </c>
      <c r="AO328">
        <v>6.9603199113929195</v>
      </c>
      <c r="AP328">
        <v>52.03192012792848</v>
      </c>
      <c r="AQ328">
        <v>44.475215625044505</v>
      </c>
      <c r="AR328">
        <v>6.3114890200369809</v>
      </c>
      <c r="AS328">
        <v>29.55576453147815</v>
      </c>
      <c r="AT328">
        <v>4.406048038900126</v>
      </c>
      <c r="AU328">
        <v>7.7919388665317832</v>
      </c>
      <c r="AV328"/>
      <c r="AW328"/>
      <c r="FY328" s="210">
        <v>323</v>
      </c>
      <c r="FZ328">
        <v>0.87085113568508177</v>
      </c>
      <c r="GA328">
        <v>1.6414097760564474</v>
      </c>
      <c r="GB328">
        <v>1.043698030557547</v>
      </c>
      <c r="GC328">
        <v>0.65202768255894383</v>
      </c>
      <c r="GD328">
        <v>1.3300507509294492</v>
      </c>
      <c r="GE328">
        <v>2.6043030436235557</v>
      </c>
      <c r="GF328">
        <v>7.2479682205979259</v>
      </c>
      <c r="GG328">
        <v>8.9079061958491472</v>
      </c>
      <c r="GH328">
        <v>5.668516389021474</v>
      </c>
      <c r="GI328">
        <v>3.4169974767961766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26.89973237430997</v>
      </c>
      <c r="AO329">
        <v>4.2463255234328194</v>
      </c>
      <c r="AP329">
        <v>27.873775363706187</v>
      </c>
      <c r="AQ329">
        <v>25.511563122086201</v>
      </c>
      <c r="AR329">
        <v>3.9549596158120588</v>
      </c>
      <c r="AS329">
        <v>18.928519786041136</v>
      </c>
      <c r="AT329">
        <v>2.5115580023467037</v>
      </c>
      <c r="AU329">
        <v>4.2135206718816356</v>
      </c>
      <c r="AV329"/>
      <c r="AW329"/>
      <c r="FY329" s="210">
        <v>324</v>
      </c>
      <c r="FZ329">
        <v>0.99456105944643736</v>
      </c>
      <c r="GA329">
        <v>2.2514409764674777</v>
      </c>
      <c r="GB329">
        <v>1.6092121065199405</v>
      </c>
      <c r="GC329">
        <v>1.0017189596311671</v>
      </c>
      <c r="GD329">
        <v>2.614018562339623</v>
      </c>
      <c r="GE329">
        <v>5.2939763989190336</v>
      </c>
      <c r="GF329">
        <v>9.5638327290077356</v>
      </c>
      <c r="GG329">
        <v>9.4736868050099634</v>
      </c>
      <c r="GH329">
        <v>4.4910405623770284</v>
      </c>
      <c r="GI329">
        <v>4.5829799053518858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33.428535126771195</v>
      </c>
      <c r="AO330">
        <v>5.9611897611775664</v>
      </c>
      <c r="AP330">
        <v>36.400871190223086</v>
      </c>
      <c r="AQ330">
        <v>33.693944897860924</v>
      </c>
      <c r="AR330">
        <v>5.6383492068308039</v>
      </c>
      <c r="AS330">
        <v>28.811983424102372</v>
      </c>
      <c r="AT330">
        <v>3.6975388042591515</v>
      </c>
      <c r="AU330">
        <v>7.2332701763563421</v>
      </c>
      <c r="AV330"/>
      <c r="AW330"/>
      <c r="FY330" s="210">
        <v>325</v>
      </c>
      <c r="FZ330">
        <v>0.92630210490958875</v>
      </c>
      <c r="GA330">
        <v>2.2249921621835873</v>
      </c>
      <c r="GB330">
        <v>1.7629121941465282</v>
      </c>
      <c r="GC330">
        <v>0.72731080099132883</v>
      </c>
      <c r="GD330">
        <v>1.7351952400249231</v>
      </c>
      <c r="GE330">
        <v>3.8736803862870675</v>
      </c>
      <c r="GF330">
        <v>4.811260348229184</v>
      </c>
      <c r="GG330">
        <v>5.1354566467918055</v>
      </c>
      <c r="GH330">
        <v>3.913795172556608</v>
      </c>
      <c r="GI330">
        <v>3.1256259651313241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22.429260844408681</v>
      </c>
      <c r="AO331">
        <v>4.1658232529169767</v>
      </c>
      <c r="AP331">
        <v>30.370836775184834</v>
      </c>
      <c r="AQ331">
        <v>25.567473790048307</v>
      </c>
      <c r="AR331">
        <v>3.8553059482610239</v>
      </c>
      <c r="AS331">
        <v>19.478220600123915</v>
      </c>
      <c r="AT331">
        <v>2.7288296312823435</v>
      </c>
      <c r="AU331">
        <v>6.0200289358547145</v>
      </c>
      <c r="AV331"/>
      <c r="AW331"/>
      <c r="FY331" s="210">
        <v>326</v>
      </c>
      <c r="FZ331">
        <v>1.3298996822769698</v>
      </c>
      <c r="GA331">
        <v>2.2963531186813979</v>
      </c>
      <c r="GB331">
        <v>1.7004961634540967</v>
      </c>
      <c r="GC331">
        <v>1.0870604288691372</v>
      </c>
      <c r="GD331">
        <v>1.4853135250012337</v>
      </c>
      <c r="GE331">
        <v>2.9744532627237481</v>
      </c>
      <c r="GF331">
        <v>5.1933490282187869</v>
      </c>
      <c r="GG331">
        <v>5.0649717054266938</v>
      </c>
      <c r="GH331">
        <v>3.1281855902649962</v>
      </c>
      <c r="GI331">
        <v>2.9541643098388422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32.258455911801889</v>
      </c>
      <c r="AO332">
        <v>6.839163274121228</v>
      </c>
      <c r="AP332">
        <v>54.052106600146125</v>
      </c>
      <c r="AQ332">
        <v>45.283636609944061</v>
      </c>
      <c r="AR332">
        <v>6.300852879629363</v>
      </c>
      <c r="AS332">
        <v>30.624792605614111</v>
      </c>
      <c r="AT332">
        <v>4.0241252071323848</v>
      </c>
      <c r="AU332">
        <v>2.4595402908285644</v>
      </c>
      <c r="AV332"/>
      <c r="AW332"/>
      <c r="FY332" s="210">
        <v>327</v>
      </c>
      <c r="FZ332">
        <v>1.185853349611051</v>
      </c>
      <c r="GA332">
        <v>2.1519611761915547</v>
      </c>
      <c r="GB332">
        <v>1.3600742627615718</v>
      </c>
      <c r="GC332">
        <v>0.56614160078163966</v>
      </c>
      <c r="GD332">
        <v>0.9853350699076896</v>
      </c>
      <c r="GE332">
        <v>1.9555534312005771</v>
      </c>
      <c r="GF332">
        <v>1.6898743797116837</v>
      </c>
      <c r="GG332">
        <v>5.1750698688993424</v>
      </c>
      <c r="GH332">
        <v>7.0548367618117798</v>
      </c>
      <c r="GI332">
        <v>2.5307360577956453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18.06421385327635</v>
      </c>
      <c r="AO333">
        <v>3.7983230120745994</v>
      </c>
      <c r="AP333">
        <v>29.855007291273427</v>
      </c>
      <c r="AQ333">
        <v>24.918698104491085</v>
      </c>
      <c r="AR333">
        <v>3.558756063228965</v>
      </c>
      <c r="AS333">
        <v>16.90346711642724</v>
      </c>
      <c r="AT333">
        <v>2.4427229511561674</v>
      </c>
      <c r="AU333">
        <v>21.62928199851525</v>
      </c>
      <c r="AV333"/>
      <c r="AW333"/>
      <c r="FY333" s="210">
        <v>328</v>
      </c>
      <c r="FZ333">
        <v>1.2150713583750172</v>
      </c>
      <c r="GA333">
        <v>3.4566501676784367</v>
      </c>
      <c r="GB333">
        <v>2.7646364459363006</v>
      </c>
      <c r="GC333">
        <v>0.99023119076810262</v>
      </c>
      <c r="GD333">
        <v>1.2855260085169742</v>
      </c>
      <c r="GE333">
        <v>2.9801213824821153</v>
      </c>
      <c r="GF333">
        <v>5.2722076546898125</v>
      </c>
      <c r="GG333">
        <v>6.3744650079434564</v>
      </c>
      <c r="GH333">
        <v>3.8382238067506442</v>
      </c>
      <c r="GI333">
        <v>3.2364160292081965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26.238008435325394</v>
      </c>
      <c r="AO334">
        <v>4.964194921452715</v>
      </c>
      <c r="AP334">
        <v>32.897564782250306</v>
      </c>
      <c r="AQ334">
        <v>29.764973476619858</v>
      </c>
      <c r="AR334">
        <v>4.5111434125842873</v>
      </c>
      <c r="AS334">
        <v>21.565789843290709</v>
      </c>
      <c r="AT334">
        <v>2.9211612105559346</v>
      </c>
      <c r="AU334">
        <v>0.59499830010141797</v>
      </c>
      <c r="AV334"/>
      <c r="AW334"/>
      <c r="FY334" s="210">
        <v>329</v>
      </c>
      <c r="FZ334">
        <v>1.5086095165071058</v>
      </c>
      <c r="GA334">
        <v>2.5070907915627068</v>
      </c>
      <c r="GB334">
        <v>1.1377274277392453</v>
      </c>
      <c r="GC334">
        <v>0.59051486100306039</v>
      </c>
      <c r="GD334">
        <v>1.5953917482671423</v>
      </c>
      <c r="GE334">
        <v>4.4646363768212751</v>
      </c>
      <c r="GF334">
        <v>8.0310473998434855</v>
      </c>
      <c r="GG334">
        <v>7.4999312319248164</v>
      </c>
      <c r="GH334">
        <v>4.5667015878853103</v>
      </c>
      <c r="GI334">
        <v>3.6606853310395473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27.021332170688787</v>
      </c>
      <c r="AO335">
        <v>6.2941509985655548</v>
      </c>
      <c r="AP335">
        <v>53.905700118626832</v>
      </c>
      <c r="AQ335">
        <v>42.932090923159947</v>
      </c>
      <c r="AR335">
        <v>5.8404995592686468</v>
      </c>
      <c r="AS335">
        <v>26.104963329709623</v>
      </c>
      <c r="AT335">
        <v>4.0996476907293102</v>
      </c>
      <c r="AU335">
        <v>11.425416915766858</v>
      </c>
      <c r="AV335"/>
      <c r="AW335"/>
      <c r="FY335" s="210">
        <v>330</v>
      </c>
      <c r="FZ335">
        <v>0.76804144427294807</v>
      </c>
      <c r="GA335">
        <v>2.1542381328100721</v>
      </c>
      <c r="GB335">
        <v>1.837496424582169</v>
      </c>
      <c r="GC335">
        <v>0.70251397423940576</v>
      </c>
      <c r="GD335">
        <v>1.4862998189170611</v>
      </c>
      <c r="GE335">
        <v>3.8671416589853971</v>
      </c>
      <c r="GF335">
        <v>5.6788169004189388</v>
      </c>
      <c r="GG335">
        <v>5.5937726291220775</v>
      </c>
      <c r="GH335">
        <v>4.3545501300750953</v>
      </c>
      <c r="GI335">
        <v>3.1979524502876644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23.829426607772582</v>
      </c>
      <c r="AO336">
        <v>4.4547933293315811</v>
      </c>
      <c r="AP336">
        <v>31.565211215312974</v>
      </c>
      <c r="AQ336">
        <v>27.798572928253915</v>
      </c>
      <c r="AR336">
        <v>4.0745729476464501</v>
      </c>
      <c r="AS336">
        <v>19.585431493488969</v>
      </c>
      <c r="AT336">
        <v>2.6765329303248167</v>
      </c>
      <c r="AU336">
        <v>0.69847493096866198</v>
      </c>
      <c r="AV336"/>
      <c r="AW336"/>
      <c r="FY336" s="210">
        <v>331</v>
      </c>
      <c r="FZ336">
        <v>1.1658552347732831</v>
      </c>
      <c r="GA336">
        <v>2.0937362602368643</v>
      </c>
      <c r="GB336">
        <v>1.7457087479281501</v>
      </c>
      <c r="GC336">
        <v>0.91950881374515647</v>
      </c>
      <c r="GD336">
        <v>2.7129202385986524</v>
      </c>
      <c r="GE336">
        <v>6.4240693035542096</v>
      </c>
      <c r="GF336">
        <v>7.1209941348245316</v>
      </c>
      <c r="GG336">
        <v>8.570657259388291</v>
      </c>
      <c r="GH336">
        <v>8.0653690313901603</v>
      </c>
      <c r="GI336">
        <v>4.8116614866873695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17.758227145195228</v>
      </c>
      <c r="AO337">
        <v>3.203946583410493</v>
      </c>
      <c r="AP337">
        <v>25.190688148079765</v>
      </c>
      <c r="AQ337">
        <v>21.146632244668222</v>
      </c>
      <c r="AR337">
        <v>3.030289846360533</v>
      </c>
      <c r="AS337">
        <v>16.050293205450938</v>
      </c>
      <c r="AT337">
        <v>2.3054601122174607</v>
      </c>
      <c r="AU337">
        <v>2.6356839110500605</v>
      </c>
      <c r="AV337"/>
      <c r="AW337"/>
      <c r="FY337" s="210">
        <v>332</v>
      </c>
      <c r="FZ337">
        <v>0.8232668841195917</v>
      </c>
      <c r="GA337">
        <v>2.6091142879469662</v>
      </c>
      <c r="GB337">
        <v>2.2509292368142777</v>
      </c>
      <c r="GC337">
        <v>0.84307078920517675</v>
      </c>
      <c r="GD337">
        <v>2.1034649292892085</v>
      </c>
      <c r="GE337">
        <v>4.8158269909238669</v>
      </c>
      <c r="GF337">
        <v>5.9829048698978387</v>
      </c>
      <c r="GG337">
        <v>8.6789656568363185</v>
      </c>
      <c r="GH337">
        <v>8.3278895949667522</v>
      </c>
      <c r="GI337">
        <v>4.3679411703606164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24.971560846560845</v>
      </c>
      <c r="AO338">
        <v>5.066653286045681</v>
      </c>
      <c r="AP338">
        <v>44.2764363530328</v>
      </c>
      <c r="AQ338">
        <v>35.16418322591764</v>
      </c>
      <c r="AR338">
        <v>4.6962911867338368</v>
      </c>
      <c r="AS338">
        <v>21.461022552062001</v>
      </c>
      <c r="AT338">
        <v>2.9806605336682295</v>
      </c>
      <c r="AU338">
        <v>32.118433902968469</v>
      </c>
      <c r="AV338"/>
      <c r="AW338"/>
      <c r="FY338" s="210">
        <v>333</v>
      </c>
      <c r="FZ338">
        <v>0.67944608083153635</v>
      </c>
      <c r="GA338">
        <v>3.2121131957633118</v>
      </c>
      <c r="GB338">
        <v>2.218645249822055</v>
      </c>
      <c r="GC338">
        <v>0.67213018764469179</v>
      </c>
      <c r="GD338">
        <v>1.6038987447050239</v>
      </c>
      <c r="GE338">
        <v>4.1553901385941554</v>
      </c>
      <c r="GF338">
        <v>4.3133768765603619</v>
      </c>
      <c r="GG338">
        <v>5.4076811783504706</v>
      </c>
      <c r="GH338">
        <v>4.6884123830838016</v>
      </c>
      <c r="GI338">
        <v>3.1324233162125843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28.078453622424604</v>
      </c>
      <c r="AO339">
        <v>4.9882399028158968</v>
      </c>
      <c r="AP339">
        <v>40.738990466398818</v>
      </c>
      <c r="AQ339">
        <v>33.38372870167575</v>
      </c>
      <c r="AR339">
        <v>4.7605586846913619</v>
      </c>
      <c r="AS339">
        <v>23.877888648509991</v>
      </c>
      <c r="AT339">
        <v>2.8573557258112543</v>
      </c>
      <c r="AU339">
        <v>-3.5995263757322706</v>
      </c>
      <c r="AV339"/>
      <c r="AW339"/>
      <c r="FY339" s="210">
        <v>334</v>
      </c>
      <c r="FZ339">
        <v>0.95967202850435696</v>
      </c>
      <c r="GA339">
        <v>1.3166029422351755</v>
      </c>
      <c r="GB339">
        <v>1.2799644629200924</v>
      </c>
      <c r="GC339">
        <v>0.6404380290013304</v>
      </c>
      <c r="GD339">
        <v>2.8900212945872492</v>
      </c>
      <c r="GE339">
        <v>8.0533617408810976</v>
      </c>
      <c r="GF339">
        <v>7.9105690085304792</v>
      </c>
      <c r="GG339">
        <v>5.11741344108568</v>
      </c>
      <c r="GH339">
        <v>3.6056240326523268</v>
      </c>
      <c r="GI339">
        <v>4.2026059649696883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30.325752373712714</v>
      </c>
      <c r="AO340">
        <v>6.7422524267695083</v>
      </c>
      <c r="AP340">
        <v>48.978693704157358</v>
      </c>
      <c r="AQ340">
        <v>41.876468065070291</v>
      </c>
      <c r="AR340">
        <v>6.3748993557350229</v>
      </c>
      <c r="AS340">
        <v>30.091116968513546</v>
      </c>
      <c r="AT340">
        <v>4.1562946939328933</v>
      </c>
      <c r="AU340">
        <v>8.8892104895786161</v>
      </c>
      <c r="AV340"/>
      <c r="AW340"/>
      <c r="FY340" s="210">
        <v>335</v>
      </c>
      <c r="FZ340">
        <v>1.0911359052357981</v>
      </c>
      <c r="GA340">
        <v>3.5445062888019288</v>
      </c>
      <c r="GB340">
        <v>2.8030141661172143</v>
      </c>
      <c r="GC340">
        <v>1.0331913211331243</v>
      </c>
      <c r="GD340">
        <v>0.84355257189664723</v>
      </c>
      <c r="GE340">
        <v>2.2711803860057969</v>
      </c>
      <c r="GF340">
        <v>6.4378633304843067</v>
      </c>
      <c r="GG340">
        <v>6.8434654936583428</v>
      </c>
      <c r="GH340">
        <v>4.5129869784222532</v>
      </c>
      <c r="GI340">
        <v>3.2701362657536919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21.327364476887315</v>
      </c>
      <c r="AO341">
        <v>4.5447296039445524</v>
      </c>
      <c r="AP341">
        <v>33.077196472203724</v>
      </c>
      <c r="AQ341">
        <v>28.236531021251942</v>
      </c>
      <c r="AR341">
        <v>4.333902990444547</v>
      </c>
      <c r="AS341">
        <v>20.217610751552641</v>
      </c>
      <c r="AT341">
        <v>2.8558141206004866</v>
      </c>
      <c r="AU341">
        <v>5.4832246564052287</v>
      </c>
      <c r="AV341"/>
      <c r="AW341"/>
      <c r="FY341" s="210">
        <v>336</v>
      </c>
      <c r="FZ341">
        <v>1.0500120286709447</v>
      </c>
      <c r="GA341">
        <v>2.4452040735740015</v>
      </c>
      <c r="GB341">
        <v>1.4356307282509508</v>
      </c>
      <c r="GC341">
        <v>0.42265713511000724</v>
      </c>
      <c r="GD341">
        <v>0.69953303214043849</v>
      </c>
      <c r="GE341">
        <v>3.9162706934830727</v>
      </c>
      <c r="GF341">
        <v>8.3954515968651364</v>
      </c>
      <c r="GG341">
        <v>8.9982122890535692</v>
      </c>
      <c r="GH341">
        <v>7.8277472950127738</v>
      </c>
      <c r="GI341">
        <v>3.733938294003655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24.654305143588623</v>
      </c>
      <c r="AO342">
        <v>4.3020313649671591</v>
      </c>
      <c r="AP342">
        <v>32.133980162750895</v>
      </c>
      <c r="AQ342">
        <v>27.214246814755899</v>
      </c>
      <c r="AR342">
        <v>4.0670395387580616</v>
      </c>
      <c r="AS342">
        <v>20.073020136294268</v>
      </c>
      <c r="AT342">
        <v>2.6539491195246643</v>
      </c>
      <c r="AU342">
        <v>3.0184482942975901</v>
      </c>
      <c r="AV342"/>
      <c r="AW342"/>
      <c r="FY342" s="210">
        <v>337</v>
      </c>
      <c r="FZ342">
        <v>1.1390584508680834</v>
      </c>
      <c r="GA342">
        <v>3.1293424255701048</v>
      </c>
      <c r="GB342">
        <v>1.8475070575415193</v>
      </c>
      <c r="GC342">
        <v>0.73348778423900485</v>
      </c>
      <c r="GD342">
        <v>1.5797284575657877</v>
      </c>
      <c r="GE342">
        <v>3.652270906506967</v>
      </c>
      <c r="GF342">
        <v>4.7051972431484446</v>
      </c>
      <c r="GG342">
        <v>3.7255164235099247</v>
      </c>
      <c r="GH342">
        <v>2.8908495795715927</v>
      </c>
      <c r="GI342">
        <v>2.8876846670107925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13.791752518315018</v>
      </c>
      <c r="AO343">
        <v>3.6274456315727206</v>
      </c>
      <c r="AP343">
        <v>29.860010739015816</v>
      </c>
      <c r="AQ343">
        <v>24.655435958672538</v>
      </c>
      <c r="AR343">
        <v>3.5508633275085719</v>
      </c>
      <c r="AS343">
        <v>16.221208397633202</v>
      </c>
      <c r="AT343">
        <v>2.5299029463766081</v>
      </c>
      <c r="AU343">
        <v>2.5157988016649946</v>
      </c>
      <c r="AV343"/>
      <c r="AW343"/>
      <c r="FY343" s="210">
        <v>338</v>
      </c>
      <c r="FZ343">
        <v>1.0702356728865761</v>
      </c>
      <c r="GA343">
        <v>2.6657872915415575</v>
      </c>
      <c r="GB343">
        <v>1.7029232086727257</v>
      </c>
      <c r="GC343">
        <v>0.81980213164330584</v>
      </c>
      <c r="GD343">
        <v>1.758128452586853</v>
      </c>
      <c r="GE343">
        <v>6.1442350839394084</v>
      </c>
      <c r="GF343">
        <v>12.496693821421349</v>
      </c>
      <c r="GG343">
        <v>11.532565833276282</v>
      </c>
      <c r="GH343">
        <v>7.830730448960348</v>
      </c>
      <c r="GI343">
        <v>5.2064214760011076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16.339543269230766</v>
      </c>
      <c r="AO344">
        <v>4.8439525114203379</v>
      </c>
      <c r="AP344">
        <v>38.704054687039516</v>
      </c>
      <c r="AQ344">
        <v>31.413549052349058</v>
      </c>
      <c r="AR344">
        <v>4.501437836560938</v>
      </c>
      <c r="AS344">
        <v>20.952869114163708</v>
      </c>
      <c r="AT344" t="e">
        <v>#DIV/0!</v>
      </c>
      <c r="AU344" t="e">
        <v>#DIV/0!</v>
      </c>
      <c r="AV344"/>
      <c r="AW344"/>
      <c r="FY344" s="210">
        <v>339</v>
      </c>
      <c r="FZ344">
        <v>1.3236648366541968</v>
      </c>
      <c r="GA344">
        <v>2.4108744171529728</v>
      </c>
      <c r="GB344">
        <v>1.6226443237216333</v>
      </c>
      <c r="GC344">
        <v>0.79314595892938899</v>
      </c>
      <c r="GD344">
        <v>1.3879157967698874</v>
      </c>
      <c r="GE344">
        <v>4.0712310384840649</v>
      </c>
      <c r="GF344">
        <v>5.6025182149387902</v>
      </c>
      <c r="GG344">
        <v>3.8170686069150497</v>
      </c>
      <c r="GH344">
        <v>2.9108552202761553</v>
      </c>
      <c r="GI344">
        <v>2.9229616635945335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27.102390130902336</v>
      </c>
      <c r="AO345">
        <v>5.4100769048812669</v>
      </c>
      <c r="AP345">
        <v>42.100129340405658</v>
      </c>
      <c r="AQ345">
        <v>35.56233627259369</v>
      </c>
      <c r="AR345">
        <v>4.9840116504137377</v>
      </c>
      <c r="AS345">
        <v>25.478146988126969</v>
      </c>
      <c r="AT345">
        <v>3.6265546697012105</v>
      </c>
      <c r="AU345">
        <v>3.120628426355613</v>
      </c>
      <c r="AV345"/>
      <c r="AW345"/>
      <c r="FY345" s="210">
        <v>340</v>
      </c>
      <c r="FZ345">
        <v>0.99444829475750562</v>
      </c>
      <c r="GA345">
        <v>2.1481579940970819</v>
      </c>
      <c r="GB345">
        <v>1.5990317643515017</v>
      </c>
      <c r="GC345">
        <v>0.60377537446439156</v>
      </c>
      <c r="GD345">
        <v>1.335687488673807</v>
      </c>
      <c r="GE345">
        <v>4.5348339917537936</v>
      </c>
      <c r="GF345">
        <v>6.2559339155494857</v>
      </c>
      <c r="GG345">
        <v>4.5896512592635244</v>
      </c>
      <c r="GH345">
        <v>3.7453874461760166</v>
      </c>
      <c r="GI345">
        <v>3.0964852045913207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23.254964611435593</v>
      </c>
      <c r="AO346">
        <v>4.6400173583705957</v>
      </c>
      <c r="AP346">
        <v>35.289265219053689</v>
      </c>
      <c r="AQ346">
        <v>29.640823563710832</v>
      </c>
      <c r="AR346">
        <v>4.4100091155355514</v>
      </c>
      <c r="AS346">
        <v>21.592779831621531</v>
      </c>
      <c r="AT346">
        <v>2.8073311943639401</v>
      </c>
      <c r="AU346">
        <v>0.84221084685500058</v>
      </c>
      <c r="AV346"/>
      <c r="AW346"/>
      <c r="FY346" s="210">
        <v>341</v>
      </c>
      <c r="FZ346">
        <v>1.151302612735766</v>
      </c>
      <c r="GA346">
        <v>2.5922383044113615</v>
      </c>
      <c r="GB346">
        <v>1.6237566128322243</v>
      </c>
      <c r="GC346">
        <v>1.2430523269771747</v>
      </c>
      <c r="GD346">
        <v>1.3575415409601388</v>
      </c>
      <c r="GE346">
        <v>2.3724009339062908</v>
      </c>
      <c r="GF346">
        <v>4.0483882542883389</v>
      </c>
      <c r="GG346">
        <v>6.0392542239650933</v>
      </c>
      <c r="GH346">
        <v>6.6914619820064889</v>
      </c>
      <c r="GI346">
        <v>3.1894947696792739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33.409120309562255</v>
      </c>
      <c r="AO347">
        <v>6.9947768816485887</v>
      </c>
      <c r="AP347">
        <v>50.252852450569279</v>
      </c>
      <c r="AQ347">
        <v>43.63048051112667</v>
      </c>
      <c r="AR347">
        <v>6.6469785491867635</v>
      </c>
      <c r="AS347">
        <v>32.006667525093988</v>
      </c>
      <c r="AT347">
        <v>4.0845592968731719</v>
      </c>
      <c r="AU347">
        <v>-0.4196159457459705</v>
      </c>
      <c r="AV347"/>
      <c r="AW347"/>
      <c r="FY347" s="210">
        <v>342</v>
      </c>
      <c r="FZ347">
        <v>1.2892268644678435</v>
      </c>
      <c r="GA347">
        <v>2.6434867321892717</v>
      </c>
      <c r="GB347">
        <v>1.9203403244822241</v>
      </c>
      <c r="GC347">
        <v>1.1876866488702973</v>
      </c>
      <c r="GD347">
        <v>2.0175983377707527</v>
      </c>
      <c r="GE347">
        <v>4.2778362090500845</v>
      </c>
      <c r="GF347">
        <v>5.0151392525412302</v>
      </c>
      <c r="GG347">
        <v>4.8696150992434903</v>
      </c>
      <c r="GH347">
        <v>4.1315682181289901</v>
      </c>
      <c r="GI347">
        <v>3.4372138356523796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27.482892890062011</v>
      </c>
      <c r="AO348">
        <v>6.3623298940498927</v>
      </c>
      <c r="AP348">
        <v>48.755816790944429</v>
      </c>
      <c r="AQ348">
        <v>40.803374410360611</v>
      </c>
      <c r="AR348">
        <v>6.0903556574962892</v>
      </c>
      <c r="AS348">
        <v>26.597304591534233</v>
      </c>
      <c r="AT348">
        <v>3.7668089803809828</v>
      </c>
      <c r="AU348">
        <v>4.7591680637943927</v>
      </c>
      <c r="AV348"/>
      <c r="AW348"/>
      <c r="FY348" s="210">
        <v>343</v>
      </c>
      <c r="FZ348">
        <v>1.0977090449253666</v>
      </c>
      <c r="GA348">
        <v>1.4916990186349945</v>
      </c>
      <c r="GB348">
        <v>0.90469356028638215</v>
      </c>
      <c r="GC348">
        <v>0.55218438338138043</v>
      </c>
      <c r="GD348">
        <v>1.6036725092459942</v>
      </c>
      <c r="GE348">
        <v>2.9876139594998987</v>
      </c>
      <c r="GF348">
        <v>4.3271061673006406</v>
      </c>
      <c r="GG348">
        <v>6.2800580968867701</v>
      </c>
      <c r="GH348">
        <v>4.9009168567752379</v>
      </c>
      <c r="GI348">
        <v>2.938562479538926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25.48001956397216</v>
      </c>
      <c r="AO349">
        <v>4.6897859094606371</v>
      </c>
      <c r="AP349">
        <v>35.421907048681717</v>
      </c>
      <c r="AQ349">
        <v>30.083517351567995</v>
      </c>
      <c r="AR349">
        <v>4.2973237224751237</v>
      </c>
      <c r="AS349">
        <v>22.335975910039192</v>
      </c>
      <c r="AT349">
        <v>2.6850350032931694</v>
      </c>
      <c r="AU349">
        <v>3.7908253307569897</v>
      </c>
      <c r="AV349"/>
      <c r="AW349"/>
      <c r="FY349" s="210">
        <v>344</v>
      </c>
      <c r="FZ349">
        <v>1.0150102330399322</v>
      </c>
      <c r="GA349">
        <v>1.7086723071924155</v>
      </c>
      <c r="GB349">
        <v>1.962444230507943</v>
      </c>
      <c r="GC349">
        <v>0.99981576833814023</v>
      </c>
      <c r="GD349">
        <v>2.1551303733077702</v>
      </c>
      <c r="GE349">
        <v>5.1546045499412791</v>
      </c>
      <c r="GF349">
        <v>4.7968311797116368</v>
      </c>
      <c r="GG349">
        <v>6.9707053636739706</v>
      </c>
      <c r="GH349">
        <v>6.6699921719874027</v>
      </c>
      <c r="GI349">
        <v>3.8499838371784034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34.299380962377668</v>
      </c>
      <c r="AO350">
        <v>6.129773595616923</v>
      </c>
      <c r="AP350">
        <v>39.156907389756682</v>
      </c>
      <c r="AQ350">
        <v>35.976272945367477</v>
      </c>
      <c r="AR350">
        <v>5.6861012303529943</v>
      </c>
      <c r="AS350">
        <v>28.747249332473356</v>
      </c>
      <c r="AT350">
        <v>3.657938721786929</v>
      </c>
      <c r="AU350">
        <v>6.282527373128052</v>
      </c>
      <c r="AV350"/>
      <c r="AW350"/>
      <c r="FY350" s="210">
        <v>345</v>
      </c>
      <c r="FZ350">
        <v>1.4332731971337622</v>
      </c>
      <c r="GA350">
        <v>2.3016002220557197</v>
      </c>
      <c r="GB350">
        <v>2.4271726255315969</v>
      </c>
      <c r="GC350">
        <v>1.6446263404266932</v>
      </c>
      <c r="GD350">
        <v>2.1316691032828059</v>
      </c>
      <c r="GE350">
        <v>3.2362192427937972</v>
      </c>
      <c r="GF350">
        <v>4.5883309488023167</v>
      </c>
      <c r="GG350">
        <v>4.3223386554065009</v>
      </c>
      <c r="GH350">
        <v>1.9245931121599829</v>
      </c>
      <c r="GI350">
        <v>3.222521095302755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23.863384386988109</v>
      </c>
      <c r="AO351">
        <v>4.7865814615595736</v>
      </c>
      <c r="AP351">
        <v>41.224781055695246</v>
      </c>
      <c r="AQ351">
        <v>32.651032707509103</v>
      </c>
      <c r="AR351">
        <v>4.5061079164760756</v>
      </c>
      <c r="AS351">
        <v>23.378334831351037</v>
      </c>
      <c r="AT351">
        <v>2.8963212137252365</v>
      </c>
      <c r="AU351">
        <v>-0.61712994856120118</v>
      </c>
      <c r="AV351"/>
      <c r="AW351"/>
      <c r="FY351" s="210">
        <v>346</v>
      </c>
      <c r="FZ351">
        <v>0.89175136803430377</v>
      </c>
      <c r="GA351">
        <v>3.2014545331689375</v>
      </c>
      <c r="GB351">
        <v>1.6796560742604287</v>
      </c>
      <c r="GC351">
        <v>0.67309826997152855</v>
      </c>
      <c r="GD351">
        <v>2.918728739713627</v>
      </c>
      <c r="GE351">
        <v>6.5389224556549337</v>
      </c>
      <c r="GF351">
        <v>5.2111727123725018</v>
      </c>
      <c r="GG351">
        <v>5.8438770156002002</v>
      </c>
      <c r="GH351">
        <v>5.8334643554283545</v>
      </c>
      <c r="GI351">
        <v>4.1757818328278304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28.001276544328409</v>
      </c>
      <c r="AO352">
        <v>5.5484790930096031</v>
      </c>
      <c r="AP352">
        <v>48.373794769332328</v>
      </c>
      <c r="AQ352">
        <v>38.924657166164558</v>
      </c>
      <c r="AR352">
        <v>5.0316573146494434</v>
      </c>
      <c r="AS352">
        <v>23.529535593026122</v>
      </c>
      <c r="AT352">
        <v>3.1268789529360954</v>
      </c>
      <c r="AU352">
        <v>-7.5412739200065326</v>
      </c>
      <c r="AV352"/>
      <c r="AW352"/>
      <c r="FY352" s="210">
        <v>347</v>
      </c>
      <c r="FZ352">
        <v>1.2556314114952118</v>
      </c>
      <c r="GA352">
        <v>2.6687530865448785</v>
      </c>
      <c r="GB352">
        <v>2.2304234990281788</v>
      </c>
      <c r="GC352">
        <v>0.89712809526340664</v>
      </c>
      <c r="GD352">
        <v>1.0801771590221194</v>
      </c>
      <c r="GE352">
        <v>3.2218769372752512</v>
      </c>
      <c r="GF352">
        <v>6.4772535951132575</v>
      </c>
      <c r="GG352">
        <v>7.6782021074760403</v>
      </c>
      <c r="GH352">
        <v>6.1288343116609845</v>
      </c>
      <c r="GI352">
        <v>3.5627362866010239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24.142813741472221</v>
      </c>
      <c r="AO353">
        <v>4.1430944116789421</v>
      </c>
      <c r="AP353">
        <v>30.623158091868589</v>
      </c>
      <c r="AQ353">
        <v>26.29064299553222</v>
      </c>
      <c r="AR353">
        <v>3.9514257717475356</v>
      </c>
      <c r="AS353">
        <v>22.634825910528626</v>
      </c>
      <c r="AT353">
        <v>2.6140371608692026</v>
      </c>
      <c r="AU353">
        <v>1.5474821745194569</v>
      </c>
      <c r="AV353"/>
      <c r="AW353"/>
      <c r="FY353" s="210">
        <v>348</v>
      </c>
      <c r="FZ353">
        <v>1.5570958855840498</v>
      </c>
      <c r="GA353">
        <v>1.74625768738357</v>
      </c>
      <c r="GB353">
        <v>1.0350691719382792</v>
      </c>
      <c r="GC353">
        <v>0.98144510508854255</v>
      </c>
      <c r="GD353">
        <v>1.296406882330555</v>
      </c>
      <c r="GE353">
        <v>1.8505844031466721</v>
      </c>
      <c r="GF353">
        <v>4.1304102005412906</v>
      </c>
      <c r="GG353">
        <v>7.7484027839889169</v>
      </c>
      <c r="GH353">
        <v>7.5507618602706232</v>
      </c>
      <c r="GI353">
        <v>3.2388445979231277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33.372873901219876</v>
      </c>
      <c r="AO354">
        <v>7.7493573500588582</v>
      </c>
      <c r="AP354">
        <v>62.595748337940861</v>
      </c>
      <c r="AQ354">
        <v>51.227523420929515</v>
      </c>
      <c r="AR354">
        <v>7.0968740722669326</v>
      </c>
      <c r="AS354">
        <v>29.430527475753891</v>
      </c>
      <c r="AT354">
        <v>4.553291863732734</v>
      </c>
      <c r="AU354">
        <v>4.2074237413013744</v>
      </c>
      <c r="AV354"/>
      <c r="AW354"/>
      <c r="FY354" s="210">
        <v>349</v>
      </c>
      <c r="FZ354">
        <v>1.3588921616630727</v>
      </c>
      <c r="GA354">
        <v>2.2215006639460402</v>
      </c>
      <c r="GB354">
        <v>1.1471939353708569</v>
      </c>
      <c r="GC354">
        <v>0.43331167970143047</v>
      </c>
      <c r="GD354">
        <v>1.3446592246716815</v>
      </c>
      <c r="GE354">
        <v>3.4469129950486161</v>
      </c>
      <c r="GF354">
        <v>5.0846973204395187</v>
      </c>
      <c r="GG354">
        <v>5.9275677223224159</v>
      </c>
      <c r="GH354">
        <v>4.6979405855336953</v>
      </c>
      <c r="GI354">
        <v>2.9666933224610283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21.689022697754318</v>
      </c>
      <c r="AO355">
        <v>4.2407372573583739</v>
      </c>
      <c r="AP355">
        <v>31.397253801181563</v>
      </c>
      <c r="AQ355">
        <v>26.862880077436674</v>
      </c>
      <c r="AR355">
        <v>3.9511437124190416</v>
      </c>
      <c r="AS355">
        <v>18.887374309982516</v>
      </c>
      <c r="AT355">
        <v>2.6338650772522807</v>
      </c>
      <c r="AU355">
        <v>4.8016392579620586</v>
      </c>
      <c r="AV355"/>
      <c r="AW355"/>
      <c r="FY355" s="210">
        <v>350</v>
      </c>
      <c r="FZ355">
        <v>0.81573846052736987</v>
      </c>
      <c r="GA355">
        <v>1.5185249874467637</v>
      </c>
      <c r="GB355">
        <v>1.0864911153602275</v>
      </c>
      <c r="GC355">
        <v>0.74564056147881019</v>
      </c>
      <c r="GD355">
        <v>0.8444322806561555</v>
      </c>
      <c r="GE355">
        <v>3.6244879962393464</v>
      </c>
      <c r="GF355">
        <v>9.1425696712668092</v>
      </c>
      <c r="GG355">
        <v>6.4293762972392434</v>
      </c>
      <c r="GH355">
        <v>4.2191360068226729</v>
      </c>
      <c r="GI355">
        <v>3.2683261708715592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18.823379007222091</v>
      </c>
      <c r="AO356">
        <v>4.5234143901006707</v>
      </c>
      <c r="AP356">
        <v>34.156454121327187</v>
      </c>
      <c r="AQ356">
        <v>28.903392733678434</v>
      </c>
      <c r="AR356">
        <v>4.1843601215304114</v>
      </c>
      <c r="AS356">
        <v>18.623035124003437</v>
      </c>
      <c r="AT356">
        <v>3.0641439374071946</v>
      </c>
      <c r="AU356">
        <v>1.3626248019572857</v>
      </c>
      <c r="AV356"/>
      <c r="AW356"/>
      <c r="FY356" s="210">
        <v>351</v>
      </c>
      <c r="FZ356">
        <v>1.5011938576038157</v>
      </c>
      <c r="GA356">
        <v>3.1414963486180372</v>
      </c>
      <c r="GB356">
        <v>1.8900256577223389</v>
      </c>
      <c r="GC356">
        <v>0.93411243163629898</v>
      </c>
      <c r="GD356">
        <v>2.8463969217267993</v>
      </c>
      <c r="GE356">
        <v>6.8581186070379818</v>
      </c>
      <c r="GF356">
        <v>8.5342217920426844</v>
      </c>
      <c r="GG356">
        <v>7.6499439015982809</v>
      </c>
      <c r="GH356">
        <v>5.5459034494407025</v>
      </c>
      <c r="GI356">
        <v>4.8439152067725439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19.09910121645494</v>
      </c>
      <c r="AO357">
        <v>4.6229176206195435</v>
      </c>
      <c r="AP357">
        <v>36.489597401993805</v>
      </c>
      <c r="AQ357">
        <v>30.308891561762149</v>
      </c>
      <c r="AR357">
        <v>4.4002670910597228</v>
      </c>
      <c r="AS357">
        <v>21.208676498003971</v>
      </c>
      <c r="AT357">
        <v>3.1610468498798276</v>
      </c>
      <c r="AU357">
        <v>-1.5445229539734817</v>
      </c>
      <c r="AV357"/>
      <c r="AW357"/>
      <c r="FY357" s="210">
        <v>352</v>
      </c>
      <c r="FZ357">
        <v>1.2066408172713414</v>
      </c>
      <c r="GA357">
        <v>1.5954308670905566</v>
      </c>
      <c r="GB357">
        <v>1.3173162943318633</v>
      </c>
      <c r="GC357">
        <v>0.80254233817720988</v>
      </c>
      <c r="GD357">
        <v>2.6442627644954824</v>
      </c>
      <c r="GE357">
        <v>5.0672049295584873</v>
      </c>
      <c r="GF357">
        <v>5.3908408053643893</v>
      </c>
      <c r="GG357">
        <v>5.3899548982646817</v>
      </c>
      <c r="GH357">
        <v>3.5092854830301752</v>
      </c>
      <c r="GI357">
        <v>3.6509544119665192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27.257921723767701</v>
      </c>
      <c r="AO358">
        <v>4.984519645008616</v>
      </c>
      <c r="AP358">
        <v>35.122898787849692</v>
      </c>
      <c r="AQ358">
        <v>30.789711522396566</v>
      </c>
      <c r="AR358">
        <v>4.7194029108330486</v>
      </c>
      <c r="AS358">
        <v>23.999091251589547</v>
      </c>
      <c r="AT358">
        <v>3.0388328329440077</v>
      </c>
      <c r="AU358">
        <v>-0.12129416840739382</v>
      </c>
      <c r="AV358"/>
      <c r="AW358"/>
      <c r="FY358" s="210">
        <v>353</v>
      </c>
      <c r="FZ358">
        <v>0.9675387461633741</v>
      </c>
      <c r="GA358">
        <v>1.571105806565847</v>
      </c>
      <c r="GB358">
        <v>0.57955450072644799</v>
      </c>
      <c r="GC358">
        <v>0.49155646408664189</v>
      </c>
      <c r="GD358">
        <v>1.9996722375393554</v>
      </c>
      <c r="GE358">
        <v>5.4525093896597809</v>
      </c>
      <c r="GF358">
        <v>9.9834314356027498</v>
      </c>
      <c r="GG358">
        <v>9.0395734624420321</v>
      </c>
      <c r="GH358">
        <v>5.806054090119015</v>
      </c>
      <c r="GI358">
        <v>4.2693654480666483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17.368850275266499</v>
      </c>
      <c r="AO359">
        <v>4.2808153462820879</v>
      </c>
      <c r="AP359">
        <v>31.880385123199982</v>
      </c>
      <c r="AQ359">
        <v>27.084216076475595</v>
      </c>
      <c r="AR359">
        <v>4.1466798510814051</v>
      </c>
      <c r="AS359">
        <v>18.758903230236214</v>
      </c>
      <c r="AT359">
        <v>2.5995110749019568</v>
      </c>
      <c r="AU359">
        <v>-2.7680042223002674</v>
      </c>
      <c r="AV359"/>
      <c r="AW359"/>
      <c r="FY359" s="210">
        <v>354</v>
      </c>
      <c r="FZ359">
        <v>0.95332441819265212</v>
      </c>
      <c r="GA359">
        <v>2.8787799255621467</v>
      </c>
      <c r="GB359">
        <v>2.0649642891163591</v>
      </c>
      <c r="GC359">
        <v>1.1468365160063769</v>
      </c>
      <c r="GD359">
        <v>2.1974905047353377</v>
      </c>
      <c r="GE359">
        <v>4.9073544240134241</v>
      </c>
      <c r="GF359">
        <v>5.5195032091146716</v>
      </c>
      <c r="GG359">
        <v>7.8618092486476865</v>
      </c>
      <c r="GH359">
        <v>7.5916752860620296</v>
      </c>
      <c r="GI359">
        <v>4.1969471435166623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32.166130039145131</v>
      </c>
      <c r="AO360">
        <v>5.6833129085996754</v>
      </c>
      <c r="AP360">
        <v>40.434187491196781</v>
      </c>
      <c r="AQ360">
        <v>35.283190014878898</v>
      </c>
      <c r="AR360">
        <v>5.3093495864582003</v>
      </c>
      <c r="AS360">
        <v>26.112710418368316</v>
      </c>
      <c r="AT360">
        <v>3.2238993470762085</v>
      </c>
      <c r="AU360">
        <v>3.4032236916039516</v>
      </c>
      <c r="AV360"/>
      <c r="AW360"/>
      <c r="FY360" s="210">
        <v>355</v>
      </c>
      <c r="FZ360">
        <v>1.1529344847720098</v>
      </c>
      <c r="GA360">
        <v>2.3632641821736322</v>
      </c>
      <c r="GB360">
        <v>1.969456277571596</v>
      </c>
      <c r="GC360">
        <v>0.863869998229853</v>
      </c>
      <c r="GD360">
        <v>2.0227628526919803</v>
      </c>
      <c r="GE360">
        <v>4.9569177135332358</v>
      </c>
      <c r="GF360">
        <v>6.1102780346324526</v>
      </c>
      <c r="GG360">
        <v>4.372152121722511</v>
      </c>
      <c r="GH360">
        <v>1.2264071080899228</v>
      </c>
      <c r="GI360">
        <v>3.1840570791507279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26.973261232911966</v>
      </c>
      <c r="AO361">
        <v>4.6228042176872055</v>
      </c>
      <c r="AP361">
        <v>31.213571321171791</v>
      </c>
      <c r="AQ361">
        <v>27.23234454289593</v>
      </c>
      <c r="AR361">
        <v>4.4945272611994049</v>
      </c>
      <c r="AS361">
        <v>23.184818070608983</v>
      </c>
      <c r="AT361">
        <v>3.0090997105480994</v>
      </c>
      <c r="AU361">
        <v>2.726093915664944</v>
      </c>
      <c r="AV361"/>
      <c r="AW361"/>
      <c r="FY361" s="210">
        <v>356</v>
      </c>
      <c r="FZ361">
        <v>1.5913083283925398</v>
      </c>
      <c r="GA361">
        <v>1.856991710900056</v>
      </c>
      <c r="GB361">
        <v>0.91218298870382242</v>
      </c>
      <c r="GC361">
        <v>0.78826040212202064</v>
      </c>
      <c r="GD361">
        <v>1.5025570535988515</v>
      </c>
      <c r="GE361">
        <v>4.1058094619390211</v>
      </c>
      <c r="GF361">
        <v>7.5204391847424397</v>
      </c>
      <c r="GG361">
        <v>5.3044128476192798</v>
      </c>
      <c r="GH361">
        <v>2.3510578555688664</v>
      </c>
      <c r="GI361">
        <v>3.1301580423318267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28.582192938663923</v>
      </c>
      <c r="AO362">
        <v>6.118843496279494</v>
      </c>
      <c r="AP362">
        <v>41.139430337016279</v>
      </c>
      <c r="AQ362">
        <v>36.967907357032644</v>
      </c>
      <c r="AR362">
        <v>5.7678930683387399</v>
      </c>
      <c r="AS362">
        <v>27.831347505882906</v>
      </c>
      <c r="AT362">
        <v>3.4847918212347633</v>
      </c>
      <c r="AU362">
        <v>-2.4224606336527401</v>
      </c>
      <c r="AV362"/>
      <c r="AW362"/>
      <c r="FY362" s="210">
        <v>357</v>
      </c>
      <c r="FZ362">
        <v>0.88551652241153067</v>
      </c>
      <c r="GA362">
        <v>2.4980903356636754</v>
      </c>
      <c r="GB362">
        <v>1.7710369712175666</v>
      </c>
      <c r="GC362">
        <v>0.76244215277623961</v>
      </c>
      <c r="GD362">
        <v>1.0862230072504064</v>
      </c>
      <c r="GE362">
        <v>3.6615474364910083</v>
      </c>
      <c r="GF362">
        <v>9.0141840123678989</v>
      </c>
      <c r="GG362">
        <v>10.901833089825084</v>
      </c>
      <c r="GH362">
        <v>9.524749331876297</v>
      </c>
      <c r="GI362">
        <v>4.4113000888608394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22.444147041886406</v>
      </c>
      <c r="AO363">
        <v>5.2393916218554839</v>
      </c>
      <c r="AP363">
        <v>43.389452005358123</v>
      </c>
      <c r="AQ363">
        <v>35.201016489480352</v>
      </c>
      <c r="AR363">
        <v>4.9110506257281692</v>
      </c>
      <c r="AS363">
        <v>23.179505243481668</v>
      </c>
      <c r="AT363">
        <v>3.269821888004266</v>
      </c>
      <c r="AU363">
        <v>-0.73373810735754885</v>
      </c>
      <c r="AV363"/>
      <c r="AW363"/>
      <c r="FY363" s="210">
        <v>358</v>
      </c>
      <c r="FZ363">
        <v>0.69191577207708244</v>
      </c>
      <c r="GA363">
        <v>2.1237739711997339</v>
      </c>
      <c r="GB363">
        <v>1.5999238398603892</v>
      </c>
      <c r="GC363">
        <v>0.90936414931190335</v>
      </c>
      <c r="GD363">
        <v>2.0617065551333957</v>
      </c>
      <c r="GE363">
        <v>4.8664126711156896</v>
      </c>
      <c r="GF363">
        <v>5.4980304363089978</v>
      </c>
      <c r="GG363">
        <v>5.1001566176757978</v>
      </c>
      <c r="GH363">
        <v>3.9468995481030356</v>
      </c>
      <c r="GI363">
        <v>3.3776985052949429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19.54284782027468</v>
      </c>
      <c r="AO364">
        <v>4.6794082115447688</v>
      </c>
      <c r="AP364">
        <v>37.932715388734167</v>
      </c>
      <c r="AQ364">
        <v>31.135278578195628</v>
      </c>
      <c r="AR364">
        <v>4.5630677369624575</v>
      </c>
      <c r="AS364">
        <v>18.971162508905007</v>
      </c>
      <c r="AT364">
        <v>2.9224007140582788</v>
      </c>
      <c r="AU364">
        <v>-3.00912042267076</v>
      </c>
      <c r="AV364"/>
      <c r="AW364"/>
      <c r="FY364" s="210">
        <v>359</v>
      </c>
      <c r="FZ364">
        <v>0.96776427554123767</v>
      </c>
      <c r="GA364">
        <v>2.9541049691098284</v>
      </c>
      <c r="GB364">
        <v>2.1662886341621013</v>
      </c>
      <c r="GC364">
        <v>0.80683170119874026</v>
      </c>
      <c r="GD364">
        <v>2.0502798600542973</v>
      </c>
      <c r="GE364">
        <v>4.1625324958542071</v>
      </c>
      <c r="GF364">
        <v>5.8929521367393516</v>
      </c>
      <c r="GG364">
        <v>7.9206287634314219</v>
      </c>
      <c r="GH364">
        <v>5.0587491119103287</v>
      </c>
      <c r="GI364">
        <v>3.7849630539090517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21.155408496254474</v>
      </c>
      <c r="AO365">
        <v>4.338558268473145</v>
      </c>
      <c r="AP365">
        <v>33.858790818825234</v>
      </c>
      <c r="AQ365">
        <v>28.629369611158356</v>
      </c>
      <c r="AR365">
        <v>4.0850860752232938</v>
      </c>
      <c r="AS365">
        <v>20.091289064342554</v>
      </c>
      <c r="AT365">
        <v>2.7792663804885991</v>
      </c>
      <c r="AU365">
        <v>7.4255719756897536</v>
      </c>
      <c r="AV365"/>
      <c r="AW365"/>
      <c r="FY365" s="210">
        <v>360</v>
      </c>
      <c r="FZ365">
        <v>0.82984002380916011</v>
      </c>
      <c r="GA365">
        <v>1.5808349981282035</v>
      </c>
      <c r="GB365">
        <v>1.3214108177698305</v>
      </c>
      <c r="GC365">
        <v>0.68989986126895797</v>
      </c>
      <c r="GD365">
        <v>1.5142457976832768</v>
      </c>
      <c r="GE365">
        <v>3.1736664855801182</v>
      </c>
      <c r="GF365">
        <v>4.1371826398530533</v>
      </c>
      <c r="GG365">
        <v>7.5877616333789097</v>
      </c>
      <c r="GH365">
        <v>7.3069147315174972</v>
      </c>
      <c r="GI365">
        <v>3.2937423129465073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17.934628739316242</v>
      </c>
      <c r="AO366">
        <v>4.7512585165844667</v>
      </c>
      <c r="AP366">
        <v>39.258396604443092</v>
      </c>
      <c r="AQ366">
        <v>31.694723547908961</v>
      </c>
      <c r="AR366">
        <v>4.3936575990129825</v>
      </c>
      <c r="AS366">
        <v>18.410930332004973</v>
      </c>
      <c r="AT366">
        <v>3.15144171746002</v>
      </c>
      <c r="AU366">
        <v>6.1058409977808319</v>
      </c>
      <c r="AV366"/>
      <c r="AW366"/>
      <c r="FY366" s="210">
        <v>361</v>
      </c>
      <c r="FZ366">
        <v>1.5031640237068551</v>
      </c>
      <c r="GA366">
        <v>1.9486778947999146</v>
      </c>
      <c r="GB366">
        <v>1.8126584964971286</v>
      </c>
      <c r="GC366">
        <v>0.98022304666756255</v>
      </c>
      <c r="GD366">
        <v>1.0208564728450118</v>
      </c>
      <c r="GE366">
        <v>2.3264992062333958</v>
      </c>
      <c r="GF366">
        <v>5.8504610037851625</v>
      </c>
      <c r="GG366">
        <v>6.3994758957377993</v>
      </c>
      <c r="GH366">
        <v>3.1232616609767598</v>
      </c>
      <c r="GI366">
        <v>2.8668515949871152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31.226038591241185</v>
      </c>
      <c r="AO367">
        <v>7.0685062509732983</v>
      </c>
      <c r="AP367">
        <v>50.219323257571759</v>
      </c>
      <c r="AQ367">
        <v>43.745328174199479</v>
      </c>
      <c r="AR367">
        <v>6.6519229151229249</v>
      </c>
      <c r="AS367">
        <v>28.376981525032576</v>
      </c>
      <c r="AT367">
        <v>4.4406808679573615</v>
      </c>
      <c r="AU367">
        <v>8.1315711663456813</v>
      </c>
      <c r="AV367"/>
      <c r="AW367"/>
      <c r="FY367" s="210">
        <v>362</v>
      </c>
      <c r="FZ367">
        <v>1.5297352782341913</v>
      </c>
      <c r="GA367">
        <v>2.3149912156520918</v>
      </c>
      <c r="GB367">
        <v>1.9995019209303559</v>
      </c>
      <c r="GC367">
        <v>0.97641059044355605</v>
      </c>
      <c r="GD367">
        <v>2.2004599656125454</v>
      </c>
      <c r="GE367">
        <v>4.5999455734337236</v>
      </c>
      <c r="GF367">
        <v>3.0192307372819078</v>
      </c>
      <c r="GG367">
        <v>2.947003703768273</v>
      </c>
      <c r="GH367">
        <v>2.8134694018583959</v>
      </c>
      <c r="GI367">
        <v>3.0168591658324746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22.371382626291105</v>
      </c>
      <c r="AO368">
        <v>5.2325498064460518</v>
      </c>
      <c r="AP368">
        <v>34.154457534512353</v>
      </c>
      <c r="AQ368">
        <v>30.574433609550706</v>
      </c>
      <c r="AR368">
        <v>5.1246823014280594</v>
      </c>
      <c r="AS368">
        <v>23.755570059862805</v>
      </c>
      <c r="AT368">
        <v>3.3108112885714891</v>
      </c>
      <c r="AU368">
        <v>6.434232359502853</v>
      </c>
      <c r="AV368"/>
      <c r="AW368"/>
      <c r="FY368" s="210">
        <v>363</v>
      </c>
      <c r="FZ368">
        <v>1.2688904555632803</v>
      </c>
      <c r="GA368">
        <v>2.8273996300565609</v>
      </c>
      <c r="GB368">
        <v>2.2553852415887352</v>
      </c>
      <c r="GC368">
        <v>1.1868534245986559</v>
      </c>
      <c r="GD368">
        <v>1.8734975914600751</v>
      </c>
      <c r="GE368">
        <v>4.495396296308722</v>
      </c>
      <c r="GF368">
        <v>5.4797510122276352</v>
      </c>
      <c r="GG368">
        <v>4.3095504485217173</v>
      </c>
      <c r="GH368">
        <v>2.6635483315493174</v>
      </c>
      <c r="GI368">
        <v>3.303062990124678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25.694914461624801</v>
      </c>
      <c r="AO369">
        <v>6.272018106931891</v>
      </c>
      <c r="AP369">
        <v>47.713906012766003</v>
      </c>
      <c r="AQ369">
        <v>40.160361580971895</v>
      </c>
      <c r="AR369">
        <v>5.8662050685171865</v>
      </c>
      <c r="AS369">
        <v>26.318747687336778</v>
      </c>
      <c r="AT369">
        <v>3.9294456885552216</v>
      </c>
      <c r="AU369">
        <v>2.3694189289527636</v>
      </c>
      <c r="AV369"/>
      <c r="AW369"/>
      <c r="FY369" s="210">
        <v>364</v>
      </c>
      <c r="FZ369">
        <v>0.96742598147444236</v>
      </c>
      <c r="GA369">
        <v>1.9362281950344402</v>
      </c>
      <c r="GB369">
        <v>1.9620858197136888</v>
      </c>
      <c r="GC369">
        <v>0.84599843991103807</v>
      </c>
      <c r="GD369">
        <v>2.0512063641859419</v>
      </c>
      <c r="GE369">
        <v>4.808456882186066</v>
      </c>
      <c r="GF369">
        <v>3.5476528518378605</v>
      </c>
      <c r="GG369">
        <v>3.5443908203071408</v>
      </c>
      <c r="GH369">
        <v>2.6135784191454601</v>
      </c>
      <c r="GI369">
        <v>2.9018290158393141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23.707444134227615</v>
      </c>
      <c r="AO370">
        <v>6.2477074702751114</v>
      </c>
      <c r="AP370">
        <v>46.236531930865866</v>
      </c>
      <c r="AQ370">
        <v>39.318684964967339</v>
      </c>
      <c r="AR370">
        <v>5.801443039657654</v>
      </c>
      <c r="AS370">
        <v>25.370580922290326</v>
      </c>
      <c r="AT370">
        <v>4.0169060627673554</v>
      </c>
      <c r="AU370">
        <v>3.0243468001349862</v>
      </c>
      <c r="AV370"/>
      <c r="AW370"/>
      <c r="FY370" s="210">
        <v>365</v>
      </c>
      <c r="FZ370">
        <v>1.1384946274234244</v>
      </c>
      <c r="GA370">
        <v>2.7092197664028372</v>
      </c>
      <c r="GB370">
        <v>1.9728478568203212</v>
      </c>
      <c r="GC370">
        <v>1.1718232033580345</v>
      </c>
      <c r="GD370">
        <v>1.8293364437115238</v>
      </c>
      <c r="GE370">
        <v>4.1234968811427972</v>
      </c>
      <c r="GF370">
        <v>6.1753773414208126</v>
      </c>
      <c r="GG370">
        <v>5.8280359295054165</v>
      </c>
      <c r="GH370">
        <v>3.7254366207899787</v>
      </c>
      <c r="GI370">
        <v>3.4757380667660285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27.198449903579359</v>
      </c>
      <c r="AO371">
        <v>4.7165621725681799</v>
      </c>
      <c r="AP371">
        <v>32.028526259006171</v>
      </c>
      <c r="AQ371">
        <v>28.222099852567922</v>
      </c>
      <c r="AR371">
        <v>4.358545952667642</v>
      </c>
      <c r="AS371">
        <v>22.607402266734223</v>
      </c>
      <c r="AT371">
        <v>3.052158531259995</v>
      </c>
      <c r="AU371">
        <v>6.6378618450789713</v>
      </c>
      <c r="AV371"/>
      <c r="AW371"/>
      <c r="FY371" s="210">
        <v>366</v>
      </c>
      <c r="FZ371">
        <v>0.57674915410833438</v>
      </c>
      <c r="GA371">
        <v>1.5136518806455854</v>
      </c>
      <c r="GB371">
        <v>1.3373346242531421</v>
      </c>
      <c r="GC371">
        <v>0.70307406110262116</v>
      </c>
      <c r="GD371">
        <v>2.1959490395396672</v>
      </c>
      <c r="GE371">
        <v>5.2528595312223256</v>
      </c>
      <c r="GF371">
        <v>3.9490950136485554</v>
      </c>
      <c r="GG371">
        <v>4.9483738708782328</v>
      </c>
      <c r="GH371">
        <v>4.7279596725515152</v>
      </c>
      <c r="GI371">
        <v>3.1935124287956262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9.0179821009927358E-4</v>
      </c>
      <c r="H372" s="59">
        <f t="shared" ref="H372:AK372" si="372">+H36</f>
        <v>5.9581999999999994E-3</v>
      </c>
      <c r="I372" s="59">
        <f t="shared" si="372"/>
        <v>3.9365954425760054E-2</v>
      </c>
      <c r="J372" s="59">
        <f t="shared" si="372"/>
        <v>0.11879369063332791</v>
      </c>
      <c r="K372" s="59">
        <f t="shared" si="372"/>
        <v>0.26009170015290151</v>
      </c>
      <c r="L372" s="59">
        <f t="shared" si="372"/>
        <v>0.47764954565651402</v>
      </c>
      <c r="M372" s="59">
        <f t="shared" si="372"/>
        <v>0.78487244663479294</v>
      </c>
      <c r="N372" s="59">
        <f t="shared" si="372"/>
        <v>1.1944339475291872</v>
      </c>
      <c r="O372" s="59">
        <f t="shared" si="372"/>
        <v>1.7184314079315166</v>
      </c>
      <c r="P372" s="59">
        <f t="shared" si="372"/>
        <v>2.3684906405100232</v>
      </c>
      <c r="Q372" s="59">
        <f t="shared" si="372"/>
        <v>3.1558407313952781</v>
      </c>
      <c r="R372" s="59">
        <f t="shared" si="372"/>
        <v>4.0913699544533273</v>
      </c>
      <c r="S372" s="59">
        <f t="shared" si="372"/>
        <v>5.1856689879930276</v>
      </c>
      <c r="T372" s="59">
        <f t="shared" si="372"/>
        <v>6.4490652174806335</v>
      </c>
      <c r="U372" s="59">
        <f t="shared" si="372"/>
        <v>7.8916505560428751</v>
      </c>
      <c r="V372" s="59">
        <f t="shared" si="372"/>
        <v>9.5233044137272334</v>
      </c>
      <c r="W372" s="59">
        <f t="shared" si="372"/>
        <v>11.353712948277471</v>
      </c>
      <c r="X372" s="59">
        <f t="shared" si="372"/>
        <v>13.392385407473196</v>
      </c>
      <c r="Y372" s="59">
        <f t="shared" si="372"/>
        <v>15.648668156852196</v>
      </c>
      <c r="Z372" s="59">
        <f t="shared" si="372"/>
        <v>18.131756837509794</v>
      </c>
      <c r="AA372" s="59">
        <f t="shared" si="372"/>
        <v>20.850706993230137</v>
      </c>
      <c r="AB372" s="59">
        <f t="shared" si="372"/>
        <v>23.814443430016944</v>
      </c>
      <c r="AC372" s="59">
        <f t="shared" si="372"/>
        <v>27.031768514976598</v>
      </c>
      <c r="AD372" s="59">
        <f t="shared" si="372"/>
        <v>30.511369579468642</v>
      </c>
      <c r="AE372" s="59">
        <f t="shared" si="372"/>
        <v>34.261825559466111</v>
      </c>
      <c r="AF372" s="59">
        <f t="shared" si="372"/>
        <v>38.291612981416243</v>
      </c>
      <c r="AG372" s="59">
        <f t="shared" si="372"/>
        <v>42.609111382648663</v>
      </c>
      <c r="AH372" s="59">
        <f t="shared" si="372"/>
        <v>47.222608240186645</v>
      </c>
      <c r="AI372" s="59">
        <f t="shared" si="372"/>
        <v>52.140303469706964</v>
      </c>
      <c r="AJ372" s="59">
        <f t="shared" si="372"/>
        <v>57.370313546634669</v>
      </c>
      <c r="AK372" s="59">
        <f t="shared" si="372"/>
        <v>62.920675293448724</v>
      </c>
      <c r="AL372" s="78"/>
      <c r="AM372" s="43">
        <v>356</v>
      </c>
      <c r="AN372">
        <v>23.974679546077386</v>
      </c>
      <c r="AO372">
        <v>4.5932769003138318</v>
      </c>
      <c r="AP372">
        <v>34.027960411385834</v>
      </c>
      <c r="AQ372">
        <v>29.063177875918726</v>
      </c>
      <c r="AR372">
        <v>4.228891583252631</v>
      </c>
      <c r="AS372">
        <v>20.629039966666532</v>
      </c>
      <c r="AT372">
        <v>2.9887805437130743</v>
      </c>
      <c r="AU372">
        <v>2.7812767157589291</v>
      </c>
      <c r="AV372"/>
      <c r="AW372"/>
      <c r="FY372" s="210">
        <v>367</v>
      </c>
      <c r="FZ372">
        <v>1.8390664699820465</v>
      </c>
      <c r="GA372">
        <v>2.6311356246629778</v>
      </c>
      <c r="GB372">
        <v>1.6104324758424797</v>
      </c>
      <c r="GC372">
        <v>0.70777141958777268</v>
      </c>
      <c r="GD372">
        <v>0.95068278933618755</v>
      </c>
      <c r="GE372">
        <v>2.8069358558157802</v>
      </c>
      <c r="GF372">
        <v>6.5073743670969257</v>
      </c>
      <c r="GG372">
        <v>6.0410702097434283</v>
      </c>
      <c r="GH372">
        <v>3.3503079261086453</v>
      </c>
      <c r="GI372">
        <v>2.9878382198720681</v>
      </c>
      <c r="GJ372"/>
      <c r="GK372"/>
      <c r="GL372"/>
      <c r="GM372"/>
    </row>
    <row r="373" spans="1:195" s="7" customFormat="1">
      <c r="A373" s="95"/>
      <c r="B373" s="71">
        <f t="shared" ref="B373:B378" si="373">+C4</f>
        <v>39646</v>
      </c>
      <c r="C373" s="18">
        <f t="shared" ref="C373:C382" si="374">+D70</f>
        <v>16.666666666666668</v>
      </c>
      <c r="D373" s="18">
        <f t="shared" ref="D373:D382" si="375">SUM(G373:AK373)</f>
        <v>1.2352598169428499</v>
      </c>
      <c r="E373" s="19">
        <f t="shared" ref="E373:E382" si="376">IF(C373&lt;1, 0.000001, D373/C373)</f>
        <v>7.411558901657099E-2</v>
      </c>
      <c r="F373" s="19"/>
      <c r="G373" s="18">
        <f>AVERAGE(E228:E237)*G$372</f>
        <v>0</v>
      </c>
      <c r="H373" s="18">
        <f t="shared" ref="H373:AK373" si="377">AVERAGE(F228:F237)*H$372</f>
        <v>0</v>
      </c>
      <c r="I373" s="18">
        <f t="shared" si="377"/>
        <v>0.36905582274150051</v>
      </c>
      <c r="J373" s="18">
        <f t="shared" si="377"/>
        <v>0.86620399420134941</v>
      </c>
      <c r="K373" s="18">
        <f t="shared" si="377"/>
        <v>0</v>
      </c>
      <c r="L373" s="18">
        <f t="shared" si="377"/>
        <v>0</v>
      </c>
      <c r="M373" s="18">
        <f t="shared" si="377"/>
        <v>0</v>
      </c>
      <c r="N373" s="18">
        <f t="shared" si="377"/>
        <v>0</v>
      </c>
      <c r="O373" s="18">
        <f t="shared" si="377"/>
        <v>0</v>
      </c>
      <c r="P373" s="18">
        <f t="shared" si="377"/>
        <v>0</v>
      </c>
      <c r="Q373" s="18">
        <f t="shared" si="377"/>
        <v>0</v>
      </c>
      <c r="R373" s="18">
        <f t="shared" si="377"/>
        <v>0</v>
      </c>
      <c r="S373" s="18">
        <f t="shared" si="377"/>
        <v>0</v>
      </c>
      <c r="T373" s="18">
        <f t="shared" si="377"/>
        <v>0</v>
      </c>
      <c r="U373" s="18">
        <f t="shared" si="377"/>
        <v>0</v>
      </c>
      <c r="V373" s="18">
        <f t="shared" si="377"/>
        <v>0</v>
      </c>
      <c r="W373" s="18">
        <f t="shared" si="377"/>
        <v>0</v>
      </c>
      <c r="X373" s="18">
        <f t="shared" si="377"/>
        <v>0</v>
      </c>
      <c r="Y373" s="18">
        <f t="shared" si="377"/>
        <v>0</v>
      </c>
      <c r="Z373" s="18">
        <f t="shared" si="377"/>
        <v>0</v>
      </c>
      <c r="AA373" s="18">
        <f t="shared" si="377"/>
        <v>0</v>
      </c>
      <c r="AB373" s="18">
        <f t="shared" si="377"/>
        <v>0</v>
      </c>
      <c r="AC373" s="18">
        <f t="shared" si="377"/>
        <v>0</v>
      </c>
      <c r="AD373" s="18">
        <f t="shared" si="377"/>
        <v>0</v>
      </c>
      <c r="AE373" s="18">
        <f t="shared" si="377"/>
        <v>0</v>
      </c>
      <c r="AF373" s="18">
        <f t="shared" si="377"/>
        <v>0</v>
      </c>
      <c r="AG373" s="18">
        <f t="shared" si="377"/>
        <v>0</v>
      </c>
      <c r="AH373" s="18">
        <f t="shared" si="377"/>
        <v>0</v>
      </c>
      <c r="AI373" s="18">
        <f t="shared" si="377"/>
        <v>0</v>
      </c>
      <c r="AJ373" s="18">
        <f t="shared" si="377"/>
        <v>0</v>
      </c>
      <c r="AK373" s="18">
        <f t="shared" si="377"/>
        <v>0</v>
      </c>
      <c r="AL373" s="78"/>
      <c r="AM373" s="43">
        <v>357</v>
      </c>
      <c r="AN373">
        <v>24.278488337165196</v>
      </c>
      <c r="AO373">
        <v>6.4692249588652162</v>
      </c>
      <c r="AP373">
        <v>55.773109768125479</v>
      </c>
      <c r="AQ373">
        <v>44.516922948740543</v>
      </c>
      <c r="AR373">
        <v>6.0754693257610555</v>
      </c>
      <c r="AS373">
        <v>26.062960278414632</v>
      </c>
      <c r="AT373">
        <v>4.2964992298621976</v>
      </c>
      <c r="AU373">
        <v>3.5230610997215575</v>
      </c>
      <c r="AV373"/>
      <c r="AW373"/>
      <c r="FY373" s="210">
        <v>368</v>
      </c>
      <c r="FZ373">
        <v>1.2831047835340024</v>
      </c>
      <c r="GA373">
        <v>1.3132100362368093</v>
      </c>
      <c r="GB373">
        <v>1.1477355865295409</v>
      </c>
      <c r="GC373">
        <v>1.0145181373618557</v>
      </c>
      <c r="GD373">
        <v>2.4304765808597835</v>
      </c>
      <c r="GE373">
        <v>5.1725539924103074</v>
      </c>
      <c r="GF373">
        <v>7.2722461478013658</v>
      </c>
      <c r="GG373">
        <v>9.2402841060708827</v>
      </c>
      <c r="GH373">
        <v>6.2832068068223617</v>
      </c>
      <c r="GI373">
        <v>4.2520877240498143</v>
      </c>
      <c r="GJ373"/>
      <c r="GK373"/>
      <c r="GL373"/>
      <c r="GM373"/>
    </row>
    <row r="374" spans="1:195" s="7" customFormat="1">
      <c r="A374" s="95"/>
      <c r="B374" s="71">
        <f t="shared" si="373"/>
        <v>39673</v>
      </c>
      <c r="C374" s="18">
        <f t="shared" si="374"/>
        <v>8.3333333333333321</v>
      </c>
      <c r="D374" s="18">
        <f t="shared" si="375"/>
        <v>0.98994742194439911</v>
      </c>
      <c r="E374" s="19">
        <f t="shared" si="376"/>
        <v>0.11879369063332791</v>
      </c>
      <c r="F374" s="19">
        <f>IF(F388&lt;0,0,F388)</f>
        <v>1.7472681781632679E-2</v>
      </c>
      <c r="G374" s="18">
        <f>AVERAGE(E238:E247)*G$372</f>
        <v>0</v>
      </c>
      <c r="H374" s="18">
        <f t="shared" ref="H374:AK374" si="378">AVERAGE(F238:F247)*H$372</f>
        <v>0</v>
      </c>
      <c r="I374" s="18">
        <f t="shared" si="378"/>
        <v>0</v>
      </c>
      <c r="J374" s="18">
        <f t="shared" si="378"/>
        <v>0.98994742194439911</v>
      </c>
      <c r="K374" s="18">
        <f t="shared" si="378"/>
        <v>0</v>
      </c>
      <c r="L374" s="18">
        <f t="shared" si="378"/>
        <v>0</v>
      </c>
      <c r="M374" s="18">
        <f t="shared" si="378"/>
        <v>0</v>
      </c>
      <c r="N374" s="18">
        <f t="shared" si="378"/>
        <v>0</v>
      </c>
      <c r="O374" s="18">
        <f t="shared" si="378"/>
        <v>0</v>
      </c>
      <c r="P374" s="18">
        <f t="shared" si="378"/>
        <v>0</v>
      </c>
      <c r="Q374" s="18">
        <f t="shared" si="378"/>
        <v>0</v>
      </c>
      <c r="R374" s="18">
        <f t="shared" si="378"/>
        <v>0</v>
      </c>
      <c r="S374" s="18">
        <f t="shared" si="378"/>
        <v>0</v>
      </c>
      <c r="T374" s="18">
        <f t="shared" si="378"/>
        <v>0</v>
      </c>
      <c r="U374" s="18">
        <f t="shared" si="378"/>
        <v>0</v>
      </c>
      <c r="V374" s="18">
        <f t="shared" si="378"/>
        <v>0</v>
      </c>
      <c r="W374" s="18">
        <f t="shared" si="378"/>
        <v>0</v>
      </c>
      <c r="X374" s="18">
        <f t="shared" si="378"/>
        <v>0</v>
      </c>
      <c r="Y374" s="18">
        <f t="shared" si="378"/>
        <v>0</v>
      </c>
      <c r="Z374" s="18">
        <f t="shared" si="378"/>
        <v>0</v>
      </c>
      <c r="AA374" s="18">
        <f t="shared" si="378"/>
        <v>0</v>
      </c>
      <c r="AB374" s="18">
        <f t="shared" si="378"/>
        <v>0</v>
      </c>
      <c r="AC374" s="18">
        <f t="shared" si="378"/>
        <v>0</v>
      </c>
      <c r="AD374" s="18">
        <f t="shared" si="378"/>
        <v>0</v>
      </c>
      <c r="AE374" s="18">
        <f t="shared" si="378"/>
        <v>0</v>
      </c>
      <c r="AF374" s="18">
        <f t="shared" si="378"/>
        <v>0</v>
      </c>
      <c r="AG374" s="18">
        <f t="shared" si="378"/>
        <v>0</v>
      </c>
      <c r="AH374" s="18">
        <f t="shared" si="378"/>
        <v>0</v>
      </c>
      <c r="AI374" s="18">
        <f t="shared" si="378"/>
        <v>0</v>
      </c>
      <c r="AJ374" s="18">
        <f t="shared" si="378"/>
        <v>0</v>
      </c>
      <c r="AK374" s="18">
        <f t="shared" si="378"/>
        <v>0</v>
      </c>
      <c r="AL374" s="78"/>
      <c r="AM374" s="43">
        <v>358</v>
      </c>
      <c r="AN374">
        <v>21.675801715030438</v>
      </c>
      <c r="AO374">
        <v>4.993353309400856</v>
      </c>
      <c r="AP374">
        <v>34.358644208160491</v>
      </c>
      <c r="AQ374">
        <v>30.17588206608097</v>
      </c>
      <c r="AR374">
        <v>4.6335433392617338</v>
      </c>
      <c r="AS374">
        <v>20.745457510821243</v>
      </c>
      <c r="AT374">
        <v>3.0919889524721129</v>
      </c>
      <c r="AU374">
        <v>-2.4903706323545705</v>
      </c>
      <c r="AV374"/>
      <c r="AW374"/>
      <c r="FY374" s="210">
        <v>369</v>
      </c>
      <c r="FZ374">
        <v>1.1593948597726467</v>
      </c>
      <c r="GA374">
        <v>1.4105595744552375</v>
      </c>
      <c r="GB374">
        <v>1.8731022918913727</v>
      </c>
      <c r="GC374">
        <v>1.1881132522197762</v>
      </c>
      <c r="GD374">
        <v>1.7874250212193135</v>
      </c>
      <c r="GE374">
        <v>3.2971885860614334</v>
      </c>
      <c r="GF374">
        <v>7.7976628813375992</v>
      </c>
      <c r="GG374">
        <v>7.4643672837744806</v>
      </c>
      <c r="GH374">
        <v>1.9935213964727949</v>
      </c>
      <c r="GI374">
        <v>3.4781451939670034</v>
      </c>
      <c r="GJ374"/>
      <c r="GK374"/>
      <c r="GL374"/>
      <c r="GM374"/>
    </row>
    <row r="375" spans="1:195" s="7" customFormat="1">
      <c r="A375" s="95"/>
      <c r="B375" s="71">
        <f t="shared" si="373"/>
        <v>39714</v>
      </c>
      <c r="C375" s="18">
        <f t="shared" si="374"/>
        <v>33.854166666666664</v>
      </c>
      <c r="D375" s="18">
        <f t="shared" si="375"/>
        <v>3.0977055313403086</v>
      </c>
      <c r="E375" s="19">
        <f t="shared" si="376"/>
        <v>9.1501455694975281E-2</v>
      </c>
      <c r="F375" s="19">
        <f>IF(F389&lt;0,0,F389)</f>
        <v>0</v>
      </c>
      <c r="G375" s="18">
        <f>AVERAGE(E248:E257)*G$372</f>
        <v>1.1742164194000959E-2</v>
      </c>
      <c r="H375" s="18">
        <f t="shared" ref="H375:AK375" si="379">AVERAGE(F248:F257)*H$372</f>
        <v>0</v>
      </c>
      <c r="I375" s="18">
        <f t="shared" si="379"/>
        <v>4.1006202526833381E-2</v>
      </c>
      <c r="J375" s="18">
        <f t="shared" si="379"/>
        <v>2.2273816993748983</v>
      </c>
      <c r="K375" s="18">
        <f t="shared" si="379"/>
        <v>0</v>
      </c>
      <c r="L375" s="18">
        <f t="shared" si="379"/>
        <v>0</v>
      </c>
      <c r="M375" s="18">
        <f t="shared" si="379"/>
        <v>0.81757546524457592</v>
      </c>
      <c r="N375" s="18">
        <f t="shared" si="379"/>
        <v>0</v>
      </c>
      <c r="O375" s="18">
        <f t="shared" si="379"/>
        <v>0</v>
      </c>
      <c r="P375" s="18">
        <f t="shared" si="379"/>
        <v>0</v>
      </c>
      <c r="Q375" s="18">
        <f t="shared" si="379"/>
        <v>0</v>
      </c>
      <c r="R375" s="18">
        <f t="shared" si="379"/>
        <v>0</v>
      </c>
      <c r="S375" s="18">
        <f t="shared" si="379"/>
        <v>0</v>
      </c>
      <c r="T375" s="18">
        <f t="shared" si="379"/>
        <v>0</v>
      </c>
      <c r="U375" s="18">
        <f t="shared" si="379"/>
        <v>0</v>
      </c>
      <c r="V375" s="18">
        <f t="shared" si="379"/>
        <v>0</v>
      </c>
      <c r="W375" s="18">
        <f t="shared" si="379"/>
        <v>0</v>
      </c>
      <c r="X375" s="18">
        <f t="shared" si="379"/>
        <v>0</v>
      </c>
      <c r="Y375" s="18">
        <f t="shared" si="379"/>
        <v>0</v>
      </c>
      <c r="Z375" s="18">
        <f t="shared" si="379"/>
        <v>0</v>
      </c>
      <c r="AA375" s="18">
        <f t="shared" si="379"/>
        <v>0</v>
      </c>
      <c r="AB375" s="18">
        <f t="shared" si="379"/>
        <v>0</v>
      </c>
      <c r="AC375" s="18">
        <f t="shared" si="379"/>
        <v>0</v>
      </c>
      <c r="AD375" s="18">
        <f t="shared" si="379"/>
        <v>0</v>
      </c>
      <c r="AE375" s="18">
        <f t="shared" si="379"/>
        <v>0</v>
      </c>
      <c r="AF375" s="18">
        <f t="shared" si="379"/>
        <v>0</v>
      </c>
      <c r="AG375" s="18">
        <f t="shared" si="379"/>
        <v>0</v>
      </c>
      <c r="AH375" s="18">
        <f t="shared" si="379"/>
        <v>0</v>
      </c>
      <c r="AI375" s="18">
        <f t="shared" si="379"/>
        <v>0</v>
      </c>
      <c r="AJ375" s="18">
        <f t="shared" si="379"/>
        <v>0</v>
      </c>
      <c r="AK375" s="18">
        <f t="shared" si="379"/>
        <v>0</v>
      </c>
      <c r="AL375" s="78"/>
      <c r="AM375" s="43">
        <v>359</v>
      </c>
      <c r="AN375">
        <v>35.555460530957248</v>
      </c>
      <c r="AO375">
        <v>5.617363898270777</v>
      </c>
      <c r="AP375">
        <v>42.349552516708442</v>
      </c>
      <c r="AQ375">
        <v>35.765095001910574</v>
      </c>
      <c r="AR375">
        <v>5.2740253379573776</v>
      </c>
      <c r="AS375">
        <v>27.804243224929074</v>
      </c>
      <c r="AT375">
        <v>3.1601794644078054</v>
      </c>
      <c r="AU375">
        <v>10.162645242338854</v>
      </c>
      <c r="AV375"/>
      <c r="AW375"/>
      <c r="FY375" s="210">
        <v>370</v>
      </c>
      <c r="FZ375">
        <v>0.85062749146945027</v>
      </c>
      <c r="GA375">
        <v>3.9925237265870539</v>
      </c>
      <c r="GB375">
        <v>2.2267756435902157</v>
      </c>
      <c r="GC375">
        <v>1.0873821107050909</v>
      </c>
      <c r="GD375">
        <v>2.1953454452299628</v>
      </c>
      <c r="GE375">
        <v>4.4996130077525285</v>
      </c>
      <c r="GF375">
        <v>4.8444494476756947</v>
      </c>
      <c r="GG375">
        <v>5.036551560746628</v>
      </c>
      <c r="GH375">
        <v>4.3022016569357309</v>
      </c>
      <c r="GI375">
        <v>3.5481037119482379</v>
      </c>
      <c r="GJ375"/>
      <c r="GK375"/>
      <c r="GL375"/>
      <c r="GM375"/>
    </row>
    <row r="376" spans="1:195" s="7" customFormat="1">
      <c r="A376" s="95"/>
      <c r="B376" s="71">
        <f t="shared" si="373"/>
        <v>39747</v>
      </c>
      <c r="C376" s="18">
        <f t="shared" si="374"/>
        <v>12.405303030303029</v>
      </c>
      <c r="D376" s="18">
        <f t="shared" si="375"/>
        <v>3.2265163560634558</v>
      </c>
      <c r="E376" s="19">
        <f t="shared" si="376"/>
        <v>0.26009170015290151</v>
      </c>
      <c r="F376" s="19">
        <f>IF(F390&lt;0,0,F390)</f>
        <v>3.1656950919398665E-2</v>
      </c>
      <c r="G376" s="18">
        <f>AVERAGE(E258:E267)*G$372</f>
        <v>0</v>
      </c>
      <c r="H376" s="18">
        <f t="shared" ref="H376:AK376" si="380">AVERAGE(F258:F267)*H$372</f>
        <v>0</v>
      </c>
      <c r="I376" s="18">
        <f t="shared" si="380"/>
        <v>0</v>
      </c>
      <c r="J376" s="18">
        <f t="shared" si="380"/>
        <v>0</v>
      </c>
      <c r="K376" s="18">
        <f t="shared" si="380"/>
        <v>3.2265163560634558</v>
      </c>
      <c r="L376" s="18">
        <f t="shared" si="380"/>
        <v>0</v>
      </c>
      <c r="M376" s="18">
        <f t="shared" si="380"/>
        <v>0</v>
      </c>
      <c r="N376" s="18">
        <f t="shared" si="380"/>
        <v>0</v>
      </c>
      <c r="O376" s="18">
        <f t="shared" si="380"/>
        <v>0</v>
      </c>
      <c r="P376" s="18">
        <f t="shared" si="380"/>
        <v>0</v>
      </c>
      <c r="Q376" s="18">
        <f t="shared" si="380"/>
        <v>0</v>
      </c>
      <c r="R376" s="18">
        <f t="shared" si="380"/>
        <v>0</v>
      </c>
      <c r="S376" s="18">
        <f t="shared" si="380"/>
        <v>0</v>
      </c>
      <c r="T376" s="18">
        <f t="shared" si="380"/>
        <v>0</v>
      </c>
      <c r="U376" s="18">
        <f t="shared" si="380"/>
        <v>0</v>
      </c>
      <c r="V376" s="18">
        <f t="shared" si="380"/>
        <v>0</v>
      </c>
      <c r="W376" s="18">
        <f t="shared" si="380"/>
        <v>0</v>
      </c>
      <c r="X376" s="18">
        <f t="shared" si="380"/>
        <v>0</v>
      </c>
      <c r="Y376" s="18">
        <f t="shared" si="380"/>
        <v>0</v>
      </c>
      <c r="Z376" s="18">
        <f t="shared" si="380"/>
        <v>0</v>
      </c>
      <c r="AA376" s="18">
        <f t="shared" si="380"/>
        <v>0</v>
      </c>
      <c r="AB376" s="18">
        <f t="shared" si="380"/>
        <v>0</v>
      </c>
      <c r="AC376" s="18">
        <f t="shared" si="380"/>
        <v>0</v>
      </c>
      <c r="AD376" s="18">
        <f t="shared" si="380"/>
        <v>0</v>
      </c>
      <c r="AE376" s="18">
        <f t="shared" si="380"/>
        <v>0</v>
      </c>
      <c r="AF376" s="18">
        <f t="shared" si="380"/>
        <v>0</v>
      </c>
      <c r="AG376" s="18">
        <f t="shared" si="380"/>
        <v>0</v>
      </c>
      <c r="AH376" s="18">
        <f t="shared" si="380"/>
        <v>0</v>
      </c>
      <c r="AI376" s="18">
        <f t="shared" si="380"/>
        <v>0</v>
      </c>
      <c r="AJ376" s="18">
        <f t="shared" si="380"/>
        <v>0</v>
      </c>
      <c r="AK376" s="18">
        <f t="shared" si="380"/>
        <v>0</v>
      </c>
      <c r="AL376" s="78"/>
      <c r="AM376" s="43">
        <v>360</v>
      </c>
      <c r="AN376">
        <v>19.269252824106548</v>
      </c>
      <c r="AO376">
        <v>4.8573852384096323</v>
      </c>
      <c r="AP376">
        <v>37.618047029916497</v>
      </c>
      <c r="AQ376">
        <v>31.435499301935515</v>
      </c>
      <c r="AR376">
        <v>4.6162247965923191</v>
      </c>
      <c r="AS376">
        <v>19.935118787225719</v>
      </c>
      <c r="AT376">
        <v>3.0997726140405106</v>
      </c>
      <c r="AU376">
        <v>-7.4764964913782572</v>
      </c>
      <c r="AV376"/>
      <c r="AW376"/>
      <c r="FY376" s="210">
        <v>371</v>
      </c>
      <c r="FZ376">
        <v>1.3384429880695776</v>
      </c>
      <c r="GA376">
        <v>2.8807954208290987</v>
      </c>
      <c r="GB376">
        <v>2.1612590043840552</v>
      </c>
      <c r="GC376">
        <v>0.74014471110318114</v>
      </c>
      <c r="GD376">
        <v>1.7790272201259287</v>
      </c>
      <c r="GE376">
        <v>5.1706992176275666</v>
      </c>
      <c r="GF376">
        <v>6.6457452559786327</v>
      </c>
      <c r="GG376">
        <v>4.3731702614140469</v>
      </c>
      <c r="GH376">
        <v>3.0069174706500466</v>
      </c>
      <c r="GI376">
        <v>3.509138770097525</v>
      </c>
      <c r="GJ376"/>
      <c r="GK376"/>
      <c r="GL376"/>
      <c r="GM376"/>
    </row>
    <row r="377" spans="1:195" s="7" customFormat="1">
      <c r="A377" s="95"/>
      <c r="B377" s="71">
        <f t="shared" si="373"/>
        <v>39775</v>
      </c>
      <c r="C377" s="18">
        <f t="shared" si="374"/>
        <v>12.847222222222221</v>
      </c>
      <c r="D377" s="18">
        <f t="shared" si="375"/>
        <v>2.5227915118892525</v>
      </c>
      <c r="E377" s="19">
        <f t="shared" si="376"/>
        <v>0.1963686366011094</v>
      </c>
      <c r="F377" s="19">
        <f>IF(F391&lt;0,0,F391)</f>
        <v>0</v>
      </c>
      <c r="G377" s="18">
        <f>AVERAGE(E268:E277)*G$372</f>
        <v>0</v>
      </c>
      <c r="H377" s="18">
        <f t="shared" ref="H377:AK377" si="381">AVERAGE(F268:F277)*H$372</f>
        <v>0</v>
      </c>
      <c r="I377" s="18">
        <f t="shared" si="381"/>
        <v>4.1006202526833381E-2</v>
      </c>
      <c r="J377" s="18">
        <f t="shared" si="381"/>
        <v>0.49497371097219955</v>
      </c>
      <c r="K377" s="18">
        <f t="shared" si="381"/>
        <v>1.9868115983902197</v>
      </c>
      <c r="L377" s="18">
        <f t="shared" si="381"/>
        <v>0</v>
      </c>
      <c r="M377" s="18">
        <f t="shared" si="381"/>
        <v>0</v>
      </c>
      <c r="N377" s="18">
        <f t="shared" si="381"/>
        <v>0</v>
      </c>
      <c r="O377" s="18">
        <f t="shared" si="381"/>
        <v>0</v>
      </c>
      <c r="P377" s="18">
        <f t="shared" si="381"/>
        <v>0</v>
      </c>
      <c r="Q377" s="18">
        <f t="shared" si="381"/>
        <v>0</v>
      </c>
      <c r="R377" s="18">
        <f t="shared" si="381"/>
        <v>0</v>
      </c>
      <c r="S377" s="18">
        <f t="shared" si="381"/>
        <v>0</v>
      </c>
      <c r="T377" s="18">
        <f t="shared" si="381"/>
        <v>0</v>
      </c>
      <c r="U377" s="18">
        <f t="shared" si="381"/>
        <v>0</v>
      </c>
      <c r="V377" s="18">
        <f t="shared" si="381"/>
        <v>0</v>
      </c>
      <c r="W377" s="18">
        <f t="shared" si="381"/>
        <v>0</v>
      </c>
      <c r="X377" s="18">
        <f t="shared" si="381"/>
        <v>0</v>
      </c>
      <c r="Y377" s="18">
        <f t="shared" si="381"/>
        <v>0</v>
      </c>
      <c r="Z377" s="18">
        <f t="shared" si="381"/>
        <v>0</v>
      </c>
      <c r="AA377" s="18">
        <f t="shared" si="381"/>
        <v>0</v>
      </c>
      <c r="AB377" s="18">
        <f t="shared" si="381"/>
        <v>0</v>
      </c>
      <c r="AC377" s="18">
        <f t="shared" si="381"/>
        <v>0</v>
      </c>
      <c r="AD377" s="18">
        <f t="shared" si="381"/>
        <v>0</v>
      </c>
      <c r="AE377" s="18">
        <f t="shared" si="381"/>
        <v>0</v>
      </c>
      <c r="AF377" s="18">
        <f t="shared" si="381"/>
        <v>0</v>
      </c>
      <c r="AG377" s="18">
        <f t="shared" si="381"/>
        <v>0</v>
      </c>
      <c r="AH377" s="18">
        <f t="shared" si="381"/>
        <v>0</v>
      </c>
      <c r="AI377" s="18">
        <f t="shared" si="381"/>
        <v>0</v>
      </c>
      <c r="AJ377" s="18">
        <f t="shared" si="381"/>
        <v>0</v>
      </c>
      <c r="AK377" s="18">
        <f t="shared" si="381"/>
        <v>0</v>
      </c>
      <c r="AL377" s="78"/>
      <c r="AM377" s="43">
        <v>361</v>
      </c>
      <c r="AN377">
        <v>20.978495751933245</v>
      </c>
      <c r="AO377">
        <v>4.2476937502598533</v>
      </c>
      <c r="AP377">
        <v>34.114254036649704</v>
      </c>
      <c r="AQ377">
        <v>27.832129296236705</v>
      </c>
      <c r="AR377">
        <v>3.9677236873908446</v>
      </c>
      <c r="AS377">
        <v>18.219075848559225</v>
      </c>
      <c r="AT377" t="e">
        <v>#DIV/0!</v>
      </c>
      <c r="AU377" t="e">
        <v>#DIV/0!</v>
      </c>
      <c r="AV377"/>
      <c r="AW377"/>
      <c r="FY377" s="210">
        <v>372</v>
      </c>
      <c r="FZ377">
        <v>0.6793333161426045</v>
      </c>
      <c r="GA377">
        <v>2.0909664559141556</v>
      </c>
      <c r="GB377">
        <v>1.8919114926790783</v>
      </c>
      <c r="GC377">
        <v>1.0429956958445663</v>
      </c>
      <c r="GD377">
        <v>1.991162542411318</v>
      </c>
      <c r="GE377">
        <v>6.7320511785982555</v>
      </c>
      <c r="GF377">
        <v>8.1696935310744649</v>
      </c>
      <c r="GG377">
        <v>6.1014081854343161</v>
      </c>
      <c r="GH377">
        <v>6.9035495551790103</v>
      </c>
      <c r="GI377">
        <v>4.3503470184658077</v>
      </c>
      <c r="GJ377"/>
      <c r="GK377"/>
      <c r="GL377"/>
      <c r="GM377"/>
    </row>
    <row r="378" spans="1:195" s="7" customFormat="1">
      <c r="A378" s="95"/>
      <c r="B378" s="71">
        <f t="shared" si="373"/>
        <v>39799</v>
      </c>
      <c r="C378" s="18">
        <f t="shared" si="374"/>
        <v>114.68727351080291</v>
      </c>
      <c r="D378" s="18">
        <f t="shared" si="375"/>
        <v>15.18309740711285</v>
      </c>
      <c r="E378" s="19">
        <f t="shared" si="376"/>
        <v>0.1323869418317167</v>
      </c>
      <c r="F378" s="19">
        <f t="shared" ref="F378:F382" si="382">IF(F392&lt;0,0,F392)</f>
        <v>0</v>
      </c>
      <c r="G378" s="18">
        <f>AVERAGE(E278:E287)*G$372</f>
        <v>0</v>
      </c>
      <c r="H378" s="18">
        <f t="shared" ref="H378:AK378" si="383">AVERAGE(F278:F287)*H$372</f>
        <v>0</v>
      </c>
      <c r="I378" s="18">
        <f t="shared" si="383"/>
        <v>2.3024873076564201</v>
      </c>
      <c r="J378" s="18">
        <f t="shared" si="383"/>
        <v>2.3388867661323722</v>
      </c>
      <c r="K378" s="18">
        <f t="shared" si="383"/>
        <v>8.2453312868985087</v>
      </c>
      <c r="L378" s="18">
        <f t="shared" si="383"/>
        <v>2.2963920464255483</v>
      </c>
      <c r="M378" s="18">
        <f t="shared" si="383"/>
        <v>0</v>
      </c>
      <c r="N378" s="18">
        <f t="shared" si="383"/>
        <v>0</v>
      </c>
      <c r="O378" s="18">
        <f t="shared" si="383"/>
        <v>0</v>
      </c>
      <c r="P378" s="18">
        <f t="shared" si="383"/>
        <v>0</v>
      </c>
      <c r="Q378" s="18">
        <f t="shared" si="383"/>
        <v>0</v>
      </c>
      <c r="R378" s="18">
        <f t="shared" si="383"/>
        <v>0</v>
      </c>
      <c r="S378" s="18">
        <f t="shared" si="383"/>
        <v>0</v>
      </c>
      <c r="T378" s="18">
        <f t="shared" si="383"/>
        <v>0</v>
      </c>
      <c r="U378" s="18">
        <f t="shared" si="383"/>
        <v>0</v>
      </c>
      <c r="V378" s="18">
        <f t="shared" si="383"/>
        <v>0</v>
      </c>
      <c r="W378" s="18">
        <f t="shared" si="383"/>
        <v>0</v>
      </c>
      <c r="X378" s="18">
        <f t="shared" si="383"/>
        <v>0</v>
      </c>
      <c r="Y378" s="18">
        <f t="shared" si="383"/>
        <v>0</v>
      </c>
      <c r="Z378" s="18">
        <f t="shared" si="383"/>
        <v>0</v>
      </c>
      <c r="AA378" s="18">
        <f t="shared" si="383"/>
        <v>0</v>
      </c>
      <c r="AB378" s="18">
        <f t="shared" si="383"/>
        <v>0</v>
      </c>
      <c r="AC378" s="18">
        <f t="shared" si="383"/>
        <v>0</v>
      </c>
      <c r="AD378" s="18">
        <f t="shared" si="383"/>
        <v>0</v>
      </c>
      <c r="AE378" s="18">
        <f t="shared" si="383"/>
        <v>0</v>
      </c>
      <c r="AF378" s="18">
        <f t="shared" si="383"/>
        <v>0</v>
      </c>
      <c r="AG378" s="18">
        <f t="shared" si="383"/>
        <v>0</v>
      </c>
      <c r="AH378" s="18">
        <f t="shared" si="383"/>
        <v>0</v>
      </c>
      <c r="AI378" s="18">
        <f t="shared" si="383"/>
        <v>0</v>
      </c>
      <c r="AJ378" s="18">
        <f t="shared" si="383"/>
        <v>0</v>
      </c>
      <c r="AK378" s="18">
        <f t="shared" si="383"/>
        <v>0</v>
      </c>
      <c r="AL378" s="78"/>
      <c r="AM378" s="43">
        <v>362</v>
      </c>
      <c r="AN378">
        <v>26.538956447963795</v>
      </c>
      <c r="AO378">
        <v>4.3225092973823322</v>
      </c>
      <c r="AP378">
        <v>27.746602614089973</v>
      </c>
      <c r="AQ378">
        <v>25.417607553047517</v>
      </c>
      <c r="AR378">
        <v>4.1676962337187442</v>
      </c>
      <c r="AS378">
        <v>21.013366633514721</v>
      </c>
      <c r="AT378">
        <v>2.8491177897748372</v>
      </c>
      <c r="AU378">
        <v>17.595139871325824</v>
      </c>
      <c r="AV378"/>
      <c r="AW378"/>
      <c r="FY378" s="210">
        <v>373</v>
      </c>
      <c r="FZ378">
        <v>1.1530472494609418</v>
      </c>
      <c r="GA378">
        <v>2.5959750894491114</v>
      </c>
      <c r="GB378">
        <v>1.8347567010317496</v>
      </c>
      <c r="GC378">
        <v>0.72949016651175802</v>
      </c>
      <c r="GD378">
        <v>0.54354236019034974</v>
      </c>
      <c r="GE378">
        <v>2.8870177994673325</v>
      </c>
      <c r="GF378">
        <v>6.9514114138761434</v>
      </c>
      <c r="GG378">
        <v>5.0184523791295046</v>
      </c>
      <c r="GH378">
        <v>4.3632187564225315</v>
      </c>
      <c r="GI378">
        <v>2.9305398233439055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84">+C10</f>
        <v>39847</v>
      </c>
      <c r="C379" s="18">
        <f t="shared" si="374"/>
        <v>27.34375</v>
      </c>
      <c r="D379" s="18">
        <f t="shared" si="375"/>
        <v>8.075625961138428</v>
      </c>
      <c r="E379" s="19">
        <f t="shared" si="376"/>
        <v>0.29533717800734821</v>
      </c>
      <c r="F379" s="19">
        <f t="shared" si="382"/>
        <v>1.6716430582197791E-2</v>
      </c>
      <c r="G379" s="18">
        <f>AVERAGE(E288:E297)*G$372</f>
        <v>0</v>
      </c>
      <c r="H379" s="18">
        <f t="shared" ref="H379:AK379" si="385">AVERAGE(F288:F297)*H$372</f>
        <v>0</v>
      </c>
      <c r="I379" s="18">
        <f t="shared" si="385"/>
        <v>0</v>
      </c>
      <c r="J379" s="18">
        <f t="shared" si="385"/>
        <v>0.61871713871524947</v>
      </c>
      <c r="K379" s="18">
        <f t="shared" si="385"/>
        <v>3.7252717469816625</v>
      </c>
      <c r="L379" s="18">
        <f t="shared" si="385"/>
        <v>3.7316370754415158</v>
      </c>
      <c r="M379" s="18">
        <f t="shared" si="385"/>
        <v>0</v>
      </c>
      <c r="N379" s="18">
        <f t="shared" si="385"/>
        <v>0</v>
      </c>
      <c r="O379" s="18">
        <f t="shared" si="385"/>
        <v>0</v>
      </c>
      <c r="P379" s="18">
        <f t="shared" si="385"/>
        <v>0</v>
      </c>
      <c r="Q379" s="18">
        <f t="shared" si="385"/>
        <v>0</v>
      </c>
      <c r="R379" s="18">
        <f t="shared" si="385"/>
        <v>0</v>
      </c>
      <c r="S379" s="18">
        <f t="shared" si="385"/>
        <v>0</v>
      </c>
      <c r="T379" s="18">
        <f t="shared" si="385"/>
        <v>0</v>
      </c>
      <c r="U379" s="18">
        <f t="shared" si="385"/>
        <v>0</v>
      </c>
      <c r="V379" s="18">
        <f t="shared" si="385"/>
        <v>0</v>
      </c>
      <c r="W379" s="18">
        <f t="shared" si="385"/>
        <v>0</v>
      </c>
      <c r="X379" s="18">
        <f t="shared" si="385"/>
        <v>0</v>
      </c>
      <c r="Y379" s="18">
        <f t="shared" si="385"/>
        <v>0</v>
      </c>
      <c r="Z379" s="18">
        <f t="shared" si="385"/>
        <v>0</v>
      </c>
      <c r="AA379" s="18">
        <f t="shared" si="385"/>
        <v>0</v>
      </c>
      <c r="AB379" s="18">
        <f t="shared" si="385"/>
        <v>0</v>
      </c>
      <c r="AC379" s="18">
        <f t="shared" si="385"/>
        <v>0</v>
      </c>
      <c r="AD379" s="18">
        <f t="shared" si="385"/>
        <v>0</v>
      </c>
      <c r="AE379" s="18">
        <f t="shared" si="385"/>
        <v>0</v>
      </c>
      <c r="AF379" s="18">
        <f t="shared" si="385"/>
        <v>0</v>
      </c>
      <c r="AG379" s="18">
        <f t="shared" si="385"/>
        <v>0</v>
      </c>
      <c r="AH379" s="18">
        <f t="shared" si="385"/>
        <v>0</v>
      </c>
      <c r="AI379" s="18">
        <f t="shared" si="385"/>
        <v>0</v>
      </c>
      <c r="AJ379" s="18">
        <f t="shared" si="385"/>
        <v>0</v>
      </c>
      <c r="AK379" s="18">
        <f t="shared" si="385"/>
        <v>0</v>
      </c>
      <c r="AL379" s="78"/>
      <c r="AM379" s="43">
        <v>363</v>
      </c>
      <c r="AN379">
        <v>23.547891923977264</v>
      </c>
      <c r="AO379">
        <v>4.8712710449348755</v>
      </c>
      <c r="AP379">
        <v>34.130399007475475</v>
      </c>
      <c r="AQ379">
        <v>29.663335421999378</v>
      </c>
      <c r="AR379">
        <v>4.5126110541286364</v>
      </c>
      <c r="AS379">
        <v>21.68220329886034</v>
      </c>
      <c r="AT379">
        <v>3.057810873943458</v>
      </c>
      <c r="AU379">
        <v>1.552303264505227</v>
      </c>
      <c r="AV379"/>
      <c r="AW379"/>
      <c r="FY379" s="210">
        <v>374</v>
      </c>
      <c r="FZ379">
        <v>0.74770503536838473</v>
      </c>
      <c r="GA379">
        <v>1.8730315011422582</v>
      </c>
      <c r="GB379">
        <v>0.84514683979339544</v>
      </c>
      <c r="GC379">
        <v>0.24050190209488387</v>
      </c>
      <c r="GD379">
        <v>2.4183041930833076</v>
      </c>
      <c r="GE379">
        <v>6.8768643860719019</v>
      </c>
      <c r="GF379">
        <v>6.843702717396658</v>
      </c>
      <c r="GG379">
        <v>6.6349351880902798</v>
      </c>
      <c r="GH379">
        <v>5.29713239139934</v>
      </c>
      <c r="GI379">
        <v>3.842461397265331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84"/>
        <v>39910</v>
      </c>
      <c r="C380" s="18">
        <f t="shared" si="374"/>
        <v>26.515151515151519</v>
      </c>
      <c r="D380" s="18">
        <f t="shared" si="375"/>
        <v>11.232097350923976</v>
      </c>
      <c r="E380" s="19">
        <f t="shared" si="376"/>
        <v>0.42361052866341847</v>
      </c>
      <c r="F380" s="19">
        <f t="shared" si="382"/>
        <v>5.7253458521302593E-3</v>
      </c>
      <c r="G380" s="18">
        <f>AVERAGE(E298:E307)*G$372</f>
        <v>0</v>
      </c>
      <c r="H380" s="18">
        <f t="shared" ref="H380:AK380" si="386">AVERAGE(F298:F307)*H$372</f>
        <v>0</v>
      </c>
      <c r="I380" s="18">
        <f t="shared" si="386"/>
        <v>0</v>
      </c>
      <c r="J380" s="18">
        <f t="shared" si="386"/>
        <v>1.361177705173549</v>
      </c>
      <c r="K380" s="18">
        <f t="shared" si="386"/>
        <v>0.5418577086518781</v>
      </c>
      <c r="L380" s="18">
        <f t="shared" si="386"/>
        <v>1.9902064402354749</v>
      </c>
      <c r="M380" s="18">
        <f t="shared" si="386"/>
        <v>6.0946534681868378</v>
      </c>
      <c r="N380" s="18">
        <f t="shared" si="386"/>
        <v>1.2442020286762365</v>
      </c>
      <c r="O380" s="18">
        <f t="shared" si="386"/>
        <v>0</v>
      </c>
      <c r="P380" s="18">
        <f t="shared" si="386"/>
        <v>0</v>
      </c>
      <c r="Q380" s="18">
        <f t="shared" si="386"/>
        <v>0</v>
      </c>
      <c r="R380" s="18">
        <f t="shared" si="386"/>
        <v>0</v>
      </c>
      <c r="S380" s="18">
        <f t="shared" si="386"/>
        <v>0</v>
      </c>
      <c r="T380" s="18">
        <f t="shared" si="386"/>
        <v>0</v>
      </c>
      <c r="U380" s="18">
        <f t="shared" si="386"/>
        <v>0</v>
      </c>
      <c r="V380" s="18">
        <f t="shared" si="386"/>
        <v>0</v>
      </c>
      <c r="W380" s="18">
        <f t="shared" si="386"/>
        <v>0</v>
      </c>
      <c r="X380" s="18">
        <f t="shared" si="386"/>
        <v>0</v>
      </c>
      <c r="Y380" s="18">
        <f t="shared" si="386"/>
        <v>0</v>
      </c>
      <c r="Z380" s="18">
        <f t="shared" si="386"/>
        <v>0</v>
      </c>
      <c r="AA380" s="18">
        <f t="shared" si="386"/>
        <v>0</v>
      </c>
      <c r="AB380" s="18">
        <f t="shared" si="386"/>
        <v>0</v>
      </c>
      <c r="AC380" s="18">
        <f t="shared" si="386"/>
        <v>0</v>
      </c>
      <c r="AD380" s="18">
        <f t="shared" si="386"/>
        <v>0</v>
      </c>
      <c r="AE380" s="18">
        <f t="shared" si="386"/>
        <v>0</v>
      </c>
      <c r="AF380" s="18">
        <f t="shared" si="386"/>
        <v>0</v>
      </c>
      <c r="AG380" s="18">
        <f t="shared" si="386"/>
        <v>0</v>
      </c>
      <c r="AH380" s="18">
        <f t="shared" si="386"/>
        <v>0</v>
      </c>
      <c r="AI380" s="18">
        <f t="shared" si="386"/>
        <v>0</v>
      </c>
      <c r="AJ380" s="18">
        <f t="shared" si="386"/>
        <v>0</v>
      </c>
      <c r="AK380" s="18">
        <f t="shared" si="386"/>
        <v>0</v>
      </c>
      <c r="AL380" s="78"/>
      <c r="AM380" s="43">
        <v>364</v>
      </c>
      <c r="AN380">
        <v>25.907079151104881</v>
      </c>
      <c r="AO380">
        <v>4.2842707720879325</v>
      </c>
      <c r="AP380">
        <v>27.540920641371276</v>
      </c>
      <c r="AQ380">
        <v>25.178852789635396</v>
      </c>
      <c r="AR380">
        <v>3.9832880868981686</v>
      </c>
      <c r="AS380">
        <v>20.653862104825098</v>
      </c>
      <c r="AT380">
        <v>2.5397525714718587</v>
      </c>
      <c r="AU380">
        <v>13.237205747092643</v>
      </c>
      <c r="AV380"/>
      <c r="AW380"/>
      <c r="FY380" s="210">
        <v>375</v>
      </c>
      <c r="FZ380">
        <v>1.5852990121476302</v>
      </c>
      <c r="GA380">
        <v>2.2101401463702337</v>
      </c>
      <c r="GB380">
        <v>1.543757808268543</v>
      </c>
      <c r="GC380">
        <v>0.80901106671916934</v>
      </c>
      <c r="GD380">
        <v>2.0160821283650989</v>
      </c>
      <c r="GE380">
        <v>4.3627732683744709</v>
      </c>
      <c r="GF380">
        <v>5.6610646966182703</v>
      </c>
      <c r="GG380">
        <v>6.8994537289131328</v>
      </c>
      <c r="GH380">
        <v>4.9000572806727813</v>
      </c>
      <c r="GI380">
        <v>3.6406126222121515</v>
      </c>
      <c r="GJ380"/>
      <c r="GK380"/>
      <c r="GL380"/>
      <c r="GM380"/>
    </row>
    <row r="381" spans="1:195" s="7" customFormat="1">
      <c r="A381" s="1"/>
      <c r="B381" s="71">
        <f t="shared" si="384"/>
        <v>39949</v>
      </c>
      <c r="C381" s="18">
        <f t="shared" si="374"/>
        <v>33.912037037037031</v>
      </c>
      <c r="D381" s="18">
        <f t="shared" si="375"/>
        <v>8.9566729352156358</v>
      </c>
      <c r="E381" s="19">
        <f t="shared" si="376"/>
        <v>0.26411486061523243</v>
      </c>
      <c r="F381" s="19">
        <f t="shared" si="382"/>
        <v>0</v>
      </c>
      <c r="G381" s="18">
        <f>AVERAGE(E308:E317)*G$372</f>
        <v>0</v>
      </c>
      <c r="H381" s="18">
        <f t="shared" ref="H381:AK381" si="387">AVERAGE(F308:F317)*H$372</f>
        <v>4.8272453703703692E-2</v>
      </c>
      <c r="I381" s="18">
        <f t="shared" si="387"/>
        <v>0.31893713076425967</v>
      </c>
      <c r="J381" s="18">
        <f t="shared" si="387"/>
        <v>0.61871713871524947</v>
      </c>
      <c r="K381" s="18">
        <f t="shared" si="387"/>
        <v>0.5418577086518781</v>
      </c>
      <c r="L381" s="18">
        <f t="shared" si="387"/>
        <v>2.4877580502943437</v>
      </c>
      <c r="M381" s="18">
        <f t="shared" si="387"/>
        <v>2.4527263957337277</v>
      </c>
      <c r="N381" s="18">
        <f t="shared" si="387"/>
        <v>2.4884040573524731</v>
      </c>
      <c r="O381" s="18">
        <f t="shared" si="387"/>
        <v>0</v>
      </c>
      <c r="P381" s="18">
        <f t="shared" si="387"/>
        <v>0</v>
      </c>
      <c r="Q381" s="18">
        <f t="shared" si="387"/>
        <v>0</v>
      </c>
      <c r="R381" s="18">
        <f t="shared" si="387"/>
        <v>0</v>
      </c>
      <c r="S381" s="18">
        <f t="shared" si="387"/>
        <v>0</v>
      </c>
      <c r="T381" s="18">
        <f t="shared" si="387"/>
        <v>0</v>
      </c>
      <c r="U381" s="18">
        <f t="shared" si="387"/>
        <v>0</v>
      </c>
      <c r="V381" s="18">
        <f t="shared" si="387"/>
        <v>0</v>
      </c>
      <c r="W381" s="18">
        <f t="shared" si="387"/>
        <v>0</v>
      </c>
      <c r="X381" s="18">
        <f t="shared" si="387"/>
        <v>0</v>
      </c>
      <c r="Y381" s="18">
        <f t="shared" si="387"/>
        <v>0</v>
      </c>
      <c r="Z381" s="18">
        <f t="shared" si="387"/>
        <v>0</v>
      </c>
      <c r="AA381" s="18">
        <f t="shared" si="387"/>
        <v>0</v>
      </c>
      <c r="AB381" s="18">
        <f t="shared" si="387"/>
        <v>0</v>
      </c>
      <c r="AC381" s="18">
        <f t="shared" si="387"/>
        <v>0</v>
      </c>
      <c r="AD381" s="18">
        <f t="shared" si="387"/>
        <v>0</v>
      </c>
      <c r="AE381" s="18">
        <f t="shared" si="387"/>
        <v>0</v>
      </c>
      <c r="AF381" s="18">
        <f t="shared" si="387"/>
        <v>0</v>
      </c>
      <c r="AG381" s="18">
        <f t="shared" si="387"/>
        <v>0</v>
      </c>
      <c r="AH381" s="18">
        <f t="shared" si="387"/>
        <v>0</v>
      </c>
      <c r="AI381" s="18">
        <f t="shared" si="387"/>
        <v>0</v>
      </c>
      <c r="AJ381" s="18">
        <f t="shared" si="387"/>
        <v>0</v>
      </c>
      <c r="AK381" s="18">
        <f t="shared" si="387"/>
        <v>0</v>
      </c>
      <c r="AL381" s="78"/>
      <c r="AM381" s="43">
        <v>365</v>
      </c>
      <c r="AN381">
        <v>26.764673898405515</v>
      </c>
      <c r="AO381">
        <v>5.1464825765228159</v>
      </c>
      <c r="AP381">
        <v>37.588865166085498</v>
      </c>
      <c r="AQ381">
        <v>32.149806737341173</v>
      </c>
      <c r="AR381">
        <v>4.7696560353916366</v>
      </c>
      <c r="AS381">
        <v>22.59742264358152</v>
      </c>
      <c r="AT381">
        <v>3.2512693594258679</v>
      </c>
      <c r="AU381">
        <v>17.817171377634228</v>
      </c>
      <c r="AV381"/>
      <c r="AW381"/>
      <c r="FY381" s="210">
        <v>376</v>
      </c>
      <c r="FZ381">
        <v>1.2891140997789117</v>
      </c>
      <c r="GA381">
        <v>2.2984597715034463</v>
      </c>
      <c r="GB381">
        <v>1.0756211535180329</v>
      </c>
      <c r="GC381">
        <v>0.52896740380901286</v>
      </c>
      <c r="GD381">
        <v>1.8433977816488194</v>
      </c>
      <c r="GE381">
        <v>4.6204146802274675</v>
      </c>
      <c r="GF381">
        <v>5.6119581099646574</v>
      </c>
      <c r="GG381">
        <v>4.3336124048371953</v>
      </c>
      <c r="GH381">
        <v>2.3173488868103722</v>
      </c>
      <c r="GI381">
        <v>2.95699811891174</v>
      </c>
      <c r="GJ381"/>
      <c r="GK381"/>
      <c r="GL381"/>
      <c r="GM381"/>
    </row>
    <row r="382" spans="1:195" s="7" customFormat="1">
      <c r="A382" s="1"/>
      <c r="B382" s="71">
        <f t="shared" si="384"/>
        <v>39987</v>
      </c>
      <c r="C382" s="18">
        <f t="shared" si="374"/>
        <v>16.826923076923077</v>
      </c>
      <c r="D382" s="18">
        <f t="shared" si="375"/>
        <v>1.9989322943108061</v>
      </c>
      <c r="E382" s="19">
        <f t="shared" si="376"/>
        <v>0.11879369063332791</v>
      </c>
      <c r="F382" s="19">
        <f t="shared" si="382"/>
        <v>0</v>
      </c>
      <c r="G382" s="18">
        <f>AVERAGE(E318:E327)*G$372</f>
        <v>0</v>
      </c>
      <c r="H382" s="18">
        <f t="shared" ref="H382:AK382" si="388">AVERAGE(F318:F327)*H$372</f>
        <v>0</v>
      </c>
      <c r="I382" s="18">
        <f t="shared" si="388"/>
        <v>0</v>
      </c>
      <c r="J382" s="18">
        <f t="shared" si="388"/>
        <v>1.9989322943108061</v>
      </c>
      <c r="K382" s="18">
        <f t="shared" si="388"/>
        <v>0</v>
      </c>
      <c r="L382" s="18">
        <f t="shared" si="388"/>
        <v>0</v>
      </c>
      <c r="M382" s="18">
        <f t="shared" si="388"/>
        <v>0</v>
      </c>
      <c r="N382" s="18">
        <f t="shared" si="388"/>
        <v>0</v>
      </c>
      <c r="O382" s="18">
        <f t="shared" si="388"/>
        <v>0</v>
      </c>
      <c r="P382" s="18">
        <f t="shared" si="388"/>
        <v>0</v>
      </c>
      <c r="Q382" s="18">
        <f t="shared" si="388"/>
        <v>0</v>
      </c>
      <c r="R382" s="18">
        <f t="shared" si="388"/>
        <v>0</v>
      </c>
      <c r="S382" s="18">
        <f t="shared" si="388"/>
        <v>0</v>
      </c>
      <c r="T382" s="18">
        <f t="shared" si="388"/>
        <v>0</v>
      </c>
      <c r="U382" s="18">
        <f t="shared" si="388"/>
        <v>0</v>
      </c>
      <c r="V382" s="18">
        <f t="shared" si="388"/>
        <v>0</v>
      </c>
      <c r="W382" s="18">
        <f t="shared" si="388"/>
        <v>0</v>
      </c>
      <c r="X382" s="18">
        <f t="shared" si="388"/>
        <v>0</v>
      </c>
      <c r="Y382" s="18">
        <f t="shared" si="388"/>
        <v>0</v>
      </c>
      <c r="Z382" s="18">
        <f t="shared" si="388"/>
        <v>0</v>
      </c>
      <c r="AA382" s="18">
        <f t="shared" si="388"/>
        <v>0</v>
      </c>
      <c r="AB382" s="18">
        <f t="shared" si="388"/>
        <v>0</v>
      </c>
      <c r="AC382" s="18">
        <f t="shared" si="388"/>
        <v>0</v>
      </c>
      <c r="AD382" s="18">
        <f t="shared" si="388"/>
        <v>0</v>
      </c>
      <c r="AE382" s="18">
        <f t="shared" si="388"/>
        <v>0</v>
      </c>
      <c r="AF382" s="18">
        <f t="shared" si="388"/>
        <v>0</v>
      </c>
      <c r="AG382" s="18">
        <f t="shared" si="388"/>
        <v>0</v>
      </c>
      <c r="AH382" s="18">
        <f t="shared" si="388"/>
        <v>0</v>
      </c>
      <c r="AI382" s="18">
        <f t="shared" si="388"/>
        <v>0</v>
      </c>
      <c r="AJ382" s="18">
        <f t="shared" si="388"/>
        <v>0</v>
      </c>
      <c r="AK382" s="18">
        <f t="shared" si="388"/>
        <v>0</v>
      </c>
      <c r="AL382" s="78"/>
      <c r="AM382" s="43">
        <v>366</v>
      </c>
      <c r="AN382">
        <v>25.482816203404436</v>
      </c>
      <c r="AO382">
        <v>4.7647554981757638</v>
      </c>
      <c r="AP382">
        <v>31.387022460243049</v>
      </c>
      <c r="AQ382">
        <v>28.398559276745605</v>
      </c>
      <c r="AR382">
        <v>4.3963703962661498</v>
      </c>
      <c r="AS382">
        <v>21.121111916530907</v>
      </c>
      <c r="AT382">
        <v>3.0324595171848685</v>
      </c>
      <c r="AU382">
        <v>20.052951248088078</v>
      </c>
      <c r="AV382"/>
      <c r="AW382"/>
      <c r="FY382" s="210">
        <v>377</v>
      </c>
      <c r="FZ382">
        <v>1.3587793969741411</v>
      </c>
      <c r="GA382">
        <v>4.171232308901299</v>
      </c>
      <c r="GB382">
        <v>2.8191917235664494</v>
      </c>
      <c r="GC382">
        <v>1.1186004961129048</v>
      </c>
      <c r="GD382">
        <v>1.6840090030767101</v>
      </c>
      <c r="GE382">
        <v>3.4183004791031992</v>
      </c>
      <c r="GF382">
        <v>6.0546072506024462</v>
      </c>
      <c r="GG382">
        <v>6.021832457731664</v>
      </c>
      <c r="GH382">
        <v>3.4881006100965757</v>
      </c>
      <c r="GI382">
        <v>3.567364995288659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17.460350745590109</v>
      </c>
      <c r="AO383">
        <v>4.376719755225003</v>
      </c>
      <c r="AP383">
        <v>36.065723145035228</v>
      </c>
      <c r="AQ383">
        <v>29.432615358048309</v>
      </c>
      <c r="AR383">
        <v>4.0957437496664362</v>
      </c>
      <c r="AS383">
        <v>20.009731006889186</v>
      </c>
      <c r="AT383">
        <v>2.9928009706050136</v>
      </c>
      <c r="AU383">
        <v>2.9090697819560569</v>
      </c>
      <c r="AV383"/>
      <c r="AW383"/>
      <c r="FY383" s="210">
        <v>378</v>
      </c>
      <c r="FZ383">
        <v>1.4679366986979794</v>
      </c>
      <c r="GA383">
        <v>3.253540348037999</v>
      </c>
      <c r="GB383">
        <v>2.430397203997229</v>
      </c>
      <c r="GC383">
        <v>1.3036833798338894</v>
      </c>
      <c r="GD383">
        <v>2.9075500995599586</v>
      </c>
      <c r="GE383">
        <v>5.4698517530085011</v>
      </c>
      <c r="GF383">
        <v>5.3834378436889825</v>
      </c>
      <c r="GG383">
        <v>7.2724029429532315</v>
      </c>
      <c r="GH383">
        <v>4.8205535251144669</v>
      </c>
      <c r="GI383">
        <v>4.3023715142711279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33.201558152698247</v>
      </c>
      <c r="AO384">
        <v>6.3275187672044844</v>
      </c>
      <c r="AP384">
        <v>45.273657132899345</v>
      </c>
      <c r="AQ384">
        <v>39.409423901676725</v>
      </c>
      <c r="AR384">
        <v>5.8737553783505145</v>
      </c>
      <c r="AS384">
        <v>27.409748529126528</v>
      </c>
      <c r="AT384">
        <v>3.5845359812592359</v>
      </c>
      <c r="AU384">
        <v>-1.4296370269132268</v>
      </c>
      <c r="AV384"/>
      <c r="AW384"/>
      <c r="FY384" s="210">
        <v>379</v>
      </c>
      <c r="FZ384">
        <v>1.1945094200925905</v>
      </c>
      <c r="GA384">
        <v>2.4812834871810678</v>
      </c>
      <c r="GB384">
        <v>2.5930352894095501</v>
      </c>
      <c r="GC384">
        <v>1.4754069022179708</v>
      </c>
      <c r="GD384">
        <v>1.9417446913612308</v>
      </c>
      <c r="GE384">
        <v>5.7420040597732296</v>
      </c>
      <c r="GF384">
        <v>9.0974342840655709</v>
      </c>
      <c r="GG384">
        <v>6.5752363161896978</v>
      </c>
      <c r="GH384">
        <v>3.7482426129376618</v>
      </c>
      <c r="GI384">
        <v>4.2454819495800464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22.786084244117724</v>
      </c>
      <c r="AO385">
        <v>5.1320332904901615</v>
      </c>
      <c r="AP385">
        <v>37.925771028837907</v>
      </c>
      <c r="AQ385">
        <v>31.44948034117165</v>
      </c>
      <c r="AR385">
        <v>4.8618980175573654</v>
      </c>
      <c r="AS385">
        <v>22.560037321517097</v>
      </c>
      <c r="AT385">
        <v>3.3652904768947614</v>
      </c>
      <c r="AU385">
        <v>10.561948359186768</v>
      </c>
      <c r="AV385"/>
      <c r="AW385"/>
      <c r="FY385" s="210">
        <v>380</v>
      </c>
      <c r="FZ385">
        <v>1.2209679099309951</v>
      </c>
      <c r="GA385">
        <v>3.0480057969119856</v>
      </c>
      <c r="GB385">
        <v>1.8370842045961244</v>
      </c>
      <c r="GC385">
        <v>1.0280140190314724</v>
      </c>
      <c r="GD385">
        <v>1.1528616289881088</v>
      </c>
      <c r="GE385">
        <v>2.4796745906827362</v>
      </c>
      <c r="GF385">
        <v>5.2952960175190098</v>
      </c>
      <c r="GG385">
        <v>6.8106608451931852</v>
      </c>
      <c r="GH385">
        <v>7.7504651502904096</v>
      </c>
      <c r="GI385">
        <v>3.5376682804125243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28.940502742286224</v>
      </c>
      <c r="AO386">
        <v>5.2331641332184873</v>
      </c>
      <c r="AP386">
        <v>37.35250655365747</v>
      </c>
      <c r="AQ386">
        <v>32.583573802640593</v>
      </c>
      <c r="AR386">
        <v>4.8618607563846714</v>
      </c>
      <c r="AS386">
        <v>24.019335232582492</v>
      </c>
      <c r="AT386">
        <v>3.0737588812536845</v>
      </c>
      <c r="AU386">
        <v>-1.5325492256206652</v>
      </c>
      <c r="AV386"/>
      <c r="AW386"/>
      <c r="FY386" s="210">
        <v>381</v>
      </c>
      <c r="FZ386">
        <v>0.98821344913473252</v>
      </c>
      <c r="GA386">
        <v>2.2322933508139204</v>
      </c>
      <c r="GB386">
        <v>0.99744331773301431</v>
      </c>
      <c r="GC386">
        <v>0.48076539916250549</v>
      </c>
      <c r="GD386">
        <v>1.6848859041311646</v>
      </c>
      <c r="GE386">
        <v>3.9295543561115558</v>
      </c>
      <c r="GF386">
        <v>5.0846973204395187</v>
      </c>
      <c r="GG386">
        <v>5.2695404604354836</v>
      </c>
      <c r="GH386">
        <v>4.4034727736833457</v>
      </c>
      <c r="GI386">
        <v>3.0370713350174832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26.372667221325703</v>
      </c>
      <c r="AO387">
        <v>5.0558372555481359</v>
      </c>
      <c r="AP387">
        <v>36.905570156900367</v>
      </c>
      <c r="AQ387">
        <v>31.605340320279662</v>
      </c>
      <c r="AR387">
        <v>4.7678054003113219</v>
      </c>
      <c r="AS387">
        <v>20.846368332983054</v>
      </c>
      <c r="AT387">
        <v>3.1738766543627608</v>
      </c>
      <c r="AU387">
        <v>1.7027155241812768</v>
      </c>
      <c r="AV387"/>
      <c r="AW387"/>
      <c r="FY387" s="210">
        <v>382</v>
      </c>
      <c r="FZ387">
        <v>0.97377359178614697</v>
      </c>
      <c r="GA387">
        <v>2.1065529148269966</v>
      </c>
      <c r="GB387">
        <v>1.1451624296601419</v>
      </c>
      <c r="GC387">
        <v>0.70159139952112026</v>
      </c>
      <c r="GD387">
        <v>1.4323992686017557</v>
      </c>
      <c r="GE387">
        <v>4.4002814939629546</v>
      </c>
      <c r="GF387">
        <v>7.606111989032744</v>
      </c>
      <c r="GG387">
        <v>6.4905613198437662</v>
      </c>
      <c r="GH387">
        <v>3.982118863657353</v>
      </c>
      <c r="GI387">
        <v>3.3221510127538334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89">IF(C374&lt;1,0,LN(E374/E373)/E21)</f>
        <v>1.7472681781632679E-2</v>
      </c>
      <c r="G388" s="13"/>
      <c r="H388" s="19">
        <f>IF(G406&lt;0,0,G406)</f>
        <v>3.2994364370568519E-2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31.609331224533822</v>
      </c>
      <c r="AO388">
        <v>6.3373675343145717</v>
      </c>
      <c r="AP388">
        <v>46.575852563968638</v>
      </c>
      <c r="AQ388">
        <v>39.953418971743574</v>
      </c>
      <c r="AR388">
        <v>5.8498301311005125</v>
      </c>
      <c r="AS388">
        <v>29.425024509348248</v>
      </c>
      <c r="AT388">
        <v>3.9125710307388135</v>
      </c>
      <c r="AU388">
        <v>10.141246418708539</v>
      </c>
      <c r="AV388"/>
      <c r="AW388"/>
      <c r="FY388" s="210">
        <v>383</v>
      </c>
      <c r="FZ388">
        <v>1.5646243091762717</v>
      </c>
      <c r="GA388">
        <v>2.48210050188864</v>
      </c>
      <c r="GB388">
        <v>1.8809871043403406</v>
      </c>
      <c r="GC388">
        <v>1.0775136204992399</v>
      </c>
      <c r="GD388">
        <v>2.3695110665952033</v>
      </c>
      <c r="GE388">
        <v>5.2623635420835253</v>
      </c>
      <c r="GF388">
        <v>5.8810693374263838</v>
      </c>
      <c r="GG388">
        <v>6.2291225193175572</v>
      </c>
      <c r="GH388">
        <v>5.2714412782949154</v>
      </c>
      <c r="GI388">
        <v>4.0329453617606656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89"/>
        <v>-6.3666686580854826E-3</v>
      </c>
      <c r="G389" s="13"/>
      <c r="H389" s="19">
        <f t="shared" ref="H389:H398" si="390">IF(G407&lt;0,0,G407)</f>
        <v>2.4728260558402337E-2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17.333213993453356</v>
      </c>
      <c r="AO389">
        <v>4.1872059319431374</v>
      </c>
      <c r="AP389">
        <v>36.282439995636935</v>
      </c>
      <c r="AQ389">
        <v>29.007451738883333</v>
      </c>
      <c r="AR389">
        <v>3.9347460720193923</v>
      </c>
      <c r="AS389">
        <v>18.95830236965832</v>
      </c>
      <c r="AT389">
        <v>2.9031844101385507</v>
      </c>
      <c r="AU389">
        <v>3.9764784393931532</v>
      </c>
      <c r="AV389"/>
      <c r="AW389"/>
      <c r="FY389" s="210">
        <v>384</v>
      </c>
      <c r="FZ389">
        <v>1.1736091877433685</v>
      </c>
      <c r="GA389">
        <v>1.9934755376352702</v>
      </c>
      <c r="GB389">
        <v>1.5196387141126992</v>
      </c>
      <c r="GC389">
        <v>0.79188779358578676</v>
      </c>
      <c r="GD389">
        <v>1.9571029874923691</v>
      </c>
      <c r="GE389">
        <v>4.8505800266946562</v>
      </c>
      <c r="GF389">
        <v>4.3617935297814805</v>
      </c>
      <c r="GG389">
        <v>3.4210235294832483</v>
      </c>
      <c r="GH389">
        <v>2.8319560579299088</v>
      </c>
      <c r="GI389">
        <v>2.9617603105706349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89"/>
        <v>3.1656950919398665E-2</v>
      </c>
      <c r="G390" s="13"/>
      <c r="H390" s="19">
        <f t="shared" si="390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32.337642180326398</v>
      </c>
      <c r="AO390">
        <v>5.7383948629657828</v>
      </c>
      <c r="AP390">
        <v>39.592723037193601</v>
      </c>
      <c r="AQ390">
        <v>35.619785551705739</v>
      </c>
      <c r="AR390">
        <v>5.212351584349161</v>
      </c>
      <c r="AS390">
        <v>25.444495746582131</v>
      </c>
      <c r="AT390">
        <v>3.357708456590677</v>
      </c>
      <c r="AU390">
        <v>5.7324022478185634</v>
      </c>
      <c r="AV390"/>
      <c r="AW390"/>
      <c r="FY390" s="210">
        <v>385</v>
      </c>
      <c r="FZ390">
        <v>0.82349241349745528</v>
      </c>
      <c r="GA390">
        <v>2.4720235340874566</v>
      </c>
      <c r="GB390">
        <v>1.4621717127566682</v>
      </c>
      <c r="GC390">
        <v>0.625509692455258</v>
      </c>
      <c r="GD390">
        <v>1.738991362996869</v>
      </c>
      <c r="GE390">
        <v>5.1940241510956735</v>
      </c>
      <c r="GF390">
        <v>7.3042357353403</v>
      </c>
      <c r="GG390">
        <v>5.3004448404611608</v>
      </c>
      <c r="GH390">
        <v>3.601304696576157</v>
      </c>
      <c r="GI390">
        <v>3.4418131779104466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89"/>
        <v>-1.00371632143512E-2</v>
      </c>
      <c r="G391" s="13"/>
      <c r="H391" s="19">
        <f t="shared" si="390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27.1051164430584</v>
      </c>
      <c r="AO391">
        <v>5.3391029709487032</v>
      </c>
      <c r="AP391">
        <v>39.171033830709831</v>
      </c>
      <c r="AQ391">
        <v>33.628251758661484</v>
      </c>
      <c r="AR391">
        <v>5.0563403285818955</v>
      </c>
      <c r="AS391">
        <v>24.817800106054293</v>
      </c>
      <c r="AT391">
        <v>3.6028585590946882</v>
      </c>
      <c r="AU391">
        <v>11.861118860279776</v>
      </c>
      <c r="AV391"/>
      <c r="AW391"/>
      <c r="FY391" s="210">
        <v>386</v>
      </c>
      <c r="FZ391">
        <v>1.3304635057216287</v>
      </c>
      <c r="GA391">
        <v>2.6095803684609766</v>
      </c>
      <c r="GB391">
        <v>1.5389433926998315</v>
      </c>
      <c r="GC391">
        <v>0.97715574206701217</v>
      </c>
      <c r="GD391">
        <v>1.6050045799086634</v>
      </c>
      <c r="GE391">
        <v>2.5707656712511264</v>
      </c>
      <c r="GF391">
        <v>5.549595454658057</v>
      </c>
      <c r="GG391">
        <v>6.7945375968270589</v>
      </c>
      <c r="GH391">
        <v>3.5057276900656311</v>
      </c>
      <c r="GI391">
        <v>3.1205473197267044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89"/>
        <v>-1.6427694989068136E-2</v>
      </c>
      <c r="G392" s="13"/>
      <c r="H392" s="19">
        <f t="shared" si="390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22.306617572242573</v>
      </c>
      <c r="AO392">
        <v>4.3566850359111964</v>
      </c>
      <c r="AP392">
        <v>30.114921078577741</v>
      </c>
      <c r="AQ392">
        <v>26.875892411009659</v>
      </c>
      <c r="AR392">
        <v>4.0210505360277971</v>
      </c>
      <c r="AS392">
        <v>23.653844811155711</v>
      </c>
      <c r="AT392">
        <v>2.7238024921058379</v>
      </c>
      <c r="AU392">
        <v>2.506025104877275</v>
      </c>
      <c r="AV392"/>
      <c r="AW392"/>
      <c r="FY392" s="210">
        <v>387</v>
      </c>
      <c r="FZ392">
        <v>0.95366271225944754</v>
      </c>
      <c r="GA392">
        <v>1.3008589287105154</v>
      </c>
      <c r="GB392">
        <v>0.67664129238800452</v>
      </c>
      <c r="GC392">
        <v>0.67371169710176526</v>
      </c>
      <c r="GD392">
        <v>2.2590190533165844</v>
      </c>
      <c r="GE392">
        <v>4.8732091869776264</v>
      </c>
      <c r="GF392">
        <v>5.8028109140912001</v>
      </c>
      <c r="GG392">
        <v>9.4866640132212243</v>
      </c>
      <c r="GH392">
        <v>9.6055892695632075</v>
      </c>
      <c r="GI392">
        <v>4.2445089225085288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89"/>
        <v>1.6716430582197791E-2</v>
      </c>
      <c r="G393" s="13"/>
      <c r="H393" s="19">
        <f t="shared" si="390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26.575316959048575</v>
      </c>
      <c r="AO393">
        <v>5.2046750905381796</v>
      </c>
      <c r="AP393">
        <v>40.5596922630221</v>
      </c>
      <c r="AQ393">
        <v>33.702018721454046</v>
      </c>
      <c r="AR393">
        <v>4.9460191859724763</v>
      </c>
      <c r="AS393">
        <v>26.353828258963258</v>
      </c>
      <c r="AT393">
        <v>3.3393938541649923</v>
      </c>
      <c r="AU393">
        <v>15.17272962811928</v>
      </c>
      <c r="AV393"/>
      <c r="AW393"/>
      <c r="FY393" s="210">
        <v>388</v>
      </c>
      <c r="FZ393">
        <v>1.4678239340090478</v>
      </c>
      <c r="GA393">
        <v>1.3338464140456106</v>
      </c>
      <c r="GB393">
        <v>1.4984538240606715</v>
      </c>
      <c r="GC393">
        <v>0.87316283050560695</v>
      </c>
      <c r="GD393">
        <v>2.4415960710824915</v>
      </c>
      <c r="GE393">
        <v>5.2687095627786835</v>
      </c>
      <c r="GF393">
        <v>5.8565446943139543</v>
      </c>
      <c r="GG393">
        <v>6.2888472924865377</v>
      </c>
      <c r="GH393">
        <v>3.6384734253083644</v>
      </c>
      <c r="GI393">
        <v>3.7251224980796862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89"/>
        <v>5.7253458521302593E-3</v>
      </c>
      <c r="G394" s="13"/>
      <c r="H394" s="19">
        <f t="shared" si="390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33.381379199706792</v>
      </c>
      <c r="AO394">
        <v>6.3938584133509213</v>
      </c>
      <c r="AP394">
        <v>43.651178740703045</v>
      </c>
      <c r="AQ394">
        <v>38.611725309163369</v>
      </c>
      <c r="AR394">
        <v>5.9987153019334087</v>
      </c>
      <c r="AS394">
        <v>29.444310156914252</v>
      </c>
      <c r="AT394">
        <v>3.6370289795277047</v>
      </c>
      <c r="AU394">
        <v>3.6383336034144369</v>
      </c>
      <c r="AV394"/>
      <c r="AW394"/>
      <c r="FY394" s="210">
        <v>389</v>
      </c>
      <c r="FZ394">
        <v>0.43859937299839324</v>
      </c>
      <c r="GA394">
        <v>1.6103578659076443</v>
      </c>
      <c r="GB394">
        <v>1.1329240691568203</v>
      </c>
      <c r="GC394">
        <v>0.54598879224784669</v>
      </c>
      <c r="GD394">
        <v>1.8479478525474098</v>
      </c>
      <c r="GE394">
        <v>3.7170367127171575</v>
      </c>
      <c r="GF394">
        <v>4.6427216560781375</v>
      </c>
      <c r="GG394">
        <v>6.2731313905154247</v>
      </c>
      <c r="GH394">
        <v>4.040152809196579</v>
      </c>
      <c r="GI394">
        <v>2.9415975435934842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89"/>
        <v>-1.2113599538582693E-2</v>
      </c>
      <c r="G395" s="13"/>
      <c r="H395" s="19">
        <f t="shared" si="390"/>
        <v>1.6439185555144051E-2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34.173317831406067</v>
      </c>
      <c r="AO395">
        <v>6.2685923076505023</v>
      </c>
      <c r="AP395">
        <v>45.958181201167989</v>
      </c>
      <c r="AQ395">
        <v>39.094379012808616</v>
      </c>
      <c r="AR395">
        <v>5.7272235231393811</v>
      </c>
      <c r="AS395">
        <v>29.029579324855572</v>
      </c>
      <c r="AT395">
        <v>3.8882316298009303</v>
      </c>
      <c r="AU395">
        <v>2.648468353315077</v>
      </c>
      <c r="AV395"/>
      <c r="AW395"/>
      <c r="FY395" s="210">
        <v>390</v>
      </c>
      <c r="FZ395">
        <v>1.1530472494609418</v>
      </c>
      <c r="GA395">
        <v>0.80795176414916758</v>
      </c>
      <c r="GB395">
        <v>0.58004479593082414</v>
      </c>
      <c r="GC395">
        <v>0.59075326603032252</v>
      </c>
      <c r="GD395">
        <v>1.1573106236878643</v>
      </c>
      <c r="GE395">
        <v>2.2954765563253403</v>
      </c>
      <c r="GF395">
        <v>5.0874306766316604</v>
      </c>
      <c r="GG395">
        <v>6.152832982834302</v>
      </c>
      <c r="GH395">
        <v>4.146781892978745</v>
      </c>
      <c r="GI395">
        <v>2.6029758748141827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89"/>
        <v>-2.1026205006425196E-2</v>
      </c>
      <c r="G396" s="13"/>
      <c r="H396" s="19">
        <f t="shared" si="390"/>
        <v>3.935436437056853E-2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21.365344767771628</v>
      </c>
      <c r="AO396">
        <v>5.0254488842790748</v>
      </c>
      <c r="AP396">
        <v>42.290756342422043</v>
      </c>
      <c r="AQ396">
        <v>34.160698443556555</v>
      </c>
      <c r="AR396">
        <v>4.890052087153995</v>
      </c>
      <c r="AS396">
        <v>23.189905832660997</v>
      </c>
      <c r="AT396">
        <v>3.123613562512789</v>
      </c>
      <c r="AU396">
        <v>-0.27683720950163138</v>
      </c>
      <c r="AV396"/>
      <c r="AW396"/>
      <c r="FY396" s="210">
        <v>391</v>
      </c>
      <c r="FZ396">
        <v>1.0564724036715811</v>
      </c>
      <c r="GA396">
        <v>3.1563386981783421</v>
      </c>
      <c r="GB396">
        <v>2.0464974427442506</v>
      </c>
      <c r="GC396">
        <v>0.72363486510003527</v>
      </c>
      <c r="GD396">
        <v>2.3035535433929706</v>
      </c>
      <c r="GE396">
        <v>5.9861706075489751</v>
      </c>
      <c r="GF396">
        <v>6.0186403385489298</v>
      </c>
      <c r="GG396">
        <v>3.0286448684717926</v>
      </c>
      <c r="GH396">
        <v>1.0557736692831818</v>
      </c>
      <c r="GI396">
        <v>3.302010836900656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89"/>
        <v>0</v>
      </c>
      <c r="G397" s="13"/>
      <c r="H397" s="19">
        <f t="shared" si="390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23.468188480156563</v>
      </c>
      <c r="AO397">
        <v>4.4142474641247009</v>
      </c>
      <c r="AP397">
        <v>32.419842036151202</v>
      </c>
      <c r="AQ397">
        <v>28.107937666662725</v>
      </c>
      <c r="AR397">
        <v>4.1801273371637953</v>
      </c>
      <c r="AS397">
        <v>19.463464645530788</v>
      </c>
      <c r="AT397">
        <v>2.6482428161220004</v>
      </c>
      <c r="AU397">
        <v>-1.9045919614663411</v>
      </c>
      <c r="AV397"/>
      <c r="AW397"/>
      <c r="FY397" s="210">
        <v>392</v>
      </c>
      <c r="FZ397">
        <v>1.4889496957361328</v>
      </c>
      <c r="GA397">
        <v>2.3675496193334773</v>
      </c>
      <c r="GB397">
        <v>1.0292399245867112</v>
      </c>
      <c r="GC397">
        <v>0.80538367525540344</v>
      </c>
      <c r="GD397">
        <v>2.8347452940478339</v>
      </c>
      <c r="GE397">
        <v>6.0264345378976216</v>
      </c>
      <c r="GF397">
        <v>5.458443527444568</v>
      </c>
      <c r="GG397">
        <v>4.0931734222339049</v>
      </c>
      <c r="GH397">
        <v>2.2078346820714652</v>
      </c>
      <c r="GI397">
        <v>3.5197871121767124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89"/>
        <v>0</v>
      </c>
      <c r="G398" s="13"/>
      <c r="H398" s="19">
        <f t="shared" si="390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25.785543696702177</v>
      </c>
      <c r="AO398">
        <v>4.982022461860562</v>
      </c>
      <c r="AP398">
        <v>38.155766040516895</v>
      </c>
      <c r="AQ398">
        <v>32.160704283646815</v>
      </c>
      <c r="AR398">
        <v>4.4931417134413767</v>
      </c>
      <c r="AS398">
        <v>21.161117887260364</v>
      </c>
      <c r="AT398">
        <v>2.9351002828239743</v>
      </c>
      <c r="AU398">
        <v>2.835612643841122</v>
      </c>
      <c r="AV398"/>
      <c r="AW398"/>
      <c r="FY398" s="210">
        <v>393</v>
      </c>
      <c r="FZ398">
        <v>1.2209679099309951</v>
      </c>
      <c r="GA398">
        <v>1.8934975751545911</v>
      </c>
      <c r="GB398">
        <v>0.82409638030637655</v>
      </c>
      <c r="GC398">
        <v>0.52886551911446389</v>
      </c>
      <c r="GD398">
        <v>0.93998616328049023</v>
      </c>
      <c r="GE398">
        <v>2.2621446064349939</v>
      </c>
      <c r="GF398">
        <v>6.8059058663277305</v>
      </c>
      <c r="GG398">
        <v>9.6187945983764873</v>
      </c>
      <c r="GH398">
        <v>7.6077485370142419</v>
      </c>
      <c r="GI398">
        <v>3.4209103618756309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30.783945800656142</v>
      </c>
      <c r="AO399">
        <v>5.8522450737653955</v>
      </c>
      <c r="AP399">
        <v>41.293102872959757</v>
      </c>
      <c r="AQ399">
        <v>36.051678641382743</v>
      </c>
      <c r="AR399">
        <v>5.5794418071323877</v>
      </c>
      <c r="AS399">
        <v>25.226633914471773</v>
      </c>
      <c r="AT399">
        <v>3.5037902229155606</v>
      </c>
      <c r="AU399">
        <v>2.9636106606424555</v>
      </c>
      <c r="AV399"/>
      <c r="AW399"/>
      <c r="FY399" s="210">
        <v>394</v>
      </c>
      <c r="FZ399">
        <v>1.1119233728960884</v>
      </c>
      <c r="GA399">
        <v>2.0272447191353251</v>
      </c>
      <c r="GB399">
        <v>1.8102391523021417</v>
      </c>
      <c r="GC399">
        <v>0.95928731731017336</v>
      </c>
      <c r="GD399">
        <v>1.6814341460319984</v>
      </c>
      <c r="GE399">
        <v>5.1622356917290579</v>
      </c>
      <c r="GF399">
        <v>8.2052404472850959</v>
      </c>
      <c r="GG399">
        <v>4.9600060540284669</v>
      </c>
      <c r="GH399">
        <v>1.5589032247749361</v>
      </c>
      <c r="GI399">
        <v>3.3901075583977627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24.812186324907298</v>
      </c>
      <c r="AO400">
        <v>4.3212169100348889</v>
      </c>
      <c r="AP400">
        <v>28.477554626109956</v>
      </c>
      <c r="AQ400">
        <v>25.862827675029425</v>
      </c>
      <c r="AR400">
        <v>4.0305304211401687</v>
      </c>
      <c r="AS400">
        <v>19.618886373483562</v>
      </c>
      <c r="AT400">
        <v>2.7063343987891706</v>
      </c>
      <c r="AU400">
        <v>5.5081212404352504</v>
      </c>
      <c r="AV400"/>
      <c r="AW400"/>
      <c r="FY400" s="210">
        <v>395</v>
      </c>
      <c r="FZ400">
        <v>1.309563273372407</v>
      </c>
      <c r="GA400">
        <v>2.0588216721707777</v>
      </c>
      <c r="GB400">
        <v>1.9378429110823285</v>
      </c>
      <c r="GC400">
        <v>1.14283889827913</v>
      </c>
      <c r="GD400">
        <v>1.7513596623072283</v>
      </c>
      <c r="GE400">
        <v>4.9803297748908442</v>
      </c>
      <c r="GF400">
        <v>7.9290589591326004</v>
      </c>
      <c r="GG400">
        <v>7.2674910152515899</v>
      </c>
      <c r="GH400">
        <v>4.6608144250813117</v>
      </c>
      <c r="GI400">
        <v>3.9203067093635751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22.751948573346418</v>
      </c>
      <c r="AO401">
        <v>5.072754407406717</v>
      </c>
      <c r="AP401">
        <v>37.304939963895087</v>
      </c>
      <c r="AQ401">
        <v>31.964011317177444</v>
      </c>
      <c r="AR401">
        <v>4.6550410978972936</v>
      </c>
      <c r="AS401">
        <v>21.448807456371121</v>
      </c>
      <c r="AT401">
        <v>3.2336864552049529</v>
      </c>
      <c r="AU401">
        <v>6.2588058037827592</v>
      </c>
      <c r="AV401"/>
      <c r="AW401"/>
      <c r="FY401" s="210">
        <v>396</v>
      </c>
      <c r="FZ401">
        <v>0.89798621365707676</v>
      </c>
      <c r="GA401">
        <v>3.1328339238076519</v>
      </c>
      <c r="GB401">
        <v>2.0294799385215754</v>
      </c>
      <c r="GC401">
        <v>0.64448898699559865</v>
      </c>
      <c r="GD401">
        <v>1.6138635957364467</v>
      </c>
      <c r="GE401">
        <v>2.9518896868776743</v>
      </c>
      <c r="GF401">
        <v>1.8651814338015842</v>
      </c>
      <c r="GG401">
        <v>5.1976312104427187</v>
      </c>
      <c r="GH401">
        <v>5.6296285080843527</v>
      </c>
      <c r="GI401">
        <v>2.8388472906265068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22.507928083149061</v>
      </c>
      <c r="AO402">
        <v>4.6221443686392245</v>
      </c>
      <c r="AP402">
        <v>35.356610329138647</v>
      </c>
      <c r="AQ402">
        <v>29.60232132138669</v>
      </c>
      <c r="AR402">
        <v>4.3528340234541458</v>
      </c>
      <c r="AS402">
        <v>21.186355888374301</v>
      </c>
      <c r="AT402">
        <v>2.7208065206414358</v>
      </c>
      <c r="AU402">
        <v>-0.60990840853820916</v>
      </c>
      <c r="AV402"/>
      <c r="AW402"/>
      <c r="FY402" s="210">
        <v>397</v>
      </c>
      <c r="FZ402">
        <v>1.1387201568012881</v>
      </c>
      <c r="GA402">
        <v>2.8782024286011723</v>
      </c>
      <c r="GB402">
        <v>1.6064669217487844</v>
      </c>
      <c r="GC402">
        <v>0.84124774115886525</v>
      </c>
      <c r="GD402">
        <v>1.8890737236356983</v>
      </c>
      <c r="GE402">
        <v>5.9675817706356469</v>
      </c>
      <c r="GF402">
        <v>9.6515567440364833</v>
      </c>
      <c r="GG402">
        <v>6.1249120018577123</v>
      </c>
      <c r="GH402">
        <v>3.1247258302912844</v>
      </c>
      <c r="GI402">
        <v>3.9872484840655349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33.422466788588508</v>
      </c>
      <c r="AO403">
        <v>6.2099048026360775</v>
      </c>
      <c r="AP403">
        <v>46.41469033532514</v>
      </c>
      <c r="AQ403">
        <v>39.876675990138111</v>
      </c>
      <c r="AR403">
        <v>5.9022439949253478</v>
      </c>
      <c r="AS403">
        <v>26.93053631967496</v>
      </c>
      <c r="AT403">
        <v>3.547724461161923</v>
      </c>
      <c r="AU403">
        <v>4.1906876488582085</v>
      </c>
      <c r="AV403"/>
      <c r="AW403"/>
      <c r="FY403" s="210">
        <v>398</v>
      </c>
      <c r="FZ403">
        <v>1.0975962802364347</v>
      </c>
      <c r="GA403">
        <v>2.2952961316741876</v>
      </c>
      <c r="GB403">
        <v>1.1163536738309441</v>
      </c>
      <c r="GC403">
        <v>0.42558478581586867</v>
      </c>
      <c r="GD403">
        <v>2.0479869520759593</v>
      </c>
      <c r="GE403">
        <v>4.8524872334839575</v>
      </c>
      <c r="GF403">
        <v>6.3322341035317331</v>
      </c>
      <c r="GG403">
        <v>5.7846796663477695</v>
      </c>
      <c r="GH403">
        <v>3.349648517578053</v>
      </c>
      <c r="GI403">
        <v>3.3746235206470239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22.407430576567776</v>
      </c>
      <c r="AO404">
        <v>5.4723501155310919</v>
      </c>
      <c r="AP404">
        <v>36.57985073903869</v>
      </c>
      <c r="AQ404">
        <v>32.392580546670658</v>
      </c>
      <c r="AR404">
        <v>5.1870101168879126</v>
      </c>
      <c r="AS404">
        <v>24.872352103277635</v>
      </c>
      <c r="AT404">
        <v>3.5971419681495274</v>
      </c>
      <c r="AU404">
        <v>2.3871765368140552</v>
      </c>
      <c r="AV404"/>
      <c r="AW404"/>
      <c r="FY404" s="210">
        <v>399</v>
      </c>
      <c r="FZ404">
        <v>0.60309487925780725</v>
      </c>
      <c r="GA404">
        <v>1.8474693700691098</v>
      </c>
      <c r="GB404">
        <v>1.7864383531752113</v>
      </c>
      <c r="GC404">
        <v>1.0975628820609664</v>
      </c>
      <c r="GD404">
        <v>1.45937675553518</v>
      </c>
      <c r="GE404">
        <v>2.7942615630084071</v>
      </c>
      <c r="GF404">
        <v>5.2992468452769188</v>
      </c>
      <c r="GG404">
        <v>6.6578888758345443</v>
      </c>
      <c r="GH404">
        <v>5.427047821003856</v>
      </c>
      <c r="GI404">
        <v>3.2512932450967171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91">+C4</f>
        <v>39646</v>
      </c>
      <c r="C405" s="61">
        <v>0</v>
      </c>
      <c r="D405" s="61">
        <f t="shared" ref="D405:D414" si="392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2.4375</v>
      </c>
      <c r="E405" s="108">
        <f t="shared" ref="E405:E414" si="393">IF(D405=0,0.00000001,(1-$A$43/100)*($A$39*(D405^($A$41))))</f>
        <v>6.7476451255162315E-2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23.181933101823198</v>
      </c>
      <c r="AO405">
        <v>4.4056925221550305</v>
      </c>
      <c r="AP405">
        <v>31.378774266193595</v>
      </c>
      <c r="AQ405">
        <v>27.1904580649589</v>
      </c>
      <c r="AR405">
        <v>4.0948703999353473</v>
      </c>
      <c r="AS405">
        <v>20.561642927805821</v>
      </c>
      <c r="AT405">
        <v>2.4994812709129604</v>
      </c>
      <c r="AU405">
        <v>3.7391599080509215</v>
      </c>
      <c r="AV405"/>
      <c r="AW405"/>
      <c r="FY405" s="210">
        <v>400</v>
      </c>
      <c r="FZ405">
        <v>0.65910967192697312</v>
      </c>
      <c r="GA405">
        <v>2.706929906679405</v>
      </c>
      <c r="GB405">
        <v>1.3220278122836762</v>
      </c>
      <c r="GC405">
        <v>0.77699243040036059</v>
      </c>
      <c r="GD405">
        <v>1.5759597033353907</v>
      </c>
      <c r="GE405">
        <v>3.8464886731621744</v>
      </c>
      <c r="GF405">
        <v>5.6595763779287154</v>
      </c>
      <c r="GG405">
        <v>5.6092361715162085</v>
      </c>
      <c r="GH405">
        <v>5.02504878098906</v>
      </c>
      <c r="GI405">
        <v>3.2075373975355626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91"/>
        <v>39673</v>
      </c>
      <c r="C406" s="61">
        <f>B406-B405</f>
        <v>27</v>
      </c>
      <c r="D406" s="61">
        <f t="shared" si="392"/>
        <v>3</v>
      </c>
      <c r="E406" s="108">
        <f t="shared" si="393"/>
        <v>0.11879369063332791</v>
      </c>
      <c r="F406" s="19">
        <f t="shared" ref="F406:F414" si="394">IF(C374&lt;1,0,LN(E406/E405)/E21)</f>
        <v>2.0948504802071791E-2</v>
      </c>
      <c r="G406" s="19">
        <f t="shared" ref="G406:G414" si="395">IF(D406=0, 0, 0.051-(0.068*LN(D406))+(0.006*A406))</f>
        <v>3.2994364370568519E-2</v>
      </c>
      <c r="H406" s="19">
        <f t="shared" ref="H406:H414" si="396">+IF((G406&gt;0),G406,0)</f>
        <v>3.2994364370568519E-2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22.031947840624703</v>
      </c>
      <c r="AO406">
        <v>3.7608828327473764</v>
      </c>
      <c r="AP406">
        <v>29.187259304066668</v>
      </c>
      <c r="AQ406">
        <v>24.574605682843348</v>
      </c>
      <c r="AR406">
        <v>3.6167896553923571</v>
      </c>
      <c r="AS406">
        <v>16.896488215193639</v>
      </c>
      <c r="AT406">
        <v>2.3789234479868466</v>
      </c>
      <c r="AU406">
        <v>-4.2902564479786758</v>
      </c>
      <c r="AV406"/>
      <c r="AW406"/>
      <c r="FY406" s="210">
        <v>401</v>
      </c>
      <c r="FZ406">
        <v>1.1383818627344926</v>
      </c>
      <c r="GA406">
        <v>2.5046403731929869</v>
      </c>
      <c r="GB406">
        <v>1.1562133341056691</v>
      </c>
      <c r="GC406">
        <v>0.58163002419092746</v>
      </c>
      <c r="GD406">
        <v>2.1892743412116591</v>
      </c>
      <c r="GE406">
        <v>4.5704316397787519</v>
      </c>
      <c r="GF406">
        <v>5.5207603393035827</v>
      </c>
      <c r="GG406">
        <v>5.696585057707984</v>
      </c>
      <c r="GH406">
        <v>3.0901572854303323</v>
      </c>
      <c r="GI406">
        <v>3.2871312146453158</v>
      </c>
      <c r="GJ406"/>
      <c r="GK406"/>
      <c r="GL406"/>
      <c r="GM406"/>
    </row>
    <row r="407" spans="1:195" s="7" customFormat="1">
      <c r="A407" s="189">
        <v>4.03</v>
      </c>
      <c r="B407" s="71">
        <f t="shared" si="391"/>
        <v>39714</v>
      </c>
      <c r="C407" s="61">
        <f>B407-$B$405</f>
        <v>68</v>
      </c>
      <c r="D407" s="61">
        <f t="shared" si="392"/>
        <v>2.1</v>
      </c>
      <c r="E407" s="108">
        <f t="shared" si="393"/>
        <v>4.4961463179415032E-2</v>
      </c>
      <c r="F407" s="19">
        <f t="shared" si="394"/>
        <v>-2.3697135299734318E-2</v>
      </c>
      <c r="G407" s="19">
        <f t="shared" si="395"/>
        <v>2.4728260558402337E-2</v>
      </c>
      <c r="H407" s="19">
        <f t="shared" si="396"/>
        <v>2.4728260558402337E-2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26.561246250750706</v>
      </c>
      <c r="AO407">
        <v>4.8407144209651065</v>
      </c>
      <c r="AP407">
        <v>31.706274566731139</v>
      </c>
      <c r="AQ407">
        <v>28.677737273840716</v>
      </c>
      <c r="AR407">
        <v>4.4815182309721848</v>
      </c>
      <c r="AS407">
        <v>22.77081171512803</v>
      </c>
      <c r="AT407">
        <v>3.0004539661023237</v>
      </c>
      <c r="AU407">
        <v>7.8167558289720516</v>
      </c>
      <c r="AV407"/>
      <c r="AW407"/>
      <c r="FY407" s="210">
        <v>402</v>
      </c>
      <c r="FZ407">
        <v>1.3650142425969141</v>
      </c>
      <c r="GA407">
        <v>2.2945744377593491</v>
      </c>
      <c r="GB407">
        <v>1.6556450603165334</v>
      </c>
      <c r="GC407">
        <v>0.65463365142885177</v>
      </c>
      <c r="GD407">
        <v>2.2989218903125028</v>
      </c>
      <c r="GE407">
        <v>5.2137548829120925</v>
      </c>
      <c r="GF407">
        <v>4.9265222476854467</v>
      </c>
      <c r="GG407">
        <v>5.0787211466077204</v>
      </c>
      <c r="GH407">
        <v>4.4777676628679348</v>
      </c>
      <c r="GI407">
        <v>3.6014480207866533</v>
      </c>
      <c r="GJ407"/>
      <c r="GK407"/>
      <c r="GL407"/>
      <c r="GM407"/>
    </row>
    <row r="408" spans="1:195" s="7" customFormat="1">
      <c r="A408" s="189">
        <v>0.78</v>
      </c>
      <c r="B408" s="71">
        <f t="shared" si="391"/>
        <v>39747</v>
      </c>
      <c r="C408" s="61">
        <f t="shared" ref="C408:C414" si="397">B408-$B$405</f>
        <v>101</v>
      </c>
      <c r="D408" s="61">
        <f t="shared" si="392"/>
        <v>4</v>
      </c>
      <c r="E408" s="108">
        <f t="shared" si="393"/>
        <v>0.26009170015290151</v>
      </c>
      <c r="F408" s="19">
        <f t="shared" si="394"/>
        <v>5.3188742807507829E-2</v>
      </c>
      <c r="G408" s="19">
        <f t="shared" si="395"/>
        <v>-3.8588016556152571E-2</v>
      </c>
      <c r="H408" s="19">
        <f t="shared" si="396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25.774634177980154</v>
      </c>
      <c r="AO408">
        <v>5.1635245440428985</v>
      </c>
      <c r="AP408">
        <v>31.703551839663707</v>
      </c>
      <c r="AQ408">
        <v>29.831541490783831</v>
      </c>
      <c r="AR408">
        <v>4.8313997956766883</v>
      </c>
      <c r="AS408">
        <v>22.541992599809962</v>
      </c>
      <c r="AT408">
        <v>3.1223464957871641</v>
      </c>
      <c r="AU408">
        <v>0.80031388080535948</v>
      </c>
      <c r="AV408"/>
      <c r="AW408"/>
      <c r="FY408" s="210">
        <v>403</v>
      </c>
      <c r="FZ408">
        <v>0.96776427554123767</v>
      </c>
      <c r="GA408">
        <v>3.9108099434010568</v>
      </c>
      <c r="GB408">
        <v>2.3893062728900638</v>
      </c>
      <c r="GC408">
        <v>0.97176177638593209</v>
      </c>
      <c r="GD408">
        <v>2.6226568761494793</v>
      </c>
      <c r="GE408">
        <v>6.6679372780357244</v>
      </c>
      <c r="GF408">
        <v>8.0100727756910217</v>
      </c>
      <c r="GG408">
        <v>6.2512079010491073</v>
      </c>
      <c r="GH408">
        <v>3.4857220493610681</v>
      </c>
      <c r="GI408">
        <v>4.336519890511501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91"/>
        <v>39775</v>
      </c>
      <c r="C409" s="61">
        <f t="shared" si="397"/>
        <v>129</v>
      </c>
      <c r="D409" s="61">
        <f t="shared" si="392"/>
        <v>3.5135135135135136</v>
      </c>
      <c r="E409" s="108">
        <f t="shared" si="393"/>
        <v>0.18269020894063778</v>
      </c>
      <c r="F409" s="19">
        <f t="shared" si="394"/>
        <v>-1.2615799667587236E-2</v>
      </c>
      <c r="G409" s="19">
        <f t="shared" si="395"/>
        <v>-3.3609924571172359E-2</v>
      </c>
      <c r="H409" s="19">
        <f t="shared" si="396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23.845429990963471</v>
      </c>
      <c r="AO409">
        <v>5.0433622828629341</v>
      </c>
      <c r="AP409">
        <v>43.706808286829485</v>
      </c>
      <c r="AQ409">
        <v>35.122917517815999</v>
      </c>
      <c r="AR409">
        <v>4.7563045927900491</v>
      </c>
      <c r="AS409">
        <v>20.88036836672141</v>
      </c>
      <c r="AT409">
        <v>2.9283163716724272</v>
      </c>
      <c r="AU409">
        <v>-2.8597266296965249</v>
      </c>
      <c r="AV409"/>
      <c r="AW409"/>
      <c r="FY409" s="210">
        <v>404</v>
      </c>
      <c r="FZ409">
        <v>0.62343128816237037</v>
      </c>
      <c r="GA409">
        <v>2.3368153678897414</v>
      </c>
      <c r="GB409">
        <v>1.6769380305805091</v>
      </c>
      <c r="GC409">
        <v>0.81687448093744441</v>
      </c>
      <c r="GD409">
        <v>0.8638388762517113</v>
      </c>
      <c r="GE409">
        <v>3.7063028174242865</v>
      </c>
      <c r="GF409">
        <v>10.29623650796005</v>
      </c>
      <c r="GG409">
        <v>6.6916969080280797</v>
      </c>
      <c r="GH409">
        <v>3.122500117865135</v>
      </c>
      <c r="GI409">
        <v>3.4372779804666869</v>
      </c>
      <c r="GJ409"/>
      <c r="GK409"/>
      <c r="GL409"/>
      <c r="GM409"/>
    </row>
    <row r="410" spans="1:195" s="7" customFormat="1">
      <c r="A410" s="189">
        <v>0.21</v>
      </c>
      <c r="B410" s="71">
        <f t="shared" si="391"/>
        <v>39799</v>
      </c>
      <c r="C410" s="61">
        <f t="shared" si="397"/>
        <v>153</v>
      </c>
      <c r="D410" s="61">
        <f t="shared" si="392"/>
        <v>2.8502685784556525</v>
      </c>
      <c r="E410" s="108">
        <f t="shared" si="393"/>
        <v>0.10332941149589547</v>
      </c>
      <c r="F410" s="19">
        <f t="shared" si="394"/>
        <v>-2.3744575675501239E-2</v>
      </c>
      <c r="G410" s="19">
        <f t="shared" si="395"/>
        <v>-1.8964099496863247E-2</v>
      </c>
      <c r="H410" s="19">
        <f t="shared" si="396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20.367669121658487</v>
      </c>
      <c r="AO410">
        <v>5.0367340971407231</v>
      </c>
      <c r="AP410">
        <v>35.812639235839143</v>
      </c>
      <c r="AQ410">
        <v>30.866621683891051</v>
      </c>
      <c r="AR410">
        <v>4.5638656918880942</v>
      </c>
      <c r="AS410">
        <v>22.73160883116288</v>
      </c>
      <c r="AT410">
        <v>3.4546193809741563</v>
      </c>
      <c r="AU410">
        <v>3.0173198371073626</v>
      </c>
      <c r="AV410"/>
      <c r="AW410"/>
      <c r="FY410" s="210">
        <v>405</v>
      </c>
      <c r="FZ410">
        <v>0.94697680788094718</v>
      </c>
      <c r="GA410">
        <v>1.6832837513621821</v>
      </c>
      <c r="GB410">
        <v>1.0208535767444</v>
      </c>
      <c r="GC410">
        <v>0.63933029277980458</v>
      </c>
      <c r="GD410">
        <v>1.2846330926719305</v>
      </c>
      <c r="GE410">
        <v>3.79287155885409</v>
      </c>
      <c r="GF410">
        <v>8.5984362007990267</v>
      </c>
      <c r="GG410">
        <v>6.28341290152298</v>
      </c>
      <c r="GH410">
        <v>1.8551327571100238</v>
      </c>
      <c r="GI410">
        <v>3.0645901849532184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97"/>
        <v>201</v>
      </c>
      <c r="D411" s="61">
        <f t="shared" si="392"/>
        <v>4.0952380952380958</v>
      </c>
      <c r="E411" s="108">
        <f t="shared" si="393"/>
        <v>0.27730870293457932</v>
      </c>
      <c r="F411" s="19">
        <f t="shared" si="394"/>
        <v>2.0566860038538356E-2</v>
      </c>
      <c r="G411" s="19">
        <f t="shared" si="395"/>
        <v>-3.718809038004578E-2</v>
      </c>
      <c r="H411" s="19">
        <f t="shared" si="396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28.188551900574744</v>
      </c>
      <c r="AO411">
        <v>5.8310078551735138</v>
      </c>
      <c r="AP411">
        <v>43.673689902140524</v>
      </c>
      <c r="AQ411">
        <v>36.958427300931788</v>
      </c>
      <c r="AR411">
        <v>5.3336523136263683</v>
      </c>
      <c r="AS411">
        <v>26.265235387448776</v>
      </c>
      <c r="AT411">
        <v>3.8452238892082895</v>
      </c>
      <c r="AU411">
        <v>7.1254009426097653</v>
      </c>
      <c r="AV411"/>
      <c r="AW411"/>
      <c r="FY411" s="210">
        <v>406</v>
      </c>
      <c r="FZ411">
        <v>1.5710846841769082</v>
      </c>
      <c r="GA411">
        <v>2.9583512828304426</v>
      </c>
      <c r="GB411">
        <v>2.1009176657099156</v>
      </c>
      <c r="GC411">
        <v>0.7265625158058967</v>
      </c>
      <c r="GD411">
        <v>2.3598040617640503</v>
      </c>
      <c r="GE411">
        <v>6.7737893464485861</v>
      </c>
      <c r="GF411">
        <v>5.9609953891914103</v>
      </c>
      <c r="GG411">
        <v>7.3693274070410197</v>
      </c>
      <c r="GH411">
        <v>7.8298708728578905</v>
      </c>
      <c r="GI411">
        <v>4.4898911625973801</v>
      </c>
      <c r="GJ411"/>
      <c r="GK411"/>
      <c r="GL411"/>
      <c r="GM411"/>
    </row>
    <row r="412" spans="1:195" s="7" customFormat="1">
      <c r="A412" s="189">
        <v>4</v>
      </c>
      <c r="B412" s="71">
        <f t="shared" si="391"/>
        <v>39910</v>
      </c>
      <c r="C412" s="61">
        <f t="shared" si="397"/>
        <v>264</v>
      </c>
      <c r="D412" s="61">
        <f t="shared" si="392"/>
        <v>4.428571428571427</v>
      </c>
      <c r="E412" s="108">
        <f t="shared" si="393"/>
        <v>0.3431920905036035</v>
      </c>
      <c r="F412" s="19">
        <f t="shared" si="394"/>
        <v>3.383475942141472E-3</v>
      </c>
      <c r="G412" s="19">
        <f t="shared" si="395"/>
        <v>-2.6189239769228628E-2</v>
      </c>
      <c r="H412" s="19">
        <f t="shared" si="396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15.86258012820513</v>
      </c>
      <c r="AO412">
        <v>4.1966393353829279</v>
      </c>
      <c r="AP412">
        <v>31.548245759852808</v>
      </c>
      <c r="AQ412">
        <v>26.801830788551186</v>
      </c>
      <c r="AR412">
        <v>3.9818451338266154</v>
      </c>
      <c r="AS412">
        <v>19.701820181597949</v>
      </c>
      <c r="AT412" t="e">
        <v>#DIV/0!</v>
      </c>
      <c r="AU412" t="e">
        <v>#DIV/0!</v>
      </c>
      <c r="AV412"/>
      <c r="AW412"/>
      <c r="FY412" s="210">
        <v>407</v>
      </c>
      <c r="FZ412">
        <v>1.426812822133126</v>
      </c>
      <c r="GA412">
        <v>1.2909883570877021</v>
      </c>
      <c r="GB412">
        <v>1.5282083023194404</v>
      </c>
      <c r="GC412">
        <v>0.89220790281787432</v>
      </c>
      <c r="GD412">
        <v>1.015801870388821</v>
      </c>
      <c r="GE412">
        <v>2.4939982357907677</v>
      </c>
      <c r="GF412">
        <v>7.6088264760325188</v>
      </c>
      <c r="GG412">
        <v>8.186259121069881</v>
      </c>
      <c r="GH412">
        <v>4.5984311892708192</v>
      </c>
      <c r="GI412">
        <v>3.3322227370295505</v>
      </c>
      <c r="GJ412"/>
      <c r="GK412"/>
      <c r="GL412"/>
      <c r="GM412"/>
    </row>
    <row r="413" spans="1:195" s="7" customFormat="1">
      <c r="A413" s="190">
        <v>7.33</v>
      </c>
      <c r="B413" s="71">
        <f t="shared" si="391"/>
        <v>39949</v>
      </c>
      <c r="C413" s="61">
        <f t="shared" si="397"/>
        <v>303</v>
      </c>
      <c r="D413" s="61">
        <f t="shared" si="392"/>
        <v>3.1740614334470991</v>
      </c>
      <c r="E413" s="108">
        <f t="shared" si="393"/>
        <v>0.13852087658610956</v>
      </c>
      <c r="F413" s="19">
        <f t="shared" si="394"/>
        <v>-2.3263314699695007E-2</v>
      </c>
      <c r="G413" s="19">
        <f t="shared" si="395"/>
        <v>1.6439185555144051E-2</v>
      </c>
      <c r="H413" s="19">
        <f t="shared" si="396"/>
        <v>1.6439185555144051E-2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26.872408349137078</v>
      </c>
      <c r="AO413">
        <v>5.9080666729374656</v>
      </c>
      <c r="AP413">
        <v>43.636552371442995</v>
      </c>
      <c r="AQ413">
        <v>37.209735802832469</v>
      </c>
      <c r="AR413">
        <v>5.3692842839624921</v>
      </c>
      <c r="AS413">
        <v>26.295200922756138</v>
      </c>
      <c r="AT413">
        <v>3.7425414145988611</v>
      </c>
      <c r="AU413">
        <v>1.128306327496859</v>
      </c>
      <c r="AV413"/>
      <c r="AW413"/>
      <c r="FY413" s="210">
        <v>408</v>
      </c>
      <c r="FZ413">
        <v>0.8236051781863869</v>
      </c>
      <c r="GA413">
        <v>1.5142132030551978</v>
      </c>
      <c r="GB413">
        <v>1.8277014676605197</v>
      </c>
      <c r="GC413">
        <v>1.2143928372961998</v>
      </c>
      <c r="GD413">
        <v>1.6759349452046672</v>
      </c>
      <c r="GE413">
        <v>2.8279870491153014</v>
      </c>
      <c r="GF413">
        <v>3.6465838731227014</v>
      </c>
      <c r="GG413">
        <v>5.6009002309656841</v>
      </c>
      <c r="GH413">
        <v>4.040152809196579</v>
      </c>
      <c r="GI413">
        <v>2.9000861136601395</v>
      </c>
      <c r="GJ413"/>
      <c r="GK413"/>
      <c r="GL413"/>
      <c r="GM413"/>
    </row>
    <row r="414" spans="1:195" s="7" customFormat="1">
      <c r="A414" s="189">
        <v>10.51</v>
      </c>
      <c r="B414" s="71">
        <f t="shared" si="391"/>
        <v>39987</v>
      </c>
      <c r="C414" s="61">
        <f t="shared" si="397"/>
        <v>341</v>
      </c>
      <c r="D414" s="61">
        <f t="shared" si="392"/>
        <v>3</v>
      </c>
      <c r="E414" s="108">
        <f t="shared" si="393"/>
        <v>0.11879369063332791</v>
      </c>
      <c r="F414" s="19">
        <f t="shared" si="394"/>
        <v>-4.0429671413375638E-3</v>
      </c>
      <c r="G414" s="19">
        <f t="shared" si="395"/>
        <v>3.935436437056853E-2</v>
      </c>
      <c r="H414" s="19">
        <f t="shared" si="396"/>
        <v>3.935436437056853E-2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25.372247673278252</v>
      </c>
      <c r="AO414">
        <v>4.9457077939487286</v>
      </c>
      <c r="AP414">
        <v>35.022259508520285</v>
      </c>
      <c r="AQ414">
        <v>30.676490865221933</v>
      </c>
      <c r="AR414">
        <v>4.6508098564023177</v>
      </c>
      <c r="AS414">
        <v>23.377994087914939</v>
      </c>
      <c r="AT414">
        <v>3.1490028292396262</v>
      </c>
      <c r="AU414">
        <v>-5.4012336008258481</v>
      </c>
      <c r="AV414"/>
      <c r="AW414"/>
      <c r="FY414" s="210">
        <v>409</v>
      </c>
      <c r="FZ414">
        <v>1.4270383515109895</v>
      </c>
      <c r="GA414">
        <v>2.3121925664905039</v>
      </c>
      <c r="GB414">
        <v>1.459908753255283</v>
      </c>
      <c r="GC414">
        <v>0.9377553941669462</v>
      </c>
      <c r="GD414">
        <v>1.7563888505976037</v>
      </c>
      <c r="GE414">
        <v>4.221721759412949</v>
      </c>
      <c r="GF414">
        <v>5.8717725659411384</v>
      </c>
      <c r="GG414">
        <v>5.8237766098439945</v>
      </c>
      <c r="GH414">
        <v>5.3644096023029721</v>
      </c>
      <c r="GI414">
        <v>3.5615835797657329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20.360122227309727</v>
      </c>
      <c r="AO415">
        <v>4.7389719438359883</v>
      </c>
      <c r="AP415">
        <v>36.586805345820189</v>
      </c>
      <c r="AQ415">
        <v>30.223680590318718</v>
      </c>
      <c r="AR415">
        <v>4.5264722403287561</v>
      </c>
      <c r="AS415">
        <v>21.210919015021727</v>
      </c>
      <c r="AT415">
        <v>2.9322187764047514</v>
      </c>
      <c r="AU415">
        <v>8.5618216703557515E-2</v>
      </c>
      <c r="AV415"/>
      <c r="AW415"/>
      <c r="FY415" s="210">
        <v>410</v>
      </c>
      <c r="FZ415">
        <v>0.80326876928182378</v>
      </c>
      <c r="GA415">
        <v>1.9035685681076329</v>
      </c>
      <c r="GB415">
        <v>1.9206394648639509</v>
      </c>
      <c r="GC415">
        <v>1.1938320332987855</v>
      </c>
      <c r="GD415">
        <v>3.158834827095486</v>
      </c>
      <c r="GE415">
        <v>8.5022911123449809</v>
      </c>
      <c r="GF415">
        <v>8.7255841714557505</v>
      </c>
      <c r="GG415">
        <v>4.7477622658736873</v>
      </c>
      <c r="GH415">
        <v>2.1217858780108321</v>
      </c>
      <c r="GI415">
        <v>4.39209055504669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20.454084892504007</v>
      </c>
      <c r="AO416">
        <v>4.7296251379676262</v>
      </c>
      <c r="AP416">
        <v>35.861803130559359</v>
      </c>
      <c r="AQ416">
        <v>30.388906925757528</v>
      </c>
      <c r="AR416">
        <v>4.3880220540320707</v>
      </c>
      <c r="AS416">
        <v>19.531833756220706</v>
      </c>
      <c r="AT416">
        <v>2.8707601867821073</v>
      </c>
      <c r="AU416">
        <v>16.391195528434917</v>
      </c>
      <c r="AV416"/>
      <c r="AW416"/>
      <c r="FY416" s="210">
        <v>411</v>
      </c>
      <c r="FZ416">
        <v>0.86450352537337694</v>
      </c>
      <c r="GA416">
        <v>1.4896481702308502</v>
      </c>
      <c r="GB416">
        <v>1.3623506378338563</v>
      </c>
      <c r="GC416">
        <v>0.63471924792232082</v>
      </c>
      <c r="GD416">
        <v>0.94069328408741693</v>
      </c>
      <c r="GE416">
        <v>2.9863493132569072</v>
      </c>
      <c r="GF416">
        <v>8.2747666934534827</v>
      </c>
      <c r="GG416">
        <v>6.5023242891052364</v>
      </c>
      <c r="GH416">
        <v>3.5052211298443963</v>
      </c>
      <c r="GI416">
        <v>3.1247562292121973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20.468552485096598</v>
      </c>
      <c r="AO417">
        <v>4.8925546593285683</v>
      </c>
      <c r="AP417">
        <v>33.953395699034601</v>
      </c>
      <c r="AQ417">
        <v>29.735205472301704</v>
      </c>
      <c r="AR417">
        <v>4.5615155321436376</v>
      </c>
      <c r="AS417">
        <v>20.034909436838639</v>
      </c>
      <c r="AT417">
        <v>3.1929553302377482</v>
      </c>
      <c r="AU417">
        <v>7.531893917437392</v>
      </c>
      <c r="AV417"/>
      <c r="AW417"/>
      <c r="FY417" s="210">
        <v>412</v>
      </c>
      <c r="FZ417">
        <v>1.3240031307209923</v>
      </c>
      <c r="GA417">
        <v>1.6781352402270411</v>
      </c>
      <c r="GB417">
        <v>1.8672187735196466</v>
      </c>
      <c r="GC417">
        <v>1.0911977004910736</v>
      </c>
      <c r="GD417">
        <v>1.3850894412121662</v>
      </c>
      <c r="GE417">
        <v>2.5640215214673732</v>
      </c>
      <c r="GF417">
        <v>4.3558639321416415</v>
      </c>
      <c r="GG417">
        <v>7.0168517884398254</v>
      </c>
      <c r="GH417">
        <v>5.22283750221475</v>
      </c>
      <c r="GI417">
        <v>3.1279595514466831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27.178775840100542</v>
      </c>
      <c r="AO418">
        <v>5.1621452172376063</v>
      </c>
      <c r="AP418">
        <v>35.648363479329284</v>
      </c>
      <c r="AQ418">
        <v>31.567003243273998</v>
      </c>
      <c r="AR418">
        <v>4.9742054681486767</v>
      </c>
      <c r="AS418">
        <v>24.127198170104915</v>
      </c>
      <c r="AT418">
        <v>3.2639648502522776</v>
      </c>
      <c r="AU418">
        <v>-2.4102551078690384</v>
      </c>
      <c r="AV418"/>
      <c r="AW418"/>
      <c r="FY418" s="210">
        <v>413</v>
      </c>
      <c r="FZ418">
        <v>0.74759227067945289</v>
      </c>
      <c r="GA418">
        <v>1.8555908448534619</v>
      </c>
      <c r="GB418">
        <v>0.99816215166221078</v>
      </c>
      <c r="GC418">
        <v>0.62564455051045331</v>
      </c>
      <c r="GD418">
        <v>2.4533953100773118</v>
      </c>
      <c r="GE418">
        <v>6.0473495469860978</v>
      </c>
      <c r="GF418">
        <v>7.4200099004232705</v>
      </c>
      <c r="GG418">
        <v>6.136014658510506</v>
      </c>
      <c r="GH418">
        <v>4.1982707900156528</v>
      </c>
      <c r="GI418">
        <v>3.8624892416775549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32.335644017335973</v>
      </c>
      <c r="AO419">
        <v>6.474199219310333</v>
      </c>
      <c r="AP419">
        <v>45.449695326123809</v>
      </c>
      <c r="AQ419">
        <v>39.613759039016195</v>
      </c>
      <c r="AR419">
        <v>5.9180471029478081</v>
      </c>
      <c r="AS419">
        <v>28.329049697561192</v>
      </c>
      <c r="AT419">
        <v>3.8958692573769382</v>
      </c>
      <c r="AU419">
        <v>-1.0515018315853886</v>
      </c>
      <c r="AV419"/>
      <c r="AW419"/>
      <c r="FY419" s="210">
        <v>414</v>
      </c>
      <c r="FZ419">
        <v>0.59731109239076119</v>
      </c>
      <c r="GA419">
        <v>1.5945152601438031</v>
      </c>
      <c r="GB419">
        <v>1.5341080602725017</v>
      </c>
      <c r="GC419">
        <v>0.87709274249104385</v>
      </c>
      <c r="GD419">
        <v>2.0209688893154496</v>
      </c>
      <c r="GE419">
        <v>5.9863449368048904</v>
      </c>
      <c r="GF419">
        <v>8.0515590742403003</v>
      </c>
      <c r="GG419">
        <v>4.8694234042838982</v>
      </c>
      <c r="GH419">
        <v>2.6083781906089625</v>
      </c>
      <c r="GI419">
        <v>3.5614430713645331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20.382225745590112</v>
      </c>
      <c r="AO420">
        <v>5.0243342151091612</v>
      </c>
      <c r="AP420">
        <v>41.919027847045029</v>
      </c>
      <c r="AQ420">
        <v>33.571912375566015</v>
      </c>
      <c r="AR420">
        <v>4.6314160486434837</v>
      </c>
      <c r="AS420">
        <v>22.196172223375036</v>
      </c>
      <c r="AT420">
        <v>3.3930906592702019</v>
      </c>
      <c r="AU420">
        <v>2.7061220287492391</v>
      </c>
      <c r="AV420"/>
      <c r="AW420"/>
      <c r="FY420" s="210">
        <v>415</v>
      </c>
      <c r="FZ420">
        <v>1.7681607612085684</v>
      </c>
      <c r="GA420">
        <v>2.9054971024315144</v>
      </c>
      <c r="GB420">
        <v>2.0601530160757147</v>
      </c>
      <c r="GC420">
        <v>0.9950650695859673</v>
      </c>
      <c r="GD420">
        <v>1.729816258464866</v>
      </c>
      <c r="GE420">
        <v>3.3964013027752844</v>
      </c>
      <c r="GF420">
        <v>5.9439980895535314</v>
      </c>
      <c r="GG420">
        <v>7.1998487429516276</v>
      </c>
      <c r="GH420">
        <v>3.5998405272616325</v>
      </c>
      <c r="GI420">
        <v>3.4713975078020769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16.882569152183514</v>
      </c>
      <c r="AO421">
        <v>4.5754884164746707</v>
      </c>
      <c r="AP421">
        <v>35.284273986384008</v>
      </c>
      <c r="AQ421">
        <v>29.169521124678599</v>
      </c>
      <c r="AR421">
        <v>4.1653857128114034</v>
      </c>
      <c r="AS421">
        <v>20.168577294021894</v>
      </c>
      <c r="AT421">
        <v>3.181871855132909</v>
      </c>
      <c r="AU421">
        <v>5.6616458181449234</v>
      </c>
      <c r="AV421"/>
      <c r="AW421"/>
      <c r="FY421" s="210">
        <v>416</v>
      </c>
      <c r="FZ421">
        <v>1.077034341954008</v>
      </c>
      <c r="GA421">
        <v>2.8966380265929388</v>
      </c>
      <c r="GB421">
        <v>1.8773072750574731</v>
      </c>
      <c r="GC421">
        <v>0.80101103542518159</v>
      </c>
      <c r="GD421">
        <v>1.5591862264158063</v>
      </c>
      <c r="GE421">
        <v>3.6219390144467942</v>
      </c>
      <c r="GF421">
        <v>6.9896102891482546</v>
      </c>
      <c r="GG421">
        <v>5.4133980500706871</v>
      </c>
      <c r="GH421">
        <v>2.1223904712228991</v>
      </c>
      <c r="GI421">
        <v>3.1824017194420766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9.0179821009927358E-4</v>
      </c>
      <c r="H422" s="44">
        <f t="shared" ref="H422:AK422" si="398">H372</f>
        <v>5.9581999999999994E-3</v>
      </c>
      <c r="I422" s="44">
        <f t="shared" si="398"/>
        <v>3.9365954425760054E-2</v>
      </c>
      <c r="J422" s="44">
        <f t="shared" si="398"/>
        <v>0.11879369063332791</v>
      </c>
      <c r="K422" s="44">
        <f t="shared" si="398"/>
        <v>0.26009170015290151</v>
      </c>
      <c r="L422" s="44">
        <f t="shared" si="398"/>
        <v>0.47764954565651402</v>
      </c>
      <c r="M422" s="44">
        <f t="shared" si="398"/>
        <v>0.78487244663479294</v>
      </c>
      <c r="N422" s="44">
        <f t="shared" si="398"/>
        <v>1.1944339475291872</v>
      </c>
      <c r="O422" s="44">
        <f t="shared" si="398"/>
        <v>1.7184314079315166</v>
      </c>
      <c r="P422" s="44">
        <f t="shared" si="398"/>
        <v>2.3684906405100232</v>
      </c>
      <c r="Q422" s="44">
        <f t="shared" si="398"/>
        <v>3.1558407313952781</v>
      </c>
      <c r="R422" s="44">
        <f t="shared" si="398"/>
        <v>4.0913699544533273</v>
      </c>
      <c r="S422" s="44">
        <f t="shared" si="398"/>
        <v>5.1856689879930276</v>
      </c>
      <c r="T422" s="44">
        <f t="shared" si="398"/>
        <v>6.4490652174806335</v>
      </c>
      <c r="U422" s="44">
        <f t="shared" si="398"/>
        <v>7.8916505560428751</v>
      </c>
      <c r="V422" s="44">
        <f t="shared" si="398"/>
        <v>9.5233044137272334</v>
      </c>
      <c r="W422" s="44">
        <f t="shared" si="398"/>
        <v>11.353712948277471</v>
      </c>
      <c r="X422" s="44">
        <f t="shared" si="398"/>
        <v>13.392385407473196</v>
      </c>
      <c r="Y422" s="44">
        <f t="shared" si="398"/>
        <v>15.648668156852196</v>
      </c>
      <c r="Z422" s="44">
        <f t="shared" si="398"/>
        <v>18.131756837509794</v>
      </c>
      <c r="AA422" s="44">
        <f t="shared" si="398"/>
        <v>20.850706993230137</v>
      </c>
      <c r="AB422" s="44">
        <f t="shared" si="398"/>
        <v>23.814443430016944</v>
      </c>
      <c r="AC422" s="44">
        <f t="shared" si="398"/>
        <v>27.031768514976598</v>
      </c>
      <c r="AD422" s="44">
        <f t="shared" si="398"/>
        <v>30.511369579468642</v>
      </c>
      <c r="AE422" s="44">
        <f t="shared" si="398"/>
        <v>34.261825559466111</v>
      </c>
      <c r="AF422" s="44">
        <f t="shared" si="398"/>
        <v>38.291612981416243</v>
      </c>
      <c r="AG422" s="44">
        <f t="shared" si="398"/>
        <v>42.609111382648663</v>
      </c>
      <c r="AH422" s="44">
        <f t="shared" si="398"/>
        <v>47.222608240186645</v>
      </c>
      <c r="AI422" s="44">
        <f t="shared" si="398"/>
        <v>52.140303469706964</v>
      </c>
      <c r="AJ422" s="44">
        <f t="shared" si="398"/>
        <v>57.370313546634669</v>
      </c>
      <c r="AK422" s="44">
        <f t="shared" si="398"/>
        <v>62.920675293448724</v>
      </c>
      <c r="AL422" s="4"/>
      <c r="AM422" s="43">
        <v>406</v>
      </c>
      <c r="AN422">
        <v>34.331219205153417</v>
      </c>
      <c r="AO422">
        <v>6.634036392539663</v>
      </c>
      <c r="AP422">
        <v>48.41651312955937</v>
      </c>
      <c r="AQ422">
        <v>42.140594388423501</v>
      </c>
      <c r="AR422">
        <v>6.1318116293409597</v>
      </c>
      <c r="AS422">
        <v>28.535831866488898</v>
      </c>
      <c r="AT422">
        <v>4.2321409439181066</v>
      </c>
      <c r="AU422">
        <v>9.7807565046738976</v>
      </c>
      <c r="AV422"/>
      <c r="AW422"/>
      <c r="FY422" s="210">
        <v>417</v>
      </c>
      <c r="FZ422">
        <v>0.67770144410636046</v>
      </c>
      <c r="GA422">
        <v>3.3669296764986294</v>
      </c>
      <c r="GB422">
        <v>3.4549769665864347</v>
      </c>
      <c r="GC422">
        <v>1.3739821903263334</v>
      </c>
      <c r="GD422">
        <v>1.9274620539871283</v>
      </c>
      <c r="GE422">
        <v>3.9803986104067048</v>
      </c>
      <c r="GF422">
        <v>2.3771746930763942</v>
      </c>
      <c r="GG422">
        <v>3.7037938295158694</v>
      </c>
      <c r="GH422">
        <v>3.7539367231747498</v>
      </c>
      <c r="GI422">
        <v>3.1341201783652108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99">SUM(G423:AK423)</f>
        <v>1.1120361375850203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400">(($A$453+$A$455*(H$422)+($A$457*$D423))*($E21*H37))</f>
        <v>0</v>
      </c>
      <c r="I423" s="107">
        <f t="shared" si="400"/>
        <v>0.18505744454184062</v>
      </c>
      <c r="J423" s="107">
        <f t="shared" si="400"/>
        <v>0.92697869304317959</v>
      </c>
      <c r="K423" s="107">
        <f t="shared" si="400"/>
        <v>0</v>
      </c>
      <c r="L423" s="107">
        <f t="shared" si="400"/>
        <v>0</v>
      </c>
      <c r="M423" s="107">
        <f t="shared" si="400"/>
        <v>0</v>
      </c>
      <c r="N423" s="107">
        <f t="shared" si="400"/>
        <v>0</v>
      </c>
      <c r="O423" s="107">
        <f t="shared" si="400"/>
        <v>0</v>
      </c>
      <c r="P423" s="107">
        <f t="shared" si="400"/>
        <v>0</v>
      </c>
      <c r="Q423" s="107">
        <f t="shared" si="400"/>
        <v>0</v>
      </c>
      <c r="R423" s="107">
        <f t="shared" si="400"/>
        <v>0</v>
      </c>
      <c r="S423" s="107">
        <f t="shared" si="400"/>
        <v>0</v>
      </c>
      <c r="T423" s="107">
        <f t="shared" si="400"/>
        <v>0</v>
      </c>
      <c r="U423" s="107">
        <f t="shared" si="400"/>
        <v>0</v>
      </c>
      <c r="V423" s="107">
        <f t="shared" si="400"/>
        <v>0</v>
      </c>
      <c r="W423" s="107">
        <f t="shared" si="400"/>
        <v>0</v>
      </c>
      <c r="X423" s="107">
        <f t="shared" si="400"/>
        <v>0</v>
      </c>
      <c r="Y423" s="107">
        <f t="shared" si="400"/>
        <v>0</v>
      </c>
      <c r="Z423" s="107">
        <f t="shared" si="400"/>
        <v>0</v>
      </c>
      <c r="AA423" s="107">
        <f t="shared" si="400"/>
        <v>0</v>
      </c>
      <c r="AB423" s="107">
        <f t="shared" si="400"/>
        <v>0</v>
      </c>
      <c r="AC423" s="107">
        <f t="shared" si="400"/>
        <v>0</v>
      </c>
      <c r="AD423" s="107">
        <f t="shared" si="400"/>
        <v>0</v>
      </c>
      <c r="AE423" s="107">
        <f t="shared" si="400"/>
        <v>0</v>
      </c>
      <c r="AF423" s="107">
        <f t="shared" si="400"/>
        <v>0</v>
      </c>
      <c r="AG423" s="107">
        <f t="shared" si="400"/>
        <v>0</v>
      </c>
      <c r="AH423" s="107">
        <f t="shared" si="400"/>
        <v>0</v>
      </c>
      <c r="AI423" s="107">
        <f t="shared" si="400"/>
        <v>0</v>
      </c>
      <c r="AJ423" s="107">
        <f t="shared" si="400"/>
        <v>0</v>
      </c>
      <c r="AK423" s="107">
        <f t="shared" si="400"/>
        <v>0</v>
      </c>
      <c r="AL423" s="4"/>
      <c r="AM423" s="43">
        <v>407</v>
      </c>
      <c r="AN423">
        <v>29.329875318239679</v>
      </c>
      <c r="AO423">
        <v>4.828634601896491</v>
      </c>
      <c r="AP423">
        <v>39.820043909809435</v>
      </c>
      <c r="AQ423">
        <v>32.373757013940505</v>
      </c>
      <c r="AR423">
        <v>4.5911939850785597</v>
      </c>
      <c r="AS423">
        <v>25.626706767664569</v>
      </c>
      <c r="AT423">
        <v>2.9502308827814354</v>
      </c>
      <c r="AU423">
        <v>-5.8362071941974278</v>
      </c>
      <c r="AV423"/>
      <c r="AW423"/>
      <c r="FY423" s="210">
        <v>418</v>
      </c>
      <c r="FZ423">
        <v>0.96776427554123767</v>
      </c>
      <c r="GA423">
        <v>2.3742047574002836</v>
      </c>
      <c r="GB423">
        <v>1.3075204346850517</v>
      </c>
      <c r="GC423">
        <v>0.63984017293797479</v>
      </c>
      <c r="GD423">
        <v>1.7455882600774344</v>
      </c>
      <c r="GE423">
        <v>5.1339907777659022</v>
      </c>
      <c r="GF423">
        <v>8.2621122457247829</v>
      </c>
      <c r="GG423">
        <v>6.6168178135168496</v>
      </c>
      <c r="GH423">
        <v>4.2865453065024344</v>
      </c>
      <c r="GI423">
        <v>3.7185930094828761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99"/>
        <v>2.3913272215338401</v>
      </c>
      <c r="D424" s="191">
        <f>$A$406</f>
        <v>9.4499999999999993</v>
      </c>
      <c r="E424" s="8"/>
      <c r="F424" s="124"/>
      <c r="G424" s="107">
        <f t="shared" ref="G424:V432" si="401">(($A$453+$A$455*(G$422)+($A$457*$D424))*($E22*G38))</f>
        <v>6.9829964750939269E-3</v>
      </c>
      <c r="H424" s="107">
        <f t="shared" si="401"/>
        <v>0</v>
      </c>
      <c r="I424" s="107">
        <f t="shared" si="401"/>
        <v>2.4325060524709424E-2</v>
      </c>
      <c r="J424" s="107">
        <f t="shared" si="401"/>
        <v>1.8986364200366836</v>
      </c>
      <c r="K424" s="107">
        <f t="shared" si="401"/>
        <v>0</v>
      </c>
      <c r="L424" s="107">
        <f t="shared" si="401"/>
        <v>0</v>
      </c>
      <c r="M424" s="107">
        <f t="shared" si="401"/>
        <v>0.46138274449735289</v>
      </c>
      <c r="N424" s="107">
        <f t="shared" si="401"/>
        <v>0</v>
      </c>
      <c r="O424" s="107">
        <f t="shared" si="401"/>
        <v>0</v>
      </c>
      <c r="P424" s="107">
        <f t="shared" si="401"/>
        <v>0</v>
      </c>
      <c r="Q424" s="107">
        <f t="shared" si="401"/>
        <v>0</v>
      </c>
      <c r="R424" s="107">
        <f t="shared" si="401"/>
        <v>0</v>
      </c>
      <c r="S424" s="107">
        <f t="shared" si="401"/>
        <v>0</v>
      </c>
      <c r="T424" s="107">
        <f t="shared" si="401"/>
        <v>0</v>
      </c>
      <c r="U424" s="107">
        <f t="shared" si="401"/>
        <v>0</v>
      </c>
      <c r="V424" s="107">
        <f t="shared" si="401"/>
        <v>0</v>
      </c>
      <c r="W424" s="107">
        <f t="shared" si="400"/>
        <v>0</v>
      </c>
      <c r="X424" s="107">
        <f t="shared" si="400"/>
        <v>0</v>
      </c>
      <c r="Y424" s="107">
        <f t="shared" si="400"/>
        <v>0</v>
      </c>
      <c r="Z424" s="107">
        <f t="shared" si="400"/>
        <v>0</v>
      </c>
      <c r="AA424" s="107">
        <f t="shared" si="400"/>
        <v>0</v>
      </c>
      <c r="AB424" s="107">
        <f t="shared" si="400"/>
        <v>0</v>
      </c>
      <c r="AC424" s="107">
        <f t="shared" si="400"/>
        <v>0</v>
      </c>
      <c r="AD424" s="107">
        <f t="shared" si="400"/>
        <v>0</v>
      </c>
      <c r="AE424" s="107">
        <f t="shared" si="400"/>
        <v>0</v>
      </c>
      <c r="AF424" s="107">
        <f t="shared" si="400"/>
        <v>0</v>
      </c>
      <c r="AG424" s="107">
        <f t="shared" si="400"/>
        <v>0</v>
      </c>
      <c r="AH424" s="107">
        <f t="shared" si="400"/>
        <v>0</v>
      </c>
      <c r="AI424" s="107">
        <f t="shared" si="400"/>
        <v>0</v>
      </c>
      <c r="AJ424" s="107">
        <f t="shared" si="400"/>
        <v>0</v>
      </c>
      <c r="AK424" s="107">
        <f t="shared" si="400"/>
        <v>0</v>
      </c>
      <c r="AL424" s="4"/>
      <c r="AM424" s="43">
        <v>408</v>
      </c>
      <c r="AN424">
        <v>16.116928253730116</v>
      </c>
      <c r="AO424">
        <v>4.3169829483058271</v>
      </c>
      <c r="AP424">
        <v>30.552557173233652</v>
      </c>
      <c r="AQ424">
        <v>26.071557707463381</v>
      </c>
      <c r="AR424">
        <v>4.0610017051628162</v>
      </c>
      <c r="AS424">
        <v>18.060123067671022</v>
      </c>
      <c r="AT424">
        <v>2.6451575547202388</v>
      </c>
      <c r="AU424">
        <v>-0.21824142690003479</v>
      </c>
      <c r="AV424"/>
      <c r="AW424"/>
      <c r="FY424" s="210">
        <v>419</v>
      </c>
      <c r="FZ424">
        <v>1.3237776013431288</v>
      </c>
      <c r="GA424">
        <v>2.6506893285804241</v>
      </c>
      <c r="GB424">
        <v>1.3174076940656805</v>
      </c>
      <c r="GC424">
        <v>0.52542798825043247</v>
      </c>
      <c r="GD424">
        <v>1.452496562918149</v>
      </c>
      <c r="GE424">
        <v>3.4908027227582594</v>
      </c>
      <c r="GF424">
        <v>4.4261130334082921</v>
      </c>
      <c r="GG424">
        <v>4.0548118960582684</v>
      </c>
      <c r="GH424">
        <v>3.3974475328742861</v>
      </c>
      <c r="GI424">
        <v>2.7593992527697035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99"/>
        <v>1.8781722206374392</v>
      </c>
      <c r="D425" s="191">
        <f>A$407</f>
        <v>4.03</v>
      </c>
      <c r="E425" s="8"/>
      <c r="F425" s="124"/>
      <c r="G425" s="107">
        <f t="shared" si="401"/>
        <v>3.5879886522551968E-3</v>
      </c>
      <c r="H425" s="107">
        <f t="shared" si="400"/>
        <v>0</v>
      </c>
      <c r="I425" s="107">
        <f t="shared" si="400"/>
        <v>1.2480871280278343E-2</v>
      </c>
      <c r="J425" s="107">
        <f t="shared" si="400"/>
        <v>0.67242295447452027</v>
      </c>
      <c r="K425" s="107">
        <f t="shared" si="400"/>
        <v>0.95983914339824949</v>
      </c>
      <c r="L425" s="107">
        <f t="shared" si="400"/>
        <v>0</v>
      </c>
      <c r="M425" s="107">
        <f t="shared" si="400"/>
        <v>0.22984126283213602</v>
      </c>
      <c r="N425" s="107">
        <f t="shared" si="400"/>
        <v>0</v>
      </c>
      <c r="O425" s="107">
        <f t="shared" si="400"/>
        <v>0</v>
      </c>
      <c r="P425" s="107">
        <f t="shared" si="400"/>
        <v>0</v>
      </c>
      <c r="Q425" s="107">
        <f t="shared" si="400"/>
        <v>0</v>
      </c>
      <c r="R425" s="107">
        <f t="shared" si="400"/>
        <v>0</v>
      </c>
      <c r="S425" s="107">
        <f t="shared" si="400"/>
        <v>0</v>
      </c>
      <c r="T425" s="107">
        <f t="shared" si="400"/>
        <v>0</v>
      </c>
      <c r="U425" s="107">
        <f t="shared" si="400"/>
        <v>0</v>
      </c>
      <c r="V425" s="107">
        <f t="shared" si="400"/>
        <v>0</v>
      </c>
      <c r="W425" s="107">
        <f t="shared" si="400"/>
        <v>0</v>
      </c>
      <c r="X425" s="107">
        <f t="shared" si="400"/>
        <v>0</v>
      </c>
      <c r="Y425" s="107">
        <f t="shared" si="400"/>
        <v>0</v>
      </c>
      <c r="Z425" s="107">
        <f t="shared" si="400"/>
        <v>0</v>
      </c>
      <c r="AA425" s="107">
        <f t="shared" si="400"/>
        <v>0</v>
      </c>
      <c r="AB425" s="107">
        <f t="shared" si="400"/>
        <v>0</v>
      </c>
      <c r="AC425" s="107">
        <f t="shared" si="400"/>
        <v>0</v>
      </c>
      <c r="AD425" s="107">
        <f t="shared" si="400"/>
        <v>0</v>
      </c>
      <c r="AE425" s="107">
        <f t="shared" si="400"/>
        <v>0</v>
      </c>
      <c r="AF425" s="107">
        <f t="shared" si="400"/>
        <v>0</v>
      </c>
      <c r="AG425" s="107">
        <f t="shared" si="400"/>
        <v>0</v>
      </c>
      <c r="AH425" s="107">
        <f t="shared" si="400"/>
        <v>0</v>
      </c>
      <c r="AI425" s="107">
        <f t="shared" si="400"/>
        <v>0</v>
      </c>
      <c r="AJ425" s="107">
        <f t="shared" si="400"/>
        <v>0</v>
      </c>
      <c r="AK425" s="107">
        <f t="shared" si="400"/>
        <v>0</v>
      </c>
      <c r="AL425" s="4"/>
      <c r="AM425" s="43">
        <v>409</v>
      </c>
      <c r="AN425">
        <v>26.113694508308868</v>
      </c>
      <c r="AO425">
        <v>5.1391063999882869</v>
      </c>
      <c r="AP425">
        <v>38.322774276817462</v>
      </c>
      <c r="AQ425">
        <v>32.736548033288109</v>
      </c>
      <c r="AR425">
        <v>4.8821644766305425</v>
      </c>
      <c r="AS425">
        <v>23.962545892713813</v>
      </c>
      <c r="AT425">
        <v>3.342969272600786</v>
      </c>
      <c r="AU425">
        <v>1.5280039562841505</v>
      </c>
      <c r="AV425"/>
      <c r="AW425"/>
      <c r="FY425" s="210">
        <v>420</v>
      </c>
      <c r="FZ425">
        <v>0.95955926381542511</v>
      </c>
      <c r="GA425">
        <v>2.2918282426720866</v>
      </c>
      <c r="GB425">
        <v>1.5005494329375817</v>
      </c>
      <c r="GC425">
        <v>0.81072743423143812</v>
      </c>
      <c r="GD425">
        <v>1.9729835485669094</v>
      </c>
      <c r="GE425">
        <v>4.4585132441312254</v>
      </c>
      <c r="GF425">
        <v>7.1372723696401987</v>
      </c>
      <c r="GG425">
        <v>8.1228443134368025</v>
      </c>
      <c r="GH425">
        <v>5.2304298195126773</v>
      </c>
      <c r="GI425">
        <v>3.8425055671147339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99"/>
        <v>0.9469649496340089</v>
      </c>
      <c r="D426" s="191">
        <f>A$408</f>
        <v>0.78</v>
      </c>
      <c r="E426" s="8"/>
      <c r="F426" s="124"/>
      <c r="G426" s="107">
        <f t="shared" si="401"/>
        <v>0</v>
      </c>
      <c r="H426" s="107">
        <f t="shared" si="400"/>
        <v>0</v>
      </c>
      <c r="I426" s="107">
        <f t="shared" si="400"/>
        <v>6.9786087001296512E-3</v>
      </c>
      <c r="J426" s="107">
        <f t="shared" si="400"/>
        <v>8.3196836098704929E-2</v>
      </c>
      <c r="K426" s="107">
        <f t="shared" si="400"/>
        <v>0.85678950483517435</v>
      </c>
      <c r="L426" s="107">
        <f t="shared" si="400"/>
        <v>0</v>
      </c>
      <c r="M426" s="107">
        <f t="shared" si="400"/>
        <v>0</v>
      </c>
      <c r="N426" s="107">
        <f t="shared" si="400"/>
        <v>0</v>
      </c>
      <c r="O426" s="107">
        <f t="shared" si="400"/>
        <v>0</v>
      </c>
      <c r="P426" s="107">
        <f t="shared" si="400"/>
        <v>0</v>
      </c>
      <c r="Q426" s="107">
        <f t="shared" si="400"/>
        <v>0</v>
      </c>
      <c r="R426" s="107">
        <f t="shared" si="400"/>
        <v>0</v>
      </c>
      <c r="S426" s="107">
        <f t="shared" si="400"/>
        <v>0</v>
      </c>
      <c r="T426" s="107">
        <f t="shared" si="400"/>
        <v>0</v>
      </c>
      <c r="U426" s="107">
        <f t="shared" si="400"/>
        <v>0</v>
      </c>
      <c r="V426" s="107">
        <f t="shared" si="400"/>
        <v>0</v>
      </c>
      <c r="W426" s="107">
        <f t="shared" si="400"/>
        <v>0</v>
      </c>
      <c r="X426" s="107">
        <f t="shared" si="400"/>
        <v>0</v>
      </c>
      <c r="Y426" s="107">
        <f t="shared" si="400"/>
        <v>0</v>
      </c>
      <c r="Z426" s="107">
        <f t="shared" si="400"/>
        <v>0</v>
      </c>
      <c r="AA426" s="107">
        <f t="shared" si="400"/>
        <v>0</v>
      </c>
      <c r="AB426" s="107">
        <f t="shared" si="400"/>
        <v>0</v>
      </c>
      <c r="AC426" s="107">
        <f t="shared" si="400"/>
        <v>0</v>
      </c>
      <c r="AD426" s="107">
        <f t="shared" si="400"/>
        <v>0</v>
      </c>
      <c r="AE426" s="107">
        <f t="shared" si="400"/>
        <v>0</v>
      </c>
      <c r="AF426" s="107">
        <f t="shared" si="400"/>
        <v>0</v>
      </c>
      <c r="AG426" s="107">
        <f t="shared" si="400"/>
        <v>0</v>
      </c>
      <c r="AH426" s="107">
        <f t="shared" si="400"/>
        <v>0</v>
      </c>
      <c r="AI426" s="107">
        <f t="shared" si="400"/>
        <v>0</v>
      </c>
      <c r="AJ426" s="107">
        <f t="shared" si="400"/>
        <v>0</v>
      </c>
      <c r="AK426" s="107">
        <f t="shared" si="400"/>
        <v>0</v>
      </c>
      <c r="AL426" s="4"/>
      <c r="AM426" s="43">
        <v>410</v>
      </c>
      <c r="AN426">
        <v>40.839932874859343</v>
      </c>
      <c r="AO426">
        <v>6.5071683112375833</v>
      </c>
      <c r="AP426">
        <v>40.370154955414769</v>
      </c>
      <c r="AQ426">
        <v>37.469657645379627</v>
      </c>
      <c r="AR426">
        <v>5.9000055835349823</v>
      </c>
      <c r="AS426">
        <v>30.674863810059176</v>
      </c>
      <c r="AT426">
        <v>4.0559854389306631</v>
      </c>
      <c r="AU426">
        <v>25.897821697108483</v>
      </c>
      <c r="AV426"/>
      <c r="AW426"/>
      <c r="FY426" s="210">
        <v>421</v>
      </c>
      <c r="FZ426">
        <v>1.1734964230544369</v>
      </c>
      <c r="GA426">
        <v>1.9180422355953595</v>
      </c>
      <c r="GB426">
        <v>1.4565632753799844</v>
      </c>
      <c r="GC426">
        <v>0.94166973508550178</v>
      </c>
      <c r="GD426">
        <v>1.6704272669644828</v>
      </c>
      <c r="GE426">
        <v>5.9776713171645479</v>
      </c>
      <c r="GF426">
        <v>11.929365213617945</v>
      </c>
      <c r="GG426">
        <v>8.2356375755736657</v>
      </c>
      <c r="GH426">
        <v>4.4584214306939653</v>
      </c>
      <c r="GI426">
        <v>4.4691289652347503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99"/>
        <v>2.2404800014971937</v>
      </c>
      <c r="D427" s="191">
        <f>A$409</f>
        <v>0.14000000000000001</v>
      </c>
      <c r="E427" s="8"/>
      <c r="F427" s="124"/>
      <c r="G427" s="107">
        <f t="shared" si="401"/>
        <v>0</v>
      </c>
      <c r="H427" s="107">
        <f t="shared" si="400"/>
        <v>0</v>
      </c>
      <c r="I427" s="107">
        <f t="shared" si="400"/>
        <v>0.30701534514957923</v>
      </c>
      <c r="J427" s="107">
        <f t="shared" si="400"/>
        <v>0.36615403528796037</v>
      </c>
      <c r="K427" s="107">
        <f t="shared" si="400"/>
        <v>1.2892842301749758</v>
      </c>
      <c r="L427" s="107">
        <f t="shared" si="400"/>
        <v>0.2780263908846784</v>
      </c>
      <c r="M427" s="107">
        <f t="shared" si="400"/>
        <v>0</v>
      </c>
      <c r="N427" s="107">
        <f t="shared" si="400"/>
        <v>0</v>
      </c>
      <c r="O427" s="107">
        <f t="shared" si="400"/>
        <v>0</v>
      </c>
      <c r="P427" s="107">
        <f t="shared" si="400"/>
        <v>0</v>
      </c>
      <c r="Q427" s="107">
        <f t="shared" si="400"/>
        <v>0</v>
      </c>
      <c r="R427" s="107">
        <f t="shared" si="400"/>
        <v>0</v>
      </c>
      <c r="S427" s="107">
        <f t="shared" si="400"/>
        <v>0</v>
      </c>
      <c r="T427" s="107">
        <f t="shared" si="400"/>
        <v>0</v>
      </c>
      <c r="U427" s="107">
        <f t="shared" si="400"/>
        <v>0</v>
      </c>
      <c r="V427" s="107">
        <f t="shared" si="400"/>
        <v>0</v>
      </c>
      <c r="W427" s="107">
        <f t="shared" si="400"/>
        <v>0</v>
      </c>
      <c r="X427" s="107">
        <f t="shared" si="400"/>
        <v>0</v>
      </c>
      <c r="Y427" s="107">
        <f t="shared" si="400"/>
        <v>0</v>
      </c>
      <c r="Z427" s="107">
        <f t="shared" si="400"/>
        <v>0</v>
      </c>
      <c r="AA427" s="107">
        <f t="shared" si="400"/>
        <v>0</v>
      </c>
      <c r="AB427" s="107">
        <f t="shared" si="400"/>
        <v>0</v>
      </c>
      <c r="AC427" s="107">
        <f t="shared" si="400"/>
        <v>0</v>
      </c>
      <c r="AD427" s="107">
        <f t="shared" si="400"/>
        <v>0</v>
      </c>
      <c r="AE427" s="107">
        <f t="shared" si="400"/>
        <v>0</v>
      </c>
      <c r="AF427" s="107">
        <f t="shared" si="400"/>
        <v>0</v>
      </c>
      <c r="AG427" s="107">
        <f t="shared" si="400"/>
        <v>0</v>
      </c>
      <c r="AH427" s="107">
        <f t="shared" si="400"/>
        <v>0</v>
      </c>
      <c r="AI427" s="107">
        <f t="shared" si="400"/>
        <v>0</v>
      </c>
      <c r="AJ427" s="107">
        <f t="shared" si="400"/>
        <v>0</v>
      </c>
      <c r="AK427" s="107">
        <f t="shared" si="400"/>
        <v>0</v>
      </c>
      <c r="AL427" s="4"/>
      <c r="AM427" s="43">
        <v>411</v>
      </c>
      <c r="AN427">
        <v>22.225290623728121</v>
      </c>
      <c r="AO427">
        <v>4.4623890619655224</v>
      </c>
      <c r="AP427">
        <v>36.872455196758871</v>
      </c>
      <c r="AQ427">
        <v>29.685332520320038</v>
      </c>
      <c r="AR427">
        <v>4.2884156098080348</v>
      </c>
      <c r="AS427">
        <v>20.512458209534749</v>
      </c>
      <c r="AT427">
        <v>2.8562753196648631</v>
      </c>
      <c r="AU427">
        <v>0.86028725430646924</v>
      </c>
      <c r="AV427"/>
      <c r="AW427"/>
      <c r="FY427" s="210">
        <v>422</v>
      </c>
      <c r="FZ427">
        <v>0.96776427554123767</v>
      </c>
      <c r="GA427">
        <v>1.8024093394964185</v>
      </c>
      <c r="GB427">
        <v>1.0950607035669682</v>
      </c>
      <c r="GC427">
        <v>0.40982322499815504</v>
      </c>
      <c r="GD427">
        <v>1.3496262847494902</v>
      </c>
      <c r="GE427">
        <v>3.6129029518160731</v>
      </c>
      <c r="GF427">
        <v>3.4757414471145949</v>
      </c>
      <c r="GG427">
        <v>3.9928290273669482</v>
      </c>
      <c r="GH427">
        <v>4.1353129151881891</v>
      </c>
      <c r="GI427">
        <v>2.5090540057038755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99"/>
        <v>5.9195110959681152</v>
      </c>
      <c r="D428" s="191">
        <f>A$410</f>
        <v>0.21</v>
      </c>
      <c r="E428" s="8"/>
      <c r="F428" s="124"/>
      <c r="G428" s="107">
        <f t="shared" si="401"/>
        <v>0</v>
      </c>
      <c r="H428" s="107">
        <f t="shared" si="400"/>
        <v>0</v>
      </c>
      <c r="I428" s="107">
        <f t="shared" si="400"/>
        <v>0.61077330580466105</v>
      </c>
      <c r="J428" s="107">
        <f t="shared" si="400"/>
        <v>0.7739021176249915</v>
      </c>
      <c r="K428" s="107">
        <f t="shared" si="400"/>
        <v>3.0555961397800733</v>
      </c>
      <c r="L428" s="107">
        <f t="shared" si="400"/>
        <v>1.4792395327583892</v>
      </c>
      <c r="M428" s="107">
        <f t="shared" si="400"/>
        <v>0</v>
      </c>
      <c r="N428" s="107">
        <f t="shared" si="400"/>
        <v>0</v>
      </c>
      <c r="O428" s="107">
        <f t="shared" si="400"/>
        <v>0</v>
      </c>
      <c r="P428" s="107">
        <f t="shared" si="400"/>
        <v>0</v>
      </c>
      <c r="Q428" s="107">
        <f t="shared" si="400"/>
        <v>0</v>
      </c>
      <c r="R428" s="107">
        <f t="shared" si="400"/>
        <v>0</v>
      </c>
      <c r="S428" s="107">
        <f t="shared" si="400"/>
        <v>0</v>
      </c>
      <c r="T428" s="107">
        <f t="shared" si="400"/>
        <v>0</v>
      </c>
      <c r="U428" s="107">
        <f t="shared" si="400"/>
        <v>0</v>
      </c>
      <c r="V428" s="107">
        <f t="shared" si="400"/>
        <v>0</v>
      </c>
      <c r="W428" s="107">
        <f t="shared" si="400"/>
        <v>0</v>
      </c>
      <c r="X428" s="107">
        <f t="shared" si="400"/>
        <v>0</v>
      </c>
      <c r="Y428" s="107">
        <f t="shared" si="400"/>
        <v>0</v>
      </c>
      <c r="Z428" s="107">
        <f t="shared" si="400"/>
        <v>0</v>
      </c>
      <c r="AA428" s="107">
        <f t="shared" si="400"/>
        <v>0</v>
      </c>
      <c r="AB428" s="107">
        <f t="shared" si="400"/>
        <v>0</v>
      </c>
      <c r="AC428" s="107">
        <f t="shared" si="400"/>
        <v>0</v>
      </c>
      <c r="AD428" s="107">
        <f t="shared" si="400"/>
        <v>0</v>
      </c>
      <c r="AE428" s="107">
        <f t="shared" si="400"/>
        <v>0</v>
      </c>
      <c r="AF428" s="107">
        <f t="shared" si="400"/>
        <v>0</v>
      </c>
      <c r="AG428" s="107">
        <f t="shared" si="400"/>
        <v>0</v>
      </c>
      <c r="AH428" s="107">
        <f t="shared" si="400"/>
        <v>0</v>
      </c>
      <c r="AI428" s="107">
        <f t="shared" si="400"/>
        <v>0</v>
      </c>
      <c r="AJ428" s="107">
        <f t="shared" si="400"/>
        <v>0</v>
      </c>
      <c r="AK428" s="107">
        <f t="shared" si="400"/>
        <v>0</v>
      </c>
      <c r="AL428" s="4"/>
      <c r="AM428" s="43">
        <v>412</v>
      </c>
      <c r="AN428">
        <v>20.645459618198981</v>
      </c>
      <c r="AO428">
        <v>4.6320282069951748</v>
      </c>
      <c r="AP428">
        <v>35.637423200292638</v>
      </c>
      <c r="AQ428">
        <v>29.633178581881193</v>
      </c>
      <c r="AR428">
        <v>4.3729731860823238</v>
      </c>
      <c r="AS428">
        <v>20.84678616499933</v>
      </c>
      <c r="AT428">
        <v>2.8107480685614772</v>
      </c>
      <c r="AU428">
        <v>0.84596421882730133</v>
      </c>
      <c r="AV428"/>
      <c r="AW428"/>
      <c r="FY428" s="210">
        <v>423</v>
      </c>
      <c r="FZ428">
        <v>1.3096760380613386</v>
      </c>
      <c r="GA428">
        <v>1.9606518477983301</v>
      </c>
      <c r="GB428">
        <v>1.899853029385687</v>
      </c>
      <c r="GC428">
        <v>1.1996873347105079</v>
      </c>
      <c r="GD428">
        <v>1.3435813439482147</v>
      </c>
      <c r="GE428">
        <v>2.1963686376962315</v>
      </c>
      <c r="GF428">
        <v>3.9629951722864512</v>
      </c>
      <c r="GG428">
        <v>8.9716817389195391</v>
      </c>
      <c r="GH428">
        <v>9.3839395634981955</v>
      </c>
      <c r="GI428">
        <v>3.7104933358271817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99"/>
        <v>7.4111966132226677</v>
      </c>
      <c r="D429" s="191">
        <f>A$411</f>
        <v>1.28</v>
      </c>
      <c r="E429" s="8"/>
      <c r="F429" s="124"/>
      <c r="G429" s="107">
        <f t="shared" si="401"/>
        <v>0</v>
      </c>
      <c r="H429" s="107">
        <f t="shared" si="400"/>
        <v>0</v>
      </c>
      <c r="I429" s="107">
        <f t="shared" si="400"/>
        <v>0</v>
      </c>
      <c r="J429" s="107">
        <f t="shared" si="400"/>
        <v>0.80912688679630629</v>
      </c>
      <c r="K429" s="107">
        <f t="shared" si="400"/>
        <v>1.7079722692296035</v>
      </c>
      <c r="L429" s="107">
        <f t="shared" si="400"/>
        <v>2.2161562588342272</v>
      </c>
      <c r="M429" s="107">
        <f t="shared" si="400"/>
        <v>2.2491181077206002</v>
      </c>
      <c r="N429" s="107">
        <f t="shared" si="400"/>
        <v>0.42882309064193069</v>
      </c>
      <c r="O429" s="107">
        <f t="shared" si="400"/>
        <v>0</v>
      </c>
      <c r="P429" s="107">
        <f t="shared" si="400"/>
        <v>0</v>
      </c>
      <c r="Q429" s="107">
        <f t="shared" si="400"/>
        <v>0</v>
      </c>
      <c r="R429" s="107">
        <f t="shared" si="400"/>
        <v>0</v>
      </c>
      <c r="S429" s="107">
        <f t="shared" si="400"/>
        <v>0</v>
      </c>
      <c r="T429" s="107">
        <f t="shared" si="400"/>
        <v>0</v>
      </c>
      <c r="U429" s="107">
        <f t="shared" si="400"/>
        <v>0</v>
      </c>
      <c r="V429" s="107">
        <f t="shared" si="400"/>
        <v>0</v>
      </c>
      <c r="W429" s="107">
        <f t="shared" si="400"/>
        <v>0</v>
      </c>
      <c r="X429" s="107">
        <f t="shared" si="400"/>
        <v>0</v>
      </c>
      <c r="Y429" s="107">
        <f t="shared" si="400"/>
        <v>0</v>
      </c>
      <c r="Z429" s="107">
        <f t="shared" si="400"/>
        <v>0</v>
      </c>
      <c r="AA429" s="107">
        <f t="shared" si="400"/>
        <v>0</v>
      </c>
      <c r="AB429" s="107">
        <f t="shared" si="400"/>
        <v>0</v>
      </c>
      <c r="AC429" s="107">
        <f t="shared" si="400"/>
        <v>0</v>
      </c>
      <c r="AD429" s="107">
        <f t="shared" si="400"/>
        <v>0</v>
      </c>
      <c r="AE429" s="107">
        <f t="shared" si="400"/>
        <v>0</v>
      </c>
      <c r="AF429" s="107">
        <f t="shared" si="400"/>
        <v>0</v>
      </c>
      <c r="AG429" s="107">
        <f t="shared" si="400"/>
        <v>0</v>
      </c>
      <c r="AH429" s="107">
        <f t="shared" si="400"/>
        <v>0</v>
      </c>
      <c r="AI429" s="107">
        <f t="shared" si="400"/>
        <v>0</v>
      </c>
      <c r="AJ429" s="107">
        <f t="shared" si="400"/>
        <v>0</v>
      </c>
      <c r="AK429" s="107">
        <f t="shared" si="400"/>
        <v>0</v>
      </c>
      <c r="AL429" s="4"/>
      <c r="AM429" s="43">
        <v>413</v>
      </c>
      <c r="AN429">
        <v>25.625093325314303</v>
      </c>
      <c r="AO429">
        <v>5.6673340455009491</v>
      </c>
      <c r="AP429">
        <v>38.730875562897914</v>
      </c>
      <c r="AQ429">
        <v>34.344519265395974</v>
      </c>
      <c r="AR429">
        <v>5.2853250513656782</v>
      </c>
      <c r="AS429">
        <v>24.606664612006757</v>
      </c>
      <c r="AT429">
        <v>3.5835195233257688</v>
      </c>
      <c r="AU429">
        <v>2.6538814198990051</v>
      </c>
      <c r="AV429"/>
      <c r="AW429"/>
      <c r="FY429" s="210">
        <v>424</v>
      </c>
      <c r="FZ429">
        <v>1.2204040864863364</v>
      </c>
      <c r="GA429">
        <v>2.5061002016122198</v>
      </c>
      <c r="GB429">
        <v>1.3983281684669686</v>
      </c>
      <c r="GC429">
        <v>0.59061674569760947</v>
      </c>
      <c r="GD429">
        <v>1.3289352367591332</v>
      </c>
      <c r="GE429">
        <v>3.1412922711225759</v>
      </c>
      <c r="GF429">
        <v>4.3652171372586945</v>
      </c>
      <c r="GG429">
        <v>3.5469012754064648</v>
      </c>
      <c r="GH429">
        <v>1.8407700205254995</v>
      </c>
      <c r="GI429">
        <v>2.4079039013784134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99"/>
        <v>6.758686525750746</v>
      </c>
      <c r="D430" s="191">
        <f>A$412</f>
        <v>4</v>
      </c>
      <c r="E430" s="8"/>
      <c r="F430" s="124"/>
      <c r="G430" s="107">
        <f t="shared" si="401"/>
        <v>0</v>
      </c>
      <c r="H430" s="107">
        <f t="shared" si="400"/>
        <v>1.7368580508290918E-2</v>
      </c>
      <c r="I430" s="107">
        <f t="shared" si="400"/>
        <v>0.11436203810535593</v>
      </c>
      <c r="J430" s="107">
        <f t="shared" si="400"/>
        <v>0.70414193916585843</v>
      </c>
      <c r="K430" s="107">
        <f t="shared" si="400"/>
        <v>0.37977779506831039</v>
      </c>
      <c r="L430" s="107">
        <f t="shared" si="400"/>
        <v>1.533368763545643</v>
      </c>
      <c r="M430" s="107">
        <f t="shared" si="400"/>
        <v>2.8300963600165674</v>
      </c>
      <c r="N430" s="107">
        <f t="shared" si="400"/>
        <v>1.1795710493407201</v>
      </c>
      <c r="O430" s="107">
        <f t="shared" si="400"/>
        <v>0</v>
      </c>
      <c r="P430" s="107">
        <f t="shared" si="400"/>
        <v>0</v>
      </c>
      <c r="Q430" s="107">
        <f t="shared" si="400"/>
        <v>0</v>
      </c>
      <c r="R430" s="107">
        <f t="shared" si="400"/>
        <v>0</v>
      </c>
      <c r="S430" s="107">
        <f t="shared" si="400"/>
        <v>0</v>
      </c>
      <c r="T430" s="107">
        <f t="shared" si="400"/>
        <v>0</v>
      </c>
      <c r="U430" s="107">
        <f t="shared" si="400"/>
        <v>0</v>
      </c>
      <c r="V430" s="107">
        <f t="shared" si="400"/>
        <v>0</v>
      </c>
      <c r="W430" s="107">
        <f t="shared" si="400"/>
        <v>0</v>
      </c>
      <c r="X430" s="107">
        <f t="shared" si="400"/>
        <v>0</v>
      </c>
      <c r="Y430" s="107">
        <f t="shared" si="400"/>
        <v>0</v>
      </c>
      <c r="Z430" s="107">
        <f t="shared" si="400"/>
        <v>0</v>
      </c>
      <c r="AA430" s="107">
        <f t="shared" si="400"/>
        <v>0</v>
      </c>
      <c r="AB430" s="107">
        <f t="shared" si="400"/>
        <v>0</v>
      </c>
      <c r="AC430" s="107">
        <f t="shared" si="400"/>
        <v>0</v>
      </c>
      <c r="AD430" s="107">
        <f t="shared" si="400"/>
        <v>0</v>
      </c>
      <c r="AE430" s="107">
        <f t="shared" si="400"/>
        <v>0</v>
      </c>
      <c r="AF430" s="107">
        <f t="shared" si="400"/>
        <v>0</v>
      </c>
      <c r="AG430" s="107">
        <f t="shared" si="400"/>
        <v>0</v>
      </c>
      <c r="AH430" s="107">
        <f t="shared" si="400"/>
        <v>0</v>
      </c>
      <c r="AI430" s="107">
        <f t="shared" si="400"/>
        <v>0</v>
      </c>
      <c r="AJ430" s="107">
        <f t="shared" si="400"/>
        <v>0</v>
      </c>
      <c r="AK430" s="107">
        <f t="shared" si="400"/>
        <v>0</v>
      </c>
      <c r="AL430" s="4"/>
      <c r="AM430" s="43">
        <v>414</v>
      </c>
      <c r="AN430">
        <v>26.719846619203235</v>
      </c>
      <c r="AO430">
        <v>5.2348949112600796</v>
      </c>
      <c r="AP430">
        <v>35.880012071392436</v>
      </c>
      <c r="AQ430">
        <v>31.701144721916144</v>
      </c>
      <c r="AR430">
        <v>4.7789137740503627</v>
      </c>
      <c r="AS430">
        <v>24.195383346422862</v>
      </c>
      <c r="AT430">
        <v>3.357305504921555</v>
      </c>
      <c r="AU430">
        <v>2.8995006088454227</v>
      </c>
      <c r="AV430"/>
      <c r="AW430"/>
      <c r="FY430" s="210">
        <v>425</v>
      </c>
      <c r="FZ430">
        <v>0.66500622348295091</v>
      </c>
      <c r="GA430">
        <v>1.2975966966420758</v>
      </c>
      <c r="GB430">
        <v>1.6845241435445448</v>
      </c>
      <c r="GC430">
        <v>1.077615505193789</v>
      </c>
      <c r="GD430">
        <v>2.4271568572531326</v>
      </c>
      <c r="GE430">
        <v>6.3860223079187666</v>
      </c>
      <c r="GF430">
        <v>8.1896367611145457</v>
      </c>
      <c r="GG430">
        <v>9.8352832542573463</v>
      </c>
      <c r="GH430">
        <v>8.9349586552158122</v>
      </c>
      <c r="GI430">
        <v>4.8754440730775448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99"/>
        <v>4.9496093786165254</v>
      </c>
      <c r="D431" s="191">
        <f>A$413</f>
        <v>7.33</v>
      </c>
      <c r="E431" s="8"/>
      <c r="F431" s="124"/>
      <c r="G431" s="107">
        <f t="shared" si="401"/>
        <v>0</v>
      </c>
      <c r="H431" s="107">
        <f t="shared" si="400"/>
        <v>2.2834632801390028E-2</v>
      </c>
      <c r="I431" s="107">
        <f t="shared" si="400"/>
        <v>0.15048642735985313</v>
      </c>
      <c r="J431" s="107">
        <f t="shared" si="400"/>
        <v>1.2276411556374851</v>
      </c>
      <c r="K431" s="107">
        <f t="shared" si="400"/>
        <v>0.25137535064524141</v>
      </c>
      <c r="L431" s="107">
        <f t="shared" si="400"/>
        <v>1.1346772499639968</v>
      </c>
      <c r="M431" s="107">
        <f t="shared" si="400"/>
        <v>1.0916497863554455</v>
      </c>
      <c r="N431" s="107">
        <f t="shared" si="400"/>
        <v>1.0709447758531137</v>
      </c>
      <c r="O431" s="107">
        <f t="shared" si="400"/>
        <v>0</v>
      </c>
      <c r="P431" s="107">
        <f t="shared" si="400"/>
        <v>0</v>
      </c>
      <c r="Q431" s="107">
        <f t="shared" si="400"/>
        <v>0</v>
      </c>
      <c r="R431" s="107">
        <f t="shared" si="400"/>
        <v>0</v>
      </c>
      <c r="S431" s="107">
        <f t="shared" si="400"/>
        <v>0</v>
      </c>
      <c r="T431" s="107">
        <f t="shared" si="400"/>
        <v>0</v>
      </c>
      <c r="U431" s="107">
        <f t="shared" si="400"/>
        <v>0</v>
      </c>
      <c r="V431" s="107">
        <f t="shared" si="400"/>
        <v>0</v>
      </c>
      <c r="W431" s="107">
        <f t="shared" si="400"/>
        <v>0</v>
      </c>
      <c r="X431" s="107">
        <f t="shared" si="400"/>
        <v>0</v>
      </c>
      <c r="Y431" s="107">
        <f t="shared" si="400"/>
        <v>0</v>
      </c>
      <c r="Z431" s="107">
        <f t="shared" si="400"/>
        <v>0</v>
      </c>
      <c r="AA431" s="107">
        <f t="shared" si="400"/>
        <v>0</v>
      </c>
      <c r="AB431" s="107">
        <f t="shared" si="400"/>
        <v>0</v>
      </c>
      <c r="AC431" s="107">
        <f t="shared" si="400"/>
        <v>0</v>
      </c>
      <c r="AD431" s="107">
        <f t="shared" si="400"/>
        <v>0</v>
      </c>
      <c r="AE431" s="107">
        <f t="shared" si="400"/>
        <v>0</v>
      </c>
      <c r="AF431" s="107">
        <f t="shared" si="400"/>
        <v>0</v>
      </c>
      <c r="AG431" s="107">
        <f t="shared" si="400"/>
        <v>0</v>
      </c>
      <c r="AH431" s="107">
        <f t="shared" si="400"/>
        <v>0</v>
      </c>
      <c r="AI431" s="107">
        <f t="shared" si="400"/>
        <v>0</v>
      </c>
      <c r="AJ431" s="107">
        <f t="shared" si="400"/>
        <v>0</v>
      </c>
      <c r="AK431" s="107">
        <f t="shared" si="400"/>
        <v>0</v>
      </c>
      <c r="AL431" s="4"/>
      <c r="AM431" s="43">
        <v>415</v>
      </c>
      <c r="AN431">
        <v>29.221570011551627</v>
      </c>
      <c r="AO431">
        <v>5.156418274690405</v>
      </c>
      <c r="AP431">
        <v>39.239485167406364</v>
      </c>
      <c r="AQ431">
        <v>33.070178378110782</v>
      </c>
      <c r="AR431">
        <v>4.8317882004050485</v>
      </c>
      <c r="AS431">
        <v>22.88224375422417</v>
      </c>
      <c r="AT431" t="e">
        <v>#DIV/0!</v>
      </c>
      <c r="AU431" t="e">
        <v>#DIV/0!</v>
      </c>
      <c r="AV431"/>
      <c r="AW431"/>
      <c r="FY431" s="210">
        <v>426</v>
      </c>
      <c r="FZ431">
        <v>1.1592820950837148</v>
      </c>
      <c r="GA431">
        <v>2.590557682278321</v>
      </c>
      <c r="GB431">
        <v>1.7885069875995863</v>
      </c>
      <c r="GC431">
        <v>0.96315007698222466</v>
      </c>
      <c r="GD431">
        <v>2.4188725714486865</v>
      </c>
      <c r="GE431">
        <v>4.9079456211561512</v>
      </c>
      <c r="GF431">
        <v>3.957971789290915</v>
      </c>
      <c r="GG431">
        <v>4.1681214368064428</v>
      </c>
      <c r="GH431">
        <v>4.5793620449436041</v>
      </c>
      <c r="GI431">
        <v>3.4917714214081728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99"/>
        <v>4.1089122048517064</v>
      </c>
      <c r="D432" s="191">
        <f>A$414</f>
        <v>10.51</v>
      </c>
      <c r="E432" s="8"/>
      <c r="F432" s="124"/>
      <c r="G432" s="107">
        <f t="shared" si="401"/>
        <v>8.753389217283934E-4</v>
      </c>
      <c r="H432" s="107">
        <f t="shared" ref="H432:AK432" si="402">(($A$453+$A$455*(H$422)+($A$457*$D432))*($E30*H46))</f>
        <v>3.5974426118326004E-3</v>
      </c>
      <c r="I432" s="107">
        <f t="shared" si="402"/>
        <v>0.22850814404367295</v>
      </c>
      <c r="J432" s="107">
        <f t="shared" si="402"/>
        <v>0.85224454186201515</v>
      </c>
      <c r="K432" s="107">
        <f t="shared" si="402"/>
        <v>1.3403226636525811</v>
      </c>
      <c r="L432" s="107">
        <f t="shared" si="402"/>
        <v>0.76047546630801366</v>
      </c>
      <c r="M432" s="107">
        <f t="shared" si="402"/>
        <v>0.6648356834901481</v>
      </c>
      <c r="N432" s="107">
        <f t="shared" si="402"/>
        <v>0.25805292396171503</v>
      </c>
      <c r="O432" s="107">
        <f t="shared" si="402"/>
        <v>0</v>
      </c>
      <c r="P432" s="107">
        <f t="shared" si="402"/>
        <v>0</v>
      </c>
      <c r="Q432" s="107">
        <f t="shared" si="402"/>
        <v>0</v>
      </c>
      <c r="R432" s="107">
        <f t="shared" si="402"/>
        <v>0</v>
      </c>
      <c r="S432" s="107">
        <f t="shared" si="402"/>
        <v>0</v>
      </c>
      <c r="T432" s="107">
        <f t="shared" si="402"/>
        <v>0</v>
      </c>
      <c r="U432" s="107">
        <f t="shared" si="402"/>
        <v>0</v>
      </c>
      <c r="V432" s="107">
        <f t="shared" si="402"/>
        <v>0</v>
      </c>
      <c r="W432" s="107">
        <f t="shared" si="402"/>
        <v>0</v>
      </c>
      <c r="X432" s="107">
        <f t="shared" si="402"/>
        <v>0</v>
      </c>
      <c r="Y432" s="107">
        <f t="shared" si="402"/>
        <v>0</v>
      </c>
      <c r="Z432" s="107">
        <f t="shared" si="402"/>
        <v>0</v>
      </c>
      <c r="AA432" s="107">
        <f t="shared" si="402"/>
        <v>0</v>
      </c>
      <c r="AB432" s="107">
        <f t="shared" si="402"/>
        <v>0</v>
      </c>
      <c r="AC432" s="107">
        <f t="shared" si="402"/>
        <v>0</v>
      </c>
      <c r="AD432" s="107">
        <f t="shared" si="402"/>
        <v>0</v>
      </c>
      <c r="AE432" s="107">
        <f t="shared" si="402"/>
        <v>0</v>
      </c>
      <c r="AF432" s="107">
        <f t="shared" si="402"/>
        <v>0</v>
      </c>
      <c r="AG432" s="107">
        <f t="shared" si="402"/>
        <v>0</v>
      </c>
      <c r="AH432" s="107">
        <f t="shared" si="402"/>
        <v>0</v>
      </c>
      <c r="AI432" s="107">
        <f t="shared" si="402"/>
        <v>0</v>
      </c>
      <c r="AJ432" s="107">
        <f t="shared" si="402"/>
        <v>0</v>
      </c>
      <c r="AK432" s="107">
        <f t="shared" si="402"/>
        <v>0</v>
      </c>
      <c r="AL432" s="4"/>
      <c r="AM432" s="43">
        <v>416</v>
      </c>
      <c r="AN432">
        <v>23.901349519622361</v>
      </c>
      <c r="AO432">
        <v>4.6395987280049953</v>
      </c>
      <c r="AP432">
        <v>35.377612931240435</v>
      </c>
      <c r="AQ432">
        <v>29.540916449776116</v>
      </c>
      <c r="AR432">
        <v>4.368892436886247</v>
      </c>
      <c r="AS432">
        <v>22.652869127491901</v>
      </c>
      <c r="AT432">
        <v>2.9112997091718902</v>
      </c>
      <c r="AU432">
        <v>8.3668775866885774</v>
      </c>
      <c r="AV432"/>
      <c r="AW432"/>
      <c r="FY432" s="210">
        <v>427</v>
      </c>
      <c r="FZ432">
        <v>1.2828792541561387</v>
      </c>
      <c r="GA432">
        <v>1.2195223000523967</v>
      </c>
      <c r="GB432">
        <v>0.82741279940262047</v>
      </c>
      <c r="GC432">
        <v>0.70683327380260597</v>
      </c>
      <c r="GD432">
        <v>2.0470200042301365</v>
      </c>
      <c r="GE432">
        <v>5.1828362455457206</v>
      </c>
      <c r="GF432">
        <v>7.1758141773385784</v>
      </c>
      <c r="GG432">
        <v>4.0289416585329132</v>
      </c>
      <c r="GH432">
        <v>0.96403075498546076</v>
      </c>
      <c r="GI432">
        <v>3.0938762255232812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24.543073204231682</v>
      </c>
      <c r="AO433">
        <v>4.6411518997308638</v>
      </c>
      <c r="AP433">
        <v>32.071102416967349</v>
      </c>
      <c r="AQ433">
        <v>27.750476366043817</v>
      </c>
      <c r="AR433">
        <v>4.3480148309511284</v>
      </c>
      <c r="AS433">
        <v>20.91125384007206</v>
      </c>
      <c r="AT433">
        <v>2.6625704484278883</v>
      </c>
      <c r="AU433">
        <v>1.6948436157379279</v>
      </c>
      <c r="AV433"/>
      <c r="AW433"/>
      <c r="FY433" s="210">
        <v>428</v>
      </c>
      <c r="FZ433">
        <v>0.89186413272323561</v>
      </c>
      <c r="GA433">
        <v>1.9692918571710183</v>
      </c>
      <c r="GB433">
        <v>1.8552684964117658</v>
      </c>
      <c r="GC433">
        <v>0.75759270289149372</v>
      </c>
      <c r="GD433">
        <v>1.3133392349391444</v>
      </c>
      <c r="GE433">
        <v>3.2102263084150819</v>
      </c>
      <c r="GF433">
        <v>5.9009258775576487</v>
      </c>
      <c r="GG433">
        <v>7.3818561564170402</v>
      </c>
      <c r="GH433">
        <v>5.1748170029887817</v>
      </c>
      <c r="GI433">
        <v>3.2811381984982781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28.078020981533182</v>
      </c>
      <c r="AO434">
        <v>5.4780256953953721</v>
      </c>
      <c r="AP434">
        <v>41.320751919118358</v>
      </c>
      <c r="AQ434">
        <v>35.052977053634827</v>
      </c>
      <c r="AR434">
        <v>5.0324590780566858</v>
      </c>
      <c r="AS434">
        <v>24.089351844588069</v>
      </c>
      <c r="AT434">
        <v>3.3181707217583352</v>
      </c>
      <c r="AU434">
        <v>2.4762866844259106</v>
      </c>
      <c r="AV434"/>
      <c r="AW434"/>
      <c r="FY434" s="210">
        <v>429</v>
      </c>
      <c r="FZ434">
        <v>1.6743454343447688</v>
      </c>
      <c r="GA434">
        <v>2.678971967856691</v>
      </c>
      <c r="GB434">
        <v>1.3502251902961508</v>
      </c>
      <c r="GC434">
        <v>0.30153781685324343</v>
      </c>
      <c r="GD434">
        <v>2.4572032091334215</v>
      </c>
      <c r="GE434">
        <v>5.9108906279490139</v>
      </c>
      <c r="GF434">
        <v>9.6665740261921087</v>
      </c>
      <c r="GG434">
        <v>8.7155068432156675</v>
      </c>
      <c r="GH434">
        <v>3.4615412830524672</v>
      </c>
      <c r="GI434">
        <v>4.3832893322183892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37.716896349297258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18.301142144892147</v>
      </c>
      <c r="AO435">
        <v>3.9822317377794199</v>
      </c>
      <c r="AP435">
        <v>29.661357953776928</v>
      </c>
      <c r="AQ435">
        <v>25.398373613026624</v>
      </c>
      <c r="AR435">
        <v>3.7970582406586573</v>
      </c>
      <c r="AS435">
        <v>19.03800442355141</v>
      </c>
      <c r="AT435">
        <v>2.6098832207547971</v>
      </c>
      <c r="AU435">
        <v>0.29491798063731678</v>
      </c>
      <c r="AV435"/>
      <c r="AW435"/>
      <c r="FY435" s="210">
        <v>430</v>
      </c>
      <c r="FZ435">
        <v>0.98646881240955675</v>
      </c>
      <c r="GA435">
        <v>2.2490386604195987</v>
      </c>
      <c r="GB435">
        <v>1.3922071387106554</v>
      </c>
      <c r="GC435">
        <v>0.8736366037411547</v>
      </c>
      <c r="GD435">
        <v>1.4299269450201424</v>
      </c>
      <c r="GE435">
        <v>2.3597567441098128</v>
      </c>
      <c r="GF435">
        <v>4.7724003442687675</v>
      </c>
      <c r="GG435">
        <v>5.7307035123859347</v>
      </c>
      <c r="GH435">
        <v>3.6384734253083644</v>
      </c>
      <c r="GI435">
        <v>2.8055475098541836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30.301012891858864</v>
      </c>
      <c r="AO436">
        <v>5.7136161372358236</v>
      </c>
      <c r="AP436">
        <v>42.80675632859397</v>
      </c>
      <c r="AQ436">
        <v>36.32721323605908</v>
      </c>
      <c r="AR436">
        <v>5.3032517391248568</v>
      </c>
      <c r="AS436">
        <v>25.742831125582207</v>
      </c>
      <c r="AT436">
        <v>3.1744256732546297</v>
      </c>
      <c r="AU436">
        <v>-5.4907509105878027</v>
      </c>
      <c r="AV436"/>
      <c r="AW436"/>
      <c r="FY436" s="210">
        <v>431</v>
      </c>
      <c r="FZ436">
        <v>1.4742843090096842</v>
      </c>
      <c r="GA436">
        <v>1.6781352402270411</v>
      </c>
      <c r="GB436">
        <v>1.0246198063687157</v>
      </c>
      <c r="GC436">
        <v>0.78053350823645884</v>
      </c>
      <c r="GD436">
        <v>2.6076719223461757</v>
      </c>
      <c r="GE436">
        <v>7.2420022643187512</v>
      </c>
      <c r="GF436">
        <v>7.0251005797760957</v>
      </c>
      <c r="GG436">
        <v>3.3285747798523353</v>
      </c>
      <c r="GH436">
        <v>2.4011719784448555</v>
      </c>
      <c r="GI436">
        <v>3.6928429126295459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24.466613044904268</v>
      </c>
      <c r="AO437">
        <v>6.5786752130522874</v>
      </c>
      <c r="AP437">
        <v>50.680613950393571</v>
      </c>
      <c r="AQ437">
        <v>42.230423438364639</v>
      </c>
      <c r="AR437">
        <v>6.0291545839065996</v>
      </c>
      <c r="AS437">
        <v>28.717323135216194</v>
      </c>
      <c r="AT437">
        <v>4.5100837893176502</v>
      </c>
      <c r="AU437">
        <v>-1.8179371055211262</v>
      </c>
      <c r="AV437"/>
      <c r="AW437"/>
      <c r="FY437" s="210">
        <v>432</v>
      </c>
      <c r="FZ437">
        <v>0.80293047521502847</v>
      </c>
      <c r="GA437">
        <v>2.9660296259886536</v>
      </c>
      <c r="GB437">
        <v>1.9303806125938099</v>
      </c>
      <c r="GC437">
        <v>1.0541084426046559</v>
      </c>
      <c r="GD437">
        <v>2.3985601818749016</v>
      </c>
      <c r="GE437">
        <v>5.6803573915288545</v>
      </c>
      <c r="GF437">
        <v>6.0098707873443802</v>
      </c>
      <c r="GG437">
        <v>6.6129981943740486</v>
      </c>
      <c r="GH437">
        <v>7.5911687258407952</v>
      </c>
      <c r="GI437">
        <v>4.3409803796479673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19.988272926692041</v>
      </c>
      <c r="AO438">
        <v>3.6643266554212475</v>
      </c>
      <c r="AP438">
        <v>26.843871889941457</v>
      </c>
      <c r="AQ438">
        <v>23.350524175541949</v>
      </c>
      <c r="AR438">
        <v>3.4270772815258632</v>
      </c>
      <c r="AS438">
        <v>15.941029120815775</v>
      </c>
      <c r="AT438">
        <v>2.1606383851125046</v>
      </c>
      <c r="AU438">
        <v>22.221078212224349</v>
      </c>
      <c r="AV438"/>
      <c r="AW438"/>
      <c r="FY438" s="210">
        <v>433</v>
      </c>
      <c r="FZ438">
        <v>0.86427799599551336</v>
      </c>
      <c r="GA438">
        <v>2.6626139854592497</v>
      </c>
      <c r="GB438">
        <v>2.6121085142060121</v>
      </c>
      <c r="GC438">
        <v>1.1681504010287171</v>
      </c>
      <c r="GD438">
        <v>1.4323669598672859</v>
      </c>
      <c r="GE438">
        <v>3.8184315898735655</v>
      </c>
      <c r="GF438">
        <v>4.597025724364201</v>
      </c>
      <c r="GG438">
        <v>4.7800429311590769</v>
      </c>
      <c r="GH438">
        <v>3.5998405272616325</v>
      </c>
      <c r="GI438">
        <v>3.0468706430076526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20.104479764719123</v>
      </c>
      <c r="AO439">
        <v>5.4217062394507929</v>
      </c>
      <c r="AP439">
        <v>44.365237515377366</v>
      </c>
      <c r="AQ439">
        <v>35.938928042131678</v>
      </c>
      <c r="AR439">
        <v>5.2401769068434589</v>
      </c>
      <c r="AS439">
        <v>21.789064163340189</v>
      </c>
      <c r="AT439">
        <v>3.3391260855576825</v>
      </c>
      <c r="AU439">
        <v>-3.6760964090843871</v>
      </c>
      <c r="AV439"/>
      <c r="AW439"/>
      <c r="FY439" s="210">
        <v>434</v>
      </c>
      <c r="FZ439">
        <v>1.1737219524323002</v>
      </c>
      <c r="GA439">
        <v>2.5156237362409155</v>
      </c>
      <c r="GB439">
        <v>1.7693263066906515</v>
      </c>
      <c r="GC439">
        <v>1.034057518765412</v>
      </c>
      <c r="GD439">
        <v>1.3987273299748186</v>
      </c>
      <c r="GE439">
        <v>2.629154363539989</v>
      </c>
      <c r="GF439">
        <v>5.9257171629700682</v>
      </c>
      <c r="GG439">
        <v>7.125470013576412</v>
      </c>
      <c r="GH439">
        <v>5.2586400946232645</v>
      </c>
      <c r="GI439">
        <v>3.3914691422449388</v>
      </c>
      <c r="GJ439"/>
      <c r="GK439"/>
      <c r="GL439"/>
      <c r="GM439"/>
    </row>
    <row r="440" spans="1:195" s="7" customFormat="1">
      <c r="A440" s="1">
        <v>7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22.534674152780774</v>
      </c>
      <c r="AO440">
        <v>3.5139553027919055</v>
      </c>
      <c r="AP440">
        <v>25.782689902725632</v>
      </c>
      <c r="AQ440">
        <v>22.346469044713917</v>
      </c>
      <c r="AR440">
        <v>3.2817002816985736</v>
      </c>
      <c r="AS440">
        <v>17.532122870889815</v>
      </c>
      <c r="AT440">
        <v>2.224975054845161</v>
      </c>
      <c r="AU440">
        <v>1.859444110644378</v>
      </c>
      <c r="AV440"/>
      <c r="AW440"/>
      <c r="FY440" s="210">
        <v>435</v>
      </c>
      <c r="FZ440">
        <v>1.4064764132285625</v>
      </c>
      <c r="GA440">
        <v>1.8000070234485397</v>
      </c>
      <c r="GB440">
        <v>1.7925051119113666</v>
      </c>
      <c r="GC440">
        <v>1.0146044509895233</v>
      </c>
      <c r="GD440">
        <v>1.713976967970932</v>
      </c>
      <c r="GE440">
        <v>4.8009166005096358</v>
      </c>
      <c r="GF440">
        <v>6.4518299945496747</v>
      </c>
      <c r="GG440">
        <v>4.7597870394557757</v>
      </c>
      <c r="GH440">
        <v>2.8945942766307922</v>
      </c>
      <c r="GI440">
        <v>3.3021076952196045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403">SUM(G441:AK441)</f>
        <v>1.1120361375850203</v>
      </c>
      <c r="D441" s="191">
        <f>$A$405</f>
        <v>13.69</v>
      </c>
      <c r="E441" s="8"/>
      <c r="F441" s="124"/>
      <c r="G441" s="107" t="str">
        <f t="shared" ref="G441:G450" si="404">IF(G423&lt;=0, "0.000", G423)</f>
        <v>0.000</v>
      </c>
      <c r="H441" s="107" t="str">
        <f t="shared" ref="H441:AK441" si="405">IF(H423&lt;=0, "0.000", H423)</f>
        <v>0.000</v>
      </c>
      <c r="I441" s="107">
        <f t="shared" si="405"/>
        <v>0.18505744454184062</v>
      </c>
      <c r="J441" s="107">
        <f t="shared" si="405"/>
        <v>0.92697869304317959</v>
      </c>
      <c r="K441" s="107" t="str">
        <f t="shared" si="405"/>
        <v>0.000</v>
      </c>
      <c r="L441" s="107" t="str">
        <f t="shared" si="405"/>
        <v>0.000</v>
      </c>
      <c r="M441" s="107" t="str">
        <f t="shared" si="405"/>
        <v>0.000</v>
      </c>
      <c r="N441" s="107" t="str">
        <f t="shared" si="405"/>
        <v>0.000</v>
      </c>
      <c r="O441" s="107" t="str">
        <f t="shared" si="405"/>
        <v>0.000</v>
      </c>
      <c r="P441" s="107" t="str">
        <f t="shared" si="405"/>
        <v>0.000</v>
      </c>
      <c r="Q441" s="107" t="str">
        <f t="shared" si="405"/>
        <v>0.000</v>
      </c>
      <c r="R441" s="107" t="str">
        <f t="shared" si="405"/>
        <v>0.000</v>
      </c>
      <c r="S441" s="107" t="str">
        <f t="shared" si="405"/>
        <v>0.000</v>
      </c>
      <c r="T441" s="107" t="str">
        <f t="shared" si="405"/>
        <v>0.000</v>
      </c>
      <c r="U441" s="107" t="str">
        <f t="shared" si="405"/>
        <v>0.000</v>
      </c>
      <c r="V441" s="107" t="str">
        <f t="shared" si="405"/>
        <v>0.000</v>
      </c>
      <c r="W441" s="107" t="str">
        <f t="shared" si="405"/>
        <v>0.000</v>
      </c>
      <c r="X441" s="107" t="str">
        <f t="shared" si="405"/>
        <v>0.000</v>
      </c>
      <c r="Y441" s="107" t="str">
        <f t="shared" si="405"/>
        <v>0.000</v>
      </c>
      <c r="Z441" s="107" t="str">
        <f t="shared" si="405"/>
        <v>0.000</v>
      </c>
      <c r="AA441" s="107" t="str">
        <f t="shared" si="405"/>
        <v>0.000</v>
      </c>
      <c r="AB441" s="107" t="str">
        <f t="shared" si="405"/>
        <v>0.000</v>
      </c>
      <c r="AC441" s="107" t="str">
        <f t="shared" si="405"/>
        <v>0.000</v>
      </c>
      <c r="AD441" s="107" t="str">
        <f t="shared" si="405"/>
        <v>0.000</v>
      </c>
      <c r="AE441" s="107" t="str">
        <f t="shared" si="405"/>
        <v>0.000</v>
      </c>
      <c r="AF441" s="107" t="str">
        <f t="shared" si="405"/>
        <v>0.000</v>
      </c>
      <c r="AG441" s="107" t="str">
        <f t="shared" si="405"/>
        <v>0.000</v>
      </c>
      <c r="AH441" s="107" t="str">
        <f t="shared" si="405"/>
        <v>0.000</v>
      </c>
      <c r="AI441" s="107" t="str">
        <f t="shared" si="405"/>
        <v>0.000</v>
      </c>
      <c r="AJ441" s="107" t="str">
        <f t="shared" si="405"/>
        <v>0.000</v>
      </c>
      <c r="AK441" s="107" t="str">
        <f t="shared" si="405"/>
        <v>0.000</v>
      </c>
      <c r="AL441" s="4"/>
      <c r="AM441" s="43">
        <v>425</v>
      </c>
      <c r="AN441">
        <v>36.6943546649429</v>
      </c>
      <c r="AO441">
        <v>7.1874408145539039</v>
      </c>
      <c r="AP441">
        <v>52.732082578951363</v>
      </c>
      <c r="AQ441">
        <v>45.37324447770051</v>
      </c>
      <c r="AR441">
        <v>6.6826640919859024</v>
      </c>
      <c r="AS441">
        <v>30.512265562381476</v>
      </c>
      <c r="AT441">
        <v>4.0945856197534019</v>
      </c>
      <c r="AU441">
        <v>8.0850921230800221</v>
      </c>
      <c r="AV441"/>
      <c r="AW441"/>
      <c r="FY441" s="210">
        <v>436</v>
      </c>
      <c r="FZ441">
        <v>1.0070307506919836</v>
      </c>
      <c r="GA441">
        <v>0.48422760421925037</v>
      </c>
      <c r="GB441">
        <v>1.1638912877003169</v>
      </c>
      <c r="GC441">
        <v>0.80514830704711771</v>
      </c>
      <c r="GD441">
        <v>1.6979149628728654</v>
      </c>
      <c r="GE441">
        <v>4.629275628059216</v>
      </c>
      <c r="GF441">
        <v>7.6485331441359854</v>
      </c>
      <c r="GG441">
        <v>8.5119626844972576</v>
      </c>
      <c r="GH441">
        <v>6.6556380732401053</v>
      </c>
      <c r="GI441">
        <v>3.9147160322624734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403"/>
        <v>2.3913272215338401</v>
      </c>
      <c r="D442" s="191">
        <f>$A$406</f>
        <v>9.4499999999999993</v>
      </c>
      <c r="E442" s="8"/>
      <c r="F442" s="124"/>
      <c r="G442" s="173">
        <f t="shared" si="404"/>
        <v>6.9829964750939269E-3</v>
      </c>
      <c r="H442" s="173" t="str">
        <f t="shared" ref="H442:V442" si="406">IF(H424&lt;=0, "0.000", H424)</f>
        <v>0.000</v>
      </c>
      <c r="I442" s="173">
        <f t="shared" si="406"/>
        <v>2.4325060524709424E-2</v>
      </c>
      <c r="J442" s="173">
        <f t="shared" si="406"/>
        <v>1.8986364200366836</v>
      </c>
      <c r="K442" s="173" t="str">
        <f t="shared" si="406"/>
        <v>0.000</v>
      </c>
      <c r="L442" s="173" t="str">
        <f t="shared" si="406"/>
        <v>0.000</v>
      </c>
      <c r="M442" s="173">
        <f t="shared" si="406"/>
        <v>0.46138274449735289</v>
      </c>
      <c r="N442" s="173" t="str">
        <f t="shared" si="406"/>
        <v>0.000</v>
      </c>
      <c r="O442" s="173" t="str">
        <f t="shared" si="406"/>
        <v>0.000</v>
      </c>
      <c r="P442" s="173" t="str">
        <f t="shared" si="406"/>
        <v>0.000</v>
      </c>
      <c r="Q442" s="173" t="str">
        <f t="shared" si="406"/>
        <v>0.000</v>
      </c>
      <c r="R442" s="173" t="str">
        <f t="shared" si="406"/>
        <v>0.000</v>
      </c>
      <c r="S442" s="173" t="str">
        <f t="shared" si="406"/>
        <v>0.000</v>
      </c>
      <c r="T442" s="173" t="str">
        <f t="shared" si="406"/>
        <v>0.000</v>
      </c>
      <c r="U442" s="173" t="str">
        <f t="shared" si="406"/>
        <v>0.000</v>
      </c>
      <c r="V442" s="173" t="str">
        <f t="shared" si="406"/>
        <v>0.000</v>
      </c>
      <c r="W442" s="173" t="str">
        <f t="shared" ref="W442:AK442" si="407">IF(W424&lt;=0, "0.000", W424)</f>
        <v>0.000</v>
      </c>
      <c r="X442" s="173" t="str">
        <f t="shared" si="407"/>
        <v>0.000</v>
      </c>
      <c r="Y442" s="173" t="str">
        <f t="shared" si="407"/>
        <v>0.000</v>
      </c>
      <c r="Z442" s="173" t="str">
        <f t="shared" si="407"/>
        <v>0.000</v>
      </c>
      <c r="AA442" s="173" t="str">
        <f t="shared" si="407"/>
        <v>0.000</v>
      </c>
      <c r="AB442" s="173" t="str">
        <f t="shared" si="407"/>
        <v>0.000</v>
      </c>
      <c r="AC442" s="173" t="str">
        <f t="shared" si="407"/>
        <v>0.000</v>
      </c>
      <c r="AD442" s="173" t="str">
        <f t="shared" si="407"/>
        <v>0.000</v>
      </c>
      <c r="AE442" s="173" t="str">
        <f t="shared" si="407"/>
        <v>0.000</v>
      </c>
      <c r="AF442" s="173" t="str">
        <f t="shared" si="407"/>
        <v>0.000</v>
      </c>
      <c r="AG442" s="173" t="str">
        <f t="shared" si="407"/>
        <v>0.000</v>
      </c>
      <c r="AH442" s="173" t="str">
        <f t="shared" si="407"/>
        <v>0.000</v>
      </c>
      <c r="AI442" s="173" t="str">
        <f t="shared" si="407"/>
        <v>0.000</v>
      </c>
      <c r="AJ442" s="173" t="str">
        <f t="shared" si="407"/>
        <v>0.000</v>
      </c>
      <c r="AK442" s="173" t="str">
        <f t="shared" si="407"/>
        <v>0.000</v>
      </c>
      <c r="AL442" s="4"/>
      <c r="AM442" s="43">
        <v>426</v>
      </c>
      <c r="AN442">
        <v>29.034069637470374</v>
      </c>
      <c r="AO442">
        <v>4.9759970653120522</v>
      </c>
      <c r="AP442">
        <v>33.250067522419485</v>
      </c>
      <c r="AQ442">
        <v>30.025541726997819</v>
      </c>
      <c r="AR442">
        <v>4.8195189851601663</v>
      </c>
      <c r="AS442">
        <v>24.986421408720766</v>
      </c>
      <c r="AT442">
        <v>3.2761254718364952</v>
      </c>
      <c r="AU442">
        <v>12.672148199663017</v>
      </c>
      <c r="AV442"/>
      <c r="AW442"/>
      <c r="FY442" s="210">
        <v>437</v>
      </c>
      <c r="FZ442">
        <v>0.99411000069071032</v>
      </c>
      <c r="GA442">
        <v>1.4103623899768762</v>
      </c>
      <c r="GB442">
        <v>0.80119265608070278</v>
      </c>
      <c r="GC442">
        <v>0.71241710008342074</v>
      </c>
      <c r="GD442">
        <v>1.9782759372725331</v>
      </c>
      <c r="GE442">
        <v>3.7399639411921068</v>
      </c>
      <c r="GF442">
        <v>4.2725707065312077</v>
      </c>
      <c r="GG442">
        <v>6.1840607450791616</v>
      </c>
      <c r="GH442">
        <v>4.8292221514619031</v>
      </c>
      <c r="GI442">
        <v>3.0851906311293855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403"/>
        <v>1.8781722206374392</v>
      </c>
      <c r="D443" s="191">
        <f>A$407</f>
        <v>4.03</v>
      </c>
      <c r="E443" s="8"/>
      <c r="F443" s="124"/>
      <c r="G443" s="173">
        <f t="shared" si="404"/>
        <v>3.5879886522551968E-3</v>
      </c>
      <c r="H443" s="173" t="str">
        <f t="shared" ref="H443:V443" si="408">IF(H425&lt;=0, "0.000", H425)</f>
        <v>0.000</v>
      </c>
      <c r="I443" s="173">
        <f t="shared" si="408"/>
        <v>1.2480871280278343E-2</v>
      </c>
      <c r="J443" s="173">
        <f t="shared" si="408"/>
        <v>0.67242295447452027</v>
      </c>
      <c r="K443" s="173">
        <f t="shared" si="408"/>
        <v>0.95983914339824949</v>
      </c>
      <c r="L443" s="173" t="str">
        <f t="shared" si="408"/>
        <v>0.000</v>
      </c>
      <c r="M443" s="173">
        <f t="shared" si="408"/>
        <v>0.22984126283213602</v>
      </c>
      <c r="N443" s="173" t="str">
        <f t="shared" si="408"/>
        <v>0.000</v>
      </c>
      <c r="O443" s="173" t="str">
        <f t="shared" si="408"/>
        <v>0.000</v>
      </c>
      <c r="P443" s="173" t="str">
        <f t="shared" si="408"/>
        <v>0.000</v>
      </c>
      <c r="Q443" s="173" t="str">
        <f t="shared" si="408"/>
        <v>0.000</v>
      </c>
      <c r="R443" s="173" t="str">
        <f t="shared" si="408"/>
        <v>0.000</v>
      </c>
      <c r="S443" s="173" t="str">
        <f t="shared" si="408"/>
        <v>0.000</v>
      </c>
      <c r="T443" s="173" t="str">
        <f t="shared" si="408"/>
        <v>0.000</v>
      </c>
      <c r="U443" s="173" t="str">
        <f t="shared" si="408"/>
        <v>0.000</v>
      </c>
      <c r="V443" s="173" t="str">
        <f t="shared" si="408"/>
        <v>0.000</v>
      </c>
      <c r="W443" s="173" t="str">
        <f t="shared" ref="W443:AK443" si="409">IF(W425&lt;=0, "0.000", W425)</f>
        <v>0.000</v>
      </c>
      <c r="X443" s="173" t="str">
        <f t="shared" si="409"/>
        <v>0.000</v>
      </c>
      <c r="Y443" s="173" t="str">
        <f t="shared" si="409"/>
        <v>0.000</v>
      </c>
      <c r="Z443" s="173" t="str">
        <f t="shared" si="409"/>
        <v>0.000</v>
      </c>
      <c r="AA443" s="173" t="str">
        <f t="shared" si="409"/>
        <v>0.000</v>
      </c>
      <c r="AB443" s="173" t="str">
        <f t="shared" si="409"/>
        <v>0.000</v>
      </c>
      <c r="AC443" s="173" t="str">
        <f t="shared" si="409"/>
        <v>0.000</v>
      </c>
      <c r="AD443" s="173" t="str">
        <f t="shared" si="409"/>
        <v>0.000</v>
      </c>
      <c r="AE443" s="173" t="str">
        <f t="shared" si="409"/>
        <v>0.000</v>
      </c>
      <c r="AF443" s="173" t="str">
        <f t="shared" si="409"/>
        <v>0.000</v>
      </c>
      <c r="AG443" s="173" t="str">
        <f t="shared" si="409"/>
        <v>0.000</v>
      </c>
      <c r="AH443" s="173" t="str">
        <f t="shared" si="409"/>
        <v>0.000</v>
      </c>
      <c r="AI443" s="173" t="str">
        <f t="shared" si="409"/>
        <v>0.000</v>
      </c>
      <c r="AJ443" s="173" t="str">
        <f t="shared" si="409"/>
        <v>0.000</v>
      </c>
      <c r="AK443" s="173" t="str">
        <f t="shared" si="409"/>
        <v>0.000</v>
      </c>
      <c r="AL443" s="4"/>
      <c r="AM443" s="43">
        <v>427</v>
      </c>
      <c r="AN443">
        <v>24.623269500107739</v>
      </c>
      <c r="AO443">
        <v>4.4980323259622903</v>
      </c>
      <c r="AP443">
        <v>29.457284196194429</v>
      </c>
      <c r="AQ443">
        <v>26.529166693569852</v>
      </c>
      <c r="AR443">
        <v>4.2004067356940888</v>
      </c>
      <c r="AS443">
        <v>20.894450242345069</v>
      </c>
      <c r="AT443">
        <v>2.8869462905830461</v>
      </c>
      <c r="AU443">
        <v>5.9701410121295861</v>
      </c>
      <c r="AV443"/>
      <c r="AW443"/>
      <c r="FY443" s="210">
        <v>438</v>
      </c>
      <c r="FZ443">
        <v>0.96753874616337399</v>
      </c>
      <c r="GA443">
        <v>2.4962072145517085</v>
      </c>
      <c r="GB443">
        <v>1.1763717180838007</v>
      </c>
      <c r="GC443">
        <v>0.46415366846481076</v>
      </c>
      <c r="GD443">
        <v>1.9152249597405808</v>
      </c>
      <c r="GE443">
        <v>4.7443471379408173</v>
      </c>
      <c r="GF443">
        <v>6.9649933762520035</v>
      </c>
      <c r="GG443">
        <v>7.3927826174334346</v>
      </c>
      <c r="GH443">
        <v>5.1997465729815806</v>
      </c>
      <c r="GI443">
        <v>3.709348819359791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403"/>
        <v>0.9469649496340089</v>
      </c>
      <c r="D444" s="191">
        <f>A$408</f>
        <v>0.78</v>
      </c>
      <c r="E444" s="8"/>
      <c r="F444" s="124"/>
      <c r="G444" s="173" t="str">
        <f t="shared" si="404"/>
        <v>0.000</v>
      </c>
      <c r="H444" s="173" t="str">
        <f t="shared" ref="H444:V444" si="410">IF(H426&lt;=0, "0.000", H426)</f>
        <v>0.000</v>
      </c>
      <c r="I444" s="173">
        <f t="shared" si="410"/>
        <v>6.9786087001296512E-3</v>
      </c>
      <c r="J444" s="173">
        <f t="shared" si="410"/>
        <v>8.3196836098704929E-2</v>
      </c>
      <c r="K444" s="173">
        <f t="shared" si="410"/>
        <v>0.85678950483517435</v>
      </c>
      <c r="L444" s="173" t="str">
        <f t="shared" si="410"/>
        <v>0.000</v>
      </c>
      <c r="M444" s="173" t="str">
        <f t="shared" si="410"/>
        <v>0.000</v>
      </c>
      <c r="N444" s="173" t="str">
        <f t="shared" si="410"/>
        <v>0.000</v>
      </c>
      <c r="O444" s="173" t="str">
        <f t="shared" si="410"/>
        <v>0.000</v>
      </c>
      <c r="P444" s="173" t="str">
        <f t="shared" si="410"/>
        <v>0.000</v>
      </c>
      <c r="Q444" s="173" t="str">
        <f t="shared" si="410"/>
        <v>0.000</v>
      </c>
      <c r="R444" s="173" t="str">
        <f t="shared" si="410"/>
        <v>0.000</v>
      </c>
      <c r="S444" s="173" t="str">
        <f t="shared" si="410"/>
        <v>0.000</v>
      </c>
      <c r="T444" s="173" t="str">
        <f t="shared" si="410"/>
        <v>0.000</v>
      </c>
      <c r="U444" s="173" t="str">
        <f t="shared" si="410"/>
        <v>0.000</v>
      </c>
      <c r="V444" s="173" t="str">
        <f t="shared" si="410"/>
        <v>0.000</v>
      </c>
      <c r="W444" s="173" t="str">
        <f t="shared" ref="W444:AK444" si="411">IF(W426&lt;=0, "0.000", W426)</f>
        <v>0.000</v>
      </c>
      <c r="X444" s="173" t="str">
        <f t="shared" si="411"/>
        <v>0.000</v>
      </c>
      <c r="Y444" s="173" t="str">
        <f t="shared" si="411"/>
        <v>0.000</v>
      </c>
      <c r="Z444" s="173" t="str">
        <f t="shared" si="411"/>
        <v>0.000</v>
      </c>
      <c r="AA444" s="173" t="str">
        <f t="shared" si="411"/>
        <v>0.000</v>
      </c>
      <c r="AB444" s="173" t="str">
        <f t="shared" si="411"/>
        <v>0.000</v>
      </c>
      <c r="AC444" s="173" t="str">
        <f t="shared" si="411"/>
        <v>0.000</v>
      </c>
      <c r="AD444" s="173" t="str">
        <f t="shared" si="411"/>
        <v>0.000</v>
      </c>
      <c r="AE444" s="173" t="str">
        <f t="shared" si="411"/>
        <v>0.000</v>
      </c>
      <c r="AF444" s="173" t="str">
        <f t="shared" si="411"/>
        <v>0.000</v>
      </c>
      <c r="AG444" s="173" t="str">
        <f t="shared" si="411"/>
        <v>0.000</v>
      </c>
      <c r="AH444" s="173" t="str">
        <f t="shared" si="411"/>
        <v>0.000</v>
      </c>
      <c r="AI444" s="173" t="str">
        <f t="shared" si="411"/>
        <v>0.000</v>
      </c>
      <c r="AJ444" s="173" t="str">
        <f t="shared" si="411"/>
        <v>0.000</v>
      </c>
      <c r="AK444" s="173" t="str">
        <f t="shared" si="411"/>
        <v>0.000</v>
      </c>
      <c r="AL444" s="4"/>
      <c r="AM444" s="43">
        <v>428</v>
      </c>
      <c r="AN444">
        <v>24.294997291174155</v>
      </c>
      <c r="AO444">
        <v>4.8345404439642197</v>
      </c>
      <c r="AP444">
        <v>38.297949329580383</v>
      </c>
      <c r="AQ444">
        <v>31.73631996801349</v>
      </c>
      <c r="AR444">
        <v>4.5298442758761412</v>
      </c>
      <c r="AS444">
        <v>24.474396735347831</v>
      </c>
      <c r="AT444">
        <v>2.8527274630824864</v>
      </c>
      <c r="AU444">
        <v>-2.3336694589299158</v>
      </c>
      <c r="AV444"/>
      <c r="AW444"/>
      <c r="FY444" s="210">
        <v>439</v>
      </c>
      <c r="FZ444">
        <v>0.76180659865017497</v>
      </c>
      <c r="GA444">
        <v>1.8224061750400058</v>
      </c>
      <c r="GB444">
        <v>1.5934523857538725</v>
      </c>
      <c r="GC444">
        <v>0.97841870325010827</v>
      </c>
      <c r="GD444">
        <v>1.1587216049109612</v>
      </c>
      <c r="GE444">
        <v>2.3486077691477885</v>
      </c>
      <c r="GF444">
        <v>5.3801630670782892</v>
      </c>
      <c r="GG444">
        <v>4.4103911611512263</v>
      </c>
      <c r="GH444">
        <v>3.6436184070443942</v>
      </c>
      <c r="GI444">
        <v>2.7779099431640932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403"/>
        <v>2.2404800014971937</v>
      </c>
      <c r="D445" s="191">
        <f>A$409</f>
        <v>0.14000000000000001</v>
      </c>
      <c r="E445" s="8"/>
      <c r="F445" s="124"/>
      <c r="G445" s="173" t="str">
        <f t="shared" si="404"/>
        <v>0.000</v>
      </c>
      <c r="H445" s="173" t="str">
        <f t="shared" ref="H445:V445" si="412">IF(H427&lt;=0, "0.000", H427)</f>
        <v>0.000</v>
      </c>
      <c r="I445" s="173">
        <f t="shared" si="412"/>
        <v>0.30701534514957923</v>
      </c>
      <c r="J445" s="173">
        <f t="shared" si="412"/>
        <v>0.36615403528796037</v>
      </c>
      <c r="K445" s="173">
        <f t="shared" si="412"/>
        <v>1.2892842301749758</v>
      </c>
      <c r="L445" s="173">
        <f t="shared" si="412"/>
        <v>0.2780263908846784</v>
      </c>
      <c r="M445" s="173" t="str">
        <f t="shared" si="412"/>
        <v>0.000</v>
      </c>
      <c r="N445" s="173" t="str">
        <f t="shared" si="412"/>
        <v>0.000</v>
      </c>
      <c r="O445" s="173" t="str">
        <f t="shared" si="412"/>
        <v>0.000</v>
      </c>
      <c r="P445" s="173" t="str">
        <f t="shared" si="412"/>
        <v>0.000</v>
      </c>
      <c r="Q445" s="173" t="str">
        <f t="shared" si="412"/>
        <v>0.000</v>
      </c>
      <c r="R445" s="173" t="str">
        <f t="shared" si="412"/>
        <v>0.000</v>
      </c>
      <c r="S445" s="173" t="str">
        <f t="shared" si="412"/>
        <v>0.000</v>
      </c>
      <c r="T445" s="173" t="str">
        <f t="shared" si="412"/>
        <v>0.000</v>
      </c>
      <c r="U445" s="173" t="str">
        <f t="shared" si="412"/>
        <v>0.000</v>
      </c>
      <c r="V445" s="173" t="str">
        <f t="shared" si="412"/>
        <v>0.000</v>
      </c>
      <c r="W445" s="173" t="str">
        <f t="shared" ref="W445:AK445" si="413">IF(W427&lt;=0, "0.000", W427)</f>
        <v>0.000</v>
      </c>
      <c r="X445" s="173" t="str">
        <f t="shared" si="413"/>
        <v>0.000</v>
      </c>
      <c r="Y445" s="173" t="str">
        <f t="shared" si="413"/>
        <v>0.000</v>
      </c>
      <c r="Z445" s="173" t="str">
        <f t="shared" si="413"/>
        <v>0.000</v>
      </c>
      <c r="AA445" s="173" t="str">
        <f t="shared" si="413"/>
        <v>0.000</v>
      </c>
      <c r="AB445" s="173" t="str">
        <f t="shared" si="413"/>
        <v>0.000</v>
      </c>
      <c r="AC445" s="173" t="str">
        <f t="shared" si="413"/>
        <v>0.000</v>
      </c>
      <c r="AD445" s="173" t="str">
        <f t="shared" si="413"/>
        <v>0.000</v>
      </c>
      <c r="AE445" s="173" t="str">
        <f t="shared" si="413"/>
        <v>0.000</v>
      </c>
      <c r="AF445" s="173" t="str">
        <f t="shared" si="413"/>
        <v>0.000</v>
      </c>
      <c r="AG445" s="173" t="str">
        <f t="shared" si="413"/>
        <v>0.000</v>
      </c>
      <c r="AH445" s="173" t="str">
        <f t="shared" si="413"/>
        <v>0.000</v>
      </c>
      <c r="AI445" s="173" t="str">
        <f t="shared" si="413"/>
        <v>0.000</v>
      </c>
      <c r="AJ445" s="173" t="str">
        <f t="shared" si="413"/>
        <v>0.000</v>
      </c>
      <c r="AK445" s="173" t="str">
        <f t="shared" si="413"/>
        <v>0.000</v>
      </c>
      <c r="AL445" s="4"/>
      <c r="AM445" s="43">
        <v>429</v>
      </c>
      <c r="AN445">
        <v>33.291637301288027</v>
      </c>
      <c r="AO445">
        <v>6.3980386535693654</v>
      </c>
      <c r="AP445">
        <v>47.20152459065411</v>
      </c>
      <c r="AQ445">
        <v>40.600085731111925</v>
      </c>
      <c r="AR445">
        <v>6.0667639667492939</v>
      </c>
      <c r="AS445">
        <v>31.574462552414403</v>
      </c>
      <c r="AT445">
        <v>3.8177084454494818</v>
      </c>
      <c r="AU445">
        <v>-5.5909995551398532</v>
      </c>
      <c r="AV445"/>
      <c r="AW445"/>
      <c r="FY445" s="210">
        <v>440</v>
      </c>
      <c r="FZ445">
        <v>0.85697510178115499</v>
      </c>
      <c r="GA445">
        <v>1.8243813800928397</v>
      </c>
      <c r="GB445">
        <v>1.2985984932779746</v>
      </c>
      <c r="GC445">
        <v>1.0221933532579137</v>
      </c>
      <c r="GD445">
        <v>1.7309722203200573</v>
      </c>
      <c r="GE445">
        <v>3.2690259240558155</v>
      </c>
      <c r="GF445">
        <v>7.3516252502421189</v>
      </c>
      <c r="GG445">
        <v>8.590375931866518</v>
      </c>
      <c r="GH445">
        <v>6.6968285868782669</v>
      </c>
      <c r="GI445">
        <v>3.9276665055497397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403"/>
        <v>5.9195110959681152</v>
      </c>
      <c r="D446" s="191">
        <f>A$410</f>
        <v>0.21</v>
      </c>
      <c r="E446" s="8"/>
      <c r="F446" s="124"/>
      <c r="G446" s="173" t="str">
        <f t="shared" si="404"/>
        <v>0.000</v>
      </c>
      <c r="H446" s="173" t="str">
        <f t="shared" ref="H446:V446" si="414">IF(H428&lt;=0, "0.000", H428)</f>
        <v>0.000</v>
      </c>
      <c r="I446" s="173">
        <f t="shared" si="414"/>
        <v>0.61077330580466105</v>
      </c>
      <c r="J446" s="173">
        <f t="shared" si="414"/>
        <v>0.7739021176249915</v>
      </c>
      <c r="K446" s="173">
        <f t="shared" si="414"/>
        <v>3.0555961397800733</v>
      </c>
      <c r="L446" s="173">
        <f t="shared" si="414"/>
        <v>1.4792395327583892</v>
      </c>
      <c r="M446" s="173" t="str">
        <f t="shared" si="414"/>
        <v>0.000</v>
      </c>
      <c r="N446" s="173" t="str">
        <f t="shared" si="414"/>
        <v>0.000</v>
      </c>
      <c r="O446" s="173" t="str">
        <f t="shared" si="414"/>
        <v>0.000</v>
      </c>
      <c r="P446" s="173" t="str">
        <f t="shared" si="414"/>
        <v>0.000</v>
      </c>
      <c r="Q446" s="173" t="str">
        <f t="shared" si="414"/>
        <v>0.000</v>
      </c>
      <c r="R446" s="173" t="str">
        <f t="shared" si="414"/>
        <v>0.000</v>
      </c>
      <c r="S446" s="173" t="str">
        <f t="shared" si="414"/>
        <v>0.000</v>
      </c>
      <c r="T446" s="173" t="str">
        <f t="shared" si="414"/>
        <v>0.000</v>
      </c>
      <c r="U446" s="173" t="str">
        <f t="shared" si="414"/>
        <v>0.000</v>
      </c>
      <c r="V446" s="173" t="str">
        <f t="shared" si="414"/>
        <v>0.000</v>
      </c>
      <c r="W446" s="173" t="str">
        <f t="shared" ref="W446:AK446" si="415">IF(W428&lt;=0, "0.000", W428)</f>
        <v>0.000</v>
      </c>
      <c r="X446" s="173" t="str">
        <f t="shared" si="415"/>
        <v>0.000</v>
      </c>
      <c r="Y446" s="173" t="str">
        <f t="shared" si="415"/>
        <v>0.000</v>
      </c>
      <c r="Z446" s="173" t="str">
        <f t="shared" si="415"/>
        <v>0.000</v>
      </c>
      <c r="AA446" s="173" t="str">
        <f t="shared" si="415"/>
        <v>0.000</v>
      </c>
      <c r="AB446" s="173" t="str">
        <f t="shared" si="415"/>
        <v>0.000</v>
      </c>
      <c r="AC446" s="173" t="str">
        <f t="shared" si="415"/>
        <v>0.000</v>
      </c>
      <c r="AD446" s="173" t="str">
        <f t="shared" si="415"/>
        <v>0.000</v>
      </c>
      <c r="AE446" s="173" t="str">
        <f t="shared" si="415"/>
        <v>0.000</v>
      </c>
      <c r="AF446" s="173" t="str">
        <f t="shared" si="415"/>
        <v>0.000</v>
      </c>
      <c r="AG446" s="173" t="str">
        <f t="shared" si="415"/>
        <v>0.000</v>
      </c>
      <c r="AH446" s="173" t="str">
        <f t="shared" si="415"/>
        <v>0.000</v>
      </c>
      <c r="AI446" s="173" t="str">
        <f t="shared" si="415"/>
        <v>0.000</v>
      </c>
      <c r="AJ446" s="173" t="str">
        <f t="shared" si="415"/>
        <v>0.000</v>
      </c>
      <c r="AK446" s="173" t="str">
        <f t="shared" si="415"/>
        <v>0.000</v>
      </c>
      <c r="AL446" s="4"/>
      <c r="AM446" s="43">
        <v>430</v>
      </c>
      <c r="AN446">
        <v>20.787305042379742</v>
      </c>
      <c r="AO446">
        <v>4.1007746988906684</v>
      </c>
      <c r="AP446">
        <v>31.364763732114874</v>
      </c>
      <c r="AQ446">
        <v>26.238159696228173</v>
      </c>
      <c r="AR446">
        <v>3.9068101412521923</v>
      </c>
      <c r="AS446">
        <v>18.729835711841115</v>
      </c>
      <c r="AT446">
        <v>2.6064729603697541</v>
      </c>
      <c r="AU446">
        <v>0.40003915586556249</v>
      </c>
      <c r="AV446"/>
      <c r="AW446"/>
      <c r="FY446" s="210">
        <v>441</v>
      </c>
      <c r="FZ446">
        <v>0.53528698347668557</v>
      </c>
      <c r="GA446">
        <v>1.9691997732301512</v>
      </c>
      <c r="GB446">
        <v>1.8852598687503686</v>
      </c>
      <c r="GC446">
        <v>0.99734631980094557</v>
      </c>
      <c r="GD446">
        <v>1.0919827457042011</v>
      </c>
      <c r="GE446">
        <v>3.0048722826734222</v>
      </c>
      <c r="GF446">
        <v>5.3391104989927225</v>
      </c>
      <c r="GG446">
        <v>5.7674151849065058</v>
      </c>
      <c r="GH446">
        <v>4.2205021431463647</v>
      </c>
      <c r="GI446">
        <v>2.8553372148369038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403"/>
        <v>7.4111966132226677</v>
      </c>
      <c r="D447" s="191">
        <f>A$411</f>
        <v>1.28</v>
      </c>
      <c r="E447" s="8"/>
      <c r="F447" s="124"/>
      <c r="G447" s="173" t="str">
        <f t="shared" si="404"/>
        <v>0.000</v>
      </c>
      <c r="H447" s="173" t="str">
        <f t="shared" ref="H447:V447" si="416">IF(H429&lt;=0, "0.000", H429)</f>
        <v>0.000</v>
      </c>
      <c r="I447" s="173" t="str">
        <f t="shared" si="416"/>
        <v>0.000</v>
      </c>
      <c r="J447" s="173">
        <f t="shared" si="416"/>
        <v>0.80912688679630629</v>
      </c>
      <c r="K447" s="173">
        <f t="shared" si="416"/>
        <v>1.7079722692296035</v>
      </c>
      <c r="L447" s="173">
        <f t="shared" si="416"/>
        <v>2.2161562588342272</v>
      </c>
      <c r="M447" s="173">
        <f t="shared" si="416"/>
        <v>2.2491181077206002</v>
      </c>
      <c r="N447" s="173">
        <f t="shared" si="416"/>
        <v>0.42882309064193069</v>
      </c>
      <c r="O447" s="173" t="str">
        <f t="shared" si="416"/>
        <v>0.000</v>
      </c>
      <c r="P447" s="173" t="str">
        <f t="shared" si="416"/>
        <v>0.000</v>
      </c>
      <c r="Q447" s="173" t="str">
        <f t="shared" si="416"/>
        <v>0.000</v>
      </c>
      <c r="R447" s="173" t="str">
        <f t="shared" si="416"/>
        <v>0.000</v>
      </c>
      <c r="S447" s="173" t="str">
        <f t="shared" si="416"/>
        <v>0.000</v>
      </c>
      <c r="T447" s="173" t="str">
        <f t="shared" si="416"/>
        <v>0.000</v>
      </c>
      <c r="U447" s="173" t="str">
        <f t="shared" si="416"/>
        <v>0.000</v>
      </c>
      <c r="V447" s="173" t="str">
        <f t="shared" si="416"/>
        <v>0.000</v>
      </c>
      <c r="W447" s="173" t="str">
        <f t="shared" ref="W447:AK447" si="417">IF(W429&lt;=0, "0.000", W429)</f>
        <v>0.000</v>
      </c>
      <c r="X447" s="173" t="str">
        <f t="shared" si="417"/>
        <v>0.000</v>
      </c>
      <c r="Y447" s="173" t="str">
        <f t="shared" si="417"/>
        <v>0.000</v>
      </c>
      <c r="Z447" s="173" t="str">
        <f t="shared" si="417"/>
        <v>0.000</v>
      </c>
      <c r="AA447" s="173" t="str">
        <f t="shared" si="417"/>
        <v>0.000</v>
      </c>
      <c r="AB447" s="173" t="str">
        <f t="shared" si="417"/>
        <v>0.000</v>
      </c>
      <c r="AC447" s="173" t="str">
        <f t="shared" si="417"/>
        <v>0.000</v>
      </c>
      <c r="AD447" s="173" t="str">
        <f t="shared" si="417"/>
        <v>0.000</v>
      </c>
      <c r="AE447" s="173" t="str">
        <f t="shared" si="417"/>
        <v>0.000</v>
      </c>
      <c r="AF447" s="173" t="str">
        <f t="shared" si="417"/>
        <v>0.000</v>
      </c>
      <c r="AG447" s="173" t="str">
        <f t="shared" si="417"/>
        <v>0.000</v>
      </c>
      <c r="AH447" s="173" t="str">
        <f t="shared" si="417"/>
        <v>0.000</v>
      </c>
      <c r="AI447" s="173" t="str">
        <f t="shared" si="417"/>
        <v>0.000</v>
      </c>
      <c r="AJ447" s="173" t="str">
        <f t="shared" si="417"/>
        <v>0.000</v>
      </c>
      <c r="AK447" s="173" t="str">
        <f t="shared" si="417"/>
        <v>0.000</v>
      </c>
      <c r="AL447" s="4"/>
      <c r="AM447" s="43">
        <v>431</v>
      </c>
      <c r="AN447">
        <v>27.971865348703584</v>
      </c>
      <c r="AO447">
        <v>5.3569613526264614</v>
      </c>
      <c r="AP447">
        <v>33.417952350614854</v>
      </c>
      <c r="AQ447">
        <v>31.254937301209658</v>
      </c>
      <c r="AR447">
        <v>4.9537959637489202</v>
      </c>
      <c r="AS447">
        <v>24.115853059641587</v>
      </c>
      <c r="AT447">
        <v>3.5720728437010258</v>
      </c>
      <c r="AU447">
        <v>12.246816742532438</v>
      </c>
      <c r="AV447"/>
      <c r="AW447"/>
      <c r="FY447" s="210">
        <v>442</v>
      </c>
      <c r="FZ447">
        <v>0.88517822834473536</v>
      </c>
      <c r="GA447">
        <v>2.52552323159974</v>
      </c>
      <c r="GB447">
        <v>1.7120801153095042</v>
      </c>
      <c r="GC447">
        <v>0.7065115919666527</v>
      </c>
      <c r="GD447">
        <v>1.5499342821779705</v>
      </c>
      <c r="GE447">
        <v>3.2553274648180976</v>
      </c>
      <c r="GF447">
        <v>5.8585914123632206</v>
      </c>
      <c r="GG447">
        <v>5.1256009936208855</v>
      </c>
      <c r="GH447">
        <v>2.0643565256836727</v>
      </c>
      <c r="GI447">
        <v>2.8730346031646659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403"/>
        <v>6.758686525750746</v>
      </c>
      <c r="D448" s="191">
        <f>A$412</f>
        <v>4</v>
      </c>
      <c r="E448" s="8"/>
      <c r="F448" s="124"/>
      <c r="G448" s="173" t="str">
        <f t="shared" si="404"/>
        <v>0.000</v>
      </c>
      <c r="H448" s="173">
        <f t="shared" ref="H448:V448" si="418">IF(H430&lt;=0, "0.000", H430)</f>
        <v>1.7368580508290918E-2</v>
      </c>
      <c r="I448" s="173">
        <f t="shared" si="418"/>
        <v>0.11436203810535593</v>
      </c>
      <c r="J448" s="173">
        <f t="shared" si="418"/>
        <v>0.70414193916585843</v>
      </c>
      <c r="K448" s="173">
        <f t="shared" si="418"/>
        <v>0.37977779506831039</v>
      </c>
      <c r="L448" s="173">
        <f t="shared" si="418"/>
        <v>1.533368763545643</v>
      </c>
      <c r="M448" s="173">
        <f t="shared" si="418"/>
        <v>2.8300963600165674</v>
      </c>
      <c r="N448" s="173">
        <f t="shared" si="418"/>
        <v>1.1795710493407201</v>
      </c>
      <c r="O448" s="173" t="str">
        <f t="shared" si="418"/>
        <v>0.000</v>
      </c>
      <c r="P448" s="173" t="str">
        <f t="shared" si="418"/>
        <v>0.000</v>
      </c>
      <c r="Q448" s="173" t="str">
        <f t="shared" si="418"/>
        <v>0.000</v>
      </c>
      <c r="R448" s="173" t="str">
        <f t="shared" si="418"/>
        <v>0.000</v>
      </c>
      <c r="S448" s="173" t="str">
        <f t="shared" si="418"/>
        <v>0.000</v>
      </c>
      <c r="T448" s="173" t="str">
        <f t="shared" si="418"/>
        <v>0.000</v>
      </c>
      <c r="U448" s="173" t="str">
        <f t="shared" si="418"/>
        <v>0.000</v>
      </c>
      <c r="V448" s="173" t="str">
        <f t="shared" si="418"/>
        <v>0.000</v>
      </c>
      <c r="W448" s="173" t="str">
        <f t="shared" ref="W448:AK448" si="419">IF(W430&lt;=0, "0.000", W430)</f>
        <v>0.000</v>
      </c>
      <c r="X448" s="173" t="str">
        <f t="shared" si="419"/>
        <v>0.000</v>
      </c>
      <c r="Y448" s="173" t="str">
        <f t="shared" si="419"/>
        <v>0.000</v>
      </c>
      <c r="Z448" s="173" t="str">
        <f t="shared" si="419"/>
        <v>0.000</v>
      </c>
      <c r="AA448" s="173" t="str">
        <f t="shared" si="419"/>
        <v>0.000</v>
      </c>
      <c r="AB448" s="173" t="str">
        <f t="shared" si="419"/>
        <v>0.000</v>
      </c>
      <c r="AC448" s="173" t="str">
        <f t="shared" si="419"/>
        <v>0.000</v>
      </c>
      <c r="AD448" s="173" t="str">
        <f t="shared" si="419"/>
        <v>0.000</v>
      </c>
      <c r="AE448" s="173" t="str">
        <f t="shared" si="419"/>
        <v>0.000</v>
      </c>
      <c r="AF448" s="173" t="str">
        <f t="shared" si="419"/>
        <v>0.000</v>
      </c>
      <c r="AG448" s="173" t="str">
        <f t="shared" si="419"/>
        <v>0.000</v>
      </c>
      <c r="AH448" s="173" t="str">
        <f t="shared" si="419"/>
        <v>0.000</v>
      </c>
      <c r="AI448" s="173" t="str">
        <f t="shared" si="419"/>
        <v>0.000</v>
      </c>
      <c r="AJ448" s="173" t="str">
        <f t="shared" si="419"/>
        <v>0.000</v>
      </c>
      <c r="AK448" s="173" t="str">
        <f t="shared" si="419"/>
        <v>0.000</v>
      </c>
      <c r="AL448" s="4"/>
      <c r="AM448" s="43">
        <v>432</v>
      </c>
      <c r="AN448">
        <v>28.860249040855656</v>
      </c>
      <c r="AO448">
        <v>6.2975333823193589</v>
      </c>
      <c r="AP448">
        <v>45.787285579692849</v>
      </c>
      <c r="AQ448">
        <v>39.387384817013093</v>
      </c>
      <c r="AR448">
        <v>5.9817845823735807</v>
      </c>
      <c r="AS448">
        <v>27.4822457132043</v>
      </c>
      <c r="AT448">
        <v>3.8746081775659089</v>
      </c>
      <c r="AU448">
        <v>9.0279906270708778</v>
      </c>
      <c r="AV448"/>
      <c r="AW448"/>
      <c r="FY448" s="210">
        <v>443</v>
      </c>
      <c r="FZ448">
        <v>1.1942838907147273</v>
      </c>
      <c r="GA448">
        <v>3.0515893790903998</v>
      </c>
      <c r="GB448">
        <v>1.9122963310555112</v>
      </c>
      <c r="GC448">
        <v>0.49988121403555941</v>
      </c>
      <c r="GD448">
        <v>2.0378916950702699</v>
      </c>
      <c r="GE448">
        <v>5.5395463623799799</v>
      </c>
      <c r="GF448">
        <v>5.4977122400469618</v>
      </c>
      <c r="GG448">
        <v>5.5183289381199208</v>
      </c>
      <c r="GH448">
        <v>4.1505265900379449</v>
      </c>
      <c r="GI448">
        <v>3.5433618531439102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403"/>
        <v>4.9496093786165254</v>
      </c>
      <c r="D449" s="191">
        <f>A$413</f>
        <v>7.33</v>
      </c>
      <c r="E449" s="8"/>
      <c r="F449" s="124"/>
      <c r="G449" s="173" t="str">
        <f t="shared" si="404"/>
        <v>0.000</v>
      </c>
      <c r="H449" s="173">
        <f t="shared" ref="H449:V449" si="420">IF(H431&lt;=0, "0.000", H431)</f>
        <v>2.2834632801390028E-2</v>
      </c>
      <c r="I449" s="173">
        <f t="shared" si="420"/>
        <v>0.15048642735985313</v>
      </c>
      <c r="J449" s="173">
        <f t="shared" si="420"/>
        <v>1.2276411556374851</v>
      </c>
      <c r="K449" s="173">
        <f t="shared" si="420"/>
        <v>0.25137535064524141</v>
      </c>
      <c r="L449" s="173">
        <f t="shared" si="420"/>
        <v>1.1346772499639968</v>
      </c>
      <c r="M449" s="173">
        <f t="shared" si="420"/>
        <v>1.0916497863554455</v>
      </c>
      <c r="N449" s="173">
        <f t="shared" si="420"/>
        <v>1.0709447758531137</v>
      </c>
      <c r="O449" s="173" t="str">
        <f t="shared" si="420"/>
        <v>0.000</v>
      </c>
      <c r="P449" s="173" t="str">
        <f t="shared" si="420"/>
        <v>0.000</v>
      </c>
      <c r="Q449" s="173" t="str">
        <f t="shared" si="420"/>
        <v>0.000</v>
      </c>
      <c r="R449" s="173" t="str">
        <f t="shared" si="420"/>
        <v>0.000</v>
      </c>
      <c r="S449" s="173" t="str">
        <f t="shared" si="420"/>
        <v>0.000</v>
      </c>
      <c r="T449" s="173" t="str">
        <f t="shared" si="420"/>
        <v>0.000</v>
      </c>
      <c r="U449" s="173" t="str">
        <f t="shared" si="420"/>
        <v>0.000</v>
      </c>
      <c r="V449" s="173" t="str">
        <f t="shared" si="420"/>
        <v>0.000</v>
      </c>
      <c r="W449" s="173" t="str">
        <f t="shared" ref="W449:AK449" si="421">IF(W431&lt;=0, "0.000", W431)</f>
        <v>0.000</v>
      </c>
      <c r="X449" s="173" t="str">
        <f t="shared" si="421"/>
        <v>0.000</v>
      </c>
      <c r="Y449" s="173" t="str">
        <f t="shared" si="421"/>
        <v>0.000</v>
      </c>
      <c r="Z449" s="173" t="str">
        <f t="shared" si="421"/>
        <v>0.000</v>
      </c>
      <c r="AA449" s="173" t="str">
        <f t="shared" si="421"/>
        <v>0.000</v>
      </c>
      <c r="AB449" s="173" t="str">
        <f t="shared" si="421"/>
        <v>0.000</v>
      </c>
      <c r="AC449" s="173" t="str">
        <f t="shared" si="421"/>
        <v>0.000</v>
      </c>
      <c r="AD449" s="173" t="str">
        <f t="shared" si="421"/>
        <v>0.000</v>
      </c>
      <c r="AE449" s="173" t="str">
        <f t="shared" si="421"/>
        <v>0.000</v>
      </c>
      <c r="AF449" s="173" t="str">
        <f t="shared" si="421"/>
        <v>0.000</v>
      </c>
      <c r="AG449" s="173" t="str">
        <f t="shared" si="421"/>
        <v>0.000</v>
      </c>
      <c r="AH449" s="173" t="str">
        <f t="shared" si="421"/>
        <v>0.000</v>
      </c>
      <c r="AI449" s="173" t="str">
        <f t="shared" si="421"/>
        <v>0.000</v>
      </c>
      <c r="AJ449" s="173" t="str">
        <f t="shared" si="421"/>
        <v>0.000</v>
      </c>
      <c r="AK449" s="173" t="str">
        <f t="shared" si="421"/>
        <v>0.000</v>
      </c>
      <c r="AL449" s="4"/>
      <c r="AM449" s="43">
        <v>433</v>
      </c>
      <c r="AN449">
        <v>23.826356717900836</v>
      </c>
      <c r="AO449">
        <v>4.5722278227243622</v>
      </c>
      <c r="AP449">
        <v>33.824900624613292</v>
      </c>
      <c r="AQ449">
        <v>28.581729272222908</v>
      </c>
      <c r="AR449">
        <v>4.1644477530191555</v>
      </c>
      <c r="AS449">
        <v>20.368325446683208</v>
      </c>
      <c r="AT449" t="e">
        <v>#DIV/0!</v>
      </c>
      <c r="AU449" t="e">
        <v>#DIV/0!</v>
      </c>
      <c r="AV449"/>
      <c r="AW449"/>
      <c r="FY449" s="210">
        <v>444</v>
      </c>
      <c r="FZ449">
        <v>0.76214489271697028</v>
      </c>
      <c r="GA449">
        <v>2.0021486685761865</v>
      </c>
      <c r="GB449">
        <v>1.2160240786074115</v>
      </c>
      <c r="GC449">
        <v>0.55980939257239326</v>
      </c>
      <c r="GD449">
        <v>2.38609283478596</v>
      </c>
      <c r="GE449">
        <v>6.9683578304338738</v>
      </c>
      <c r="GF449">
        <v>10.429993937893443</v>
      </c>
      <c r="GG449">
        <v>11.372124035657251</v>
      </c>
      <c r="GH449">
        <v>8.5186394468963158</v>
      </c>
      <c r="GI449">
        <v>5.1200405413392964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403"/>
        <v>4.1089122048517064</v>
      </c>
      <c r="D450" s="191">
        <f>A$414</f>
        <v>10.51</v>
      </c>
      <c r="E450" s="8"/>
      <c r="F450" s="124"/>
      <c r="G450" s="173">
        <f t="shared" si="404"/>
        <v>8.753389217283934E-4</v>
      </c>
      <c r="H450" s="173">
        <f t="shared" ref="H450:V450" si="422">IF(H432&lt;=0, "0.000", H432)</f>
        <v>3.5974426118326004E-3</v>
      </c>
      <c r="I450" s="173">
        <f t="shared" si="422"/>
        <v>0.22850814404367295</v>
      </c>
      <c r="J450" s="173">
        <f t="shared" si="422"/>
        <v>0.85224454186201515</v>
      </c>
      <c r="K450" s="173">
        <f t="shared" si="422"/>
        <v>1.3403226636525811</v>
      </c>
      <c r="L450" s="173">
        <f t="shared" si="422"/>
        <v>0.76047546630801366</v>
      </c>
      <c r="M450" s="173">
        <f t="shared" si="422"/>
        <v>0.6648356834901481</v>
      </c>
      <c r="N450" s="173">
        <f t="shared" si="422"/>
        <v>0.25805292396171503</v>
      </c>
      <c r="O450" s="173" t="str">
        <f t="shared" si="422"/>
        <v>0.000</v>
      </c>
      <c r="P450" s="173" t="str">
        <f t="shared" si="422"/>
        <v>0.000</v>
      </c>
      <c r="Q450" s="173" t="str">
        <f t="shared" si="422"/>
        <v>0.000</v>
      </c>
      <c r="R450" s="173" t="str">
        <f t="shared" si="422"/>
        <v>0.000</v>
      </c>
      <c r="S450" s="173" t="str">
        <f t="shared" si="422"/>
        <v>0.000</v>
      </c>
      <c r="T450" s="173" t="str">
        <f t="shared" si="422"/>
        <v>0.000</v>
      </c>
      <c r="U450" s="173" t="str">
        <f t="shared" si="422"/>
        <v>0.000</v>
      </c>
      <c r="V450" s="173" t="str">
        <f t="shared" si="422"/>
        <v>0.000</v>
      </c>
      <c r="W450" s="173" t="str">
        <f t="shared" ref="W450:AK450" si="423">IF(W432&lt;=0, "0.000", W432)</f>
        <v>0.000</v>
      </c>
      <c r="X450" s="173" t="str">
        <f t="shared" si="423"/>
        <v>0.000</v>
      </c>
      <c r="Y450" s="173" t="str">
        <f t="shared" si="423"/>
        <v>0.000</v>
      </c>
      <c r="Z450" s="173" t="str">
        <f t="shared" si="423"/>
        <v>0.000</v>
      </c>
      <c r="AA450" s="173" t="str">
        <f t="shared" si="423"/>
        <v>0.000</v>
      </c>
      <c r="AB450" s="173" t="str">
        <f t="shared" si="423"/>
        <v>0.000</v>
      </c>
      <c r="AC450" s="173" t="str">
        <f t="shared" si="423"/>
        <v>0.000</v>
      </c>
      <c r="AD450" s="173" t="str">
        <f t="shared" si="423"/>
        <v>0.000</v>
      </c>
      <c r="AE450" s="173" t="str">
        <f t="shared" si="423"/>
        <v>0.000</v>
      </c>
      <c r="AF450" s="173" t="str">
        <f t="shared" si="423"/>
        <v>0.000</v>
      </c>
      <c r="AG450" s="173" t="str">
        <f t="shared" si="423"/>
        <v>0.000</v>
      </c>
      <c r="AH450" s="173" t="str">
        <f t="shared" si="423"/>
        <v>0.000</v>
      </c>
      <c r="AI450" s="173" t="str">
        <f t="shared" si="423"/>
        <v>0.000</v>
      </c>
      <c r="AJ450" s="173" t="str">
        <f t="shared" si="423"/>
        <v>0.000</v>
      </c>
      <c r="AK450" s="173" t="str">
        <f t="shared" si="423"/>
        <v>0.000</v>
      </c>
      <c r="AL450" s="4"/>
      <c r="AM450" s="43">
        <v>434</v>
      </c>
      <c r="AN450">
        <v>20.510834694511555</v>
      </c>
      <c r="AO450">
        <v>4.9363898956341288</v>
      </c>
      <c r="AP450">
        <v>39.391822086982046</v>
      </c>
      <c r="AQ450">
        <v>32.221907621058769</v>
      </c>
      <c r="AR450">
        <v>4.7228463101721534</v>
      </c>
      <c r="AS450">
        <v>22.847586486372535</v>
      </c>
      <c r="AT450">
        <v>3.0386086880216365</v>
      </c>
      <c r="AU450">
        <v>-1.6566103151295473</v>
      </c>
      <c r="AV450"/>
      <c r="AW450"/>
      <c r="FY450" s="210">
        <v>445</v>
      </c>
      <c r="FZ450">
        <v>1.2006315010264319</v>
      </c>
      <c r="GA450">
        <v>2.6418790154112681</v>
      </c>
      <c r="GB450">
        <v>1.2635662509723593</v>
      </c>
      <c r="GC450">
        <v>0.50095118105694492</v>
      </c>
      <c r="GD450">
        <v>2.3870399838760754</v>
      </c>
      <c r="GE450">
        <v>5.6961903190098084</v>
      </c>
      <c r="GF450">
        <v>4.6480716771783817</v>
      </c>
      <c r="GG450">
        <v>6.4802312028052294</v>
      </c>
      <c r="GH450">
        <v>7.7618021646475359</v>
      </c>
      <c r="GI450">
        <v>3.9990661012034829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29.058368833644561</v>
      </c>
      <c r="AO451">
        <v>4.8190205358114699</v>
      </c>
      <c r="AP451">
        <v>34.201944817210347</v>
      </c>
      <c r="AQ451">
        <v>29.936805573914405</v>
      </c>
      <c r="AR451">
        <v>4.4624191406210221</v>
      </c>
      <c r="AS451">
        <v>22.316234433713905</v>
      </c>
      <c r="AT451">
        <v>3.0703504873360106</v>
      </c>
      <c r="AU451">
        <v>15.492174934905066</v>
      </c>
      <c r="AV451"/>
      <c r="AW451"/>
      <c r="FY451" s="210">
        <v>446</v>
      </c>
      <c r="FZ451">
        <v>0.70646839411459961</v>
      </c>
      <c r="GA451">
        <v>1.891217460581339</v>
      </c>
      <c r="GB451">
        <v>1.3381885128468216</v>
      </c>
      <c r="GC451">
        <v>0.72428126559091843</v>
      </c>
      <c r="GD451">
        <v>0.92245866116694419</v>
      </c>
      <c r="GE451">
        <v>1.8048572877896101</v>
      </c>
      <c r="GF451">
        <v>3.1064333392395884</v>
      </c>
      <c r="GG451">
        <v>5.8003213994515779</v>
      </c>
      <c r="GH451">
        <v>6.4621900044484546</v>
      </c>
      <c r="GI451">
        <v>2.6021521049198002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34.787622840325433</v>
      </c>
      <c r="AO452">
        <v>5.696437020712227</v>
      </c>
      <c r="AP452">
        <v>43.353172816709993</v>
      </c>
      <c r="AQ452">
        <v>36.518338474726576</v>
      </c>
      <c r="AR452">
        <v>5.3894444021990031</v>
      </c>
      <c r="AS452">
        <v>25.618804093491253</v>
      </c>
      <c r="AT452">
        <v>3.3264705044759926</v>
      </c>
      <c r="AU452">
        <v>0.93639081637110744</v>
      </c>
      <c r="AV452"/>
      <c r="AW452"/>
      <c r="FY452" s="210">
        <v>447</v>
      </c>
      <c r="FZ452">
        <v>1.049786499293081</v>
      </c>
      <c r="GA452">
        <v>2.4860772592260281</v>
      </c>
      <c r="GB452">
        <v>1.2764678740016546</v>
      </c>
      <c r="GC452">
        <v>0.87588312157496928</v>
      </c>
      <c r="GD452">
        <v>1.4638297986348905</v>
      </c>
      <c r="GE452">
        <v>2.6251306417626115</v>
      </c>
      <c r="GF452">
        <v>3.9653747509663222</v>
      </c>
      <c r="GG452">
        <v>5.4554869639285535</v>
      </c>
      <c r="GH452">
        <v>4.2922394167395233</v>
      </c>
      <c r="GI452">
        <v>2.7548052210780516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37.716896349297258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18.452261612500973</v>
      </c>
      <c r="AO453">
        <v>4.5688652465711934</v>
      </c>
      <c r="AP453">
        <v>31.910389358616897</v>
      </c>
      <c r="AQ453">
        <v>28.00736625949801</v>
      </c>
      <c r="AR453">
        <v>4.298860283126646</v>
      </c>
      <c r="AS453">
        <v>19.901103251248173</v>
      </c>
      <c r="AT453">
        <v>3.1681315695404648</v>
      </c>
      <c r="AU453">
        <v>1.4000106432486257</v>
      </c>
      <c r="AV453"/>
      <c r="AW453"/>
      <c r="FY453" s="210">
        <v>448</v>
      </c>
      <c r="FZ453">
        <v>1.6267611827792789</v>
      </c>
      <c r="GA453">
        <v>1.8401157273644511</v>
      </c>
      <c r="GB453">
        <v>0.85959994637186177</v>
      </c>
      <c r="GC453">
        <v>0.77038884380320583</v>
      </c>
      <c r="GD453">
        <v>1.4008882879919224</v>
      </c>
      <c r="GE453">
        <v>4.9145009375907573</v>
      </c>
      <c r="GF453">
        <v>5.755844307969217</v>
      </c>
      <c r="GG453">
        <v>3.0416312269150141</v>
      </c>
      <c r="GH453">
        <v>4.7459397684017937</v>
      </c>
      <c r="GI453">
        <v>3.1033037767093106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20.381596166835525</v>
      </c>
      <c r="AO454">
        <v>5.4964381092867187</v>
      </c>
      <c r="AP454">
        <v>41.328273070380362</v>
      </c>
      <c r="AQ454">
        <v>35.030714830971903</v>
      </c>
      <c r="AR454">
        <v>5.1138056120101751</v>
      </c>
      <c r="AS454">
        <v>22.844656207750567</v>
      </c>
      <c r="AT454">
        <v>3.7580855140398763</v>
      </c>
      <c r="AU454">
        <v>2.7372739255395397</v>
      </c>
      <c r="AV454"/>
      <c r="AW454"/>
      <c r="FY454" s="210">
        <v>449</v>
      </c>
      <c r="FZ454">
        <v>0.82349241349745528</v>
      </c>
      <c r="GA454">
        <v>2.3043535857888719</v>
      </c>
      <c r="GB454">
        <v>1.1471422105055855</v>
      </c>
      <c r="GC454">
        <v>0.74958963477852947</v>
      </c>
      <c r="GD454">
        <v>1.8594247832929589</v>
      </c>
      <c r="GE454">
        <v>4.4420022746779626</v>
      </c>
      <c r="GF454">
        <v>8.333285585794016</v>
      </c>
      <c r="GG454">
        <v>9.4299099978518832</v>
      </c>
      <c r="GH454">
        <v>7.0579220503403874</v>
      </c>
      <c r="GI454">
        <v>4.1779314330939732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8"/>
      <c r="P455" s="228"/>
      <c r="Q455" s="228"/>
      <c r="R455" s="228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20.130550048601908</v>
      </c>
      <c r="AO455">
        <v>3.8786745927690491</v>
      </c>
      <c r="AP455">
        <v>30.376596141700027</v>
      </c>
      <c r="AQ455">
        <v>24.875495815190913</v>
      </c>
      <c r="AR455">
        <v>3.867880242024845</v>
      </c>
      <c r="AS455">
        <v>17.593391603512941</v>
      </c>
      <c r="AT455">
        <v>2.5227159064868876</v>
      </c>
      <c r="AU455">
        <v>1.7985378183423255</v>
      </c>
      <c r="AV455"/>
      <c r="AW455"/>
      <c r="FY455" s="210">
        <v>450</v>
      </c>
      <c r="FZ455">
        <v>1.3236648366541968</v>
      </c>
      <c r="GA455">
        <v>2.1138048073377398</v>
      </c>
      <c r="GB455">
        <v>1.2595635681650039</v>
      </c>
      <c r="GC455">
        <v>0.80444856628921324</v>
      </c>
      <c r="GD455">
        <v>1.3132896358326513</v>
      </c>
      <c r="GE455">
        <v>4.0060979133515309</v>
      </c>
      <c r="GF455">
        <v>5.5219186868973562</v>
      </c>
      <c r="GG455">
        <v>2.5780116397324195</v>
      </c>
      <c r="GH455">
        <v>1.9583020809184772</v>
      </c>
      <c r="GI455">
        <v>2.6256572389136483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21.543210305012167</v>
      </c>
      <c r="AO456">
        <v>5.6748634470890575</v>
      </c>
      <c r="AP456">
        <v>44.476005093297104</v>
      </c>
      <c r="AQ456">
        <v>36.5686427473224</v>
      </c>
      <c r="AR456">
        <v>5.4756889748821855</v>
      </c>
      <c r="AS456">
        <v>22.970172581866805</v>
      </c>
      <c r="AT456">
        <v>3.6114555182845867</v>
      </c>
      <c r="AU456">
        <v>-2.3546683709120488</v>
      </c>
      <c r="AV456"/>
      <c r="AW456"/>
      <c r="FY456" s="210">
        <v>451</v>
      </c>
      <c r="FZ456">
        <v>1.2356332966574439</v>
      </c>
      <c r="GA456">
        <v>3.1609193786055574</v>
      </c>
      <c r="GB456">
        <v>2.0865453427757754</v>
      </c>
      <c r="GC456">
        <v>0.9574312959032153</v>
      </c>
      <c r="GD456">
        <v>2.0867291981246368</v>
      </c>
      <c r="GE456">
        <v>6.5099939792799626</v>
      </c>
      <c r="GF456">
        <v>11.017308164248925</v>
      </c>
      <c r="GG456">
        <v>7.4504906671401407</v>
      </c>
      <c r="GH456">
        <v>3.3696541582826152</v>
      </c>
      <c r="GI456">
        <v>4.5200324793413555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1.3286564625850341</v>
      </c>
      <c r="E457" s="97">
        <f>+G36</f>
        <v>9.0179821009927358E-4</v>
      </c>
      <c r="F457" s="102">
        <f>+D457-D459</f>
        <v>0.50193688586545737</v>
      </c>
      <c r="G457" s="101">
        <f>+D457*E457</f>
        <v>1.1981800197960163E-3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19.331115397604762</v>
      </c>
      <c r="AO457">
        <v>4.2926239713499985</v>
      </c>
      <c r="AP457">
        <v>33.607792374201509</v>
      </c>
      <c r="AQ457">
        <v>27.66631301551827</v>
      </c>
      <c r="AR457">
        <v>3.9028253363082359</v>
      </c>
      <c r="AS457">
        <v>18.459841322905326</v>
      </c>
      <c r="AT457">
        <v>2.9235665125098897</v>
      </c>
      <c r="AU457">
        <v>5.2571742678818749</v>
      </c>
      <c r="AV457"/>
      <c r="AW457"/>
      <c r="FY457" s="210">
        <v>452</v>
      </c>
      <c r="FZ457">
        <v>1.3305762704105606</v>
      </c>
      <c r="GA457">
        <v>2.2856720406493252</v>
      </c>
      <c r="GB457">
        <v>2.0654466698625153</v>
      </c>
      <c r="GC457">
        <v>1.0858869148756849</v>
      </c>
      <c r="GD457">
        <v>1.745584932768717</v>
      </c>
      <c r="GE457">
        <v>4.820007937881754</v>
      </c>
      <c r="GF457">
        <v>7.9334826809909318</v>
      </c>
      <c r="GG457">
        <v>7.2051262023045872</v>
      </c>
      <c r="GH457">
        <v>4.3526432851770309</v>
      </c>
      <c r="GI457">
        <v>3.8981394739024511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2.3179935494762475E-3</v>
      </c>
      <c r="I458" s="101">
        <f>+H458*F457</f>
        <v>1.1634864636803257E-3</v>
      </c>
      <c r="J458" s="101">
        <f>+I458*$A$440</f>
        <v>8.1444052457622807E-3</v>
      </c>
      <c r="K458" s="61">
        <f>IF(J458&lt;0,0,J458)</f>
        <v>8.1444052457622807E-3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25.350165664670122</v>
      </c>
      <c r="AO458">
        <v>4.1852575476705001</v>
      </c>
      <c r="AP458">
        <v>31.301204872694498</v>
      </c>
      <c r="AQ458">
        <v>26.556138449049147</v>
      </c>
      <c r="AR458">
        <v>3.9661740658824218</v>
      </c>
      <c r="AS458">
        <v>21.597919732125927</v>
      </c>
      <c r="AT458">
        <v>2.6986516065376969</v>
      </c>
      <c r="AU458">
        <v>11.014375330067621</v>
      </c>
      <c r="AV458"/>
      <c r="AW458"/>
      <c r="FY458" s="210">
        <v>453</v>
      </c>
      <c r="FZ458">
        <v>1.1860788789889147</v>
      </c>
      <c r="GA458">
        <v>2.6058488979237922</v>
      </c>
      <c r="GB458">
        <v>2.0081894214950822</v>
      </c>
      <c r="GC458">
        <v>1.1409812145946543</v>
      </c>
      <c r="GD458">
        <v>2.7436546296506998</v>
      </c>
      <c r="GE458">
        <v>5.4383260975394041</v>
      </c>
      <c r="GF458">
        <v>5.6670922713678298</v>
      </c>
      <c r="GG458">
        <v>6.9841166666726542</v>
      </c>
      <c r="GH458">
        <v>5.0869516631248848</v>
      </c>
      <c r="GI458">
        <v>4.1525932162596986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0.82671957671957674</v>
      </c>
      <c r="E459" s="97">
        <f>+H36</f>
        <v>5.9581999999999994E-3</v>
      </c>
      <c r="F459" s="102">
        <f>+D459-D461</f>
        <v>-7.1375140965477097</v>
      </c>
      <c r="G459" s="101">
        <f>+D459*E459</f>
        <v>4.9257605820105816E-3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21.912122514604132</v>
      </c>
      <c r="AO459">
        <v>5.2781335940890326</v>
      </c>
      <c r="AP459">
        <v>37.872207283278193</v>
      </c>
      <c r="AQ459">
        <v>32.945418493695186</v>
      </c>
      <c r="AR459">
        <v>4.859350488800227</v>
      </c>
      <c r="AS459">
        <v>22.455202397534109</v>
      </c>
      <c r="AT459">
        <v>3.2524935711672742</v>
      </c>
      <c r="AU459">
        <v>-1.8625853633043321</v>
      </c>
      <c r="AV459"/>
      <c r="AW459"/>
      <c r="FY459" s="210">
        <v>454</v>
      </c>
      <c r="FZ459">
        <v>1.0770343419540078</v>
      </c>
      <c r="GA459">
        <v>1.8864954000936667</v>
      </c>
      <c r="GB459">
        <v>1.0950014331544411</v>
      </c>
      <c r="GC459">
        <v>0.48862881338078051</v>
      </c>
      <c r="GD459">
        <v>1.5032355028050659</v>
      </c>
      <c r="GE459">
        <v>3.7655231866685241</v>
      </c>
      <c r="GF459">
        <v>7.6575117193591957</v>
      </c>
      <c r="GG459">
        <v>8.9399512023132814</v>
      </c>
      <c r="GH459">
        <v>6.3865638233239661</v>
      </c>
      <c r="GI459">
        <v>3.7573893122940065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1.5315032799820036E-2</v>
      </c>
      <c r="I460" s="101">
        <f>+H460*F459</f>
        <v>-0.10931126249780604</v>
      </c>
      <c r="J460" s="101">
        <f>+I460*$A$440</f>
        <v>-0.76517883748464222</v>
      </c>
      <c r="K460" s="61">
        <f>IF(AND(J460&lt;0, J458&lt;0), 0, J460)</f>
        <v>-0.76517883748464222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38.901077383467488</v>
      </c>
      <c r="AO460">
        <v>7.6530880553315965</v>
      </c>
      <c r="AP460">
        <v>58.126549323638443</v>
      </c>
      <c r="AQ460">
        <v>49.335375659479098</v>
      </c>
      <c r="AR460">
        <v>6.9987557962370772</v>
      </c>
      <c r="AS460">
        <v>32.799071265467788</v>
      </c>
      <c r="AT460">
        <v>4.1940849371372373</v>
      </c>
      <c r="AU460">
        <v>-11.741455239699874</v>
      </c>
      <c r="AV460"/>
      <c r="AW460"/>
      <c r="FY460" s="210">
        <v>455</v>
      </c>
      <c r="FZ460">
        <v>0.72045719270745812</v>
      </c>
      <c r="GA460">
        <v>1.6566292801446305</v>
      </c>
      <c r="GB460">
        <v>1.0703629850151668</v>
      </c>
      <c r="GC460">
        <v>0.91169394395440895</v>
      </c>
      <c r="GD460">
        <v>1.9399020323345213</v>
      </c>
      <c r="GE460">
        <v>4.0315404304106917</v>
      </c>
      <c r="GF460">
        <v>4.3650683063921756</v>
      </c>
      <c r="GG460">
        <v>3.3337688698253203</v>
      </c>
      <c r="GH460">
        <v>3.3246168130042211</v>
      </c>
      <c r="GI460">
        <v>2.8604787041573072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7.9642336732672865</v>
      </c>
      <c r="E461" s="97">
        <f>+I36</f>
        <v>3.9365954425760054E-2</v>
      </c>
      <c r="F461" s="102">
        <f>+D461-D463</f>
        <v>-1.8205181395457481</v>
      </c>
      <c r="G461" s="101">
        <f>+D461*E461</f>
        <v>0.31351965981794361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28.556423237029854</v>
      </c>
      <c r="AO461">
        <v>5.7967061801860247</v>
      </c>
      <c r="AP461">
        <v>41.509272820661373</v>
      </c>
      <c r="AQ461">
        <v>36.579429397187518</v>
      </c>
      <c r="AR461">
        <v>5.526057867373023</v>
      </c>
      <c r="AS461">
        <v>27.332788823546444</v>
      </c>
      <c r="AT461">
        <v>3.2862267596669206</v>
      </c>
      <c r="AU461">
        <v>7.1952857234264611</v>
      </c>
      <c r="AV461"/>
      <c r="AW461"/>
      <c r="FY461" s="210">
        <v>456</v>
      </c>
      <c r="FZ461">
        <v>0.89130030927857662</v>
      </c>
      <c r="GA461">
        <v>2.6661054836967968</v>
      </c>
      <c r="GB461">
        <v>1.8277385963741795</v>
      </c>
      <c r="GC461">
        <v>0.81752088142832768</v>
      </c>
      <c r="GD461">
        <v>1.9410023259725708</v>
      </c>
      <c r="GE461">
        <v>4.8822802944795844</v>
      </c>
      <c r="GF461">
        <v>7.3868248783496657</v>
      </c>
      <c r="GG461">
        <v>7.8137779180421889</v>
      </c>
      <c r="GH461">
        <v>5.8206631717567028</v>
      </c>
      <c r="GI461">
        <v>4.0411029921536556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6.83844062015561E-2</v>
      </c>
      <c r="I462" s="101">
        <f>+H462*F461</f>
        <v>-0.12449505195199763</v>
      </c>
      <c r="J462" s="101">
        <f>+I462*$A$440</f>
        <v>-0.87146536366398342</v>
      </c>
      <c r="K462" s="61">
        <f>IF(AND(J462&lt;0, J460&lt;0), 0, J462)</f>
        <v>0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15.708508216320714</v>
      </c>
      <c r="AO462">
        <v>3.7911137671281372</v>
      </c>
      <c r="AP462">
        <v>31.369173431193076</v>
      </c>
      <c r="AQ462">
        <v>25.358568430149653</v>
      </c>
      <c r="AR462">
        <v>3.6492778560276111</v>
      </c>
      <c r="AS462">
        <v>14.737114835730731</v>
      </c>
      <c r="AT462">
        <v>2.2384286218247063</v>
      </c>
      <c r="AU462">
        <v>1.1259077130871176</v>
      </c>
      <c r="AV462"/>
      <c r="AW462"/>
      <c r="FY462" s="210">
        <v>457</v>
      </c>
      <c r="FZ462">
        <v>0.9881006844458009</v>
      </c>
      <c r="GA462">
        <v>2.3888263132467804</v>
      </c>
      <c r="GB462">
        <v>1.7043218189673257</v>
      </c>
      <c r="GC462">
        <v>0.87624257261106298</v>
      </c>
      <c r="GD462">
        <v>1.8014847504431035</v>
      </c>
      <c r="GE462">
        <v>3.6025332877312404</v>
      </c>
      <c r="GF462">
        <v>4.8836082059514236</v>
      </c>
      <c r="GG462">
        <v>5.2167741411247794</v>
      </c>
      <c r="GH462">
        <v>3.641890617002252</v>
      </c>
      <c r="GI462">
        <v>3.1209415021569664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9.7847518128130346</v>
      </c>
      <c r="E463" s="97">
        <f>+J36</f>
        <v>0.11879369063332791</v>
      </c>
      <c r="F463" s="102">
        <f>+D463-D465</f>
        <v>2.9101779739534823</v>
      </c>
      <c r="G463" s="101">
        <f>+D463*E463</f>
        <v>1.1623667797752062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23.230555411494475</v>
      </c>
      <c r="AO463">
        <v>4.085516973364788</v>
      </c>
      <c r="AP463">
        <v>30.86502654999693</v>
      </c>
      <c r="AQ463">
        <v>26.245081547205686</v>
      </c>
      <c r="AR463">
        <v>3.8205805913823423</v>
      </c>
      <c r="AS463">
        <v>18.380870221964749</v>
      </c>
      <c r="AT463">
        <v>2.5358786848977588</v>
      </c>
      <c r="AU463">
        <v>-0.43335427925342618</v>
      </c>
      <c r="AV463"/>
      <c r="AW463"/>
      <c r="FY463" s="210">
        <v>458</v>
      </c>
      <c r="FZ463">
        <v>1.2829920188450705</v>
      </c>
      <c r="GA463">
        <v>2.7729382663298017</v>
      </c>
      <c r="GB463">
        <v>2.1344168671559229</v>
      </c>
      <c r="GC463">
        <v>0.83878142618364637</v>
      </c>
      <c r="GD463">
        <v>0.77981798744554132</v>
      </c>
      <c r="GE463">
        <v>1.7982311495385204</v>
      </c>
      <c r="GF463">
        <v>3.2124990191911342</v>
      </c>
      <c r="GG463">
        <v>4.0046055511590399</v>
      </c>
      <c r="GH463">
        <v>3.5065872661680886</v>
      </c>
      <c r="GI463">
        <v>2.3432707392865968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0.17577614446863962</v>
      </c>
      <c r="I464" s="101">
        <f>+H464*F463</f>
        <v>0.51153986397910023</v>
      </c>
      <c r="J464" s="101">
        <f>+I464*$A$440</f>
        <v>3.5807790478537016</v>
      </c>
      <c r="K464" s="61">
        <f>IF(AND(J464&lt;0, J462&lt;0), 0, J464)</f>
        <v>3.5807790478537016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21.817170965608469</v>
      </c>
      <c r="AO464">
        <v>4.3910455757664568</v>
      </c>
      <c r="AP464">
        <v>31.889292255949155</v>
      </c>
      <c r="AQ464">
        <v>28.058974005896815</v>
      </c>
      <c r="AR464">
        <v>4.1233620226004453</v>
      </c>
      <c r="AS464">
        <v>19.705007767862135</v>
      </c>
      <c r="AT464">
        <v>2.9062876449276405</v>
      </c>
      <c r="AU464">
        <v>5.5194869584707345</v>
      </c>
      <c r="AV464"/>
      <c r="AW464"/>
      <c r="FY464" s="210">
        <v>459</v>
      </c>
      <c r="FZ464">
        <v>1.3652397719747775</v>
      </c>
      <c r="GA464">
        <v>1.7503459400650541</v>
      </c>
      <c r="GB464">
        <v>1.1162030036845993</v>
      </c>
      <c r="GC464">
        <v>0.58600570084012571</v>
      </c>
      <c r="GD464">
        <v>2.0719353514774905</v>
      </c>
      <c r="GE464">
        <v>5.1833218639714387</v>
      </c>
      <c r="GF464">
        <v>6.2548155444314322</v>
      </c>
      <c r="GG464">
        <v>6.0205922137494952</v>
      </c>
      <c r="GH464">
        <v>3.5917764941262638</v>
      </c>
      <c r="GI464">
        <v>3.4416250800062973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6.8745738388595523</v>
      </c>
      <c r="E465" s="97">
        <f>+K36</f>
        <v>0.26009170015290151</v>
      </c>
      <c r="F465" s="102">
        <f>+D465-D467</f>
        <v>4.7896052360338066</v>
      </c>
      <c r="G465" s="101">
        <f>+D465*E465</f>
        <v>1.7880195975756397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32.750388662466257</v>
      </c>
      <c r="AO465">
        <v>6.172057546750497</v>
      </c>
      <c r="AP465">
        <v>48.380898503389012</v>
      </c>
      <c r="AQ465">
        <v>40.325053969621621</v>
      </c>
      <c r="AR465">
        <v>5.7604324767259607</v>
      </c>
      <c r="AS465">
        <v>24.736038852405947</v>
      </c>
      <c r="AT465">
        <v>3.4035097742130334</v>
      </c>
      <c r="AU465">
        <v>-0.76650090061386866</v>
      </c>
      <c r="AV465"/>
      <c r="AW465"/>
      <c r="FY465" s="210">
        <v>460</v>
      </c>
      <c r="FZ465">
        <v>1.0360232300780863</v>
      </c>
      <c r="GA465">
        <v>3.3816005284647166</v>
      </c>
      <c r="GB465">
        <v>1.8889534123912579</v>
      </c>
      <c r="GC465">
        <v>0.76276383461219277</v>
      </c>
      <c r="GD465">
        <v>1.146668758422297</v>
      </c>
      <c r="GE465">
        <v>3.668396101299586</v>
      </c>
      <c r="GF465">
        <v>8.8652551444391285</v>
      </c>
      <c r="GG465">
        <v>8.1829346182571001</v>
      </c>
      <c r="GH465">
        <v>5.4435937017347058</v>
      </c>
      <c r="GI465">
        <v>3.8219034817789708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0.35246656920488739</v>
      </c>
      <c r="I466" s="101">
        <f>+H466*F465</f>
        <v>1.6881757253906007</v>
      </c>
      <c r="J466" s="101">
        <f>+I466*$A$440</f>
        <v>11.817230077734205</v>
      </c>
      <c r="K466" s="61">
        <f>IF(AND(J466&lt;0, J464&lt;0), 0, J466)</f>
        <v>11.817230077734205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20.24649259822132</v>
      </c>
      <c r="AO466">
        <v>3.7763559877473769</v>
      </c>
      <c r="AP466">
        <v>26.916749254995668</v>
      </c>
      <c r="AQ466">
        <v>23.50475897409224</v>
      </c>
      <c r="AR466">
        <v>3.5138786695541451</v>
      </c>
      <c r="AS466">
        <v>15.71927108887785</v>
      </c>
      <c r="AT466">
        <v>2.6120848766000373</v>
      </c>
      <c r="AU466">
        <v>3.5046724562177718</v>
      </c>
      <c r="AV466"/>
      <c r="AW466"/>
      <c r="FY466" s="210">
        <v>461</v>
      </c>
      <c r="FZ466">
        <v>1.2067535819602733</v>
      </c>
      <c r="GA466">
        <v>2.4645220030240274</v>
      </c>
      <c r="GB466">
        <v>1.9655449944980583</v>
      </c>
      <c r="GC466">
        <v>1.1155709607124944</v>
      </c>
      <c r="GD466">
        <v>1.6842494034850186</v>
      </c>
      <c r="GE466">
        <v>3.2009622112466944</v>
      </c>
      <c r="GF466">
        <v>5.3373013816031651</v>
      </c>
      <c r="GG466">
        <v>8.8571275498905333</v>
      </c>
      <c r="GH466">
        <v>7.6144812782097118</v>
      </c>
      <c r="GI466">
        <v>3.8613036144494268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2.0849686028257457</v>
      </c>
      <c r="E467" s="97">
        <f>L36</f>
        <v>0.47764954565651402</v>
      </c>
      <c r="F467" s="102">
        <f>+D467-D469</f>
        <v>0.86743613529327801</v>
      </c>
      <c r="G467" s="101">
        <f>+D467*E467</f>
        <v>0.99588430584781429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32.600503085963425</v>
      </c>
      <c r="AO467">
        <v>6.6936221211393985</v>
      </c>
      <c r="AP467">
        <v>49.906037645183901</v>
      </c>
      <c r="AQ467">
        <v>42.39473796035962</v>
      </c>
      <c r="AR467">
        <v>6.0904290400711449</v>
      </c>
      <c r="AS467">
        <v>30.008766120762669</v>
      </c>
      <c r="AT467">
        <v>4.0195691277901675</v>
      </c>
      <c r="AU467">
        <v>-0.99375758540037462</v>
      </c>
      <c r="AV467"/>
      <c r="AW467"/>
      <c r="FY467" s="210">
        <v>462</v>
      </c>
      <c r="FZ467">
        <v>1.0006831403802787</v>
      </c>
      <c r="GA467">
        <v>1.2314962530508122</v>
      </c>
      <c r="GB467">
        <v>2.0041596087588056</v>
      </c>
      <c r="GC467">
        <v>1.3482627888561245</v>
      </c>
      <c r="GD467">
        <v>1.8637100589144402</v>
      </c>
      <c r="GE467">
        <v>4.3291002142741366</v>
      </c>
      <c r="GF467">
        <v>5.3137407296229799</v>
      </c>
      <c r="GG467">
        <v>2.9319191972753744</v>
      </c>
      <c r="GH467">
        <v>0.31249047598045088</v>
      </c>
      <c r="GI467">
        <v>2.7777448966467309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0.6122858544286528</v>
      </c>
      <c r="I468" s="101">
        <f>+H468*F467</f>
        <v>0.53111887526033319</v>
      </c>
      <c r="J468" s="101">
        <f>+I468*$A$440</f>
        <v>3.7178321268223322</v>
      </c>
      <c r="K468" s="61">
        <f>IF(AND(J468&lt;0, J466&lt;0), 0, J468)</f>
        <v>3.7178321268223322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28.387942829432188</v>
      </c>
      <c r="AO468">
        <v>5.7604148064081704</v>
      </c>
      <c r="AP468">
        <v>43.163908129022225</v>
      </c>
      <c r="AQ468">
        <v>36.72256640882356</v>
      </c>
      <c r="AR468">
        <v>5.3083837956434383</v>
      </c>
      <c r="AS468">
        <v>24.760290118478647</v>
      </c>
      <c r="AT468">
        <v>3.6268540416540183</v>
      </c>
      <c r="AU468">
        <v>-0.78009390437865678</v>
      </c>
      <c r="AV468"/>
      <c r="AW468"/>
      <c r="FY468" s="210">
        <v>463</v>
      </c>
      <c r="FZ468">
        <v>0.74770503536838473</v>
      </c>
      <c r="GA468">
        <v>1.4121179951136509</v>
      </c>
      <c r="GB468">
        <v>1.0315404536985509</v>
      </c>
      <c r="GC468">
        <v>0.45717505976468109</v>
      </c>
      <c r="GD468">
        <v>1.9282540184822818</v>
      </c>
      <c r="GE468">
        <v>4.6606964854435695</v>
      </c>
      <c r="GF468">
        <v>6.6520715850435046</v>
      </c>
      <c r="GG468">
        <v>6.4646424762874295</v>
      </c>
      <c r="GH468">
        <v>3.8277463684959749</v>
      </c>
      <c r="GI468">
        <v>3.3461650124754807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1.2175324675324677</v>
      </c>
      <c r="E469" s="97">
        <f>M36</f>
        <v>0.78487244663479294</v>
      </c>
      <c r="F469" s="102">
        <f>+D469-D471</f>
        <v>0.89865491651205953</v>
      </c>
      <c r="G469" s="101">
        <f>+D469*E469</f>
        <v>0.95560768664950446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32.761159763164223</v>
      </c>
      <c r="AO469">
        <v>6.1188509364876031</v>
      </c>
      <c r="AP469">
        <v>41.941463572733703</v>
      </c>
      <c r="AQ469">
        <v>37.013832957617609</v>
      </c>
      <c r="AR469">
        <v>5.7509006786576027</v>
      </c>
      <c r="AS469">
        <v>27.186623239701301</v>
      </c>
      <c r="AT469">
        <v>3.6590764621114875</v>
      </c>
      <c r="AU469">
        <v>9.5508006001911507</v>
      </c>
      <c r="AV469"/>
      <c r="AW469"/>
      <c r="FY469" s="210">
        <v>464</v>
      </c>
      <c r="FZ469">
        <v>0.93276247991022543</v>
      </c>
      <c r="GA469">
        <v>1.6079791590952117</v>
      </c>
      <c r="GB469">
        <v>0.92093566179860675</v>
      </c>
      <c r="GC469">
        <v>0.60052300510360046</v>
      </c>
      <c r="GD469">
        <v>2.5053557094376413</v>
      </c>
      <c r="GE469">
        <v>5.232194112583449</v>
      </c>
      <c r="GF469">
        <v>8.2064411438421967</v>
      </c>
      <c r="GG469">
        <v>9.8831228899032517</v>
      </c>
      <c r="GH469">
        <v>6.5516985684827995</v>
      </c>
      <c r="GI469">
        <v>4.4134812006911615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0.96823462793936832</v>
      </c>
      <c r="I470" s="101">
        <f>+H470*F469</f>
        <v>0.87010880873493801</v>
      </c>
      <c r="J470" s="101">
        <f>+I470*$A$440</f>
        <v>6.0907616611445663</v>
      </c>
      <c r="K470" s="61">
        <f>IF(AND(J470&lt;0, J468&lt;0), 0, J470)</f>
        <v>6.0907616611445663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32.295665766420221</v>
      </c>
      <c r="AO470">
        <v>5.4897979574788192</v>
      </c>
      <c r="AP470">
        <v>44.283699612308446</v>
      </c>
      <c r="AQ470">
        <v>36.557334735346942</v>
      </c>
      <c r="AR470">
        <v>5.1898491299247125</v>
      </c>
      <c r="AS470">
        <v>25.882898334738673</v>
      </c>
      <c r="AT470">
        <v>3.1027504362718705</v>
      </c>
      <c r="AU470">
        <v>-2.0483378654063085</v>
      </c>
      <c r="AV470"/>
      <c r="AW470"/>
      <c r="FY470" s="210">
        <v>465</v>
      </c>
      <c r="FZ470">
        <v>1.1802950921218687</v>
      </c>
      <c r="GA470">
        <v>2.9627288039311539</v>
      </c>
      <c r="GB470">
        <v>2.5229367466268959</v>
      </c>
      <c r="GC470">
        <v>1.071506227687923</v>
      </c>
      <c r="GD470">
        <v>2.1055695411097082</v>
      </c>
      <c r="GE470">
        <v>5.5236084223018533</v>
      </c>
      <c r="GF470">
        <v>6.4207626288797481</v>
      </c>
      <c r="GG470">
        <v>7.3482463223190191</v>
      </c>
      <c r="GH470">
        <v>6.8355447316063493</v>
      </c>
      <c r="GI470">
        <v>4.3233125498102671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0.31887755102040816</v>
      </c>
      <c r="E471" s="97">
        <f>+N36</f>
        <v>1.1944339475291872</v>
      </c>
      <c r="F471" s="102">
        <f>+D471-D473</f>
        <v>0.31887755102040816</v>
      </c>
      <c r="G471" s="101">
        <f>+D471*E471</f>
        <v>0.38087817204374591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17.954527040630765</v>
      </c>
      <c r="AO471">
        <v>4.0906911534568327</v>
      </c>
      <c r="AP471">
        <v>27.072960218588882</v>
      </c>
      <c r="AQ471">
        <v>24.214518557945901</v>
      </c>
      <c r="AR471">
        <v>3.9242159340948555</v>
      </c>
      <c r="AS471">
        <v>19.603605502876928</v>
      </c>
      <c r="AT471">
        <v>2.7671245248444358</v>
      </c>
      <c r="AU471">
        <v>2.6903764883130838</v>
      </c>
      <c r="AV471"/>
      <c r="AW471"/>
      <c r="FY471" s="210">
        <v>466</v>
      </c>
      <c r="FZ471">
        <v>0.91197501224993527</v>
      </c>
      <c r="GA471">
        <v>2.5730841704594907</v>
      </c>
      <c r="GB471">
        <v>1.5015865618956914</v>
      </c>
      <c r="GC471">
        <v>1.0328478978493372</v>
      </c>
      <c r="GD471">
        <v>1.6295296901721581</v>
      </c>
      <c r="GE471">
        <v>3.7064257832766181</v>
      </c>
      <c r="GF471">
        <v>6.4850187761436082</v>
      </c>
      <c r="GG471">
        <v>4.5671246810691413</v>
      </c>
      <c r="GH471">
        <v>1.9935213964727949</v>
      </c>
      <c r="GI471">
        <v>2.9848336919089089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1.4326733089346575</v>
      </c>
      <c r="I472" s="101">
        <f>+H472*F471</f>
        <v>0.45684735616538824</v>
      </c>
      <c r="J472" s="101">
        <f>+I472*$A$440</f>
        <v>3.1979314931577179</v>
      </c>
      <c r="K472" s="61">
        <f>IF(AND(J472&lt;0, J470&lt;0), 0, J472)</f>
        <v>3.1979314931577179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29.434151411633032</v>
      </c>
      <c r="AO472">
        <v>5.9637878575123136</v>
      </c>
      <c r="AP472">
        <v>45.232188984673726</v>
      </c>
      <c r="AQ472">
        <v>38.088316851532248</v>
      </c>
      <c r="AR472">
        <v>5.5654624782632531</v>
      </c>
      <c r="AS472">
        <v>25.668568924020775</v>
      </c>
      <c r="AT472">
        <v>3.4460626670277938</v>
      </c>
      <c r="AU472">
        <v>0.51772173621573669</v>
      </c>
      <c r="AV472"/>
      <c r="AW472"/>
      <c r="FY472" s="210">
        <v>467</v>
      </c>
      <c r="FZ472">
        <v>1.0090009167950229</v>
      </c>
      <c r="GA472">
        <v>2.194455095218212</v>
      </c>
      <c r="GB472">
        <v>1.4611883929903493</v>
      </c>
      <c r="GC472">
        <v>0.77946187893755559</v>
      </c>
      <c r="GD472">
        <v>2.3557110798790282</v>
      </c>
      <c r="GE472">
        <v>4.2631102001484722</v>
      </c>
      <c r="GF472">
        <v>4.7216740902187233</v>
      </c>
      <c r="GG472">
        <v>6.0636315512868046</v>
      </c>
      <c r="GH472">
        <v>4.3840839732295516</v>
      </c>
      <c r="GI472">
        <v>3.4762554031433508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1.7184314079315166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21.406624829418949</v>
      </c>
      <c r="AO473">
        <v>4.5422388993492682</v>
      </c>
      <c r="AP473">
        <v>32.887673495044915</v>
      </c>
      <c r="AQ473">
        <v>28.224723893680739</v>
      </c>
      <c r="AR473">
        <v>4.3307748574882581</v>
      </c>
      <c r="AS473">
        <v>22.6301534651863</v>
      </c>
      <c r="AT473">
        <v>3.002428988914188</v>
      </c>
      <c r="AU473">
        <v>8.9998030008008243</v>
      </c>
      <c r="AV473"/>
      <c r="AW473"/>
      <c r="FY473" s="210">
        <v>468</v>
      </c>
      <c r="FZ473">
        <v>0.9737735917861472</v>
      </c>
      <c r="GA473">
        <v>2.5244833455296618</v>
      </c>
      <c r="GB473">
        <v>2.200555941165093</v>
      </c>
      <c r="GC473">
        <v>0.98730354006224141</v>
      </c>
      <c r="GD473">
        <v>3.4421589107144031</v>
      </c>
      <c r="GE473">
        <v>7.2171166850741413</v>
      </c>
      <c r="GF473">
        <v>3.4161741615069534</v>
      </c>
      <c r="GG473">
        <v>4.1073696618653308</v>
      </c>
      <c r="GH473">
        <v>3.8312061284696877</v>
      </c>
      <c r="GI473">
        <v>3.945532989937456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2.0174460850402567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17.281213332077691</v>
      </c>
      <c r="AO474">
        <v>3.3925748373479996</v>
      </c>
      <c r="AP474">
        <v>28.024271544730812</v>
      </c>
      <c r="AQ474">
        <v>22.67414029130336</v>
      </c>
      <c r="AR474">
        <v>3.2440209809230893</v>
      </c>
      <c r="AS474">
        <v>14.481622369928637</v>
      </c>
      <c r="AT474">
        <v>2.0954009708936736</v>
      </c>
      <c r="AU474">
        <v>-5.8622536873826476</v>
      </c>
      <c r="AV474"/>
      <c r="AW474"/>
      <c r="FY474" s="210">
        <v>469</v>
      </c>
      <c r="FZ474">
        <v>1.6475486504395691</v>
      </c>
      <c r="GA474">
        <v>2.5182778473873095</v>
      </c>
      <c r="GB474">
        <v>1.2180013132979686</v>
      </c>
      <c r="GC474">
        <v>0.52934242591198766</v>
      </c>
      <c r="GD474">
        <v>1.6216246986668093</v>
      </c>
      <c r="GE474">
        <v>5.1555265208881638</v>
      </c>
      <c r="GF474">
        <v>9.7478795422558928</v>
      </c>
      <c r="GG474">
        <v>8.86020729018718</v>
      </c>
      <c r="GH474">
        <v>5.942978560167262</v>
      </c>
      <c r="GI474">
        <v>4.2702237232834559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2.3684906405100232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28.038222110539074</v>
      </c>
      <c r="AO475">
        <v>5.0998965772964961</v>
      </c>
      <c r="AP475">
        <v>35.636636139657682</v>
      </c>
      <c r="AQ475">
        <v>31.381860964326975</v>
      </c>
      <c r="AR475">
        <v>4.7218853376210159</v>
      </c>
      <c r="AS475">
        <v>23.582621677804404</v>
      </c>
      <c r="AT475">
        <v>3.0789781725376812</v>
      </c>
      <c r="AU475">
        <v>2.5842304624113006</v>
      </c>
      <c r="AV475"/>
      <c r="AW475"/>
      <c r="FY475" s="210">
        <v>470</v>
      </c>
      <c r="FZ475">
        <v>0.82832091646184758</v>
      </c>
      <c r="GA475">
        <v>2.3082125723012492</v>
      </c>
      <c r="GB475">
        <v>1.899442893726162</v>
      </c>
      <c r="GC475">
        <v>0.88856494028722721</v>
      </c>
      <c r="GD475">
        <v>1.3024616924049788</v>
      </c>
      <c r="GE475">
        <v>4.213083118715466</v>
      </c>
      <c r="GF475">
        <v>7.7201925709278312</v>
      </c>
      <c r="GG475">
        <v>4.34320214390051</v>
      </c>
      <c r="GH475">
        <v>1.4156800512775343</v>
      </c>
      <c r="GI475">
        <v>3.015111606119294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2.733967672678304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19.440838675213673</v>
      </c>
      <c r="AO476">
        <v>5.6448437511770546</v>
      </c>
      <c r="AP476">
        <v>47.468975168499611</v>
      </c>
      <c r="AQ476">
        <v>38.198092811478041</v>
      </c>
      <c r="AR476">
        <v>5.2284617119243384</v>
      </c>
      <c r="AS476">
        <v>26.860184344784958</v>
      </c>
      <c r="AT476">
        <v>3.8989528585576232</v>
      </c>
      <c r="AU476">
        <v>16.633447062718187</v>
      </c>
      <c r="AV476"/>
      <c r="AW476"/>
      <c r="FY476" s="210">
        <v>471</v>
      </c>
      <c r="FZ476">
        <v>1.3919237911910454</v>
      </c>
      <c r="GA476">
        <v>2.6553620929485069</v>
      </c>
      <c r="GB476">
        <v>1.4741140754063298</v>
      </c>
      <c r="GC476">
        <v>0.69687846996908764</v>
      </c>
      <c r="GD476">
        <v>2.3928808548567289</v>
      </c>
      <c r="GE476">
        <v>5.2691079749271967</v>
      </c>
      <c r="GF476">
        <v>3.9679555167716134</v>
      </c>
      <c r="GG476">
        <v>2.1441551648041135</v>
      </c>
      <c r="GH476">
        <v>1.4206039805657709</v>
      </c>
      <c r="GI476">
        <v>2.932158373194842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3.1558407313952781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27.736973921569898</v>
      </c>
      <c r="AO477">
        <v>5.6966167585705634</v>
      </c>
      <c r="AP477">
        <v>44.794739947952863</v>
      </c>
      <c r="AQ477">
        <v>37.307816979079398</v>
      </c>
      <c r="AR477">
        <v>5.3765181900765242</v>
      </c>
      <c r="AS477">
        <v>26.08341428211865</v>
      </c>
      <c r="AT477">
        <v>3.2821925956946689</v>
      </c>
      <c r="AU477">
        <v>-1.6603242936756222</v>
      </c>
      <c r="AV477"/>
      <c r="AW477"/>
      <c r="FY477" s="210">
        <v>472</v>
      </c>
      <c r="FZ477">
        <v>1.5216430311973106</v>
      </c>
      <c r="GA477">
        <v>2.4278062051064819</v>
      </c>
      <c r="GB477">
        <v>2.0767234114015904</v>
      </c>
      <c r="GC477">
        <v>0.8912727938516839</v>
      </c>
      <c r="GD477">
        <v>1.9954975373888515</v>
      </c>
      <c r="GE477">
        <v>4.793910427460629</v>
      </c>
      <c r="GF477">
        <v>5.3416527908243943</v>
      </c>
      <c r="GG477">
        <v>5.7195054277667579</v>
      </c>
      <c r="GH477">
        <v>3.541806581722406</v>
      </c>
      <c r="GI477">
        <v>3.4813343015419851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3.5932870675010999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20.10321275946276</v>
      </c>
      <c r="AO478">
        <v>4.0906556070936926</v>
      </c>
      <c r="AP478">
        <v>25.52650735290025</v>
      </c>
      <c r="AQ478">
        <v>23.113307363760132</v>
      </c>
      <c r="AR478">
        <v>3.7796878251087538</v>
      </c>
      <c r="AS478">
        <v>18.102201942360676</v>
      </c>
      <c r="AT478" t="e">
        <v>#DIV/0!</v>
      </c>
      <c r="AU478" t="e">
        <v>#DIV/0!</v>
      </c>
      <c r="AV478"/>
      <c r="AW478"/>
      <c r="FY478" s="210">
        <v>473</v>
      </c>
      <c r="FZ478">
        <v>0.99433553006857378</v>
      </c>
      <c r="GA478">
        <v>4.1503730597299917</v>
      </c>
      <c r="GB478">
        <v>3.1696186405212021</v>
      </c>
      <c r="GC478">
        <v>1.1228898591344352</v>
      </c>
      <c r="GD478">
        <v>2.3934663214243108</v>
      </c>
      <c r="GE478">
        <v>5.5952802747360586</v>
      </c>
      <c r="GF478">
        <v>5.3408514005631318</v>
      </c>
      <c r="GG478">
        <v>5.1702003625780764</v>
      </c>
      <c r="GH478">
        <v>4.283715000864218</v>
      </c>
      <c r="GI478">
        <v>4.007730192611592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4.0913699544533273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23.889795840935935</v>
      </c>
      <c r="AO479">
        <v>4.9034042164234846</v>
      </c>
      <c r="AP479">
        <v>35.385591542839265</v>
      </c>
      <c r="AQ479">
        <v>30.528114490173511</v>
      </c>
      <c r="AR479">
        <v>4.6157835328964083</v>
      </c>
      <c r="AS479">
        <v>22.614760728594923</v>
      </c>
      <c r="AT479">
        <v>3.227962629432982</v>
      </c>
      <c r="AU479">
        <v>3.3934425522122496</v>
      </c>
      <c r="AV479"/>
      <c r="AW479"/>
      <c r="FY479" s="210">
        <v>474</v>
      </c>
      <c r="FZ479">
        <v>0.83630039880979656</v>
      </c>
      <c r="GA479">
        <v>2.1397151692027552</v>
      </c>
      <c r="GB479">
        <v>1.3094605406619493</v>
      </c>
      <c r="GC479">
        <v>0.75219560364843752</v>
      </c>
      <c r="GD479">
        <v>2.2679020907724565</v>
      </c>
      <c r="GE479">
        <v>4.876052363704793</v>
      </c>
      <c r="GF479">
        <v>3.725968504469177</v>
      </c>
      <c r="GG479">
        <v>3.9738516461451168</v>
      </c>
      <c r="GH479">
        <v>3.081488659082896</v>
      </c>
      <c r="GI479">
        <v>2.9721545709334083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4.6061361563912833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32.752403097991319</v>
      </c>
      <c r="AO480">
        <v>6.4760663000542396</v>
      </c>
      <c r="AP480">
        <v>47.709675888102439</v>
      </c>
      <c r="AQ480">
        <v>40.854493930848143</v>
      </c>
      <c r="AR480">
        <v>6.1473034073593231</v>
      </c>
      <c r="AS480">
        <v>30.20324349894344</v>
      </c>
      <c r="AT480">
        <v>3.8244537352010588</v>
      </c>
      <c r="AU480">
        <v>7.6806143834158043</v>
      </c>
      <c r="AV480"/>
      <c r="AW480"/>
      <c r="FY480" s="210">
        <v>475</v>
      </c>
      <c r="FZ480">
        <v>0.81573846052736987</v>
      </c>
      <c r="GA480">
        <v>1.1393445220871159</v>
      </c>
      <c r="GB480">
        <v>1.0338710997909932</v>
      </c>
      <c r="GC480">
        <v>0.79314762120690685</v>
      </c>
      <c r="GD480">
        <v>1.7420168483822924</v>
      </c>
      <c r="GE480">
        <v>3.4231198302901138</v>
      </c>
      <c r="GF480">
        <v>3.7212134244823427</v>
      </c>
      <c r="GG480">
        <v>6.3765293059253123</v>
      </c>
      <c r="GH480">
        <v>5.5715945625451262</v>
      </c>
      <c r="GI480">
        <v>2.9880505462938038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5.1856689879930276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28.403388815632631</v>
      </c>
      <c r="AO481">
        <v>6.3545554722115405</v>
      </c>
      <c r="AP481">
        <v>47.425912636790848</v>
      </c>
      <c r="AQ481">
        <v>40.294511066394783</v>
      </c>
      <c r="AR481">
        <v>5.9443401152951338</v>
      </c>
      <c r="AS481">
        <v>27.677006278031076</v>
      </c>
      <c r="AT481">
        <v>4.0868788022024756</v>
      </c>
      <c r="AU481">
        <v>4.7697607153949662E-2</v>
      </c>
      <c r="AV481"/>
      <c r="AW481"/>
      <c r="FY481" s="210">
        <v>476</v>
      </c>
      <c r="FZ481">
        <v>1.2193360378947509</v>
      </c>
      <c r="GA481">
        <v>2.0630513049127188</v>
      </c>
      <c r="GB481">
        <v>1.5186986083802516</v>
      </c>
      <c r="GC481">
        <v>0.76155734725809432</v>
      </c>
      <c r="GD481">
        <v>0.93573629840843653</v>
      </c>
      <c r="GE481">
        <v>2.4533667034598592</v>
      </c>
      <c r="GF481">
        <v>7.4175229422875404</v>
      </c>
      <c r="GG481">
        <v>8.3254026903309182</v>
      </c>
      <c r="GH481">
        <v>5.5581426081801091</v>
      </c>
      <c r="GI481">
        <v>3.3852958674171245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5.7829678798895152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21.690741219087197</v>
      </c>
      <c r="AO482">
        <v>4.4054866105301924</v>
      </c>
      <c r="AP482">
        <v>31.927524199167028</v>
      </c>
      <c r="AQ482">
        <v>27.385947661497681</v>
      </c>
      <c r="AR482">
        <v>4.049225971863458</v>
      </c>
      <c r="AS482">
        <v>19.888586225961316</v>
      </c>
      <c r="AT482">
        <v>2.916513049109597</v>
      </c>
      <c r="AU482">
        <v>5.3169828680203413</v>
      </c>
      <c r="AV482"/>
      <c r="AW482"/>
      <c r="FY482" s="210">
        <v>477</v>
      </c>
      <c r="FZ482">
        <v>0.99411000069071032</v>
      </c>
      <c r="GA482">
        <v>3.1237278339209533</v>
      </c>
      <c r="GB482">
        <v>2.5324996533846944</v>
      </c>
      <c r="GC482">
        <v>1.1934587702163282</v>
      </c>
      <c r="GD482">
        <v>1.5512690633941433</v>
      </c>
      <c r="GE482">
        <v>3.5913672086938115</v>
      </c>
      <c r="GF482">
        <v>8.8086018676200517</v>
      </c>
      <c r="GG482">
        <v>9.2550304743814422</v>
      </c>
      <c r="GH482">
        <v>5.3066605938492337</v>
      </c>
      <c r="GI482">
        <v>4.1763181303785073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6.4490652174806335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26.872823969331318</v>
      </c>
      <c r="AO483">
        <v>5.0460709950086873</v>
      </c>
      <c r="AP483">
        <v>35.09378169213997</v>
      </c>
      <c r="AQ483">
        <v>30.708572581847069</v>
      </c>
      <c r="AR483">
        <v>4.8891744621975306</v>
      </c>
      <c r="AS483">
        <v>21.677403121989659</v>
      </c>
      <c r="AT483">
        <v>3.3241754514181134</v>
      </c>
      <c r="AU483">
        <v>21.099992396235642</v>
      </c>
      <c r="AV483"/>
      <c r="AW483"/>
      <c r="FY483" s="210">
        <v>478</v>
      </c>
      <c r="FZ483">
        <v>1.1796185039882781</v>
      </c>
      <c r="GA483">
        <v>2.3690659125181908</v>
      </c>
      <c r="GB483">
        <v>2.245271989638173</v>
      </c>
      <c r="GC483">
        <v>1.1347023466524295</v>
      </c>
      <c r="GD483">
        <v>1.5767425124382284</v>
      </c>
      <c r="GE483">
        <v>3.8905713905382466</v>
      </c>
      <c r="GF483">
        <v>5.3828153132366259</v>
      </c>
      <c r="GG483">
        <v>8.639373036910472</v>
      </c>
      <c r="GH483">
        <v>8.7325869771863367</v>
      </c>
      <c r="GI483">
        <v>4.0504998585178562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7.1339869014098847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34.281623707175171</v>
      </c>
      <c r="AO484">
        <v>5.7973189146052233</v>
      </c>
      <c r="AP484">
        <v>34.16153200766562</v>
      </c>
      <c r="AQ484">
        <v>32.645674956111115</v>
      </c>
      <c r="AR484">
        <v>5.4600005015269266</v>
      </c>
      <c r="AS484">
        <v>28.308869914622104</v>
      </c>
      <c r="AT484">
        <v>3.6999429378562763</v>
      </c>
      <c r="AU484">
        <v>20.443236455111876</v>
      </c>
      <c r="AV484"/>
      <c r="AW484"/>
      <c r="FY484" s="210">
        <v>479</v>
      </c>
      <c r="FZ484">
        <v>1.3384429880695776</v>
      </c>
      <c r="GA484">
        <v>1.9291241908824679</v>
      </c>
      <c r="GB484">
        <v>1.5501719208126661</v>
      </c>
      <c r="GC484">
        <v>0.87144166715384452</v>
      </c>
      <c r="GD484">
        <v>3.1687823446431111</v>
      </c>
      <c r="GE484">
        <v>5.9901727858737477</v>
      </c>
      <c r="GF484">
        <v>2.6777619948500249</v>
      </c>
      <c r="GG484">
        <v>3.491067274385526</v>
      </c>
      <c r="GH484">
        <v>2.5194655819494578</v>
      </c>
      <c r="GI484">
        <v>3.3414641989837972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7.8916505560428751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27.80412114097776</v>
      </c>
      <c r="AO485">
        <v>6.2581121325744604</v>
      </c>
      <c r="AP485">
        <v>49.925999355823336</v>
      </c>
      <c r="AQ485">
        <v>41.511610572485601</v>
      </c>
      <c r="AR485">
        <v>5.8213450710477295</v>
      </c>
      <c r="AS485">
        <v>28.808479963578332</v>
      </c>
      <c r="AT485">
        <v>3.8513656243390648</v>
      </c>
      <c r="AU485">
        <v>4.628924060379175</v>
      </c>
      <c r="AV485"/>
      <c r="AW485"/>
      <c r="FY485" s="210">
        <v>480</v>
      </c>
      <c r="FZ485">
        <v>1.0831564228878492</v>
      </c>
      <c r="GA485">
        <v>1.4375065509438842</v>
      </c>
      <c r="GB485">
        <v>1.8126584964971291</v>
      </c>
      <c r="GC485">
        <v>1.1136647326004909</v>
      </c>
      <c r="GD485">
        <v>2.0771260296157465</v>
      </c>
      <c r="GE485">
        <v>4.83589323144089</v>
      </c>
      <c r="GF485">
        <v>4.4095606286120592</v>
      </c>
      <c r="GG485">
        <v>3.7201512407590389</v>
      </c>
      <c r="GH485">
        <v>2.7333361919645869</v>
      </c>
      <c r="GI485">
        <v>3.0745883828671778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8.6691747341921825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26.311065585422206</v>
      </c>
      <c r="AO486">
        <v>4.4227662758109627</v>
      </c>
      <c r="AP486">
        <v>33.160059972756862</v>
      </c>
      <c r="AQ486">
        <v>27.934272506122099</v>
      </c>
      <c r="AR486">
        <v>4.0414850296114642</v>
      </c>
      <c r="AS486">
        <v>21.51920323559288</v>
      </c>
      <c r="AT486">
        <v>2.7608608347350025</v>
      </c>
      <c r="AU486">
        <v>14.073545460107718</v>
      </c>
      <c r="AV486"/>
      <c r="AW486"/>
      <c r="FY486" s="210">
        <v>481</v>
      </c>
      <c r="FZ486">
        <v>0.85051472678051843</v>
      </c>
      <c r="GA486">
        <v>1.9642419382750576</v>
      </c>
      <c r="GB486">
        <v>1.7968019357080796</v>
      </c>
      <c r="GC486">
        <v>1.273251048811648</v>
      </c>
      <c r="GD486">
        <v>2.8522727961613796</v>
      </c>
      <c r="GE486">
        <v>5.8352124408727555</v>
      </c>
      <c r="GF486">
        <v>5.0752296810566575</v>
      </c>
      <c r="GG486">
        <v>5.3645661760016434</v>
      </c>
      <c r="GH486">
        <v>4.3328253371656178</v>
      </c>
      <c r="GI486">
        <v>3.8776383821394012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9.5233044137272334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27.632720655092367</v>
      </c>
      <c r="AO487">
        <v>4.1991770368906769</v>
      </c>
      <c r="AP487">
        <v>25.683207355672579</v>
      </c>
      <c r="AQ487">
        <v>24.345140294635236</v>
      </c>
      <c r="AR487">
        <v>4.0112188131263453</v>
      </c>
      <c r="AS487">
        <v>21.316878440590969</v>
      </c>
      <c r="AT487">
        <v>2.7396328773758287</v>
      </c>
      <c r="AU487">
        <v>9.1724307566542169</v>
      </c>
      <c r="AV487"/>
      <c r="AW487"/>
      <c r="FY487" s="210">
        <v>482</v>
      </c>
      <c r="FZ487">
        <v>0.84416711646881371</v>
      </c>
      <c r="GA487">
        <v>3.031943591232086</v>
      </c>
      <c r="GB487">
        <v>2.0270578926953156</v>
      </c>
      <c r="GC487">
        <v>0.85190228575028826</v>
      </c>
      <c r="GD487">
        <v>1.7797758050596406</v>
      </c>
      <c r="GE487">
        <v>4.6720195066015906</v>
      </c>
      <c r="GF487">
        <v>6.4045916185018914</v>
      </c>
      <c r="GG487">
        <v>5.2367705753193192</v>
      </c>
      <c r="GH487">
        <v>3.2836053542219821</v>
      </c>
      <c r="GI487">
        <v>3.387343574438729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10.398310662435648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25.801288036582157</v>
      </c>
      <c r="AO488">
        <v>5.1666458488104059</v>
      </c>
      <c r="AP488">
        <v>36.649947578158404</v>
      </c>
      <c r="AQ488">
        <v>31.79115250826209</v>
      </c>
      <c r="AR488">
        <v>4.7991913930043086</v>
      </c>
      <c r="AS488">
        <v>22.637993474951458</v>
      </c>
      <c r="AT488" t="e">
        <v>#DIV/0!</v>
      </c>
      <c r="AU488" t="e">
        <v>#DIV/0!</v>
      </c>
      <c r="AV488"/>
      <c r="AW488"/>
      <c r="FY488" s="210">
        <v>483</v>
      </c>
      <c r="FZ488">
        <v>1.0355721713223591</v>
      </c>
      <c r="GA488">
        <v>1.9961659283046287</v>
      </c>
      <c r="GB488">
        <v>2.046293285521203</v>
      </c>
      <c r="GC488">
        <v>1.0371248233659622</v>
      </c>
      <c r="GD488">
        <v>2.1477443154664084</v>
      </c>
      <c r="GE488">
        <v>5.2179002874263949</v>
      </c>
      <c r="GF488">
        <v>6.5731206534050193</v>
      </c>
      <c r="GG488">
        <v>5.6068968091947857</v>
      </c>
      <c r="GH488">
        <v>2.3510578555688664</v>
      </c>
      <c r="GI488">
        <v>3.5246025636773139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11.353712948277471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36.225585212717569</v>
      </c>
      <c r="AO489">
        <v>5.8739592007571604</v>
      </c>
      <c r="AP489">
        <v>41.824475885537538</v>
      </c>
      <c r="AQ489">
        <v>36.228460642231589</v>
      </c>
      <c r="AR489">
        <v>5.513216558773208</v>
      </c>
      <c r="AS489">
        <v>28.046340131510366</v>
      </c>
      <c r="AT489">
        <v>3.3404725106671145</v>
      </c>
      <c r="AU489">
        <v>8.9360271641297722</v>
      </c>
      <c r="AV489"/>
      <c r="AW489"/>
      <c r="FY489" s="210">
        <v>484</v>
      </c>
      <c r="FZ489">
        <v>0.78225577224366993</v>
      </c>
      <c r="GA489">
        <v>3.1293713493061164</v>
      </c>
      <c r="GB489">
        <v>2.1260576492425334</v>
      </c>
      <c r="GC489">
        <v>0.80404057082559222</v>
      </c>
      <c r="GD489">
        <v>1.9550354075460492</v>
      </c>
      <c r="GE489">
        <v>5.2707913034961145</v>
      </c>
      <c r="GF489">
        <v>6.9056575969975853</v>
      </c>
      <c r="GG489">
        <v>6.4466749353928199</v>
      </c>
      <c r="GH489">
        <v>4.5451892095863986</v>
      </c>
      <c r="GI489">
        <v>3.813979190047045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12.330989401063917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21.837053197347313</v>
      </c>
      <c r="AO490">
        <v>4.4319400018612782</v>
      </c>
      <c r="AP490">
        <v>28.0948349234103</v>
      </c>
      <c r="AQ490">
        <v>25.935089547430788</v>
      </c>
      <c r="AR490">
        <v>4.090816510822596</v>
      </c>
      <c r="AS490">
        <v>19.531063579860554</v>
      </c>
      <c r="AT490">
        <v>2.6370977163019749</v>
      </c>
      <c r="AU490">
        <v>0.18447321686086615</v>
      </c>
      <c r="AV490"/>
      <c r="AW490"/>
      <c r="FY490" s="210">
        <v>485</v>
      </c>
      <c r="FZ490">
        <v>1.070686731642303</v>
      </c>
      <c r="GA490">
        <v>2.9721687270742829</v>
      </c>
      <c r="GB490">
        <v>1.4557033291923875</v>
      </c>
      <c r="GC490">
        <v>0.60777299219163838</v>
      </c>
      <c r="GD490">
        <v>2.5407088794076698</v>
      </c>
      <c r="GE490">
        <v>5.9968510681606872</v>
      </c>
      <c r="GF490">
        <v>7.0086858107127252</v>
      </c>
      <c r="GG490">
        <v>8.9340980011641573</v>
      </c>
      <c r="GH490">
        <v>6.4911540987746372</v>
      </c>
      <c r="GI490">
        <v>4.345546572351509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13.392385407473196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17.429957399626517</v>
      </c>
      <c r="AO491">
        <v>4.4551260748983079</v>
      </c>
      <c r="AP491">
        <v>31.891363237378453</v>
      </c>
      <c r="AQ491">
        <v>27.604626221531376</v>
      </c>
      <c r="AR491">
        <v>4.1656776708471783</v>
      </c>
      <c r="AS491">
        <v>19.745338665492643</v>
      </c>
      <c r="AT491">
        <v>2.9649238903540969</v>
      </c>
      <c r="AU491">
        <v>6.7029894913732981</v>
      </c>
      <c r="AV491"/>
      <c r="AW491"/>
      <c r="FY491" s="210">
        <v>486</v>
      </c>
      <c r="FZ491">
        <v>1.1325980758674468</v>
      </c>
      <c r="GA491">
        <v>2.7517275495147606</v>
      </c>
      <c r="GB491">
        <v>1.7779008942897607</v>
      </c>
      <c r="GC491">
        <v>0.66198552321143889</v>
      </c>
      <c r="GD491">
        <v>1.8273295609763982</v>
      </c>
      <c r="GE491">
        <v>6.703140874901667</v>
      </c>
      <c r="GF491">
        <v>7.5924170948931771</v>
      </c>
      <c r="GG491">
        <v>5.0390060399349546</v>
      </c>
      <c r="GH491">
        <v>5.9210321441220373</v>
      </c>
      <c r="GI491">
        <v>4.0297395019425899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14.476636179382895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22.864971052637276</v>
      </c>
      <c r="AO492">
        <v>4.9423470048121043</v>
      </c>
      <c r="AP492">
        <v>42.049228604406707</v>
      </c>
      <c r="AQ492">
        <v>33.638110408529805</v>
      </c>
      <c r="AR492">
        <v>4.6850177693976756</v>
      </c>
      <c r="AS492">
        <v>22.149185427806845</v>
      </c>
      <c r="AT492">
        <v>2.9031852260631061</v>
      </c>
      <c r="AU492">
        <v>-4.9988167485450079</v>
      </c>
      <c r="AV492"/>
      <c r="AW492"/>
      <c r="FY492" s="210">
        <v>487</v>
      </c>
      <c r="FZ492">
        <v>1.0627072492943543</v>
      </c>
      <c r="GA492">
        <v>1.7099586738604449</v>
      </c>
      <c r="GB492">
        <v>1.2452937019509673</v>
      </c>
      <c r="GC492">
        <v>0.57586103640687258</v>
      </c>
      <c r="GD492">
        <v>1.5520952401950743</v>
      </c>
      <c r="GE492">
        <v>5.3910370408311037</v>
      </c>
      <c r="GF492">
        <v>6.6756060581195937</v>
      </c>
      <c r="GG492">
        <v>4.8672136266411741</v>
      </c>
      <c r="GH492">
        <v>4.4478033911686392</v>
      </c>
      <c r="GI492">
        <v>3.3202461636388954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15.648668156852196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29.854431695277675</v>
      </c>
      <c r="AO493">
        <v>6.1753671350809025</v>
      </c>
      <c r="AP493">
        <v>50.06519510114267</v>
      </c>
      <c r="AQ493">
        <v>40.533043596529872</v>
      </c>
      <c r="AR493">
        <v>5.7810165720708753</v>
      </c>
      <c r="AS493">
        <v>27.812606315276025</v>
      </c>
      <c r="AT493">
        <v>3.8822528742338496</v>
      </c>
      <c r="AU493">
        <v>10.895188014320057</v>
      </c>
      <c r="AV493"/>
      <c r="AW493"/>
      <c r="FY493" s="210">
        <v>488</v>
      </c>
      <c r="FZ493">
        <v>0.92630210490958897</v>
      </c>
      <c r="GA493">
        <v>2.6543715029980186</v>
      </c>
      <c r="GB493">
        <v>1.7347148161340531</v>
      </c>
      <c r="GC493">
        <v>0.87624257261106275</v>
      </c>
      <c r="GD493">
        <v>1.0576975879154817</v>
      </c>
      <c r="GE493">
        <v>2.4533667034598592</v>
      </c>
      <c r="GF493">
        <v>4.8532751146594766</v>
      </c>
      <c r="GG493">
        <v>3.809123760852168</v>
      </c>
      <c r="GH493">
        <v>2.4068660886819435</v>
      </c>
      <c r="GI493">
        <v>2.4853993484595027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16.84451975720669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27.848517470613444</v>
      </c>
      <c r="AO494">
        <v>5.9717972963446559</v>
      </c>
      <c r="AP494">
        <v>47.297784775984077</v>
      </c>
      <c r="AQ494">
        <v>39.201247841624834</v>
      </c>
      <c r="AR494">
        <v>5.604418875471354</v>
      </c>
      <c r="AS494">
        <v>25.766825620167307</v>
      </c>
      <c r="AT494">
        <v>3.8587725291872466</v>
      </c>
      <c r="AU494">
        <v>6.7280471031411269</v>
      </c>
      <c r="AV494"/>
      <c r="AW494"/>
      <c r="FY494" s="210">
        <v>489</v>
      </c>
      <c r="FZ494">
        <v>1.3301252116548334</v>
      </c>
      <c r="GA494">
        <v>2.3149912156520913</v>
      </c>
      <c r="GB494">
        <v>1.8383075609703445</v>
      </c>
      <c r="GC494">
        <v>1.2287249800564344</v>
      </c>
      <c r="GD494">
        <v>1.703387924076375</v>
      </c>
      <c r="GE494">
        <v>2.9776240471530642</v>
      </c>
      <c r="GF494">
        <v>6.4867608931192624</v>
      </c>
      <c r="GG494">
        <v>10.457390236855295</v>
      </c>
      <c r="GH494">
        <v>7.8701248901187046</v>
      </c>
      <c r="GI494">
        <v>4.1360874778591619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18.131756837509794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28.554722842719553</v>
      </c>
      <c r="AO495">
        <v>4.8836048013518729</v>
      </c>
      <c r="AP495">
        <v>27.221145334220687</v>
      </c>
      <c r="AQ495">
        <v>26.877894947604219</v>
      </c>
      <c r="AR495">
        <v>4.65116960829054</v>
      </c>
      <c r="AS495">
        <v>23.780850661614288</v>
      </c>
      <c r="AT495">
        <v>2.9551999929587467</v>
      </c>
      <c r="AU495">
        <v>8.5848471784659619</v>
      </c>
      <c r="AV495"/>
      <c r="AW495"/>
      <c r="FY495" s="210">
        <v>490</v>
      </c>
      <c r="FZ495">
        <v>0.56230929675974894</v>
      </c>
      <c r="GA495">
        <v>1.7757740468646972</v>
      </c>
      <c r="GB495">
        <v>1.8929486216371882</v>
      </c>
      <c r="GC495">
        <v>1.0626715975808356</v>
      </c>
      <c r="GD495">
        <v>1.7125582663275902</v>
      </c>
      <c r="GE495">
        <v>3.715943295556448</v>
      </c>
      <c r="GF495">
        <v>8.4259691002738375</v>
      </c>
      <c r="GG495">
        <v>6.7583631435315636</v>
      </c>
      <c r="GH495">
        <v>2.1267098072990684</v>
      </c>
      <c r="GI495">
        <v>3.4910395351022214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19.44376375837286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27.857327816446638</v>
      </c>
      <c r="AO496">
        <v>4.4950947433598554</v>
      </c>
      <c r="AP496">
        <v>28.866487888751081</v>
      </c>
      <c r="AQ496">
        <v>26.297641908188847</v>
      </c>
      <c r="AR496">
        <v>4.1901704441243233</v>
      </c>
      <c r="AS496">
        <v>21.604906748578479</v>
      </c>
      <c r="AT496">
        <v>2.7276654607382675</v>
      </c>
      <c r="AU496">
        <v>4.3681168884764503</v>
      </c>
      <c r="AV496"/>
      <c r="AW496"/>
      <c r="FY496" s="210">
        <v>491</v>
      </c>
      <c r="FZ496">
        <v>0.78236853693260178</v>
      </c>
      <c r="GA496">
        <v>1.8977337161948458</v>
      </c>
      <c r="GB496">
        <v>2.2694829244246284</v>
      </c>
      <c r="GC496">
        <v>1.3971459263746788</v>
      </c>
      <c r="GD496">
        <v>1.5514291646749943</v>
      </c>
      <c r="GE496">
        <v>2.6331783683772851</v>
      </c>
      <c r="GF496">
        <v>6.2485680408149751</v>
      </c>
      <c r="GG496">
        <v>7.7614047958000185</v>
      </c>
      <c r="GH496">
        <v>4.9091685826037574</v>
      </c>
      <c r="GI496">
        <v>3.5486814784124845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20.850706993230137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30.860633206387668</v>
      </c>
      <c r="AO497">
        <v>5.7035342983869031</v>
      </c>
      <c r="AP497">
        <v>36.283667140442766</v>
      </c>
      <c r="AQ497">
        <v>33.222554462972759</v>
      </c>
      <c r="AR497">
        <v>5.3364982360780857</v>
      </c>
      <c r="AS497">
        <v>27.049511777224556</v>
      </c>
      <c r="AT497">
        <v>3.3918701908782243</v>
      </c>
      <c r="AU497">
        <v>2.5661502651270101</v>
      </c>
      <c r="AV497"/>
      <c r="AW497"/>
      <c r="FY497" s="210">
        <v>492</v>
      </c>
      <c r="FZ497">
        <v>1.6743454343447688</v>
      </c>
      <c r="GA497">
        <v>3.1087284631990006</v>
      </c>
      <c r="GB497">
        <v>1.9478048965133659</v>
      </c>
      <c r="GC497">
        <v>0.94156785039095281</v>
      </c>
      <c r="GD497">
        <v>1.4785192853854132</v>
      </c>
      <c r="GE497">
        <v>4.1755391286410646</v>
      </c>
      <c r="GF497">
        <v>10.63667385627955</v>
      </c>
      <c r="GG497">
        <v>7.3114050651197511</v>
      </c>
      <c r="GH497">
        <v>1.7933541145115979</v>
      </c>
      <c r="GI497">
        <v>3.8694984767148632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22.283356618026328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26.222064351972829</v>
      </c>
      <c r="AO498">
        <v>5.0159204879718819</v>
      </c>
      <c r="AP498">
        <v>36.828637140882037</v>
      </c>
      <c r="AQ498">
        <v>31.519177320289657</v>
      </c>
      <c r="AR498">
        <v>4.6029608640143334</v>
      </c>
      <c r="AS498">
        <v>22.356941890909802</v>
      </c>
      <c r="AT498">
        <v>3.0478173695809248</v>
      </c>
      <c r="AU498">
        <v>-1.8919320557392405</v>
      </c>
      <c r="AV498"/>
      <c r="AW498"/>
      <c r="FY498" s="210">
        <v>493</v>
      </c>
      <c r="FZ498">
        <v>0.95967202850435696</v>
      </c>
      <c r="GA498">
        <v>2.1252403079172804</v>
      </c>
      <c r="GB498">
        <v>1.6990686498568288</v>
      </c>
      <c r="GC498">
        <v>0.81561465331632421</v>
      </c>
      <c r="GD498">
        <v>1.5042100206367299</v>
      </c>
      <c r="GE498">
        <v>3.4923640881494449</v>
      </c>
      <c r="GF498">
        <v>4.8026467456519013</v>
      </c>
      <c r="GG498">
        <v>4.2954567347884538</v>
      </c>
      <c r="GH498">
        <v>3.7659677258975495</v>
      </c>
      <c r="GI498">
        <v>2.9425896236155151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23.814443430016944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27.263668539110494</v>
      </c>
      <c r="AO499">
        <v>5.2583615251211304</v>
      </c>
      <c r="AP499">
        <v>35.941820970166702</v>
      </c>
      <c r="AQ499">
        <v>31.536478693252946</v>
      </c>
      <c r="AR499">
        <v>4.840662486029438</v>
      </c>
      <c r="AS499">
        <v>23.734785081842585</v>
      </c>
      <c r="AT499">
        <v>3.2397923597377929</v>
      </c>
      <c r="AU499">
        <v>1.3918057881676138</v>
      </c>
      <c r="AV499"/>
      <c r="AW499"/>
      <c r="FY499" s="210">
        <v>494</v>
      </c>
      <c r="FZ499">
        <v>1.0564724036715811</v>
      </c>
      <c r="GA499">
        <v>2.7115598832262102</v>
      </c>
      <c r="GB499">
        <v>1.6587809406796199</v>
      </c>
      <c r="GC499">
        <v>0.63751037829546908</v>
      </c>
      <c r="GD499">
        <v>1.2628203109662053</v>
      </c>
      <c r="GE499">
        <v>3.734951097855622</v>
      </c>
      <c r="GF499">
        <v>6.9160464977459872</v>
      </c>
      <c r="GG499">
        <v>4.2181142952646677</v>
      </c>
      <c r="GH499">
        <v>1.5332034738332856</v>
      </c>
      <c r="GI499">
        <v>2.8363057823075453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25.372160375364636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27.194062507481625</v>
      </c>
      <c r="AO500">
        <v>5.6852190401964373</v>
      </c>
      <c r="AP500">
        <v>42.143925749597436</v>
      </c>
      <c r="AQ500">
        <v>35.779052984683922</v>
      </c>
      <c r="AR500">
        <v>5.2176164127400657</v>
      </c>
      <c r="AS500">
        <v>23.825519615711915</v>
      </c>
      <c r="AT500">
        <v>3.4422577520258173</v>
      </c>
      <c r="AU500">
        <v>26.760075819048698</v>
      </c>
      <c r="AV500"/>
      <c r="AW500"/>
      <c r="FY500" s="210">
        <v>495</v>
      </c>
      <c r="FZ500">
        <v>1.3918110265021137</v>
      </c>
      <c r="GA500">
        <v>2.1611718331655752</v>
      </c>
      <c r="GB500">
        <v>2.881434953575984</v>
      </c>
      <c r="GC500">
        <v>1.493841680961977</v>
      </c>
      <c r="GD500">
        <v>1.6621802065803954</v>
      </c>
      <c r="GE500">
        <v>4.4651219952469923</v>
      </c>
      <c r="GF500">
        <v>6.3709755958534338</v>
      </c>
      <c r="GG500">
        <v>6.0353533380232118</v>
      </c>
      <c r="GH500">
        <v>4.6127513575755197</v>
      </c>
      <c r="GI500">
        <v>3.8217680996413912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27.031768514976598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34.455617129330363</v>
      </c>
      <c r="AO501">
        <v>6.5411227550241389</v>
      </c>
      <c r="AP501">
        <v>47.447480618572349</v>
      </c>
      <c r="AQ501">
        <v>41.423376210671996</v>
      </c>
      <c r="AR501">
        <v>5.9840030682454461</v>
      </c>
      <c r="AS501">
        <v>29.135502669527209</v>
      </c>
      <c r="AT501" t="e">
        <v>#DIV/0!</v>
      </c>
      <c r="AU501" t="e">
        <v>#DIV/0!</v>
      </c>
      <c r="AV501"/>
      <c r="AW501"/>
      <c r="FY501" s="210">
        <v>496</v>
      </c>
      <c r="FZ501">
        <v>0.97411188585294251</v>
      </c>
      <c r="GA501">
        <v>1.0612208293778465</v>
      </c>
      <c r="GB501">
        <v>1.4589797045091213</v>
      </c>
      <c r="GC501">
        <v>1.1936955129660725</v>
      </c>
      <c r="GD501">
        <v>3.0435265873194308</v>
      </c>
      <c r="GE501">
        <v>6.0564340899783096</v>
      </c>
      <c r="GF501">
        <v>4.9856490029212059</v>
      </c>
      <c r="GG501">
        <v>5.0507407024462756</v>
      </c>
      <c r="GH501">
        <v>3.7095635374096321</v>
      </c>
      <c r="GI501">
        <v>3.8101808092025071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28.718918495429023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25.963077057746169</v>
      </c>
      <c r="AO502">
        <v>5.8540527822066624</v>
      </c>
      <c r="AP502">
        <v>43.24967812945426</v>
      </c>
      <c r="AQ502">
        <v>37.436877259654224</v>
      </c>
      <c r="AR502">
        <v>5.389649108802983</v>
      </c>
      <c r="AS502">
        <v>24.822214764977687</v>
      </c>
      <c r="AT502">
        <v>3.9420647835966669</v>
      </c>
      <c r="AU502">
        <v>19.073179402170204</v>
      </c>
      <c r="AV502"/>
      <c r="AW502"/>
      <c r="FY502" s="210">
        <v>497</v>
      </c>
      <c r="FZ502">
        <v>1.6185561710534666</v>
      </c>
      <c r="GA502">
        <v>3.145607790576507</v>
      </c>
      <c r="GB502">
        <v>2.5660420411382785</v>
      </c>
      <c r="GC502">
        <v>0.86218660407823056</v>
      </c>
      <c r="GD502">
        <v>0.39909673729587924</v>
      </c>
      <c r="GE502">
        <v>2.2545340178845468</v>
      </c>
      <c r="GF502">
        <v>3.4576134287705598</v>
      </c>
      <c r="GG502">
        <v>3.0656584198814989</v>
      </c>
      <c r="GH502">
        <v>4.1315682181289901</v>
      </c>
      <c r="GI502">
        <v>2.4027810759461738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30.511369579468642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27.413632493595724</v>
      </c>
      <c r="AO503">
        <v>4.8508318980800524</v>
      </c>
      <c r="AP503">
        <v>35.588970621366393</v>
      </c>
      <c r="AQ503">
        <v>30.847822182107119</v>
      </c>
      <c r="AR503">
        <v>4.4457498033490674</v>
      </c>
      <c r="AS503">
        <v>21.494685312909624</v>
      </c>
      <c r="AT503">
        <v>3.0333368955686151</v>
      </c>
      <c r="AU503">
        <v>8.1662926828687219</v>
      </c>
      <c r="AV503"/>
      <c r="AW503"/>
      <c r="FY503" s="210">
        <v>498</v>
      </c>
      <c r="FZ503">
        <v>0.98832621382366437</v>
      </c>
      <c r="GA503">
        <v>2.8745834143884337</v>
      </c>
      <c r="GB503">
        <v>2.6456133323491411</v>
      </c>
      <c r="GC503">
        <v>1.321131371622202</v>
      </c>
      <c r="GD503">
        <v>2.0768090334845155</v>
      </c>
      <c r="GE503">
        <v>4.5492061172233171</v>
      </c>
      <c r="GF503">
        <v>4.4859831507041532</v>
      </c>
      <c r="GG503">
        <v>5.859565570639413</v>
      </c>
      <c r="GH503">
        <v>5.0430927614770322</v>
      </c>
      <c r="GI503">
        <v>3.6599566349892809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32.332262867175807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14.832622570986933</v>
      </c>
      <c r="AO504">
        <v>3.6115175949408238</v>
      </c>
      <c r="AP504">
        <v>28.241624897995028</v>
      </c>
      <c r="AQ504">
        <v>23.257359600681156</v>
      </c>
      <c r="AR504">
        <v>3.4090548948130408</v>
      </c>
      <c r="AS504">
        <v>15.962017453542169</v>
      </c>
      <c r="AT504">
        <v>2.4474993326465855</v>
      </c>
      <c r="AU504">
        <v>2.8070538467169448</v>
      </c>
      <c r="AV504"/>
      <c r="AW504"/>
      <c r="FY504" s="210">
        <v>499</v>
      </c>
      <c r="FZ504">
        <v>0.80950361490459688</v>
      </c>
      <c r="GA504">
        <v>2.3990483525133284</v>
      </c>
      <c r="GB504">
        <v>1.4189313635808027</v>
      </c>
      <c r="GC504">
        <v>0.77760585753059752</v>
      </c>
      <c r="GD504">
        <v>1.1556514371049338</v>
      </c>
      <c r="GE504">
        <v>2.854779769220837</v>
      </c>
      <c r="GF504">
        <v>4.9551147245038401</v>
      </c>
      <c r="GG504">
        <v>6.4792389643820902</v>
      </c>
      <c r="GH504">
        <v>6.3146900631547069</v>
      </c>
      <c r="GI504">
        <v>3.0807466707540949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34.261825559466111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25.089363312268894</v>
      </c>
      <c r="AO505">
        <v>6.1702652326684788</v>
      </c>
      <c r="AP505">
        <v>49.126913687785631</v>
      </c>
      <c r="AQ505">
        <v>40.343524437515569</v>
      </c>
      <c r="AR505">
        <v>5.7931277403215278</v>
      </c>
      <c r="AS505">
        <v>25.561810556934816</v>
      </c>
      <c r="AT505">
        <v>3.6407114913307663</v>
      </c>
      <c r="AU505">
        <v>-7.3786323193331818</v>
      </c>
      <c r="AV505"/>
      <c r="AW505"/>
      <c r="FY505" s="210">
        <v>500</v>
      </c>
      <c r="FZ505">
        <v>1.256082470250939</v>
      </c>
      <c r="GA505">
        <v>2.5778620353650674</v>
      </c>
      <c r="GB505">
        <v>1.7196718449706627</v>
      </c>
      <c r="GC505">
        <v>0.90276056271474847</v>
      </c>
      <c r="GD505">
        <v>1.8710831540913366</v>
      </c>
      <c r="GE505">
        <v>4.5206634155089906</v>
      </c>
      <c r="GF505">
        <v>4.9767404055489424</v>
      </c>
      <c r="GG505">
        <v>5.1330686784394022</v>
      </c>
      <c r="GH505">
        <v>4.5492535627721784</v>
      </c>
      <c r="GI505">
        <v>3.3582540549492683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36.220720097202253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19.395402383766744</v>
      </c>
      <c r="AO506">
        <v>5.1169784345710259</v>
      </c>
      <c r="AP506">
        <v>38.077150992335824</v>
      </c>
      <c r="AQ506">
        <v>31.5242867109332</v>
      </c>
      <c r="AR506">
        <v>4.8402834508010617</v>
      </c>
      <c r="AS506">
        <v>23.761743319465573</v>
      </c>
      <c r="AT506">
        <v>3.4298286872342909</v>
      </c>
      <c r="AU506">
        <v>-4.0975342668028052</v>
      </c>
      <c r="AV506"/>
      <c r="AW506"/>
      <c r="FY506" s="210">
        <v>501</v>
      </c>
      <c r="FZ506">
        <v>1.0771471066429397</v>
      </c>
      <c r="GA506">
        <v>1.7721904646862834</v>
      </c>
      <c r="GB506">
        <v>0.74439127583525844</v>
      </c>
      <c r="GC506">
        <v>0.42660620840972663</v>
      </c>
      <c r="GD506">
        <v>1.764916472657621</v>
      </c>
      <c r="GE506">
        <v>4.1886300062753312</v>
      </c>
      <c r="GF506">
        <v>7.1371194614007702</v>
      </c>
      <c r="GG506">
        <v>8.0057770222124347</v>
      </c>
      <c r="GH506">
        <v>5.6028901261843211</v>
      </c>
      <c r="GI506">
        <v>3.608081584066587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38.291612981416243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20.161515567765569</v>
      </c>
      <c r="AO507">
        <v>5.2146357373281695</v>
      </c>
      <c r="AP507">
        <v>40.322534054743045</v>
      </c>
      <c r="AQ507">
        <v>32.999161534610273</v>
      </c>
      <c r="AR507">
        <v>4.9719581847987744</v>
      </c>
      <c r="AS507">
        <v>24.627253968383133</v>
      </c>
      <c r="AT507">
        <v>3.4975774879268275</v>
      </c>
      <c r="AU507">
        <v>16.533330664871634</v>
      </c>
      <c r="AV507"/>
      <c r="AW507"/>
      <c r="FY507" s="210">
        <v>502</v>
      </c>
      <c r="FZ507">
        <v>0.88562928710046229</v>
      </c>
      <c r="GA507">
        <v>1.5883268629385845</v>
      </c>
      <c r="GB507">
        <v>1.0402852123351161</v>
      </c>
      <c r="GC507">
        <v>0.69000174596350694</v>
      </c>
      <c r="GD507">
        <v>1.818712570104474</v>
      </c>
      <c r="GE507">
        <v>3.8749141439761039</v>
      </c>
      <c r="GF507">
        <v>2.5359293423700611</v>
      </c>
      <c r="GG507">
        <v>3.9187480670938806</v>
      </c>
      <c r="GH507">
        <v>4.563871282247093</v>
      </c>
      <c r="GI507">
        <v>2.6488920306193013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40.392717196871516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29.017090260363101</v>
      </c>
      <c r="AO508">
        <v>5.6481442304978833</v>
      </c>
      <c r="AP508">
        <v>44.858176201281722</v>
      </c>
      <c r="AQ508">
        <v>36.937436571100335</v>
      </c>
      <c r="AR508">
        <v>5.2625672869545799</v>
      </c>
      <c r="AS508">
        <v>28.421672779802758</v>
      </c>
      <c r="AT508">
        <v>3.5977470398349909</v>
      </c>
      <c r="AU508">
        <v>-2.7570914661206487</v>
      </c>
      <c r="AV508"/>
      <c r="AW508"/>
      <c r="FY508" s="210">
        <v>503</v>
      </c>
      <c r="FZ508">
        <v>1.0003448463134834</v>
      </c>
      <c r="GA508">
        <v>1.9871584306571106</v>
      </c>
      <c r="GB508">
        <v>1.3989556026623478</v>
      </c>
      <c r="GC508">
        <v>0.5586029052182947</v>
      </c>
      <c r="GD508">
        <v>1.3077766454744264</v>
      </c>
      <c r="GE508">
        <v>4.9750199293462458</v>
      </c>
      <c r="GF508">
        <v>10.938928654404217</v>
      </c>
      <c r="GG508">
        <v>6.6692112312962193</v>
      </c>
      <c r="GH508">
        <v>1.8350845481256379</v>
      </c>
      <c r="GI508">
        <v>3.6167296756455545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42.609111382648663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22.435349952060296</v>
      </c>
      <c r="AO509">
        <v>4.1886531107251255</v>
      </c>
      <c r="AP509">
        <v>30.976157776521177</v>
      </c>
      <c r="AQ509">
        <v>26.402830578334388</v>
      </c>
      <c r="AR509">
        <v>4.0446228658581713</v>
      </c>
      <c r="AS509">
        <v>20.521648695886263</v>
      </c>
      <c r="AT509">
        <v>2.6026330709828862</v>
      </c>
      <c r="AU509">
        <v>1.5899834904803976</v>
      </c>
      <c r="AV509"/>
      <c r="AW509"/>
      <c r="FY509" s="210">
        <v>504</v>
      </c>
      <c r="FZ509">
        <v>0.87764980475251364</v>
      </c>
      <c r="GA509">
        <v>2.6110467051785236</v>
      </c>
      <c r="GB509">
        <v>1.6197238130442668</v>
      </c>
      <c r="GC509">
        <v>0.94975294644518116</v>
      </c>
      <c r="GD509">
        <v>1.6501273600917314</v>
      </c>
      <c r="GE509">
        <v>4.6661410100414713</v>
      </c>
      <c r="GF509">
        <v>7.7269650102395921</v>
      </c>
      <c r="GG509">
        <v>9.1532211413725477</v>
      </c>
      <c r="GH509">
        <v>9.3687258886484415</v>
      </c>
      <c r="GI509">
        <v>4.4251745992868052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44.856586743590903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23.481686095969572</v>
      </c>
      <c r="AO510">
        <v>4.1171073319637275</v>
      </c>
      <c r="AP510">
        <v>31.561253838454704</v>
      </c>
      <c r="AQ510">
        <v>26.565765063846193</v>
      </c>
      <c r="AR510">
        <v>3.8231641536921819</v>
      </c>
      <c r="AS510">
        <v>20.899329472990168</v>
      </c>
      <c r="AT510">
        <v>2.6571885979877292</v>
      </c>
      <c r="AU510">
        <v>3.6409240740602513</v>
      </c>
      <c r="AV510"/>
      <c r="AW510"/>
      <c r="FY510" s="210">
        <v>505</v>
      </c>
      <c r="FZ510">
        <v>1.0091136814839547</v>
      </c>
      <c r="GA510">
        <v>2.6555592774268679</v>
      </c>
      <c r="GB510">
        <v>2.2939086325236242</v>
      </c>
      <c r="GC510">
        <v>0.96478316768580252</v>
      </c>
      <c r="GD510">
        <v>1.6623115239523703</v>
      </c>
      <c r="GE510">
        <v>4.0383893782791871</v>
      </c>
      <c r="GF510">
        <v>5.5520824127937871</v>
      </c>
      <c r="GG510">
        <v>5.0027017138093965</v>
      </c>
      <c r="GH510">
        <v>4.343213115717969</v>
      </c>
      <c r="GI510">
        <v>3.419160609860211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47.222608240186645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27.397041241710355</v>
      </c>
      <c r="AO511">
        <v>5.5856610818302626</v>
      </c>
      <c r="AP511">
        <v>41.592188153023017</v>
      </c>
      <c r="AQ511">
        <v>34.89641008712659</v>
      </c>
      <c r="AR511">
        <v>5.2477149107502807</v>
      </c>
      <c r="AS511">
        <v>24.326900797058382</v>
      </c>
      <c r="AT511">
        <v>3.5644576575458533</v>
      </c>
      <c r="AU511">
        <v>22.244987995613812</v>
      </c>
      <c r="AV511"/>
      <c r="AW511"/>
      <c r="FY511" s="210">
        <v>506</v>
      </c>
      <c r="FZ511">
        <v>1.5441751355827769</v>
      </c>
      <c r="GA511">
        <v>2.5756889854862957</v>
      </c>
      <c r="GB511">
        <v>1.383999031840405</v>
      </c>
      <c r="GC511">
        <v>0.66649468337437356</v>
      </c>
      <c r="GD511">
        <v>1.7306225433292368</v>
      </c>
      <c r="GE511">
        <v>2.7449047645736564</v>
      </c>
      <c r="GF511">
        <v>3.3897878206000076</v>
      </c>
      <c r="GG511">
        <v>6.5072815188244286</v>
      </c>
      <c r="GH511">
        <v>5.4294612261231565</v>
      </c>
      <c r="GI511">
        <v>3.1060120744285178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49.620571583511776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35.307958076506644</v>
      </c>
      <c r="AO512">
        <v>5.5367601742940629</v>
      </c>
      <c r="AP512">
        <v>33.440656326813468</v>
      </c>
      <c r="AQ512">
        <v>31.344102661983346</v>
      </c>
      <c r="AR512">
        <v>5.2791746990829669</v>
      </c>
      <c r="AS512">
        <v>27.465921387318492</v>
      </c>
      <c r="AT512">
        <v>3.2208102285919775</v>
      </c>
      <c r="AU512">
        <v>0.22235424780954149</v>
      </c>
      <c r="AV512"/>
      <c r="AW512"/>
      <c r="FY512" s="210">
        <v>507</v>
      </c>
      <c r="FZ512">
        <v>1.1528217200830784</v>
      </c>
      <c r="GA512">
        <v>2.1441972573907901</v>
      </c>
      <c r="GB512">
        <v>1.1077248152116761</v>
      </c>
      <c r="GC512">
        <v>0.80323904211613784</v>
      </c>
      <c r="GD512">
        <v>1.1367447126655077</v>
      </c>
      <c r="GE512">
        <v>1.9430661835246914</v>
      </c>
      <c r="GF512">
        <v>5.6128668521146174</v>
      </c>
      <c r="GG512">
        <v>5.3786811488339863</v>
      </c>
      <c r="GH512">
        <v>2.2536720371511074</v>
      </c>
      <c r="GI512">
        <v>2.5309079927446905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52.140303469706964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22.913510722187581</v>
      </c>
      <c r="AO513">
        <v>3.4069601678112833</v>
      </c>
      <c r="AP513">
        <v>29.642911551355869</v>
      </c>
      <c r="AQ513">
        <v>23.90364450475413</v>
      </c>
      <c r="AR513">
        <v>3.2401477864260588</v>
      </c>
      <c r="AS513">
        <v>19.019712357591626</v>
      </c>
      <c r="AT513">
        <v>2.1415116559862701</v>
      </c>
      <c r="AU513">
        <v>2.2001759796500506</v>
      </c>
      <c r="AV513"/>
      <c r="AW513"/>
      <c r="FY513" s="210">
        <v>508</v>
      </c>
      <c r="FZ513">
        <v>1.0910231405468662</v>
      </c>
      <c r="GA513">
        <v>1.9838148207783348</v>
      </c>
      <c r="GB513">
        <v>1.471789486907805</v>
      </c>
      <c r="GC513">
        <v>0.56153055592415591</v>
      </c>
      <c r="GD513">
        <v>1.3177929919196878</v>
      </c>
      <c r="GE513">
        <v>5.38235070531519</v>
      </c>
      <c r="GF513">
        <v>10.339431054065777</v>
      </c>
      <c r="GG513">
        <v>9.1745272387396302</v>
      </c>
      <c r="GH513">
        <v>6.0908060068263197</v>
      </c>
      <c r="GI513">
        <v>4.2241107983199475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54.692829132106269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26.115222988404305</v>
      </c>
      <c r="AO514">
        <v>5.4516791575554748</v>
      </c>
      <c r="AP514">
        <v>38.861435445814877</v>
      </c>
      <c r="AQ514">
        <v>33.504267600701155</v>
      </c>
      <c r="AR514">
        <v>5.0539142525316763</v>
      </c>
      <c r="AS514">
        <v>22.244144427534795</v>
      </c>
      <c r="AT514">
        <v>3.6242340790862557</v>
      </c>
      <c r="AU514">
        <v>1.533145318349316</v>
      </c>
      <c r="AV514"/>
      <c r="AW514"/>
      <c r="FY514" s="210">
        <v>509</v>
      </c>
      <c r="FZ514">
        <v>1.2975446408825877</v>
      </c>
      <c r="GA514">
        <v>1.8815139559031273</v>
      </c>
      <c r="GB514">
        <v>1.7658351580613774</v>
      </c>
      <c r="GC514">
        <v>0.96357668033170363</v>
      </c>
      <c r="GD514">
        <v>1.6664719501386975</v>
      </c>
      <c r="GE514">
        <v>4.0647976852271901</v>
      </c>
      <c r="GF514">
        <v>4.5431127940471248</v>
      </c>
      <c r="GG514">
        <v>4.9441840779147972</v>
      </c>
      <c r="GH514">
        <v>4.4060303892747772</v>
      </c>
      <c r="GI514">
        <v>3.1727866773692375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57.370313546634669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20.154996624831966</v>
      </c>
      <c r="AO515">
        <v>4.535174110846242</v>
      </c>
      <c r="AP515">
        <v>36.827595265421039</v>
      </c>
      <c r="AQ515">
        <v>30.24531081764983</v>
      </c>
      <c r="AR515">
        <v>4.2328757573421019</v>
      </c>
      <c r="AS515">
        <v>19.194135976797774</v>
      </c>
      <c r="AT515">
        <v>2.6719141844097112</v>
      </c>
      <c r="AU515">
        <v>-3.24642789331849</v>
      </c>
      <c r="AV515"/>
      <c r="AW515"/>
      <c r="FY515" s="210">
        <v>510</v>
      </c>
      <c r="FZ515">
        <v>0.95955926381542511</v>
      </c>
      <c r="GA515">
        <v>1.5394860657091178</v>
      </c>
      <c r="GB515">
        <v>1.0035100764691698</v>
      </c>
      <c r="GC515">
        <v>0.97147003109164853</v>
      </c>
      <c r="GD515">
        <v>1.2508375189670238</v>
      </c>
      <c r="GE515">
        <v>2.3618732590978886</v>
      </c>
      <c r="GF515">
        <v>4.6433068124927406</v>
      </c>
      <c r="GG515">
        <v>5.6700621656053336</v>
      </c>
      <c r="GH515">
        <v>4.8300817275643606</v>
      </c>
      <c r="GI515">
        <v>2.7703169705746884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60.081435320331209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25.977822397712494</v>
      </c>
      <c r="AO516">
        <v>4.9272033242968938</v>
      </c>
      <c r="AP516">
        <v>35.505926408089323</v>
      </c>
      <c r="AQ516">
        <v>30.865440184611533</v>
      </c>
      <c r="AR516">
        <v>4.5914643739667618</v>
      </c>
      <c r="AS516">
        <v>23.028992552196815</v>
      </c>
      <c r="AT516">
        <v>3.272136789627405</v>
      </c>
      <c r="AU516">
        <v>6.2917557612739321</v>
      </c>
      <c r="AV516"/>
      <c r="AW516"/>
      <c r="FY516" s="210">
        <v>511</v>
      </c>
      <c r="FZ516">
        <v>0.91854815193950357</v>
      </c>
      <c r="GA516">
        <v>2.1314030182383554</v>
      </c>
      <c r="GB516">
        <v>1.8690077684534048</v>
      </c>
      <c r="GC516">
        <v>0.72967836483397475</v>
      </c>
      <c r="GD516">
        <v>0.99472177510507964</v>
      </c>
      <c r="GE516">
        <v>2.9161516983243869</v>
      </c>
      <c r="GF516">
        <v>6.032373706662117</v>
      </c>
      <c r="GG516">
        <v>5.2656328297433923</v>
      </c>
      <c r="GH516">
        <v>2.4334167778888252</v>
      </c>
      <c r="GI516">
        <v>2.6984547321529981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62.920675293448724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24.507727388554979</v>
      </c>
      <c r="AO517">
        <v>5.2961521920872086</v>
      </c>
      <c r="AP517">
        <v>40.735719179093351</v>
      </c>
      <c r="AQ517">
        <v>34.327749728371273</v>
      </c>
      <c r="AR517">
        <v>4.9865079203423983</v>
      </c>
      <c r="AS517">
        <v>24.015609520680261</v>
      </c>
      <c r="AT517" t="e">
        <v>#DIV/0!</v>
      </c>
      <c r="AU517" t="e">
        <v>#DIV/0!</v>
      </c>
      <c r="AV517"/>
      <c r="AW517"/>
      <c r="FY517" s="210">
        <v>512</v>
      </c>
      <c r="FZ517">
        <v>1.3511382086929873</v>
      </c>
      <c r="GA517">
        <v>3.5711510937664319</v>
      </c>
      <c r="GB517">
        <v>1.8751548699370915</v>
      </c>
      <c r="GC517">
        <v>0.82631940461279285</v>
      </c>
      <c r="GD517">
        <v>1.7515698902396308</v>
      </c>
      <c r="GE517">
        <v>5.1824904700759813</v>
      </c>
      <c r="GF517">
        <v>7.0758777796501908</v>
      </c>
      <c r="GG517">
        <v>3.9799799116338068</v>
      </c>
      <c r="GH517">
        <v>2.529479028262716</v>
      </c>
      <c r="GI517">
        <v>3.4225421633339126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62.920675293448724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20.561819172113285</v>
      </c>
      <c r="AO518">
        <v>3.8814019332277381</v>
      </c>
      <c r="AP518">
        <v>25.909214504990935</v>
      </c>
      <c r="AQ518">
        <v>23.565310544748581</v>
      </c>
      <c r="AR518">
        <v>3.6570800426661485</v>
      </c>
      <c r="AS518">
        <v>19.502348208649053</v>
      </c>
      <c r="AT518">
        <v>2.2914670270643054</v>
      </c>
      <c r="AU518">
        <v>7.6282294131255739</v>
      </c>
      <c r="AV518"/>
      <c r="AW518"/>
      <c r="FY518" s="210">
        <v>513</v>
      </c>
      <c r="FZ518">
        <v>1.0911359052357981</v>
      </c>
      <c r="GA518">
        <v>3.5176513962541494</v>
      </c>
      <c r="GB518">
        <v>2.1264642734630277</v>
      </c>
      <c r="GC518">
        <v>0.77806719326124008</v>
      </c>
      <c r="GD518">
        <v>2.5080588865737932</v>
      </c>
      <c r="GE518">
        <v>4.6246222810343234</v>
      </c>
      <c r="GF518">
        <v>1.7712063925321411</v>
      </c>
      <c r="GG518">
        <v>3.7823258044099521</v>
      </c>
      <c r="GH518">
        <v>4.7022599216098637</v>
      </c>
      <c r="GI518">
        <v>3.2363347347820497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22.136373753561255</v>
      </c>
      <c r="AO519">
        <v>5.3260542012478957</v>
      </c>
      <c r="AP519">
        <v>41.680535996499707</v>
      </c>
      <c r="AQ519">
        <v>34.287812469143539</v>
      </c>
      <c r="AR519">
        <v>4.8916382949348485</v>
      </c>
      <c r="AS519">
        <v>21.856369538589476</v>
      </c>
      <c r="AT519">
        <v>3.5932645950670281</v>
      </c>
      <c r="AU519">
        <v>7.1152369232182</v>
      </c>
      <c r="AV519"/>
      <c r="AW519"/>
      <c r="FY519" s="210">
        <v>514</v>
      </c>
      <c r="FZ519">
        <v>1.1246185935194979</v>
      </c>
      <c r="GA519">
        <v>1.3463947060502655</v>
      </c>
      <c r="GB519">
        <v>0.72468500014629522</v>
      </c>
      <c r="GC519">
        <v>0.53659241300002569</v>
      </c>
      <c r="GD519">
        <v>2.62219034929704</v>
      </c>
      <c r="GE519">
        <v>5.672812953535141</v>
      </c>
      <c r="GF519">
        <v>5.8593418568004303</v>
      </c>
      <c r="GG519">
        <v>5.0031826342758574</v>
      </c>
      <c r="GH519">
        <v>3.3159481866567853</v>
      </c>
      <c r="GI519">
        <v>3.4972789197802889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5.6024001423116605</v>
      </c>
      <c r="H520" s="63" t="s">
        <v>30</v>
      </c>
      <c r="I520" s="101">
        <f>SUM(K458:K518)</f>
        <v>27.647499974473643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28.002061553845031</v>
      </c>
      <c r="AO520">
        <v>6.4718814694021791</v>
      </c>
      <c r="AP520">
        <v>51.997390082026193</v>
      </c>
      <c r="AQ520">
        <v>43.048528279101077</v>
      </c>
      <c r="AR520">
        <v>6.0523315333467975</v>
      </c>
      <c r="AS520">
        <v>28.454250663905714</v>
      </c>
      <c r="AT520">
        <v>3.8720073394389778</v>
      </c>
      <c r="AU520">
        <v>2.8038828113630587</v>
      </c>
      <c r="AV520"/>
      <c r="AW520"/>
      <c r="FY520" s="210">
        <v>515</v>
      </c>
      <c r="FZ520">
        <v>1.1511898480468343</v>
      </c>
      <c r="GA520">
        <v>2.2198929471680362</v>
      </c>
      <c r="GB520">
        <v>2.2122687068883864</v>
      </c>
      <c r="GC520">
        <v>1.2978627140603309</v>
      </c>
      <c r="GD520">
        <v>1.7151920797570837</v>
      </c>
      <c r="GE520">
        <v>3.8679945963334585</v>
      </c>
      <c r="GF520">
        <v>4.6940552310247714</v>
      </c>
      <c r="GG520">
        <v>6.8926374507022974</v>
      </c>
      <c r="GH520">
        <v>6.6238998340173696</v>
      </c>
      <c r="GI520">
        <v>3.6553122223661361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24.849059506394848</v>
      </c>
      <c r="AO521">
        <v>4.8859197160420917</v>
      </c>
      <c r="AP521">
        <v>36.643477636336904</v>
      </c>
      <c r="AQ521">
        <v>30.941223513533171</v>
      </c>
      <c r="AR521">
        <v>4.7062995984141285</v>
      </c>
      <c r="AS521">
        <v>24.954380657505073</v>
      </c>
      <c r="AT521">
        <v>3.0428876323914711</v>
      </c>
      <c r="AU521">
        <v>0.69239169447785587</v>
      </c>
      <c r="AV521"/>
      <c r="AW521"/>
      <c r="FY521" s="210">
        <v>516</v>
      </c>
      <c r="FZ521">
        <v>0.91242607100566231</v>
      </c>
      <c r="GA521">
        <v>1.522462193814742</v>
      </c>
      <c r="GB521">
        <v>1.3971453687548838</v>
      </c>
      <c r="GC521">
        <v>0.99409395044015414</v>
      </c>
      <c r="GD521">
        <v>1.6504944828745143</v>
      </c>
      <c r="GE521">
        <v>3.9172600981020986</v>
      </c>
      <c r="GF521">
        <v>8.2059124210594021</v>
      </c>
      <c r="GG521">
        <v>6.5208555132096002</v>
      </c>
      <c r="GH521">
        <v>1.8251136700922035</v>
      </c>
      <c r="GI521">
        <v>3.2669089690119892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4.9349384678306363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18.893170240909601</v>
      </c>
      <c r="AO522">
        <v>4.5264376435403095</v>
      </c>
      <c r="AP522">
        <v>34.192232464917979</v>
      </c>
      <c r="AQ522">
        <v>29.078427784162852</v>
      </c>
      <c r="AR522">
        <v>4.379973486065122</v>
      </c>
      <c r="AS522">
        <v>21.519731006548685</v>
      </c>
      <c r="AT522" t="e">
        <v>#DIV/0!</v>
      </c>
      <c r="AU522" t="e">
        <v>#DIV/0!</v>
      </c>
      <c r="AV522"/>
      <c r="AW522"/>
      <c r="FY522" s="210">
        <v>517</v>
      </c>
      <c r="FZ522">
        <v>1.2624300805626438</v>
      </c>
      <c r="GA522">
        <v>2.1408964353332904</v>
      </c>
      <c r="GB522">
        <v>1.6958330144049105</v>
      </c>
      <c r="GC522">
        <v>0.74164294375156348</v>
      </c>
      <c r="GD522">
        <v>0.31645983309637649</v>
      </c>
      <c r="GE522">
        <v>2.5585227766452512</v>
      </c>
      <c r="GF522">
        <v>7.3987903531493364</v>
      </c>
      <c r="GG522">
        <v>4.7630031091813283</v>
      </c>
      <c r="GH522">
        <v>3.0549379698760148</v>
      </c>
      <c r="GI522">
        <v>2.6707717275193694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5.0763976721803505</v>
      </c>
      <c r="G523" s="63"/>
      <c r="H523" s="63" t="s">
        <v>103</v>
      </c>
      <c r="I523" s="123">
        <f>+I520*(365/I522)</f>
        <v>28.440011041053776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18.472231558335277</v>
      </c>
      <c r="AO523">
        <v>3.7126528672737562</v>
      </c>
      <c r="AP523">
        <v>29.253860414028473</v>
      </c>
      <c r="AQ523">
        <v>24.063921761836287</v>
      </c>
      <c r="AR523">
        <v>3.511643155999749</v>
      </c>
      <c r="AS523">
        <v>17.821057178690086</v>
      </c>
      <c r="AT523">
        <v>2.4325131132679845</v>
      </c>
      <c r="AU523">
        <v>2.0368930428170957</v>
      </c>
      <c r="AV523"/>
      <c r="AW523"/>
      <c r="FY523" s="210">
        <v>518</v>
      </c>
      <c r="FZ523">
        <v>1.4619273824530699</v>
      </c>
      <c r="GA523">
        <v>1.8192821650772888</v>
      </c>
      <c r="GB523">
        <v>1.3200073635592475</v>
      </c>
      <c r="GC523">
        <v>0.95222239498237604</v>
      </c>
      <c r="GD523">
        <v>2.205750241366637</v>
      </c>
      <c r="GE523">
        <v>4.559475937543076</v>
      </c>
      <c r="GF523">
        <v>4.5700596794667696</v>
      </c>
      <c r="GG523">
        <v>6.1188941645295323</v>
      </c>
      <c r="GH523">
        <v>6.421319146936872</v>
      </c>
      <c r="GI523">
        <v>3.7050309652032767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19.78614354395604</v>
      </c>
      <c r="AO524">
        <v>6.3121156146280928</v>
      </c>
      <c r="AP524">
        <v>50.996375515460137</v>
      </c>
      <c r="AQ524">
        <v>41.637176799343713</v>
      </c>
      <c r="AR524">
        <v>5.7362173975755315</v>
      </c>
      <c r="AS524">
        <v>25.25104829282694</v>
      </c>
      <c r="AT524">
        <v>4.4778452404686133</v>
      </c>
      <c r="AU524">
        <v>21.098232629403743</v>
      </c>
      <c r="AV524"/>
      <c r="AW524"/>
      <c r="FY524" s="210">
        <v>519</v>
      </c>
      <c r="FZ524">
        <v>1.2558569408730755</v>
      </c>
      <c r="GA524">
        <v>3.2661866988316626</v>
      </c>
      <c r="GB524">
        <v>2.8274966704596816</v>
      </c>
      <c r="GC524">
        <v>1.2538998657303086</v>
      </c>
      <c r="GD524">
        <v>2.4322499225848757</v>
      </c>
      <c r="GE524">
        <v>6.0046359859670488</v>
      </c>
      <c r="GF524">
        <v>6.9560148010287941</v>
      </c>
      <c r="GG524">
        <v>7.62484379820543</v>
      </c>
      <c r="GH524">
        <v>5.7954786188735126</v>
      </c>
      <c r="GI524">
        <v>4.54398999678852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18.145502645502646</v>
      </c>
      <c r="AO525">
        <v>4.639705348178337</v>
      </c>
      <c r="AP525">
        <v>33.271241195495399</v>
      </c>
      <c r="AQ525">
        <v>28.70585400915062</v>
      </c>
      <c r="AR525">
        <v>4.3813180553404161</v>
      </c>
      <c r="AS525">
        <v>20.980605871662863</v>
      </c>
      <c r="AT525">
        <v>3.0987818282499133</v>
      </c>
      <c r="AU525">
        <v>0.96137233485353535</v>
      </c>
      <c r="AV525"/>
      <c r="AW525"/>
      <c r="FY525" s="210">
        <v>520</v>
      </c>
      <c r="FZ525">
        <v>0.98798791975686906</v>
      </c>
      <c r="GA525">
        <v>2.1516687498175919</v>
      </c>
      <c r="GB525">
        <v>1.483887793354274</v>
      </c>
      <c r="GC525">
        <v>0.63179159721645972</v>
      </c>
      <c r="GD525">
        <v>1.9052952442759929</v>
      </c>
      <c r="GE525">
        <v>3.8156722312792617</v>
      </c>
      <c r="GF525">
        <v>2.0239360830952515</v>
      </c>
      <c r="GG525">
        <v>1.7633053101770852</v>
      </c>
      <c r="GH525">
        <v>1.9583020809184772</v>
      </c>
      <c r="GI525">
        <v>2.3203522958224094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20.634492490963471</v>
      </c>
      <c r="AO526">
        <v>4.047622900599138</v>
      </c>
      <c r="AP526">
        <v>31.195195779452405</v>
      </c>
      <c r="AQ526">
        <v>26.000503891387396</v>
      </c>
      <c r="AR526">
        <v>3.8337547480042198</v>
      </c>
      <c r="AS526">
        <v>17.46819835900703</v>
      </c>
      <c r="AT526">
        <v>2.4495754547230977</v>
      </c>
      <c r="AU526">
        <v>-1.8585442540148005</v>
      </c>
      <c r="AV526"/>
      <c r="AW526"/>
      <c r="FY526" s="210">
        <v>521</v>
      </c>
      <c r="FZ526">
        <v>0.64455704988945584</v>
      </c>
      <c r="GA526">
        <v>2.5689531299567294</v>
      </c>
      <c r="GB526">
        <v>2.4043060300195833</v>
      </c>
      <c r="GC526">
        <v>1.0604922320604064</v>
      </c>
      <c r="GD526">
        <v>1.8392345517281365</v>
      </c>
      <c r="GE526">
        <v>3.4980197750921582</v>
      </c>
      <c r="GF526">
        <v>6.7875026056344208</v>
      </c>
      <c r="GG526">
        <v>8.9050167048485918</v>
      </c>
      <c r="GH526">
        <v>5.7383042494367444</v>
      </c>
      <c r="GI526">
        <v>3.9608257516081649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21.170679062223176</v>
      </c>
      <c r="AO527">
        <v>3.9913373879704808</v>
      </c>
      <c r="AP527">
        <v>31.780119982863063</v>
      </c>
      <c r="AQ527">
        <v>25.98938882334204</v>
      </c>
      <c r="AR527">
        <v>3.6934379454091486</v>
      </c>
      <c r="AS527">
        <v>17.800612637239499</v>
      </c>
      <c r="AT527">
        <v>2.4250454851625358</v>
      </c>
      <c r="AU527">
        <v>2.3555307469124593</v>
      </c>
      <c r="AV527"/>
      <c r="AW527"/>
      <c r="FY527" s="210">
        <v>522</v>
      </c>
      <c r="FZ527">
        <v>0.9264148695985206</v>
      </c>
      <c r="GA527">
        <v>2.4908818913217856</v>
      </c>
      <c r="GB527">
        <v>1.3903242908055968</v>
      </c>
      <c r="GC527">
        <v>0.64741663770146007</v>
      </c>
      <c r="GD527">
        <v>2.1531164376281913</v>
      </c>
      <c r="GE527">
        <v>5.4885617675565026</v>
      </c>
      <c r="GF527">
        <v>5.6548912757928278</v>
      </c>
      <c r="GG527">
        <v>4.4359368150248635</v>
      </c>
      <c r="GH527">
        <v>3.7859733666021116</v>
      </c>
      <c r="GI527">
        <v>3.4087797212504163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23.614947306436665</v>
      </c>
      <c r="AO528">
        <v>5.0068252794011663</v>
      </c>
      <c r="AP528">
        <v>36.477278225755256</v>
      </c>
      <c r="AQ528">
        <v>31.565702820205544</v>
      </c>
      <c r="AR528">
        <v>4.5886319664243311</v>
      </c>
      <c r="AS528">
        <v>23.450290435595608</v>
      </c>
      <c r="AT528">
        <v>3.4024989955355607</v>
      </c>
      <c r="AU528">
        <v>-1.3151668220953765</v>
      </c>
      <c r="AV528"/>
      <c r="AW528"/>
      <c r="FY528" s="210">
        <v>523</v>
      </c>
      <c r="FZ528">
        <v>1.1246185935194979</v>
      </c>
      <c r="GA528">
        <v>2.2699215188263522</v>
      </c>
      <c r="GB528">
        <v>2.244693365242215</v>
      </c>
      <c r="GC528">
        <v>1.2437036200505516</v>
      </c>
      <c r="GD528">
        <v>1.7444768069014116</v>
      </c>
      <c r="GE528">
        <v>3.8762651325655382</v>
      </c>
      <c r="GF528">
        <v>4.4795344875294356</v>
      </c>
      <c r="GG528">
        <v>4.5793005400432962</v>
      </c>
      <c r="GH528">
        <v>4.8506620072858935</v>
      </c>
      <c r="GI528">
        <v>3.3496918959028141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25.124684462460195</v>
      </c>
      <c r="AO529">
        <v>4.6901617880543167</v>
      </c>
      <c r="AP529">
        <v>30.895317720455967</v>
      </c>
      <c r="AQ529">
        <v>28.138126789156338</v>
      </c>
      <c r="AR529">
        <v>4.5193781543638796</v>
      </c>
      <c r="AS529">
        <v>22.122947770841545</v>
      </c>
      <c r="AT529">
        <v>2.7328607648436773</v>
      </c>
      <c r="AU529">
        <v>13.51520762376888</v>
      </c>
      <c r="AV529"/>
      <c r="AW529"/>
      <c r="FY529" s="210">
        <v>524</v>
      </c>
      <c r="FZ529">
        <v>1.268552161496485</v>
      </c>
      <c r="GA529">
        <v>1.5588105034574571</v>
      </c>
      <c r="GB529">
        <v>0.87764104160258327</v>
      </c>
      <c r="GC529">
        <v>0.53022723143013306</v>
      </c>
      <c r="GD529">
        <v>2.2155445170316845</v>
      </c>
      <c r="GE529">
        <v>5.1690156059987302</v>
      </c>
      <c r="GF529">
        <v>6.7144771942628676</v>
      </c>
      <c r="GG529">
        <v>4.281982357946994</v>
      </c>
      <c r="GH529">
        <v>1.1661474501245468</v>
      </c>
      <c r="GI529">
        <v>3.1403650964422969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32.314517778378857</v>
      </c>
      <c r="AO530">
        <v>5.0114162881825504</v>
      </c>
      <c r="AP530">
        <v>32.204803032364381</v>
      </c>
      <c r="AQ530">
        <v>29.703045613061626</v>
      </c>
      <c r="AR530">
        <v>4.8187963684271669</v>
      </c>
      <c r="AS530">
        <v>26.134278383271987</v>
      </c>
      <c r="AT530">
        <v>3.0333640531996156</v>
      </c>
      <c r="AU530">
        <v>1.5490214238808167</v>
      </c>
      <c r="AV530"/>
      <c r="AW530"/>
      <c r="FY530" s="210">
        <v>525</v>
      </c>
      <c r="FZ530">
        <v>0.8643907606844452</v>
      </c>
      <c r="GA530">
        <v>2.724845776285088</v>
      </c>
      <c r="GB530">
        <v>1.6107878995850526</v>
      </c>
      <c r="GC530">
        <v>0.90103939936298572</v>
      </c>
      <c r="GD530">
        <v>2.0620914767059491</v>
      </c>
      <c r="GE530">
        <v>5.0618991744027948</v>
      </c>
      <c r="GF530">
        <v>8.6606272061247225</v>
      </c>
      <c r="GG530">
        <v>7.6674298806934962</v>
      </c>
      <c r="GH530">
        <v>3.912331003242083</v>
      </c>
      <c r="GI530">
        <v>3.9707828549903659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16.666666666666668</v>
      </c>
      <c r="E531" s="108">
        <f>E405</f>
        <v>6.7476451255162315E-2</v>
      </c>
      <c r="F531" s="102"/>
      <c r="G531" s="101">
        <f>D531*E531</f>
        <v>1.124607520919372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27.075230904441248</v>
      </c>
      <c r="AO531">
        <v>5.4072540395765065</v>
      </c>
      <c r="AP531">
        <v>40.651399327856524</v>
      </c>
      <c r="AQ531">
        <v>34.330305630364705</v>
      </c>
      <c r="AR531">
        <v>5.0414375430077865</v>
      </c>
      <c r="AS531">
        <v>23.285986622521065</v>
      </c>
      <c r="AT531">
        <v>3.3370311985224093</v>
      </c>
      <c r="AU531">
        <v>-2.8078174237092015</v>
      </c>
      <c r="AV531"/>
      <c r="AW531"/>
      <c r="FY531" s="210">
        <v>526</v>
      </c>
      <c r="FZ531">
        <v>1.268552161496485</v>
      </c>
      <c r="GA531">
        <v>2.8322235196352814</v>
      </c>
      <c r="GB531">
        <v>1.6448989129498555</v>
      </c>
      <c r="GC531">
        <v>0.6031289739735084</v>
      </c>
      <c r="GD531">
        <v>1.6234029570777901</v>
      </c>
      <c r="GE531">
        <v>3.3248651320689855</v>
      </c>
      <c r="GF531">
        <v>4.7669827573538566</v>
      </c>
      <c r="GG531">
        <v>7.8957889684149789</v>
      </c>
      <c r="GH531">
        <v>7.4229400543161272</v>
      </c>
      <c r="GI531">
        <v>3.6310896852333681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5.1317239378165597E-2</v>
      </c>
      <c r="I532" s="101">
        <f>AVERAGE(D531:D533)</f>
        <v>12.5</v>
      </c>
      <c r="J532" s="101">
        <f>I532*H532</f>
        <v>0.64146549222706994</v>
      </c>
      <c r="K532" s="61">
        <f>J532/(C533-C531)</f>
        <v>2.3757981193595182E-2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26.656176290074132</v>
      </c>
      <c r="AO532">
        <v>4.8614794671760952</v>
      </c>
      <c r="AP532">
        <v>35.624536036874737</v>
      </c>
      <c r="AQ532">
        <v>30.212672738365253</v>
      </c>
      <c r="AR532">
        <v>4.4713589711465804</v>
      </c>
      <c r="AS532">
        <v>24.336812410430205</v>
      </c>
      <c r="AT532">
        <v>3.1141533791994149</v>
      </c>
      <c r="AU532">
        <v>9.9215756780062136</v>
      </c>
      <c r="AV532"/>
      <c r="AW532"/>
      <c r="FY532" s="210">
        <v>527</v>
      </c>
      <c r="FZ532">
        <v>1.8037263802842389</v>
      </c>
      <c r="GA532">
        <v>3.3773012272196055</v>
      </c>
      <c r="GB532">
        <v>1.5770572443483757</v>
      </c>
      <c r="GC532">
        <v>0.64630890147993425</v>
      </c>
      <c r="GD532">
        <v>2.5595463023795237</v>
      </c>
      <c r="GE532">
        <v>5.8338437820880813</v>
      </c>
      <c r="GF532">
        <v>6.199959602814574</v>
      </c>
      <c r="GG532">
        <v>6.8402443210742918</v>
      </c>
      <c r="GH532">
        <v>6.5492860773046964</v>
      </c>
      <c r="GI532">
        <v>4.3666761618075975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8.3333333333333321</v>
      </c>
      <c r="E533" s="108">
        <f>E406</f>
        <v>0.11879369063332791</v>
      </c>
      <c r="F533" s="102"/>
      <c r="G533" s="101">
        <f>D533*E533</f>
        <v>0.98994742194439911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15.695482511971871</v>
      </c>
      <c r="AO533">
        <v>3.8495232305616618</v>
      </c>
      <c r="AP533">
        <v>33.930396775610006</v>
      </c>
      <c r="AQ533">
        <v>26.603288243520087</v>
      </c>
      <c r="AR533">
        <v>3.5708668451482031</v>
      </c>
      <c r="AS533">
        <v>18.33197180253261</v>
      </c>
      <c r="AT533">
        <v>2.589656712950501</v>
      </c>
      <c r="AU533">
        <v>1.1701304958584045</v>
      </c>
      <c r="AV533"/>
      <c r="AW533"/>
      <c r="FY533" s="210">
        <v>528</v>
      </c>
      <c r="FZ533">
        <v>1.1943966554036587</v>
      </c>
      <c r="GA533">
        <v>1.7528660269379439</v>
      </c>
      <c r="GB533">
        <v>0.99489745743123814</v>
      </c>
      <c r="GC533">
        <v>0.36686309463313338</v>
      </c>
      <c r="GD533">
        <v>2.1910813835315155</v>
      </c>
      <c r="GE533">
        <v>4.738224288310688</v>
      </c>
      <c r="GF533">
        <v>4.6238611529550795</v>
      </c>
      <c r="GG533">
        <v>3.7548940432641369</v>
      </c>
      <c r="GH533">
        <v>0.96625646741161031</v>
      </c>
      <c r="GI533">
        <v>2.7427716638090454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-7.383222745391288E-2</v>
      </c>
      <c r="I534" s="101">
        <f>AVERAGE(D533:D535)</f>
        <v>21.09375</v>
      </c>
      <c r="J534" s="101">
        <f>I534*H534</f>
        <v>-1.5573985478559749</v>
      </c>
      <c r="K534" s="61">
        <f>J534/(C535-C533)</f>
        <v>-3.7985330435511583E-2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33.132051602806065</v>
      </c>
      <c r="AO534">
        <v>5.3099812184770343</v>
      </c>
      <c r="AP534">
        <v>37.665427491972352</v>
      </c>
      <c r="AQ534">
        <v>33.133969441118147</v>
      </c>
      <c r="AR534">
        <v>5.1177274583478072</v>
      </c>
      <c r="AS534">
        <v>26.126902341312263</v>
      </c>
      <c r="AT534">
        <v>3.2335994699964234</v>
      </c>
      <c r="AU534">
        <v>4.4658743194487931</v>
      </c>
      <c r="AV534"/>
      <c r="AW534"/>
      <c r="FY534" s="210">
        <v>529</v>
      </c>
      <c r="FZ534">
        <v>0.80281771052609674</v>
      </c>
      <c r="GA534">
        <v>2.022473362528062</v>
      </c>
      <c r="GB534">
        <v>0.94653045525166479</v>
      </c>
      <c r="GC534">
        <v>0.68579565975066759</v>
      </c>
      <c r="GD534">
        <v>2.2239086103199002</v>
      </c>
      <c r="GE534">
        <v>7.9120866367591098</v>
      </c>
      <c r="GF534">
        <v>12.414309942910307</v>
      </c>
      <c r="GG534">
        <v>6.7543742460403893</v>
      </c>
      <c r="GH534">
        <v>2.9597778638844048</v>
      </c>
      <c r="GI534">
        <v>4.447430108618498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33.854166666666664</v>
      </c>
      <c r="E535" s="108">
        <f>E407</f>
        <v>4.4961463179415032E-2</v>
      </c>
      <c r="F535" s="102"/>
      <c r="G535" s="101">
        <f>D535*E535</f>
        <v>1.522132868053113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32.888267898084862</v>
      </c>
      <c r="AO535">
        <v>6.756066959337419</v>
      </c>
      <c r="AP535">
        <v>49.021135244860304</v>
      </c>
      <c r="AQ535">
        <v>41.960653299342908</v>
      </c>
      <c r="AR535">
        <v>6.2517873006478633</v>
      </c>
      <c r="AS535">
        <v>28.935782813959957</v>
      </c>
      <c r="AT535">
        <v>4.0836424583902593</v>
      </c>
      <c r="AU535">
        <v>4.1818384404208047</v>
      </c>
      <c r="AV535"/>
      <c r="AW535"/>
      <c r="FY535" s="210">
        <v>530</v>
      </c>
      <c r="FZ535">
        <v>1.2398979761771778</v>
      </c>
      <c r="GA535">
        <v>1.4907866485401087</v>
      </c>
      <c r="GB535">
        <v>1.7215576799274022</v>
      </c>
      <c r="GC535">
        <v>1.2883314767573146</v>
      </c>
      <c r="GD535">
        <v>1.9192121898686847</v>
      </c>
      <c r="GE535">
        <v>4.8558502220366426</v>
      </c>
      <c r="GF535">
        <v>6.5092267254961023</v>
      </c>
      <c r="GG535">
        <v>5.7947780259910138</v>
      </c>
      <c r="GH535">
        <v>3.657874472800859</v>
      </c>
      <c r="GI535">
        <v>3.5301034635817019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0.21513023697348649</v>
      </c>
      <c r="I536" s="101">
        <f>AVERAGE(D535:D537)</f>
        <v>23.129734848484848</v>
      </c>
      <c r="J536" s="101">
        <f>I536*H536</f>
        <v>4.9759053390884542</v>
      </c>
      <c r="K536" s="61">
        <f>J536/(C537-C535)</f>
        <v>0.15078501027540769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22.516756392841735</v>
      </c>
      <c r="AO536">
        <v>3.3019516627287926</v>
      </c>
      <c r="AP536">
        <v>20.103604639494737</v>
      </c>
      <c r="AQ536">
        <v>19.042199305713673</v>
      </c>
      <c r="AR536">
        <v>3.2068669218335839</v>
      </c>
      <c r="AS536">
        <v>16.298442235532999</v>
      </c>
      <c r="AT536">
        <v>2.0289724186835874</v>
      </c>
      <c r="AU536">
        <v>9.5664012563571283</v>
      </c>
      <c r="AV536"/>
      <c r="AW536"/>
      <c r="FY536" s="210">
        <v>531</v>
      </c>
      <c r="FZ536">
        <v>1.2620917864958485</v>
      </c>
      <c r="GA536">
        <v>2.4194416000677572</v>
      </c>
      <c r="GB536">
        <v>1.3234151823893088</v>
      </c>
      <c r="GC536">
        <v>0.67282689158362008</v>
      </c>
      <c r="GD536">
        <v>1.2617748671194176</v>
      </c>
      <c r="GE536">
        <v>3.3678710338766122</v>
      </c>
      <c r="GF536">
        <v>6.8002720455661603</v>
      </c>
      <c r="GG536">
        <v>7.726248194044695</v>
      </c>
      <c r="GH536">
        <v>5.758309890141307</v>
      </c>
      <c r="GI536">
        <v>3.4484818256134755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12.405303030303029</v>
      </c>
      <c r="E537" s="108">
        <f>E408</f>
        <v>0.26009170015290151</v>
      </c>
      <c r="F537" s="102"/>
      <c r="G537" s="101">
        <f>D537*E537</f>
        <v>3.2265163560634558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27.645496083162307</v>
      </c>
      <c r="AO537">
        <v>5.8419690482124444</v>
      </c>
      <c r="AP537">
        <v>45.368167185538759</v>
      </c>
      <c r="AQ537">
        <v>37.407212080274391</v>
      </c>
      <c r="AR537">
        <v>5.5484328055863656</v>
      </c>
      <c r="AS537">
        <v>29.001249501462748</v>
      </c>
      <c r="AT537">
        <v>3.4273366380436645</v>
      </c>
      <c r="AU537">
        <v>-2.7210447837322458</v>
      </c>
      <c r="AV537"/>
      <c r="AW537"/>
      <c r="FY537" s="210">
        <v>532</v>
      </c>
      <c r="FZ537">
        <v>0.74147018974561174</v>
      </c>
      <c r="GA537">
        <v>3.5276494838521542</v>
      </c>
      <c r="GB537">
        <v>2.391521018965209</v>
      </c>
      <c r="GC537">
        <v>0.9125302050450268</v>
      </c>
      <c r="GD537">
        <v>2.0474033818157218</v>
      </c>
      <c r="GE537">
        <v>4.8985287381844547</v>
      </c>
      <c r="GF537">
        <v>7.8866545160872263</v>
      </c>
      <c r="GG537">
        <v>7.0946200858002451</v>
      </c>
      <c r="GH537">
        <v>4.0507282804420814</v>
      </c>
      <c r="GI537">
        <v>4.0224539028923667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-7.7401491212263723E-2</v>
      </c>
      <c r="I538" s="101">
        <f>AVERAGE(D537:D539)</f>
        <v>12.626262626262626</v>
      </c>
      <c r="J538" s="101">
        <f>I538*H538</f>
        <v>-0.97729155571040049</v>
      </c>
      <c r="K538" s="61">
        <f>J538/(C539-C537)</f>
        <v>-3.490326984680002E-2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25.139433356198452</v>
      </c>
      <c r="AO538">
        <v>4.9864341727995996</v>
      </c>
      <c r="AP538">
        <v>34.297204873238734</v>
      </c>
      <c r="AQ538">
        <v>30.382297073282274</v>
      </c>
      <c r="AR538">
        <v>4.6540156662934908</v>
      </c>
      <c r="AS538">
        <v>20.740507439963043</v>
      </c>
      <c r="AT538">
        <v>3.1582378431113738</v>
      </c>
      <c r="AU538">
        <v>7.2791739130259527</v>
      </c>
      <c r="AV538"/>
      <c r="AW538"/>
      <c r="FY538" s="210">
        <v>533</v>
      </c>
      <c r="FZ538">
        <v>1.3446778336923506</v>
      </c>
      <c r="GA538">
        <v>3.0986639785442729</v>
      </c>
      <c r="GB538">
        <v>2.4131181290032808</v>
      </c>
      <c r="GC538">
        <v>0.7777455114252867</v>
      </c>
      <c r="GD538">
        <v>1.399274461809058</v>
      </c>
      <c r="GE538">
        <v>3.4012032668268768</v>
      </c>
      <c r="GF538">
        <v>4.9323445579366787</v>
      </c>
      <c r="GG538">
        <v>4.7007678809130233</v>
      </c>
      <c r="GH538">
        <v>2.6055143860100909</v>
      </c>
      <c r="GI538">
        <v>2.9560189803335142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12.847222222222221</v>
      </c>
      <c r="E539" s="108">
        <f>E409</f>
        <v>0.18269020894063778</v>
      </c>
      <c r="F539" s="102"/>
      <c r="G539" s="101">
        <f>D539*E539</f>
        <v>2.3470617120845825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26.095542971462084</v>
      </c>
      <c r="AO539">
        <v>4.7818779312835744</v>
      </c>
      <c r="AP539">
        <v>34.635330361928936</v>
      </c>
      <c r="AQ539">
        <v>29.762867967867006</v>
      </c>
      <c r="AR539">
        <v>4.6000923637716742</v>
      </c>
      <c r="AS539">
        <v>23.343819240041118</v>
      </c>
      <c r="AT539">
        <v>2.9369510466323114</v>
      </c>
      <c r="AU539">
        <v>3.0654356207582909</v>
      </c>
      <c r="AV539"/>
      <c r="AW539"/>
      <c r="FY539" s="210">
        <v>534</v>
      </c>
      <c r="FZ539">
        <v>1.3031028983717701</v>
      </c>
      <c r="GA539">
        <v>1.8069342155057297</v>
      </c>
      <c r="GB539">
        <v>1.3323642648876231</v>
      </c>
      <c r="GC539">
        <v>0.93802677255485467</v>
      </c>
      <c r="GD539">
        <v>1.6277632078453399</v>
      </c>
      <c r="GE539">
        <v>5.3026487964615523</v>
      </c>
      <c r="GF539">
        <v>7.3500678632357968</v>
      </c>
      <c r="GG539">
        <v>4.8863097353878295</v>
      </c>
      <c r="GH539">
        <v>4.7185208652552273</v>
      </c>
      <c r="GI539">
        <v>3.5971872794530113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-7.9360797444742309E-2</v>
      </c>
      <c r="I540" s="101">
        <f>AVERAGE(D539:D541)</f>
        <v>63.767247866512562</v>
      </c>
      <c r="J540" s="101">
        <f>I540*H540</f>
        <v>-5.0606196415429796</v>
      </c>
      <c r="K540" s="61">
        <f>J540/(C541-C539)</f>
        <v>-0.21085915173095748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28.040122077199669</v>
      </c>
      <c r="AO540">
        <v>4.5301384159711251</v>
      </c>
      <c r="AP540">
        <v>29.590541204953894</v>
      </c>
      <c r="AQ540">
        <v>26.922763159793782</v>
      </c>
      <c r="AR540">
        <v>4.2925167182562616</v>
      </c>
      <c r="AS540">
        <v>21.184926574723605</v>
      </c>
      <c r="AT540">
        <v>2.8287522758208343</v>
      </c>
      <c r="AU540">
        <v>7.5999490064328832</v>
      </c>
      <c r="AV540"/>
      <c r="AW540"/>
      <c r="FY540" s="210">
        <v>535</v>
      </c>
      <c r="FZ540">
        <v>0.78084942958528947</v>
      </c>
      <c r="GA540">
        <v>1.6161927178204312</v>
      </c>
      <c r="GB540">
        <v>1.3402200185575366</v>
      </c>
      <c r="GC540">
        <v>1.0333092335799798</v>
      </c>
      <c r="GD540">
        <v>2.3841075707070938</v>
      </c>
      <c r="GE540">
        <v>4.9350140853687936</v>
      </c>
      <c r="GF540">
        <v>6.4315947471516548</v>
      </c>
      <c r="GG540">
        <v>7.4301198392136873</v>
      </c>
      <c r="GH540">
        <v>4.8205535251144669</v>
      </c>
      <c r="GI540">
        <v>3.8432543838731008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114.68727351080291</v>
      </c>
      <c r="E541" s="108">
        <f>E410</f>
        <v>0.10332941149589547</v>
      </c>
      <c r="F541" s="102"/>
      <c r="G541" s="101">
        <f>D541*E541</f>
        <v>11.850568477940067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30.15159418468242</v>
      </c>
      <c r="AO541">
        <v>5.920423935152038</v>
      </c>
      <c r="AP541">
        <v>43.95742609177293</v>
      </c>
      <c r="AQ541">
        <v>37.436225432076981</v>
      </c>
      <c r="AR541">
        <v>5.4185423157086525</v>
      </c>
      <c r="AS541">
        <v>26.379607236381524</v>
      </c>
      <c r="AT541">
        <v>3.6253249826098188</v>
      </c>
      <c r="AU541">
        <v>1.5992853290078637</v>
      </c>
      <c r="AV541"/>
      <c r="AW541"/>
      <c r="FY541" s="210">
        <v>536</v>
      </c>
      <c r="FZ541">
        <v>0.89186413272323539</v>
      </c>
      <c r="GA541">
        <v>2.3344142456396111</v>
      </c>
      <c r="GB541">
        <v>2.1527812568079265</v>
      </c>
      <c r="GC541">
        <v>1.4030167988532829</v>
      </c>
      <c r="GD541">
        <v>2.0030126219385229</v>
      </c>
      <c r="GE541">
        <v>5.5826399581969444</v>
      </c>
      <c r="GF541">
        <v>7.2117493306129887</v>
      </c>
      <c r="GG541">
        <v>5.5824234591108324</v>
      </c>
      <c r="GH541">
        <v>4.6281527251184249</v>
      </c>
      <c r="GI541">
        <v>3.9174174429622206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0.17397929143868385</v>
      </c>
      <c r="I542" s="101">
        <f>AVERAGE(D541:D543)</f>
        <v>71.015511755401462</v>
      </c>
      <c r="J542" s="101">
        <f>I542*H542</f>
        <v>12.355228416360269</v>
      </c>
      <c r="K542" s="61">
        <f>J542/(C543-C541)</f>
        <v>0.25740059200750559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28.241728876379614</v>
      </c>
      <c r="AO542">
        <v>5.2827945232970821</v>
      </c>
      <c r="AP542">
        <v>42.391197318595488</v>
      </c>
      <c r="AQ542">
        <v>35.013873122520238</v>
      </c>
      <c r="AR542">
        <v>5.0962783007490442</v>
      </c>
      <c r="AS542">
        <v>23.140972431439575</v>
      </c>
      <c r="AT542">
        <v>3.1330851807543918</v>
      </c>
      <c r="AU542">
        <v>10.692156889774751</v>
      </c>
      <c r="AV542"/>
      <c r="AW542"/>
      <c r="FY542" s="210">
        <v>537</v>
      </c>
      <c r="FZ542">
        <v>0.70012078380289477</v>
      </c>
      <c r="GA542">
        <v>2.2174124112645561</v>
      </c>
      <c r="GB542">
        <v>1.1774088470419106</v>
      </c>
      <c r="GC542">
        <v>0.71367702444754022</v>
      </c>
      <c r="GD542">
        <v>2.070727584383421</v>
      </c>
      <c r="GE542">
        <v>4.346712655344148</v>
      </c>
      <c r="GF542">
        <v>4.3672261634176301</v>
      </c>
      <c r="GG542">
        <v>4.6316872130724569</v>
      </c>
      <c r="GH542">
        <v>4.2343496816724269</v>
      </c>
      <c r="GI542">
        <v>3.1107514019914051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27.34375</v>
      </c>
      <c r="E543" s="108">
        <f>E411</f>
        <v>0.27730870293457932</v>
      </c>
      <c r="F543" s="102"/>
      <c r="G543" s="101">
        <f>D543*E543</f>
        <v>7.5826598458674033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31.829547436018409</v>
      </c>
      <c r="AO543">
        <v>6.2808645723480101</v>
      </c>
      <c r="AP543">
        <v>45.565619850992249</v>
      </c>
      <c r="AQ543">
        <v>39.75395000080092</v>
      </c>
      <c r="AR543">
        <v>6.0346084566635012</v>
      </c>
      <c r="AS543">
        <v>28.639610561514928</v>
      </c>
      <c r="AT543">
        <v>3.7539975432957373</v>
      </c>
      <c r="AU543">
        <v>5.6582835939316629</v>
      </c>
      <c r="AV543"/>
      <c r="AW543"/>
      <c r="FY543" s="210">
        <v>538</v>
      </c>
      <c r="FZ543">
        <v>1.2273155202427</v>
      </c>
      <c r="GA543">
        <v>2.464203810868788</v>
      </c>
      <c r="GB543">
        <v>2.2320342529898762</v>
      </c>
      <c r="GC543">
        <v>1.2762805842120584</v>
      </c>
      <c r="GD543">
        <v>1.7415130961094942</v>
      </c>
      <c r="GE543">
        <v>3.3050783019525376</v>
      </c>
      <c r="GF543">
        <v>5.6421218358610883</v>
      </c>
      <c r="GG543">
        <v>6.2295015552187882</v>
      </c>
      <c r="GH543">
        <v>3.8277463684959749</v>
      </c>
      <c r="GI543">
        <v>3.4202160926775051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6.5883387569024177E-2</v>
      </c>
      <c r="I544" s="101">
        <f>AVERAGE(D543:D545)</f>
        <v>26.929450757575758</v>
      </c>
      <c r="J544" s="101">
        <f>I544*H544</f>
        <v>1.7742034412823153</v>
      </c>
      <c r="K544" s="61">
        <f>J544/(C545-C543)</f>
        <v>2.8161959385433578E-2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18.902445024541002</v>
      </c>
      <c r="AO544">
        <v>4.033676073460648</v>
      </c>
      <c r="AP544">
        <v>25.144932705219258</v>
      </c>
      <c r="AQ544">
        <v>23.32611223368805</v>
      </c>
      <c r="AR544">
        <v>3.7938645641830853</v>
      </c>
      <c r="AS544">
        <v>18.780370814814596</v>
      </c>
      <c r="AT544">
        <v>2.526344675784888</v>
      </c>
      <c r="AU544">
        <v>0.7536099066483859</v>
      </c>
      <c r="AV544"/>
      <c r="AW544"/>
      <c r="FY544" s="210">
        <v>539</v>
      </c>
      <c r="FZ544">
        <v>1.2005187363375001</v>
      </c>
      <c r="GA544">
        <v>2.0992582344949766</v>
      </c>
      <c r="GB544">
        <v>1.5127608189883681</v>
      </c>
      <c r="GC544">
        <v>0.68608740504495125</v>
      </c>
      <c r="GD544">
        <v>1.6395096445964616</v>
      </c>
      <c r="GE544">
        <v>3.4469303821839388</v>
      </c>
      <c r="GF544">
        <v>5.9007206130593222</v>
      </c>
      <c r="GG544">
        <v>8.7249092413373432</v>
      </c>
      <c r="GH544">
        <v>7.2915133639745919</v>
      </c>
      <c r="GI544">
        <v>3.7747897508844757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26.515151515151519</v>
      </c>
      <c r="E545" s="108">
        <f>E412</f>
        <v>0.3431920905036035</v>
      </c>
      <c r="F545" s="102"/>
      <c r="G545" s="101">
        <f>D545*E545</f>
        <v>9.0997902785046403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31.925620098580435</v>
      </c>
      <c r="AO545">
        <v>6.6294619524271408</v>
      </c>
      <c r="AP545">
        <v>47.213325981094137</v>
      </c>
      <c r="AQ545">
        <v>41.1695045965891</v>
      </c>
      <c r="AR545">
        <v>5.894398836159592</v>
      </c>
      <c r="AS545">
        <v>29.786726958325414</v>
      </c>
      <c r="AT545">
        <v>4.0733091454632051</v>
      </c>
      <c r="AU545">
        <v>1.5667377580175506</v>
      </c>
      <c r="AV545"/>
      <c r="AW545"/>
      <c r="FY545" s="210">
        <v>540</v>
      </c>
      <c r="FZ545">
        <v>0.88551652241153067</v>
      </c>
      <c r="GA545">
        <v>2.4875875775626</v>
      </c>
      <c r="GB545">
        <v>1.4580821887110702</v>
      </c>
      <c r="GC545">
        <v>0.65584013878295044</v>
      </c>
      <c r="GD545">
        <v>1.4929779225520949</v>
      </c>
      <c r="GE545">
        <v>4.3085652399835777</v>
      </c>
      <c r="GF545">
        <v>4.6297963304699277</v>
      </c>
      <c r="GG545">
        <v>5.7761231137071913</v>
      </c>
      <c r="GH545">
        <v>6.2801215182937549</v>
      </c>
      <c r="GI545">
        <v>3.2277711336193087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-0.20467121391749393</v>
      </c>
      <c r="I546" s="101">
        <f>AVERAGE(D545:D547)</f>
        <v>30.213594276094277</v>
      </c>
      <c r="J546" s="101">
        <f>I546*H546</f>
        <v>-6.1838530172988619</v>
      </c>
      <c r="K546" s="61">
        <f>J546/(C547-C545)</f>
        <v>-0.15856033377689391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26.527106488963106</v>
      </c>
      <c r="AO546">
        <v>5.256488070755708</v>
      </c>
      <c r="AP546">
        <v>36.568466997388576</v>
      </c>
      <c r="AQ546">
        <v>32.007618881177009</v>
      </c>
      <c r="AR546">
        <v>4.7970359216968035</v>
      </c>
      <c r="AS546">
        <v>22.805197531178862</v>
      </c>
      <c r="AT546" t="e">
        <v>#DIV/0!</v>
      </c>
      <c r="AU546" t="e">
        <v>#DIV/0!</v>
      </c>
      <c r="AV546"/>
      <c r="AW546"/>
      <c r="FY546" s="210">
        <v>541</v>
      </c>
      <c r="FZ546">
        <v>0.93287524459915727</v>
      </c>
      <c r="GA546">
        <v>1.8015654441069531</v>
      </c>
      <c r="GB546">
        <v>2.1708446492139015</v>
      </c>
      <c r="GC546">
        <v>1.1862933377354403</v>
      </c>
      <c r="GD546">
        <v>1.2312103217188666</v>
      </c>
      <c r="GE546">
        <v>3.2485656448391032</v>
      </c>
      <c r="GF546">
        <v>5.4075504828698158</v>
      </c>
      <c r="GG546">
        <v>4.6619530996881426</v>
      </c>
      <c r="GH546">
        <v>3.3511675022111027</v>
      </c>
      <c r="GI546">
        <v>2.9413459443874279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33.912037037037031</v>
      </c>
      <c r="E547" s="108">
        <f>E413</f>
        <v>0.13852087658610956</v>
      </c>
      <c r="F547" s="102"/>
      <c r="G547" s="101">
        <f>D547*E547</f>
        <v>4.697525097190983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25.959650839559316</v>
      </c>
      <c r="AO547">
        <v>5.0955244202995145</v>
      </c>
      <c r="AP547">
        <v>41.460457049820533</v>
      </c>
      <c r="AQ547">
        <v>34.040733316898205</v>
      </c>
      <c r="AR547">
        <v>4.7441482782422666</v>
      </c>
      <c r="AS547">
        <v>20.809308967251297</v>
      </c>
      <c r="AT547">
        <v>2.9557768072256336</v>
      </c>
      <c r="AU547">
        <v>2.7279167043118342</v>
      </c>
      <c r="AV547"/>
      <c r="AW547"/>
      <c r="FY547" s="210">
        <v>542</v>
      </c>
      <c r="FZ547">
        <v>1.1859661142999827</v>
      </c>
      <c r="GA547">
        <v>2.675106473046001</v>
      </c>
      <c r="GB547">
        <v>1.367385450206952</v>
      </c>
      <c r="GC547">
        <v>0.76633788580893747</v>
      </c>
      <c r="GD547">
        <v>2.3099930378828404</v>
      </c>
      <c r="GE547">
        <v>5.1963642612442147</v>
      </c>
      <c r="GF547">
        <v>5.7307342213453278</v>
      </c>
      <c r="GG547">
        <v>8.9716817389195391</v>
      </c>
      <c r="GH547">
        <v>8.9273663379178849</v>
      </c>
      <c r="GI547">
        <v>4.3785921631313203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-1.9727185952781653E-2</v>
      </c>
      <c r="I548" s="101">
        <f>AVERAGE(D547:D549)</f>
        <v>25.369480056980052</v>
      </c>
      <c r="J548" s="101">
        <f>I548*H548</f>
        <v>-0.50046845060943124</v>
      </c>
      <c r="K548" s="61">
        <f>J548/(C549-C547)</f>
        <v>-1.3170222384458717E-2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26.532338194415793</v>
      </c>
      <c r="AO548">
        <v>5.9324555238533527</v>
      </c>
      <c r="AP548">
        <v>44.795361917546479</v>
      </c>
      <c r="AQ548">
        <v>37.573559802830097</v>
      </c>
      <c r="AR548">
        <v>5.5471311979972215</v>
      </c>
      <c r="AS548">
        <v>25.52679549455484</v>
      </c>
      <c r="AT548">
        <v>3.7945015023679107</v>
      </c>
      <c r="AU548">
        <v>5.3771110760779202</v>
      </c>
      <c r="AV548"/>
      <c r="AW548"/>
      <c r="FY548" s="210">
        <v>543</v>
      </c>
      <c r="FZ548">
        <v>0.84416711646881359</v>
      </c>
      <c r="GA548">
        <v>2.4924371540254642</v>
      </c>
      <c r="GB548">
        <v>1.3430832711630643</v>
      </c>
      <c r="GC548">
        <v>0.56957913164567109</v>
      </c>
      <c r="GD548">
        <v>1.8135947660241025</v>
      </c>
      <c r="GE548">
        <v>3.6451944167437298</v>
      </c>
      <c r="GF548">
        <v>3.7955526867714706</v>
      </c>
      <c r="GG548">
        <v>3.3398220652983506</v>
      </c>
      <c r="GH548">
        <v>2.8019456087493153</v>
      </c>
      <c r="GI548">
        <v>2.6683727784089233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16.826923076923077</v>
      </c>
      <c r="E549" s="108">
        <f>E414</f>
        <v>0.11879369063332791</v>
      </c>
      <c r="F549" s="102"/>
      <c r="G549" s="101">
        <f>D549*E549</f>
        <v>1.9989322943108061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24.622764100411942</v>
      </c>
      <c r="AO549">
        <v>4.3107827497141686</v>
      </c>
      <c r="AP549">
        <v>32.962491858112415</v>
      </c>
      <c r="AQ549">
        <v>27.629328986494432</v>
      </c>
      <c r="AR549">
        <v>4.0742617666793262</v>
      </c>
      <c r="AS549">
        <v>22.196078607924399</v>
      </c>
      <c r="AT549">
        <v>2.6494480113345085</v>
      </c>
      <c r="AU549">
        <v>7.7553159091050592</v>
      </c>
      <c r="AV549"/>
      <c r="AW549"/>
      <c r="FY549" s="210">
        <v>544</v>
      </c>
      <c r="FZ549">
        <v>1.256082470250939</v>
      </c>
      <c r="GA549">
        <v>1.4187731331804567</v>
      </c>
      <c r="GB549">
        <v>0.76837515985023241</v>
      </c>
      <c r="GC549">
        <v>0.46289384084369067</v>
      </c>
      <c r="GD549">
        <v>1.7882167921682879</v>
      </c>
      <c r="GE549">
        <v>3.3826986747609578</v>
      </c>
      <c r="GF549">
        <v>4.6404949856376945</v>
      </c>
      <c r="GG549">
        <v>8.1447330395541258</v>
      </c>
      <c r="GH549">
        <v>6.5224496624138313</v>
      </c>
      <c r="GI549">
        <v>3.3272966444749521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-0.11879369063332791</v>
      </c>
      <c r="I550" s="101">
        <f>AVERAGE(D549:D551)</f>
        <v>8.4134615384615383</v>
      </c>
      <c r="J550" s="101">
        <f>I550*H550</f>
        <v>-0.99946614715540305</v>
      </c>
      <c r="K550" s="61">
        <f>J550/(C551-C549)</f>
        <v>2.4994776981404032E-5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25.956259800928915</v>
      </c>
      <c r="AO550">
        <v>5.1928958104470668</v>
      </c>
      <c r="AP550">
        <v>38.067695996386057</v>
      </c>
      <c r="AQ550">
        <v>32.862925898958736</v>
      </c>
      <c r="AR550">
        <v>4.8172689589312672</v>
      </c>
      <c r="AS550">
        <v>22.191169382851911</v>
      </c>
      <c r="AT550">
        <v>3.2265646911599504</v>
      </c>
      <c r="AU550">
        <v>3.0989924813871648</v>
      </c>
      <c r="AV550"/>
      <c r="AW550"/>
      <c r="FY550" s="210">
        <v>545</v>
      </c>
      <c r="FZ550">
        <v>1.5026002002621963</v>
      </c>
      <c r="GA550">
        <v>2.0837434871394236</v>
      </c>
      <c r="GB550">
        <v>3.045223983637193</v>
      </c>
      <c r="GC550">
        <v>1.7301405336629985</v>
      </c>
      <c r="GD550">
        <v>1.100478082336781</v>
      </c>
      <c r="GE550">
        <v>1.9564364715595344</v>
      </c>
      <c r="GF550">
        <v>2.0813328140416805</v>
      </c>
      <c r="GG550">
        <v>4.9974728604874183</v>
      </c>
      <c r="GH550">
        <v>6.1496995284680036</v>
      </c>
      <c r="GI550">
        <v>2.9885623812086712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22.292698374812737</v>
      </c>
      <c r="AO551">
        <v>5.748656276241018</v>
      </c>
      <c r="AP551">
        <v>39.811480418104807</v>
      </c>
      <c r="AQ551">
        <v>34.615215550972032</v>
      </c>
      <c r="AR551">
        <v>5.3337756093440447</v>
      </c>
      <c r="AS551">
        <v>24.13642126756752</v>
      </c>
      <c r="AT551">
        <v>3.6004227259378001</v>
      </c>
      <c r="AU551">
        <v>-5.3774770662808402</v>
      </c>
      <c r="AV551"/>
      <c r="AW551"/>
      <c r="FY551" s="210">
        <v>546</v>
      </c>
      <c r="FZ551">
        <v>1.3237776013431288</v>
      </c>
      <c r="GA551">
        <v>2.1425402444931958</v>
      </c>
      <c r="GB551">
        <v>1.2751932336589578</v>
      </c>
      <c r="GC551">
        <v>0.45717505976468109</v>
      </c>
      <c r="GD551">
        <v>1.7481712560725517</v>
      </c>
      <c r="GE551">
        <v>5.4242641926367074</v>
      </c>
      <c r="GF551">
        <v>8.0734420581900519</v>
      </c>
      <c r="GG551">
        <v>5.5507185356216082</v>
      </c>
      <c r="GH551">
        <v>3.9237660505900429</v>
      </c>
      <c r="GI551">
        <v>3.6729606405873105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25.610388947245564</v>
      </c>
      <c r="AO552">
        <v>5.8021476087485659</v>
      </c>
      <c r="AP552">
        <v>41.259366406630186</v>
      </c>
      <c r="AQ552">
        <v>35.70747197196399</v>
      </c>
      <c r="AR552">
        <v>5.2944584217491908</v>
      </c>
      <c r="AS552">
        <v>26.575963162239539</v>
      </c>
      <c r="AT552">
        <v>3.7627235896825351</v>
      </c>
      <c r="AU552">
        <v>8.7141460845117891</v>
      </c>
      <c r="AV552"/>
      <c r="AW552"/>
      <c r="FY552" s="210">
        <v>547</v>
      </c>
      <c r="FZ552">
        <v>1.3651270072858457</v>
      </c>
      <c r="GA552">
        <v>2.3343156534004308</v>
      </c>
      <c r="GB552">
        <v>1.2984152529135446</v>
      </c>
      <c r="GC552">
        <v>0.56906925148750087</v>
      </c>
      <c r="GD552">
        <v>1.847553376857124</v>
      </c>
      <c r="GE552">
        <v>5.7402722508428212</v>
      </c>
      <c r="GF552">
        <v>6.9817030537574292</v>
      </c>
      <c r="GG552">
        <v>5.6964413118619834</v>
      </c>
      <c r="GH552">
        <v>4.9824162029927397</v>
      </c>
      <c r="GI552">
        <v>3.6953639727261725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16.079527243589745</v>
      </c>
      <c r="AO553">
        <v>4.5512375157743303</v>
      </c>
      <c r="AP553">
        <v>31.036760730859125</v>
      </c>
      <c r="AQ553">
        <v>27.570073766438387</v>
      </c>
      <c r="AR553">
        <v>4.2934783106286476</v>
      </c>
      <c r="AS553">
        <v>21.030075715063699</v>
      </c>
      <c r="AT553">
        <v>3.1722919637594895</v>
      </c>
      <c r="AU553">
        <v>4.7009135740007553</v>
      </c>
      <c r="AV553"/>
      <c r="AW553"/>
      <c r="FY553" s="210">
        <v>548</v>
      </c>
      <c r="FZ553">
        <v>1.6740071402779737</v>
      </c>
      <c r="GA553">
        <v>1.8036195293629651</v>
      </c>
      <c r="GB553">
        <v>1.2552667443682912</v>
      </c>
      <c r="GC553">
        <v>0.86116214466539598</v>
      </c>
      <c r="GD553">
        <v>1.1635948914858347</v>
      </c>
      <c r="GE553">
        <v>2.8469948514144745</v>
      </c>
      <c r="GF553">
        <v>6.8122072011380297</v>
      </c>
      <c r="GG553">
        <v>5.0131543175948536</v>
      </c>
      <c r="GH553">
        <v>1.8142193313186179</v>
      </c>
      <c r="GI553">
        <v>2.8136143212255855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24.061677574398551</v>
      </c>
      <c r="AO554">
        <v>5.0048738603184315</v>
      </c>
      <c r="AP554">
        <v>37.19576458222538</v>
      </c>
      <c r="AQ554">
        <v>31.366011418628815</v>
      </c>
      <c r="AR554">
        <v>4.7559332623877655</v>
      </c>
      <c r="AS554">
        <v>23.619740192054845</v>
      </c>
      <c r="AT554">
        <v>3.1654304230833437</v>
      </c>
      <c r="AU554">
        <v>7.2013039877176084</v>
      </c>
      <c r="AV554"/>
      <c r="AW554"/>
      <c r="FY554" s="210">
        <v>549</v>
      </c>
      <c r="FZ554">
        <v>0.39112788612183497</v>
      </c>
      <c r="GA554">
        <v>1.5033284322464502</v>
      </c>
      <c r="GB554">
        <v>0.81820786254228139</v>
      </c>
      <c r="GC554">
        <v>0.40454717176393024</v>
      </c>
      <c r="GD554">
        <v>1.6462281959163707</v>
      </c>
      <c r="GE554">
        <v>3.1684837011875508</v>
      </c>
      <c r="GF554">
        <v>4.1275530077372036</v>
      </c>
      <c r="GG554">
        <v>7.5567347666063114</v>
      </c>
      <c r="GH554">
        <v>6.1030451655657272</v>
      </c>
      <c r="GI554">
        <v>2.9750948563220248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30.553208366793704</v>
      </c>
      <c r="AO555">
        <v>5.4872539152227935</v>
      </c>
      <c r="AP555">
        <v>43.518180049579634</v>
      </c>
      <c r="AQ555">
        <v>36.276998190901928</v>
      </c>
      <c r="AR555">
        <v>5.2624140460795878</v>
      </c>
      <c r="AS555">
        <v>26.612623268052083</v>
      </c>
      <c r="AT555">
        <v>3.1005629669900192</v>
      </c>
      <c r="AU555">
        <v>1.4346218358620819</v>
      </c>
      <c r="AV555"/>
      <c r="AW555"/>
      <c r="FY555" s="210">
        <v>550</v>
      </c>
      <c r="FZ555">
        <v>0.70635562942566787</v>
      </c>
      <c r="GA555">
        <v>1.6937485798217744</v>
      </c>
      <c r="GB555">
        <v>1.0769653373160888</v>
      </c>
      <c r="GC555">
        <v>0.79472913066398021</v>
      </c>
      <c r="GD555">
        <v>2.7789567774055137</v>
      </c>
      <c r="GE555">
        <v>5.6423459458669001</v>
      </c>
      <c r="GF555">
        <v>5.1910753264926743</v>
      </c>
      <c r="GG555">
        <v>5.0301941395726031</v>
      </c>
      <c r="GH555">
        <v>2.9841028406651375</v>
      </c>
      <c r="GI555">
        <v>3.4380364560507219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3.7033118227399022</v>
      </c>
      <c r="H556" s="63" t="s">
        <v>103</v>
      </c>
      <c r="I556" s="123">
        <f>SUM(J532:J552)+G531</f>
        <v>5.5923128497044283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20.865568663362783</v>
      </c>
      <c r="AO556">
        <v>4.8087660304284841</v>
      </c>
      <c r="AP556">
        <v>36.627731791114712</v>
      </c>
      <c r="AQ556">
        <v>31.202381686094007</v>
      </c>
      <c r="AR556">
        <v>4.3859083579144187</v>
      </c>
      <c r="AS556">
        <v>21.557389192486088</v>
      </c>
      <c r="AT556">
        <v>3.1228097598337148</v>
      </c>
      <c r="AU556">
        <v>4.8410384216853508</v>
      </c>
      <c r="AV556"/>
      <c r="AW556"/>
      <c r="FY556" s="210">
        <v>551</v>
      </c>
      <c r="FZ556">
        <v>0.78871614724430639</v>
      </c>
      <c r="GA556">
        <v>2.0385559405915408</v>
      </c>
      <c r="GB556">
        <v>2.2254369000813239</v>
      </c>
      <c r="GC556">
        <v>1.3881746791918785</v>
      </c>
      <c r="GD556">
        <v>1.8935866305472016</v>
      </c>
      <c r="GE556">
        <v>4.0524728266344887</v>
      </c>
      <c r="GF556">
        <v>4.8865786483717963</v>
      </c>
      <c r="GG556">
        <v>4.4964621316573901</v>
      </c>
      <c r="GH556">
        <v>3.4454680321002544</v>
      </c>
      <c r="GI556">
        <v>3.2432077187779744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18.53536918779605</v>
      </c>
      <c r="AO557">
        <v>4.2817948880867425</v>
      </c>
      <c r="AP557">
        <v>32.24641166876998</v>
      </c>
      <c r="AQ557">
        <v>26.933371671369908</v>
      </c>
      <c r="AR557">
        <v>4.0214157481198685</v>
      </c>
      <c r="AS557">
        <v>20.693411341811583</v>
      </c>
      <c r="AT557">
        <v>2.8116311604737789</v>
      </c>
      <c r="AU557">
        <v>-0.2630048442131514</v>
      </c>
      <c r="AV557"/>
      <c r="AW557"/>
      <c r="FY557" s="210">
        <v>552</v>
      </c>
      <c r="FZ557">
        <v>0.94731510194774249</v>
      </c>
      <c r="GA557">
        <v>4.037682349398926</v>
      </c>
      <c r="GB557">
        <v>2.5898889693649303</v>
      </c>
      <c r="GC557">
        <v>0.85646478618024457</v>
      </c>
      <c r="GD557">
        <v>1.4518614932733755</v>
      </c>
      <c r="GE557">
        <v>3.6434226745507914</v>
      </c>
      <c r="GF557">
        <v>5.5215440570035126</v>
      </c>
      <c r="GG557">
        <v>6.344701895689167</v>
      </c>
      <c r="GH557">
        <v>4.4586977299422257</v>
      </c>
      <c r="GI557">
        <v>3.3927971728564366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24.728495377851992</v>
      </c>
      <c r="AO558">
        <v>6.4924931265236649</v>
      </c>
      <c r="AP558">
        <v>48.711538085388447</v>
      </c>
      <c r="AQ558">
        <v>41.509527683803007</v>
      </c>
      <c r="AR558">
        <v>6.0834286572529113</v>
      </c>
      <c r="AS558">
        <v>26.967186277559072</v>
      </c>
      <c r="AT558">
        <v>4.0206559293656658</v>
      </c>
      <c r="AU558">
        <v>22.914872607833974</v>
      </c>
      <c r="AV558"/>
      <c r="AW558"/>
      <c r="FY558" s="210">
        <v>553</v>
      </c>
      <c r="FZ558">
        <v>1.0087753874171592</v>
      </c>
      <c r="GA558">
        <v>2.4038486328566022</v>
      </c>
      <c r="GB558">
        <v>1.9465525533459223</v>
      </c>
      <c r="GC558">
        <v>0.83585377547778494</v>
      </c>
      <c r="GD558">
        <v>1.413585883092036</v>
      </c>
      <c r="GE558">
        <v>4.5706762759086832</v>
      </c>
      <c r="GF558">
        <v>5.7448440089513158</v>
      </c>
      <c r="GG558">
        <v>9.7706847574725</v>
      </c>
      <c r="GH558">
        <v>12.044393968681678</v>
      </c>
      <c r="GI558">
        <v>4.4513550857762274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1.5100842482032597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23.535085244204062</v>
      </c>
      <c r="AO559">
        <v>3.7973310255400903</v>
      </c>
      <c r="AP559">
        <v>26.3715227663794</v>
      </c>
      <c r="AQ559">
        <v>23.313748995298905</v>
      </c>
      <c r="AR559">
        <v>3.6866019138696404</v>
      </c>
      <c r="AS559">
        <v>20.508633145826398</v>
      </c>
      <c r="AT559">
        <v>2.4900736802184675</v>
      </c>
      <c r="AU559">
        <v>7.6623548047885892</v>
      </c>
      <c r="AV559"/>
      <c r="AW559"/>
      <c r="FY559" s="210">
        <v>554</v>
      </c>
      <c r="FZ559">
        <v>0.49393757753396861</v>
      </c>
      <c r="GA559">
        <v>2.5440627363312531</v>
      </c>
      <c r="GB559">
        <v>1.8572106147293517</v>
      </c>
      <c r="GC559">
        <v>0.75522513904884792</v>
      </c>
      <c r="GD559">
        <v>2.3709894490078289</v>
      </c>
      <c r="GE559">
        <v>7.0957106630261375</v>
      </c>
      <c r="GF559">
        <v>7.3686101700968187</v>
      </c>
      <c r="GG559">
        <v>7.3839586584846737</v>
      </c>
      <c r="GH559">
        <v>8.3650583236989586</v>
      </c>
      <c r="GI559">
        <v>4.6410175835824701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28.044535487863079</v>
      </c>
      <c r="AO560">
        <v>4.8904793066894463</v>
      </c>
      <c r="AP560">
        <v>37.111265488193311</v>
      </c>
      <c r="AQ560">
        <v>31.712014403135168</v>
      </c>
      <c r="AR560">
        <v>4.6691093670116803</v>
      </c>
      <c r="AS560">
        <v>23.863624572425145</v>
      </c>
      <c r="AT560">
        <v>2.6488060642753006</v>
      </c>
      <c r="AU560">
        <v>0.22490168139376121</v>
      </c>
      <c r="AV560"/>
      <c r="AW560"/>
      <c r="FY560" s="210">
        <v>555</v>
      </c>
      <c r="FZ560">
        <v>1.077034341954008</v>
      </c>
      <c r="GA560">
        <v>2.1480069477835766</v>
      </c>
      <c r="GB560">
        <v>1.1844107121181442</v>
      </c>
      <c r="GC560">
        <v>0.67663934780762669</v>
      </c>
      <c r="GD560">
        <v>1.5933250757478339</v>
      </c>
      <c r="GE560">
        <v>5.2791889618978081</v>
      </c>
      <c r="GF560">
        <v>8.8385850038708575</v>
      </c>
      <c r="GG560">
        <v>8.1493324421904596</v>
      </c>
      <c r="GH560">
        <v>6.0032382181326378</v>
      </c>
      <c r="GI560">
        <v>3.9938909703775498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22.927022545129159</v>
      </c>
      <c r="AO561">
        <v>4.3151655027058862</v>
      </c>
      <c r="AP561">
        <v>33.635943317823873</v>
      </c>
      <c r="AQ561">
        <v>27.635690342803901</v>
      </c>
      <c r="AR561">
        <v>4.1738082597547956</v>
      </c>
      <c r="AS561">
        <v>19.436543847398692</v>
      </c>
      <c r="AT561">
        <v>2.7604786810842192</v>
      </c>
      <c r="AU561">
        <v>26.039305994169972</v>
      </c>
      <c r="AV561"/>
      <c r="AW561"/>
      <c r="FY561" s="210">
        <v>556</v>
      </c>
      <c r="FZ561">
        <v>0.82984002380915989</v>
      </c>
      <c r="GA561">
        <v>2.3479959154160306</v>
      </c>
      <c r="GB561">
        <v>2.6307104152426035</v>
      </c>
      <c r="GC561">
        <v>1.1442869242224669</v>
      </c>
      <c r="GD561">
        <v>1.6829930211182607</v>
      </c>
      <c r="GE561">
        <v>4.1275208859800934</v>
      </c>
      <c r="GF561">
        <v>3.5365658629111456</v>
      </c>
      <c r="GG561">
        <v>3.3417284718513613</v>
      </c>
      <c r="GH561">
        <v>2.8070264879371098</v>
      </c>
      <c r="GI561">
        <v>2.8703600641625542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28.44459351582513</v>
      </c>
      <c r="AO562">
        <v>5.2628811604404815</v>
      </c>
      <c r="AP562">
        <v>39.416023361711268</v>
      </c>
      <c r="AQ562">
        <v>33.592008872958239</v>
      </c>
      <c r="AR562">
        <v>4.9912970691268006</v>
      </c>
      <c r="AS562">
        <v>23.345619174896335</v>
      </c>
      <c r="AT562">
        <v>3.4202284474490052</v>
      </c>
      <c r="AU562">
        <v>12.075591750309817</v>
      </c>
      <c r="AV562"/>
      <c r="AW562"/>
      <c r="FY562" s="210">
        <v>557</v>
      </c>
      <c r="FZ562">
        <v>1.2620917864958485</v>
      </c>
      <c r="GA562">
        <v>2.6762942474748499</v>
      </c>
      <c r="GB562">
        <v>2.309757278854454</v>
      </c>
      <c r="GC562">
        <v>0.88759685796039067</v>
      </c>
      <c r="GD562">
        <v>1.2850709479236575</v>
      </c>
      <c r="GE562">
        <v>2.556459413278418</v>
      </c>
      <c r="GF562">
        <v>5.3769836006392557</v>
      </c>
      <c r="GG562">
        <v>7.5416502601134123</v>
      </c>
      <c r="GH562">
        <v>5.6650566290477631</v>
      </c>
      <c r="GI562">
        <v>3.4159719910346245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27.823303840767078</v>
      </c>
      <c r="AO563">
        <v>5.4102090900006221</v>
      </c>
      <c r="AP563">
        <v>39.783619824889499</v>
      </c>
      <c r="AQ563">
        <v>34.510677334125589</v>
      </c>
      <c r="AR563">
        <v>4.986031735572042</v>
      </c>
      <c r="AS563">
        <v>23.993670771424359</v>
      </c>
      <c r="AT563">
        <v>3.5593393649650142</v>
      </c>
      <c r="AU563">
        <v>12.250721874928747</v>
      </c>
      <c r="AV563"/>
      <c r="AW563"/>
      <c r="FY563" s="210">
        <v>558</v>
      </c>
      <c r="FZ563">
        <v>0.90551463724929859</v>
      </c>
      <c r="GA563">
        <v>2.3369375693643684</v>
      </c>
      <c r="GB563">
        <v>1.3991658174793125</v>
      </c>
      <c r="GC563">
        <v>0.86944912541417319</v>
      </c>
      <c r="GD563">
        <v>3.2479405332680953</v>
      </c>
      <c r="GE563">
        <v>6.971756378800265</v>
      </c>
      <c r="GF563">
        <v>6.1728489318744213</v>
      </c>
      <c r="GG563">
        <v>7.6845368238874814</v>
      </c>
      <c r="GH563">
        <v>6.3303464135880025</v>
      </c>
      <c r="GI563">
        <v>4.559171801959975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22.50763237191585</v>
      </c>
      <c r="AO564">
        <v>4.0534732875657769</v>
      </c>
      <c r="AP564">
        <v>31.469500907933721</v>
      </c>
      <c r="AQ564">
        <v>26.057840472852025</v>
      </c>
      <c r="AR564">
        <v>3.8605481389651861</v>
      </c>
      <c r="AS564">
        <v>19.050682520387443</v>
      </c>
      <c r="AT564">
        <v>2.7198318453740247</v>
      </c>
      <c r="AU564">
        <v>2.2504346482817059</v>
      </c>
      <c r="AV564"/>
      <c r="AW564"/>
      <c r="FY564" s="210">
        <v>559</v>
      </c>
      <c r="FZ564">
        <v>1.3034411924385654</v>
      </c>
      <c r="GA564">
        <v>2.4680627973811653</v>
      </c>
      <c r="GB564">
        <v>2.5871467716454548</v>
      </c>
      <c r="GC564">
        <v>1.4020816898870925</v>
      </c>
      <c r="GD564">
        <v>1.3984579521114555</v>
      </c>
      <c r="GE564">
        <v>3.2671187172665137</v>
      </c>
      <c r="GF564">
        <v>9.7843299385940519</v>
      </c>
      <c r="GG564">
        <v>10.460444364034908</v>
      </c>
      <c r="GH564">
        <v>4.9266079698796625</v>
      </c>
      <c r="GI564">
        <v>4.2663703659511949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19.232878854055713</v>
      </c>
      <c r="AO565">
        <v>4.4765485434729806</v>
      </c>
      <c r="AP565">
        <v>33.706309859040203</v>
      </c>
      <c r="AQ565">
        <v>28.694351046009686</v>
      </c>
      <c r="AR565">
        <v>4.1669769615068519</v>
      </c>
      <c r="AS565">
        <v>19.319750796049611</v>
      </c>
      <c r="AT565">
        <v>2.4992303057368779</v>
      </c>
      <c r="AU565">
        <v>-3.5522650523090307</v>
      </c>
      <c r="AV565"/>
      <c r="AW565"/>
      <c r="FY565" s="210">
        <v>560</v>
      </c>
      <c r="FZ565">
        <v>0.72680480301916284</v>
      </c>
      <c r="GA565">
        <v>1.4593510755651136</v>
      </c>
      <c r="GB565">
        <v>1.4027761033068207</v>
      </c>
      <c r="GC565">
        <v>0.96022242627636345</v>
      </c>
      <c r="GD565">
        <v>2.5366529412601757</v>
      </c>
      <c r="GE565">
        <v>5.1489538173182332</v>
      </c>
      <c r="GF565">
        <v>4.4978715298921301</v>
      </c>
      <c r="GG565">
        <v>5.9990342559344958</v>
      </c>
      <c r="GH565">
        <v>5.0475997902463519</v>
      </c>
      <c r="GI565">
        <v>3.5822452339328792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31.677056773564125</v>
      </c>
      <c r="AO566">
        <v>5.0728591983810265</v>
      </c>
      <c r="AP566">
        <v>31.566050434640719</v>
      </c>
      <c r="AQ566">
        <v>29.336510163281062</v>
      </c>
      <c r="AR566">
        <v>4.7370275946950642</v>
      </c>
      <c r="AS566">
        <v>23.673693907361557</v>
      </c>
      <c r="AT566">
        <v>3.1025076157969687</v>
      </c>
      <c r="AU566">
        <v>6.0198437531450724</v>
      </c>
      <c r="AV566"/>
      <c r="AW566"/>
      <c r="FY566" s="210">
        <v>561</v>
      </c>
      <c r="FZ566">
        <v>0.61753473660639258</v>
      </c>
      <c r="GA566">
        <v>2.4328036699281177</v>
      </c>
      <c r="GB566">
        <v>1.7454448793957809</v>
      </c>
      <c r="GC566">
        <v>0.46549980971359861</v>
      </c>
      <c r="GD566">
        <v>0.76013444400078045</v>
      </c>
      <c r="GE566">
        <v>1.8107183972144063</v>
      </c>
      <c r="GF566">
        <v>4.318707168617026</v>
      </c>
      <c r="GG566">
        <v>6.0959737944707584</v>
      </c>
      <c r="GH566">
        <v>4.4967260347768896</v>
      </c>
      <c r="GI566">
        <v>2.5037531547041532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19.769135378510381</v>
      </c>
      <c r="AO567">
        <v>4.7561015451410507</v>
      </c>
      <c r="AP567">
        <v>32.826833345898407</v>
      </c>
      <c r="AQ567">
        <v>28.458659655198158</v>
      </c>
      <c r="AR567">
        <v>4.4560532655376086</v>
      </c>
      <c r="AS567">
        <v>23.090800879475669</v>
      </c>
      <c r="AT567">
        <v>3.1679781485341718</v>
      </c>
      <c r="AU567">
        <v>6.2302773309063237</v>
      </c>
      <c r="AV567"/>
      <c r="AW567"/>
      <c r="FY567" s="210">
        <v>562</v>
      </c>
      <c r="FZ567">
        <v>1.4474875251044843</v>
      </c>
      <c r="GA567">
        <v>2.7321041770941448</v>
      </c>
      <c r="GB567">
        <v>1.1851245466549711</v>
      </c>
      <c r="GC567">
        <v>0.42255525041545833</v>
      </c>
      <c r="GD567">
        <v>1.9481190059505691</v>
      </c>
      <c r="GE567">
        <v>5.1828362455457206</v>
      </c>
      <c r="GF567">
        <v>6.5460140598377752</v>
      </c>
      <c r="GG567">
        <v>5.7023440323232606</v>
      </c>
      <c r="GH567">
        <v>4.3732235648985629</v>
      </c>
      <c r="GI567">
        <v>3.5621967579449523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16.363662711402071</v>
      </c>
      <c r="AO568">
        <v>5.1106837211634524</v>
      </c>
      <c r="AP568">
        <v>40.427735824135198</v>
      </c>
      <c r="AQ568">
        <v>33.244376230207351</v>
      </c>
      <c r="AR568">
        <v>4.6870288804490645</v>
      </c>
      <c r="AS568">
        <v>21.827861570442177</v>
      </c>
      <c r="AT568">
        <v>3.5574426091309945</v>
      </c>
      <c r="AU568">
        <v>2.4465739327060287</v>
      </c>
      <c r="AV568"/>
      <c r="AW568"/>
      <c r="FY568" s="210">
        <v>563</v>
      </c>
      <c r="FZ568">
        <v>1.4478258191712796</v>
      </c>
      <c r="GA568">
        <v>2.2721824548137732</v>
      </c>
      <c r="GB568">
        <v>2.1956983115625102</v>
      </c>
      <c r="GC568">
        <v>1.1951937456144546</v>
      </c>
      <c r="GD568">
        <v>1.6233099744391579</v>
      </c>
      <c r="GE568">
        <v>3.0059789181928451</v>
      </c>
      <c r="GF568">
        <v>6.0984793503574899</v>
      </c>
      <c r="GG568">
        <v>9.7015834874502431</v>
      </c>
      <c r="GH568">
        <v>7.1511753114339314</v>
      </c>
      <c r="GI568">
        <v>4.0037914778799504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27.339057890841367</v>
      </c>
      <c r="AO569">
        <v>6.5305797857718755</v>
      </c>
      <c r="AP569">
        <v>53.678559482288023</v>
      </c>
      <c r="AQ569">
        <v>44.190570328979916</v>
      </c>
      <c r="AR569">
        <v>6.106532740527097</v>
      </c>
      <c r="AS569">
        <v>28.160890518075515</v>
      </c>
      <c r="AT569">
        <v>4.049841219446324</v>
      </c>
      <c r="AU569">
        <v>-4.1211657632684968</v>
      </c>
      <c r="AV569"/>
      <c r="AW569"/>
      <c r="FY569" s="210">
        <v>564</v>
      </c>
      <c r="FZ569">
        <v>1.5158592443302648</v>
      </c>
      <c r="GA569">
        <v>3.8985574281139441</v>
      </c>
      <c r="GB569">
        <v>3.85027743933039</v>
      </c>
      <c r="GC569">
        <v>1.4410286314579857</v>
      </c>
      <c r="GD569">
        <v>1.9135018569752047</v>
      </c>
      <c r="GE569">
        <v>4.0695301181076102</v>
      </c>
      <c r="GF569">
        <v>4.7513172480781751</v>
      </c>
      <c r="GG569">
        <v>6.6588811142576834</v>
      </c>
      <c r="GH569">
        <v>6.0564462673744597</v>
      </c>
      <c r="GI569">
        <v>4.1630751542396913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27.138355815139295</v>
      </c>
      <c r="AO570">
        <v>6.8171634374962951</v>
      </c>
      <c r="AP570">
        <v>49.607498026510115</v>
      </c>
      <c r="AQ570">
        <v>42.875780915540304</v>
      </c>
      <c r="AR570">
        <v>6.309315525505097</v>
      </c>
      <c r="AS570">
        <v>28.335600580541236</v>
      </c>
      <c r="AT570">
        <v>4.2821283902215459</v>
      </c>
      <c r="AU570">
        <v>-0.83454857008544236</v>
      </c>
      <c r="AV570"/>
      <c r="AW570"/>
      <c r="FY570" s="210">
        <v>565</v>
      </c>
      <c r="FZ570">
        <v>0.84427988115774544</v>
      </c>
      <c r="GA570">
        <v>2.0810669605553311</v>
      </c>
      <c r="GB570">
        <v>1.4912580957357946</v>
      </c>
      <c r="GC570">
        <v>0.73085187882742719</v>
      </c>
      <c r="GD570">
        <v>1.8686835829583714</v>
      </c>
      <c r="GE570">
        <v>3.7764664560885466</v>
      </c>
      <c r="GF570">
        <v>3.9252067630601974</v>
      </c>
      <c r="GG570">
        <v>5.8858634500969798</v>
      </c>
      <c r="GH570">
        <v>5.7560841777151568</v>
      </c>
      <c r="GI570">
        <v>3.2477300133309699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28.167965468829827</v>
      </c>
      <c r="AO571">
        <v>5.9556263255460475</v>
      </c>
      <c r="AP571">
        <v>46.283954909902874</v>
      </c>
      <c r="AQ571">
        <v>38.943652021880503</v>
      </c>
      <c r="AR571">
        <v>5.3978125285643994</v>
      </c>
      <c r="AS571">
        <v>24.515939976530376</v>
      </c>
      <c r="AT571">
        <v>3.5764455839888849</v>
      </c>
      <c r="AU571">
        <v>-2.5396546252817926</v>
      </c>
      <c r="AV571"/>
      <c r="AW571"/>
      <c r="FY571" s="210">
        <v>566</v>
      </c>
      <c r="FZ571">
        <v>0.76792867958401634</v>
      </c>
      <c r="GA571">
        <v>3.4080053611295824</v>
      </c>
      <c r="GB571">
        <v>1.8226312534940443</v>
      </c>
      <c r="GC571">
        <v>0.97664595865184167</v>
      </c>
      <c r="GD571">
        <v>1.4570184708168665</v>
      </c>
      <c r="GE571">
        <v>3.0701932384805026</v>
      </c>
      <c r="GF571">
        <v>10.89313797791938</v>
      </c>
      <c r="GG571">
        <v>9.83872142827353</v>
      </c>
      <c r="GH571">
        <v>3.4485533206288617</v>
      </c>
      <c r="GI571">
        <v>4.0128093429752498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23.906705810051793</v>
      </c>
      <c r="AO572">
        <v>4.2291134202627152</v>
      </c>
      <c r="AP572">
        <v>28.888658970852457</v>
      </c>
      <c r="AQ572">
        <v>25.319028072650788</v>
      </c>
      <c r="AR572">
        <v>3.9286682816240095</v>
      </c>
      <c r="AS572">
        <v>19.821783800224466</v>
      </c>
      <c r="AT572">
        <v>2.6305709849432328</v>
      </c>
      <c r="AU572">
        <v>-3.0459361430469811</v>
      </c>
      <c r="AV572"/>
      <c r="AW572"/>
      <c r="FY572" s="210">
        <v>567</v>
      </c>
      <c r="FZ572">
        <v>0.75371435161329425</v>
      </c>
      <c r="GA572">
        <v>2.1852509465425056</v>
      </c>
      <c r="GB572">
        <v>1.8849557289762719</v>
      </c>
      <c r="GC572">
        <v>0.83120496142016109</v>
      </c>
      <c r="GD572">
        <v>1.5498813517920622</v>
      </c>
      <c r="GE572">
        <v>3.6596711182556616</v>
      </c>
      <c r="GF572">
        <v>6.0051101274825367</v>
      </c>
      <c r="GG572">
        <v>12.505409314941144</v>
      </c>
      <c r="GH572">
        <v>12.006948152102717</v>
      </c>
      <c r="GI572">
        <v>4.5391253812096508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26.453305665328507</v>
      </c>
      <c r="AO573">
        <v>4.9438240169137675</v>
      </c>
      <c r="AP573">
        <v>40.483594460206248</v>
      </c>
      <c r="AQ573">
        <v>32.97693301282267</v>
      </c>
      <c r="AR573">
        <v>4.7833591707971692</v>
      </c>
      <c r="AS573">
        <v>23.198929803931382</v>
      </c>
      <c r="AT573">
        <v>2.8714465537456584</v>
      </c>
      <c r="AU573">
        <v>-0.13366905809228546</v>
      </c>
      <c r="AV573"/>
      <c r="AW573"/>
      <c r="FY573" s="210">
        <v>568</v>
      </c>
      <c r="FZ573">
        <v>0.97422465054187435</v>
      </c>
      <c r="GA573">
        <v>2.1398072531436223</v>
      </c>
      <c r="GB573">
        <v>1.1622369065342477</v>
      </c>
      <c r="GC573">
        <v>0.60712659170075522</v>
      </c>
      <c r="GD573">
        <v>1.7971478433241792</v>
      </c>
      <c r="GE573">
        <v>4.1171335517000189</v>
      </c>
      <c r="GF573">
        <v>5.9638116757720354</v>
      </c>
      <c r="GG573">
        <v>5.6553714509768254</v>
      </c>
      <c r="GH573">
        <v>3.8399429589555591</v>
      </c>
      <c r="GI573">
        <v>3.2180609781140816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34.86580040670114</v>
      </c>
      <c r="AO574">
        <v>6.7743875675431369</v>
      </c>
      <c r="AP574">
        <v>44.895051303929549</v>
      </c>
      <c r="AQ574">
        <v>40.47766803288539</v>
      </c>
      <c r="AR574">
        <v>6.3112059180595921</v>
      </c>
      <c r="AS574">
        <v>31.252201886034488</v>
      </c>
      <c r="AT574">
        <v>3.7222457139511387</v>
      </c>
      <c r="AU574">
        <v>3.5822248038233018</v>
      </c>
      <c r="AV574"/>
      <c r="AW574"/>
      <c r="FY574" s="210">
        <v>569</v>
      </c>
      <c r="FZ574">
        <v>1.1945094200925903</v>
      </c>
      <c r="GA574">
        <v>2.7411609708612525</v>
      </c>
      <c r="GB574">
        <v>2.4164345480995246</v>
      </c>
      <c r="GC574">
        <v>1.4419589445846823</v>
      </c>
      <c r="GD574">
        <v>1.7474364606697335</v>
      </c>
      <c r="GE574">
        <v>4.0313824196871213</v>
      </c>
      <c r="GF574">
        <v>6.3470914226379831</v>
      </c>
      <c r="GG574">
        <v>4.9934356451166284</v>
      </c>
      <c r="GH574">
        <v>3.4254623913956923</v>
      </c>
      <c r="GI574">
        <v>3.5276178606169455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29.911163736384715</v>
      </c>
      <c r="AO575">
        <v>6.3632181791828089</v>
      </c>
      <c r="AP575">
        <v>51.932685109954924</v>
      </c>
      <c r="AQ575">
        <v>41.864061759190065</v>
      </c>
      <c r="AR575">
        <v>5.8991966487185152</v>
      </c>
      <c r="AS575">
        <v>28.279637036191474</v>
      </c>
      <c r="AT575">
        <v>3.789902119741599</v>
      </c>
      <c r="AU575">
        <v>0.18927844496324875</v>
      </c>
      <c r="AV575"/>
      <c r="AW575"/>
      <c r="FY575" s="210">
        <v>570</v>
      </c>
      <c r="FZ575">
        <v>1.5772067651107495</v>
      </c>
      <c r="GA575">
        <v>1.5467807460411376</v>
      </c>
      <c r="GB575">
        <v>1.4089587620602735</v>
      </c>
      <c r="GC575">
        <v>1.0488493349787711</v>
      </c>
      <c r="GD575">
        <v>1.0522961161735247</v>
      </c>
      <c r="GE575">
        <v>3.1497200325351655</v>
      </c>
      <c r="GF575">
        <v>6.8561763804501261</v>
      </c>
      <c r="GG575">
        <v>4.7422662970115663</v>
      </c>
      <c r="GH575">
        <v>2.6730765339992111</v>
      </c>
      <c r="GI575">
        <v>2.9060332235320145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28.190045607031681</v>
      </c>
      <c r="AO576">
        <v>5.2845113230795064</v>
      </c>
      <c r="AP576">
        <v>34.924771958768829</v>
      </c>
      <c r="AQ576">
        <v>31.361511976751729</v>
      </c>
      <c r="AR576">
        <v>4.9683388606472434</v>
      </c>
      <c r="AS576">
        <v>25.415563441933042</v>
      </c>
      <c r="AT576">
        <v>3.4972995039297157</v>
      </c>
      <c r="AU576">
        <v>9.3248514908857132</v>
      </c>
      <c r="AV576"/>
      <c r="AW576"/>
      <c r="FY576" s="210">
        <v>571</v>
      </c>
      <c r="FZ576">
        <v>1.4206907411992846</v>
      </c>
      <c r="GA576">
        <v>2.0108176016848858</v>
      </c>
      <c r="GB576">
        <v>1.3673372367807111</v>
      </c>
      <c r="GC576">
        <v>1.0541084426046559</v>
      </c>
      <c r="GD576">
        <v>2.661038347102636</v>
      </c>
      <c r="GE576">
        <v>6.2437896904063077</v>
      </c>
      <c r="GF576">
        <v>5.014682010111482</v>
      </c>
      <c r="GG576">
        <v>3.8577347320631161</v>
      </c>
      <c r="GH576">
        <v>3.8190777421485391</v>
      </c>
      <c r="GI576">
        <v>3.6388537656832769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17.132243132409357</v>
      </c>
      <c r="AO577">
        <v>3.7003898091892635</v>
      </c>
      <c r="AP577">
        <v>31.804736855505826</v>
      </c>
      <c r="AQ577">
        <v>25.247296089427902</v>
      </c>
      <c r="AR577">
        <v>3.4947121748714949</v>
      </c>
      <c r="AS577">
        <v>17.097101492890424</v>
      </c>
      <c r="AT577">
        <v>2.3437048192790502</v>
      </c>
      <c r="AU577">
        <v>-4.3102924924804391</v>
      </c>
      <c r="AV577"/>
      <c r="AW577"/>
      <c r="FY577" s="210">
        <v>572</v>
      </c>
      <c r="FZ577">
        <v>0.98832621382366437</v>
      </c>
      <c r="GA577">
        <v>2.1075210893397864</v>
      </c>
      <c r="GB577">
        <v>1.8506483781937701</v>
      </c>
      <c r="GC577">
        <v>1.1215281468187661</v>
      </c>
      <c r="GD577">
        <v>1.3360482637693285</v>
      </c>
      <c r="GE577">
        <v>3.9023626429866631</v>
      </c>
      <c r="GF577">
        <v>5.2862722037976484</v>
      </c>
      <c r="GG577">
        <v>8.405806308429014</v>
      </c>
      <c r="GH577">
        <v>9.7723460478773188</v>
      </c>
      <c r="GI577">
        <v>3.9296227239710566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32.431206643982378</v>
      </c>
      <c r="AO578">
        <v>5.1638554547986315</v>
      </c>
      <c r="AP578">
        <v>37.924321147658105</v>
      </c>
      <c r="AQ578">
        <v>33.102005165769896</v>
      </c>
      <c r="AR578">
        <v>4.8473199738489274</v>
      </c>
      <c r="AS578">
        <v>24.617233187111292</v>
      </c>
      <c r="AT578">
        <v>3.1212115128997753</v>
      </c>
      <c r="AU578">
        <v>4.5712718224687494</v>
      </c>
      <c r="AV578"/>
      <c r="AW578"/>
      <c r="FY578" s="210">
        <v>573</v>
      </c>
      <c r="FZ578">
        <v>0.81562569583843803</v>
      </c>
      <c r="GA578">
        <v>2.0133185099719455</v>
      </c>
      <c r="GB578">
        <v>1.4744211302462764</v>
      </c>
      <c r="GC578">
        <v>1.0749076516293321</v>
      </c>
      <c r="GD578">
        <v>2.7815727960159333</v>
      </c>
      <c r="GE578">
        <v>5.6916111645756224</v>
      </c>
      <c r="GF578">
        <v>6.3019480435254582</v>
      </c>
      <c r="GG578">
        <v>7.1612050545046486</v>
      </c>
      <c r="GH578">
        <v>4.8994526874607134</v>
      </c>
      <c r="GI578">
        <v>4.0711475432576822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27.294610686154801</v>
      </c>
      <c r="AO579">
        <v>5.9349452147451434</v>
      </c>
      <c r="AP579">
        <v>47.3967730066218</v>
      </c>
      <c r="AQ579">
        <v>38.695218850915637</v>
      </c>
      <c r="AR579">
        <v>5.6220618989131115</v>
      </c>
      <c r="AS579">
        <v>26.146127130725681</v>
      </c>
      <c r="AT579">
        <v>3.4789142642798407</v>
      </c>
      <c r="AU579">
        <v>27.5671031276154</v>
      </c>
      <c r="AV579"/>
      <c r="AW579"/>
      <c r="FY579" s="210">
        <v>574</v>
      </c>
      <c r="FZ579">
        <v>1.3775966985313919</v>
      </c>
      <c r="GA579">
        <v>2.2368675229428221</v>
      </c>
      <c r="GB579">
        <v>1.8919114926790785</v>
      </c>
      <c r="GC579">
        <v>1.0345188544960544</v>
      </c>
      <c r="GD579">
        <v>1.3034362102366432</v>
      </c>
      <c r="GE579">
        <v>3.3891839673814679</v>
      </c>
      <c r="GF579">
        <v>6.2681349111244886</v>
      </c>
      <c r="GG579">
        <v>4.5416051726948687</v>
      </c>
      <c r="GH579">
        <v>2.6032886735839416</v>
      </c>
      <c r="GI579">
        <v>3.0315354182932293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28.011746891655367</v>
      </c>
      <c r="AO580">
        <v>6.0270587118220416</v>
      </c>
      <c r="AP580">
        <v>46.121398802935381</v>
      </c>
      <c r="AQ580">
        <v>38.31847450226541</v>
      </c>
      <c r="AR580">
        <v>5.8242446497294322</v>
      </c>
      <c r="AS580">
        <v>26.745977945465878</v>
      </c>
      <c r="AT580">
        <v>3.4714517209175497</v>
      </c>
      <c r="AU580">
        <v>6.162014818617088</v>
      </c>
      <c r="AV580"/>
      <c r="AW580"/>
      <c r="FY580" s="210">
        <v>575</v>
      </c>
      <c r="FZ580">
        <v>0.76180659865017497</v>
      </c>
      <c r="GA580">
        <v>2.1639481457865979</v>
      </c>
      <c r="GB580">
        <v>1.2360424085286903</v>
      </c>
      <c r="GC580">
        <v>0.46718320386522111</v>
      </c>
      <c r="GD580">
        <v>2.4128514619690273</v>
      </c>
      <c r="GE580">
        <v>5.0334794434515935</v>
      </c>
      <c r="GF580">
        <v>3.9981356998241315</v>
      </c>
      <c r="GG580">
        <v>5.9912752586126734</v>
      </c>
      <c r="GH580">
        <v>5.55814260818011</v>
      </c>
      <c r="GI580">
        <v>3.4805951627911971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20.959757460676574</v>
      </c>
      <c r="AO581">
        <v>4.7312771956757178</v>
      </c>
      <c r="AP581">
        <v>34.512713589643745</v>
      </c>
      <c r="AQ581">
        <v>29.607491259526519</v>
      </c>
      <c r="AR581">
        <v>4.537982031790202</v>
      </c>
      <c r="AS581">
        <v>20.97220674585904</v>
      </c>
      <c r="AT581">
        <v>2.9638593486331346</v>
      </c>
      <c r="AU581">
        <v>12.853272276590133</v>
      </c>
      <c r="AV581"/>
      <c r="AW581"/>
      <c r="FY581" s="210">
        <v>576</v>
      </c>
      <c r="FZ581">
        <v>1.7421533301258905</v>
      </c>
      <c r="GA581">
        <v>2.3524780036040647</v>
      </c>
      <c r="GB581">
        <v>1.8575690255236053</v>
      </c>
      <c r="GC581">
        <v>0.94267558661247852</v>
      </c>
      <c r="GD581">
        <v>2.867620110466679</v>
      </c>
      <c r="GE581">
        <v>6.6886076509942693</v>
      </c>
      <c r="GF581">
        <v>7.928771337000148</v>
      </c>
      <c r="GG581">
        <v>8.4374355671067249</v>
      </c>
      <c r="GH581">
        <v>5.594221499836884</v>
      </c>
      <c r="GI581">
        <v>4.7753119171765697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27.205730655032518</v>
      </c>
      <c r="AO582">
        <v>5.9763598876513111</v>
      </c>
      <c r="AP582">
        <v>49.406733535420884</v>
      </c>
      <c r="AQ582">
        <v>39.69564503195388</v>
      </c>
      <c r="AR582">
        <v>5.5395055215683335</v>
      </c>
      <c r="AS582">
        <v>29.031388713897332</v>
      </c>
      <c r="AT582">
        <v>3.6854160750848242</v>
      </c>
      <c r="AU582">
        <v>-6.6412710218728179</v>
      </c>
      <c r="AV582"/>
      <c r="AW582"/>
      <c r="FY582" s="210">
        <v>577</v>
      </c>
      <c r="FZ582">
        <v>1.171639021640329</v>
      </c>
      <c r="GA582">
        <v>1.7411681386210676</v>
      </c>
      <c r="GB582">
        <v>2.1654804848256068</v>
      </c>
      <c r="GC582">
        <v>1.0480177729846476</v>
      </c>
      <c r="GD582">
        <v>1.8371699076290799</v>
      </c>
      <c r="GE582">
        <v>4.5373971945796594</v>
      </c>
      <c r="GF582">
        <v>5.4946856818473586</v>
      </c>
      <c r="GG582">
        <v>4.8037959106536414</v>
      </c>
      <c r="GH582">
        <v>2.3230429970474606</v>
      </c>
      <c r="GI582">
        <v>3.1671412305557127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25.768209714441333</v>
      </c>
      <c r="AO583">
        <v>6.8313861954145789</v>
      </c>
      <c r="AP583">
        <v>56.618484636199852</v>
      </c>
      <c r="AQ583">
        <v>45.921271434336006</v>
      </c>
      <c r="AR583">
        <v>6.3424772315272371</v>
      </c>
      <c r="AS583">
        <v>26.010903296566699</v>
      </c>
      <c r="AT583">
        <v>3.8617435252750982</v>
      </c>
      <c r="AU583">
        <v>-10.478480581969963</v>
      </c>
      <c r="AV583"/>
      <c r="AW583"/>
      <c r="FY583" s="210">
        <v>578</v>
      </c>
      <c r="FZ583">
        <v>0.76804144427294807</v>
      </c>
      <c r="GA583">
        <v>1.4945963389328951</v>
      </c>
      <c r="GB583">
        <v>1.6554136065258629</v>
      </c>
      <c r="GC583">
        <v>0.98767856216521621</v>
      </c>
      <c r="GD583">
        <v>0.97066128812271635</v>
      </c>
      <c r="GE583">
        <v>2.6006990727750816</v>
      </c>
      <c r="GF583">
        <v>5.4233014974047862</v>
      </c>
      <c r="GG583">
        <v>7.2185172097660724</v>
      </c>
      <c r="GH583">
        <v>8.1242625530318442</v>
      </c>
      <c r="GI583">
        <v>3.3979752166692401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19.293523606023605</v>
      </c>
      <c r="AO584">
        <v>4.6933771074476383</v>
      </c>
      <c r="AP584">
        <v>34.153634530569619</v>
      </c>
      <c r="AQ584">
        <v>29.4748638607632</v>
      </c>
      <c r="AR584">
        <v>4.4362254952962541</v>
      </c>
      <c r="AS584">
        <v>21.592199110117416</v>
      </c>
      <c r="AT584">
        <v>3.0397098730916738</v>
      </c>
      <c r="AU584">
        <v>19.565071595569133</v>
      </c>
      <c r="AV584"/>
      <c r="AW584"/>
      <c r="FY584" s="210">
        <v>579</v>
      </c>
      <c r="FZ584">
        <v>1.4826020854244284</v>
      </c>
      <c r="GA584">
        <v>2.1801024354073646</v>
      </c>
      <c r="GB584">
        <v>1.0015328417786125</v>
      </c>
      <c r="GC584">
        <v>0.63337310667353308</v>
      </c>
      <c r="GD584">
        <v>1.1416974596380616</v>
      </c>
      <c r="GE584">
        <v>2.3322548104180938</v>
      </c>
      <c r="GF584">
        <v>2.5458771707479473</v>
      </c>
      <c r="GG584">
        <v>4.2341415208685538</v>
      </c>
      <c r="GH584">
        <v>4.7559745310729209</v>
      </c>
      <c r="GI584">
        <v>2.3788303859733864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27.07407200866799</v>
      </c>
      <c r="AO585">
        <v>5.1190982630817858</v>
      </c>
      <c r="AP585">
        <v>37.500913565725874</v>
      </c>
      <c r="AQ585">
        <v>31.866490083762155</v>
      </c>
      <c r="AR585">
        <v>4.8165015886979159</v>
      </c>
      <c r="AS585">
        <v>24.382024542343363</v>
      </c>
      <c r="AT585">
        <v>3.2621930901147778</v>
      </c>
      <c r="AU585">
        <v>2.3178995022669153</v>
      </c>
      <c r="AV585"/>
      <c r="AW585"/>
      <c r="FY585" s="210">
        <v>580</v>
      </c>
      <c r="FZ585">
        <v>1.0151229977288643</v>
      </c>
      <c r="GA585">
        <v>2.6261446681396565</v>
      </c>
      <c r="GB585">
        <v>1.6205320343665925</v>
      </c>
      <c r="GC585">
        <v>0.87498274498994266</v>
      </c>
      <c r="GD585">
        <v>1.3467540412466439</v>
      </c>
      <c r="GE585">
        <v>3.9972240302209876</v>
      </c>
      <c r="GF585">
        <v>6.8555458580864812</v>
      </c>
      <c r="GG585">
        <v>4.791675114309311</v>
      </c>
      <c r="GH585">
        <v>3.3511675022111027</v>
      </c>
      <c r="GI585">
        <v>3.1464147109058929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22.196726885312227</v>
      </c>
      <c r="AO586">
        <v>4.1820287442917339</v>
      </c>
      <c r="AP586">
        <v>32.425641039576064</v>
      </c>
      <c r="AQ586">
        <v>26.961364191892539</v>
      </c>
      <c r="AR586">
        <v>3.9402141084991542</v>
      </c>
      <c r="AS586">
        <v>18.070511009447731</v>
      </c>
      <c r="AT586">
        <v>2.7812858034844017</v>
      </c>
      <c r="AU586">
        <v>4.0832377087835283</v>
      </c>
      <c r="AV586"/>
      <c r="AW586"/>
      <c r="FY586" s="210">
        <v>581</v>
      </c>
      <c r="FZ586">
        <v>1.2066408172713414</v>
      </c>
      <c r="GA586">
        <v>2.5104516158703283</v>
      </c>
      <c r="GB586">
        <v>1.6977244660587729</v>
      </c>
      <c r="GC586">
        <v>1.0619718568229306</v>
      </c>
      <c r="GD586">
        <v>2.1783054014453347</v>
      </c>
      <c r="GE586">
        <v>5.0525702783405704</v>
      </c>
      <c r="GF586">
        <v>6.7588206856162314</v>
      </c>
      <c r="GG586">
        <v>5.8198433660348687</v>
      </c>
      <c r="GH586">
        <v>3.4572219469762979</v>
      </c>
      <c r="GI586">
        <v>3.6895918661234495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34.40829172753844</v>
      </c>
      <c r="AO587">
        <v>5.2857354272701622</v>
      </c>
      <c r="AP587">
        <v>33.2072291511695</v>
      </c>
      <c r="AQ587">
        <v>31.088130309784894</v>
      </c>
      <c r="AR587">
        <v>4.9341175444939438</v>
      </c>
      <c r="AS587">
        <v>25.992060552711475</v>
      </c>
      <c r="AT587">
        <v>3.2108563995554618</v>
      </c>
      <c r="AU587">
        <v>3.0892234769789377</v>
      </c>
      <c r="AV587"/>
      <c r="AW587"/>
      <c r="FY587" s="210">
        <v>582</v>
      </c>
      <c r="FZ587">
        <v>0.62399511160702914</v>
      </c>
      <c r="GA587">
        <v>2.3866479488674441</v>
      </c>
      <c r="GB587">
        <v>1.4240931329574817</v>
      </c>
      <c r="GC587">
        <v>0.64472739202286078</v>
      </c>
      <c r="GD587">
        <v>1.6802191154838622</v>
      </c>
      <c r="GE587">
        <v>4.7217529566007066</v>
      </c>
      <c r="GF587">
        <v>9.2658450622317616</v>
      </c>
      <c r="GG587">
        <v>8.7228868046362571</v>
      </c>
      <c r="GH587">
        <v>4.6271054563228171</v>
      </c>
      <c r="GI587">
        <v>3.900511355894261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28.444838726088726</v>
      </c>
      <c r="AO588">
        <v>5.808766970552135</v>
      </c>
      <c r="AP588">
        <v>46.542674869180267</v>
      </c>
      <c r="AQ588">
        <v>38.700482019007019</v>
      </c>
      <c r="AR588">
        <v>5.382555804259936</v>
      </c>
      <c r="AS588">
        <v>25.469744104305722</v>
      </c>
      <c r="AT588">
        <v>3.2806052218473454</v>
      </c>
      <c r="AU588">
        <v>-1.4192718005291298</v>
      </c>
      <c r="AV588"/>
      <c r="AW588"/>
      <c r="FY588" s="210">
        <v>583</v>
      </c>
      <c r="FZ588">
        <v>1.083269187576781</v>
      </c>
      <c r="GA588">
        <v>2.5472499853959576</v>
      </c>
      <c r="GB588">
        <v>2.461102410872658</v>
      </c>
      <c r="GC588">
        <v>1.1107370818946294</v>
      </c>
      <c r="GD588">
        <v>1.4137618828846155</v>
      </c>
      <c r="GE588">
        <v>3.6137211932811928</v>
      </c>
      <c r="GF588">
        <v>5.640254267906144</v>
      </c>
      <c r="GG588">
        <v>5.8972882849197417</v>
      </c>
      <c r="GH588">
        <v>4.6692663184816965</v>
      </c>
      <c r="GI588">
        <v>3.4154013995346753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32.754600264250996</v>
      </c>
      <c r="AO589">
        <v>6.0504416774915706</v>
      </c>
      <c r="AP589">
        <v>40.676722320523012</v>
      </c>
      <c r="AQ589">
        <v>36.285210277026053</v>
      </c>
      <c r="AR589">
        <v>5.6245503751985559</v>
      </c>
      <c r="AS589">
        <v>27.091702325766171</v>
      </c>
      <c r="AT589">
        <v>3.4483861602961792</v>
      </c>
      <c r="AU589">
        <v>28.340979853259572</v>
      </c>
      <c r="AV589"/>
      <c r="AW589"/>
      <c r="FY589" s="210">
        <v>584</v>
      </c>
      <c r="FZ589">
        <v>1.2765316438444341</v>
      </c>
      <c r="GA589">
        <v>2.7968368762070428</v>
      </c>
      <c r="GB589">
        <v>1.9248203886433666</v>
      </c>
      <c r="GC589">
        <v>0.70283565607535914</v>
      </c>
      <c r="GD589">
        <v>1.4680054062124059</v>
      </c>
      <c r="GE589">
        <v>3.2000791708877374</v>
      </c>
      <c r="GF589">
        <v>4.6124355960718617</v>
      </c>
      <c r="GG589">
        <v>4.923426663563343</v>
      </c>
      <c r="GH589">
        <v>4.2306049846132288</v>
      </c>
      <c r="GI589">
        <v>3.0650276260420553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19.148690183929546</v>
      </c>
      <c r="AO590">
        <v>4.367623690059613</v>
      </c>
      <c r="AP590">
        <v>33.104213118231577</v>
      </c>
      <c r="AQ590">
        <v>27.678078921963987</v>
      </c>
      <c r="AR590">
        <v>4.1464635880005005</v>
      </c>
      <c r="AS590">
        <v>21.267738067745984</v>
      </c>
      <c r="AT590">
        <v>2.9636127724900407</v>
      </c>
      <c r="AU590">
        <v>3.3259558216800169</v>
      </c>
      <c r="AV590"/>
      <c r="AW590"/>
      <c r="FY590" s="210">
        <v>585</v>
      </c>
      <c r="FZ590">
        <v>0.9881006844458009</v>
      </c>
      <c r="GA590">
        <v>2.9609239026747889</v>
      </c>
      <c r="GB590">
        <v>1.5694653592108312</v>
      </c>
      <c r="GC590">
        <v>0.91537154212322047</v>
      </c>
      <c r="GD590">
        <v>1.9989203180329631</v>
      </c>
      <c r="GE590">
        <v>3.6360709431635887</v>
      </c>
      <c r="GF590">
        <v>4.1136925077224511</v>
      </c>
      <c r="GG590">
        <v>6.6271349708206211</v>
      </c>
      <c r="GH590">
        <v>6.2657674195464566</v>
      </c>
      <c r="GI590">
        <v>3.4614233420312668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27.122862670823014</v>
      </c>
      <c r="AO591">
        <v>5.1103643531998353</v>
      </c>
      <c r="AP591">
        <v>34.921116199153985</v>
      </c>
      <c r="AQ591">
        <v>31.103459991659417</v>
      </c>
      <c r="AR591">
        <v>4.8533547217533712</v>
      </c>
      <c r="AS591">
        <v>22.511476747808135</v>
      </c>
      <c r="AT591">
        <v>2.9246859428806236</v>
      </c>
      <c r="AU591">
        <v>-1.2958860563088144</v>
      </c>
      <c r="AV591"/>
      <c r="AW591"/>
      <c r="FY591" s="210">
        <v>586</v>
      </c>
      <c r="FZ591">
        <v>1.0215833727295007</v>
      </c>
      <c r="GA591">
        <v>2.7316321217319923</v>
      </c>
      <c r="GB591">
        <v>1.4957030435239658</v>
      </c>
      <c r="GC591">
        <v>0.5429246212092721</v>
      </c>
      <c r="GD591">
        <v>0.68883148939885208</v>
      </c>
      <c r="GE591">
        <v>2.0862692523455264</v>
      </c>
      <c r="GF591">
        <v>6.9856498041424286</v>
      </c>
      <c r="GG591">
        <v>7.7003566974202604</v>
      </c>
      <c r="GH591">
        <v>5.3922924973909492</v>
      </c>
      <c r="GI591">
        <v>3.1003839984179256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35.354622102637201</v>
      </c>
      <c r="AO592">
        <v>7.0131796948267127</v>
      </c>
      <c r="AP592">
        <v>49.039507371903852</v>
      </c>
      <c r="AQ592">
        <v>43.186844028447311</v>
      </c>
      <c r="AR592">
        <v>6.5927789095613907</v>
      </c>
      <c r="AS592">
        <v>31.191550025404716</v>
      </c>
      <c r="AT592">
        <v>4.0577436150699491</v>
      </c>
      <c r="AU592">
        <v>0.33351111605525796</v>
      </c>
      <c r="AV592"/>
      <c r="AW592"/>
      <c r="FY592" s="210">
        <v>587</v>
      </c>
      <c r="FZ592">
        <v>0.55596168644804411</v>
      </c>
      <c r="GA592">
        <v>2.2723238348742303</v>
      </c>
      <c r="GB592">
        <v>1.2483943104646966</v>
      </c>
      <c r="GC592">
        <v>0.6294240333738137</v>
      </c>
      <c r="GD592">
        <v>1.8604769702591595</v>
      </c>
      <c r="GE592">
        <v>4.430456160842617</v>
      </c>
      <c r="GF592">
        <v>6.4343919096381335</v>
      </c>
      <c r="GG592">
        <v>6.1424327443019218</v>
      </c>
      <c r="GH592">
        <v>4.3732235648985629</v>
      </c>
      <c r="GI592">
        <v>3.3784561151322863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31.337648913789007</v>
      </c>
      <c r="AO593">
        <v>4.6648067301537175</v>
      </c>
      <c r="AP593">
        <v>32.136038972151667</v>
      </c>
      <c r="AQ593">
        <v>28.289538340384567</v>
      </c>
      <c r="AR593">
        <v>4.3267709596270665</v>
      </c>
      <c r="AS593">
        <v>21.461085176989723</v>
      </c>
      <c r="AT593">
        <v>2.8161073836972936</v>
      </c>
      <c r="AU593">
        <v>6.0987268209352861</v>
      </c>
      <c r="AV593"/>
      <c r="AW593"/>
      <c r="FY593" s="210">
        <v>588</v>
      </c>
      <c r="FZ593">
        <v>0.61590286457014853</v>
      </c>
      <c r="GA593">
        <v>1.5468365504590416</v>
      </c>
      <c r="GB593">
        <v>1.3794948136397069</v>
      </c>
      <c r="GC593">
        <v>0.66249706564712674</v>
      </c>
      <c r="GD593">
        <v>1.3986009292887323</v>
      </c>
      <c r="GE593">
        <v>3.1676175454807756</v>
      </c>
      <c r="GF593">
        <v>3.8108949926644651</v>
      </c>
      <c r="GG593">
        <v>5.8541464680213453</v>
      </c>
      <c r="GH593">
        <v>5.6713466946596913</v>
      </c>
      <c r="GI593">
        <v>2.8609031308434409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24.451595365824087</v>
      </c>
      <c r="AO594">
        <v>4.837862273677529</v>
      </c>
      <c r="AP594">
        <v>40.447841230193006</v>
      </c>
      <c r="AQ594">
        <v>32.641146789666664</v>
      </c>
      <c r="AR594">
        <v>4.6951023394457865</v>
      </c>
      <c r="AS594">
        <v>23.751812531934206</v>
      </c>
      <c r="AT594">
        <v>2.8510715236436668</v>
      </c>
      <c r="AU594">
        <v>-1.3226873971279463</v>
      </c>
      <c r="AV594"/>
      <c r="AW594"/>
      <c r="FY594" s="210">
        <v>589</v>
      </c>
      <c r="FZ594">
        <v>1.2626556099405073</v>
      </c>
      <c r="GA594">
        <v>2.8155906663540486</v>
      </c>
      <c r="GB594">
        <v>2.5220396717256395</v>
      </c>
      <c r="GC594">
        <v>1.0175854419624062</v>
      </c>
      <c r="GD594">
        <v>2.4478535358102111</v>
      </c>
      <c r="GE594">
        <v>6.4556647732543961</v>
      </c>
      <c r="GF594">
        <v>6.5288871163783213</v>
      </c>
      <c r="GG594">
        <v>4.9161415234724579</v>
      </c>
      <c r="GH594">
        <v>3.2688085798911439</v>
      </c>
      <c r="GI594">
        <v>3.995256309502385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14.271868221170084</v>
      </c>
      <c r="AO595">
        <v>3.461881981347819</v>
      </c>
      <c r="AP595">
        <v>26.671157014292785</v>
      </c>
      <c r="AQ595">
        <v>22.686386348002905</v>
      </c>
      <c r="AR595">
        <v>3.2981524764065275</v>
      </c>
      <c r="AS595">
        <v>15.151611451320928</v>
      </c>
      <c r="AT595">
        <v>2.3426402073326553</v>
      </c>
      <c r="AU595">
        <v>1.5018361440783552</v>
      </c>
      <c r="AV595"/>
      <c r="AW595"/>
      <c r="FY595" s="210">
        <v>590</v>
      </c>
      <c r="FZ595">
        <v>1.1449550024240611</v>
      </c>
      <c r="GA595">
        <v>1.5746038131017075</v>
      </c>
      <c r="GB595">
        <v>0.78564315013159991</v>
      </c>
      <c r="GC595">
        <v>0.85372220023462386</v>
      </c>
      <c r="GD595">
        <v>1.9474391217722853</v>
      </c>
      <c r="GE595">
        <v>3.1640794421291161</v>
      </c>
      <c r="GF595">
        <v>4.1585839323056817</v>
      </c>
      <c r="GG595">
        <v>5.0543084611411588</v>
      </c>
      <c r="GH595">
        <v>2.3591218887042356</v>
      </c>
      <c r="GI595">
        <v>2.6616995897287707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23.935838510140375</v>
      </c>
      <c r="AO596">
        <v>4.586242201238071</v>
      </c>
      <c r="AP596">
        <v>35.067596294461495</v>
      </c>
      <c r="AQ596">
        <v>29.625563702205476</v>
      </c>
      <c r="AR596">
        <v>4.2375784277139372</v>
      </c>
      <c r="AS596">
        <v>23.425730544765063</v>
      </c>
      <c r="AT596">
        <v>2.823813727496669</v>
      </c>
      <c r="AU596">
        <v>1.6875556536719416</v>
      </c>
      <c r="AV596"/>
      <c r="AW596"/>
      <c r="FY596" s="210">
        <v>591</v>
      </c>
      <c r="FZ596">
        <v>1.8939536157618944</v>
      </c>
      <c r="GA596">
        <v>2.4680424249975856</v>
      </c>
      <c r="GB596">
        <v>1.4150576501177192</v>
      </c>
      <c r="GC596">
        <v>0.76880733434613224</v>
      </c>
      <c r="GD596">
        <v>1.4022849561097641</v>
      </c>
      <c r="GE596">
        <v>3.83062104979828</v>
      </c>
      <c r="GF596">
        <v>5.5760341518239027</v>
      </c>
      <c r="GG596">
        <v>4.4784189259512637</v>
      </c>
      <c r="GH596">
        <v>3.1281855902649962</v>
      </c>
      <c r="GI596">
        <v>3.0034371273295379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25.065693523726999</v>
      </c>
      <c r="AO597">
        <v>5.4537144716644592</v>
      </c>
      <c r="AP597">
        <v>38.156618767487466</v>
      </c>
      <c r="AQ597">
        <v>33.433142300560128</v>
      </c>
      <c r="AR597">
        <v>5.0529004865455907</v>
      </c>
      <c r="AS597">
        <v>24.940515771238346</v>
      </c>
      <c r="AT597">
        <v>3.5027767726607486</v>
      </c>
      <c r="AU597">
        <v>7.411139965759113</v>
      </c>
      <c r="AV597"/>
      <c r="AW597"/>
      <c r="FY597" s="210">
        <v>592</v>
      </c>
      <c r="FZ597">
        <v>1.0151229977288643</v>
      </c>
      <c r="GA597">
        <v>2.212641054657293</v>
      </c>
      <c r="GB597">
        <v>2.4619673564526248</v>
      </c>
      <c r="GC597">
        <v>1.4610417860970899</v>
      </c>
      <c r="GD597">
        <v>2.9353268216530077</v>
      </c>
      <c r="GE597">
        <v>6.2916338232345872</v>
      </c>
      <c r="GF597">
        <v>4.0838484805901567</v>
      </c>
      <c r="GG597">
        <v>2.9347739249269362</v>
      </c>
      <c r="GH597">
        <v>2.8843045310692736</v>
      </c>
      <c r="GI597">
        <v>3.700202332960322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21.971296932234431</v>
      </c>
      <c r="AO598">
        <v>5.8666759893760014</v>
      </c>
      <c r="AP598">
        <v>45.709123293970748</v>
      </c>
      <c r="AQ598">
        <v>37.997784336624484</v>
      </c>
      <c r="AR598">
        <v>5.3387269307471019</v>
      </c>
      <c r="AS598">
        <v>26.881573489344934</v>
      </c>
      <c r="AT598">
        <v>3.8357995345491394</v>
      </c>
      <c r="AU598">
        <v>8.087486791191532</v>
      </c>
      <c r="AV598"/>
      <c r="AW598"/>
      <c r="FY598" s="210">
        <v>593</v>
      </c>
      <c r="FZ598">
        <v>1.3037794865053607</v>
      </c>
      <c r="GA598">
        <v>3.0284520929945398</v>
      </c>
      <c r="GB598">
        <v>2.4582875271697575</v>
      </c>
      <c r="GC598">
        <v>1.066211013139416</v>
      </c>
      <c r="GD598">
        <v>2.8093866622913257</v>
      </c>
      <c r="GE598">
        <v>5.3357848736433784</v>
      </c>
      <c r="GF598">
        <v>4.0228652895823123</v>
      </c>
      <c r="GG598">
        <v>5.8953126701540608</v>
      </c>
      <c r="GH598">
        <v>3.657874472800859</v>
      </c>
      <c r="GI598">
        <v>3.7938222448597401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25.813701720117944</v>
      </c>
      <c r="AO599">
        <v>4.9956094087881642</v>
      </c>
      <c r="AP599">
        <v>38.586971138329297</v>
      </c>
      <c r="AQ599">
        <v>31.852052012748093</v>
      </c>
      <c r="AR599">
        <v>4.7129071205211943</v>
      </c>
      <c r="AS599">
        <v>22.564701329321096</v>
      </c>
      <c r="AT599">
        <v>2.9754770951741594</v>
      </c>
      <c r="AU599">
        <v>-4.5046584663712634</v>
      </c>
      <c r="AV599"/>
      <c r="AW599"/>
      <c r="FY599" s="210">
        <v>594</v>
      </c>
      <c r="FZ599">
        <v>0.93287524459915727</v>
      </c>
      <c r="GA599">
        <v>2.0604037020646371</v>
      </c>
      <c r="GB599">
        <v>1.233881933473703</v>
      </c>
      <c r="GC599">
        <v>0.47708946327121216</v>
      </c>
      <c r="GD599">
        <v>1.5884132608934385</v>
      </c>
      <c r="GE599">
        <v>4.8106084420453801</v>
      </c>
      <c r="GF599">
        <v>3.5145864043537731</v>
      </c>
      <c r="GG599">
        <v>2.0892580366756288</v>
      </c>
      <c r="GH599">
        <v>4.1782651493110903</v>
      </c>
      <c r="GI599">
        <v>2.6967579589232455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21.861729459468823</v>
      </c>
      <c r="AO600">
        <v>4.3510525090240142</v>
      </c>
      <c r="AP600">
        <v>33.517874557166536</v>
      </c>
      <c r="AQ600">
        <v>28.200604012160838</v>
      </c>
      <c r="AR600">
        <v>4.2523950736238554</v>
      </c>
      <c r="AS600">
        <v>23.961448890633665</v>
      </c>
      <c r="AT600">
        <v>2.786476830514125</v>
      </c>
      <c r="AU600">
        <v>1.3632712482606908</v>
      </c>
      <c r="AV600"/>
      <c r="AW600"/>
      <c r="FY600" s="210">
        <v>595</v>
      </c>
      <c r="FZ600">
        <v>1.4123729647845407</v>
      </c>
      <c r="GA600">
        <v>3.3344463282164325</v>
      </c>
      <c r="GB600">
        <v>1.4493132760349499</v>
      </c>
      <c r="GC600">
        <v>0.39590073997905945</v>
      </c>
      <c r="GD600">
        <v>1.6287812987846251</v>
      </c>
      <c r="GE600">
        <v>5.4628492337936372</v>
      </c>
      <c r="GF600">
        <v>8.6659731498520571</v>
      </c>
      <c r="GG600">
        <v>4.0990201667841841</v>
      </c>
      <c r="GH600">
        <v>0.80277267031925559</v>
      </c>
      <c r="GI600">
        <v>3.2569196939553184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28.849529929493162</v>
      </c>
      <c r="AO601">
        <v>5.0916242025236471</v>
      </c>
      <c r="AP601">
        <v>37.806251117717565</v>
      </c>
      <c r="AQ601">
        <v>32.536870989771984</v>
      </c>
      <c r="AR601">
        <v>4.8211000527645158</v>
      </c>
      <c r="AS601">
        <v>22.788593691834034</v>
      </c>
      <c r="AT601">
        <v>3.0251759605152846</v>
      </c>
      <c r="AU601">
        <v>26.675186500953906</v>
      </c>
      <c r="AV601"/>
      <c r="AW601"/>
      <c r="FY601" s="210">
        <v>596</v>
      </c>
      <c r="FZ601">
        <v>1.28900133508998</v>
      </c>
      <c r="GA601">
        <v>2.4960989560594795</v>
      </c>
      <c r="GB601">
        <v>2.130505584082385</v>
      </c>
      <c r="GC601">
        <v>1.1285067555188957</v>
      </c>
      <c r="GD601">
        <v>2.5012996504119012</v>
      </c>
      <c r="GE601">
        <v>5.760352212201699</v>
      </c>
      <c r="GF601">
        <v>4.8977179935574107</v>
      </c>
      <c r="GG601">
        <v>4.6516688913038378</v>
      </c>
      <c r="GH601">
        <v>3.8114854248506118</v>
      </c>
      <c r="GI601">
        <v>3.7224964700001117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17.818837123524624</v>
      </c>
      <c r="AO602">
        <v>4.5437552260013536</v>
      </c>
      <c r="AP602">
        <v>40.352098933448119</v>
      </c>
      <c r="AQ602">
        <v>31.745626898310675</v>
      </c>
      <c r="AR602">
        <v>4.2737918171349563</v>
      </c>
      <c r="AS602">
        <v>17.405243582121784</v>
      </c>
      <c r="AT602">
        <v>2.7268589376241739</v>
      </c>
      <c r="AU602">
        <v>0.28758811104623327</v>
      </c>
      <c r="AV602"/>
      <c r="AW602"/>
      <c r="FY602" s="210">
        <v>597</v>
      </c>
      <c r="FZ602">
        <v>1.4110793868150915</v>
      </c>
      <c r="GA602">
        <v>1.977583635751839</v>
      </c>
      <c r="GB602">
        <v>1.4563257639953973</v>
      </c>
      <c r="GC602">
        <v>0.81244859758320076</v>
      </c>
      <c r="GD602">
        <v>0.58464432195871319</v>
      </c>
      <c r="GE602">
        <v>0.74697449069313004</v>
      </c>
      <c r="GF602">
        <v>3.8646231930122088</v>
      </c>
      <c r="GG602">
        <v>5.2202129099368211</v>
      </c>
      <c r="GH602">
        <v>3.5152558925155244</v>
      </c>
      <c r="GI602">
        <v>2.2009936062966187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26.438167360961479</v>
      </c>
      <c r="AO603">
        <v>4.9622316806940177</v>
      </c>
      <c r="AP603">
        <v>36.45916266963291</v>
      </c>
      <c r="AQ603">
        <v>31.325541330233467</v>
      </c>
      <c r="AR603">
        <v>4.6327090630060592</v>
      </c>
      <c r="AS603">
        <v>23.008017433844298</v>
      </c>
      <c r="AT603">
        <v>2.923029067560762</v>
      </c>
      <c r="AU603">
        <v>-0.54852020490926034</v>
      </c>
      <c r="AV603"/>
      <c r="AW603"/>
      <c r="FY603" s="210">
        <v>598</v>
      </c>
      <c r="FZ603">
        <v>1.3031028983717703</v>
      </c>
      <c r="GA603">
        <v>2.4156254013766567</v>
      </c>
      <c r="GB603">
        <v>2.4360112371394624</v>
      </c>
      <c r="GC603">
        <v>1.1640994430344489</v>
      </c>
      <c r="GD603">
        <v>1.3494476675583285</v>
      </c>
      <c r="GE603">
        <v>4.4099736185586167</v>
      </c>
      <c r="GF603">
        <v>6.5667943243401483</v>
      </c>
      <c r="GG603">
        <v>5.670592286898632</v>
      </c>
      <c r="GH603">
        <v>4.8214131012169243</v>
      </c>
      <c r="GI603">
        <v>3.5968526531883365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25.54204426985833</v>
      </c>
      <c r="AO604">
        <v>4.1923895724953288</v>
      </c>
      <c r="AP604">
        <v>31.795061510617675</v>
      </c>
      <c r="AQ604">
        <v>26.968241055274476</v>
      </c>
      <c r="AR604">
        <v>3.955781651726233</v>
      </c>
      <c r="AS604">
        <v>20.614192620378589</v>
      </c>
      <c r="AT604">
        <v>2.4636601763007788</v>
      </c>
      <c r="AU604">
        <v>2.6359935411515498</v>
      </c>
      <c r="AV604"/>
      <c r="AW604"/>
      <c r="FY604" s="210">
        <v>599</v>
      </c>
      <c r="FZ604">
        <v>1.2354077672795805</v>
      </c>
      <c r="GA604">
        <v>2.7759540178002893</v>
      </c>
      <c r="GB604">
        <v>1.5478763910931954</v>
      </c>
      <c r="GC604">
        <v>0.8833230660057414</v>
      </c>
      <c r="GD604">
        <v>2.782384389027647</v>
      </c>
      <c r="GE604">
        <v>5.9876095830478819</v>
      </c>
      <c r="GF604">
        <v>7.1363745968385697</v>
      </c>
      <c r="GG604">
        <v>8.6921393562211779</v>
      </c>
      <c r="GH604">
        <v>6.3703028796786034</v>
      </c>
      <c r="GI604">
        <v>4.5549280589887253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28.193284394590716</v>
      </c>
      <c r="AO605">
        <v>5.8716056721525032</v>
      </c>
      <c r="AP605">
        <v>39.983259216745374</v>
      </c>
      <c r="AQ605">
        <v>35.230483228291519</v>
      </c>
      <c r="AR605">
        <v>5.4661597810854676</v>
      </c>
      <c r="AS605">
        <v>25.084325666332802</v>
      </c>
      <c r="AT605">
        <v>3.5806556577969766</v>
      </c>
      <c r="AU605">
        <v>4.2982043158194863</v>
      </c>
      <c r="AV605"/>
      <c r="AW605"/>
      <c r="FY605" s="210">
        <v>600</v>
      </c>
      <c r="FZ605">
        <v>1.2748997718081898</v>
      </c>
      <c r="GA605">
        <v>1.8645918342026664</v>
      </c>
      <c r="GB605">
        <v>1.8068342485379303</v>
      </c>
      <c r="GC605">
        <v>1.2079257710317581</v>
      </c>
      <c r="GD605">
        <v>1.3115259730742359</v>
      </c>
      <c r="GE605">
        <v>2.8988624865969093</v>
      </c>
      <c r="GF605">
        <v>3.3024517523496226</v>
      </c>
      <c r="GG605">
        <v>3.7518746794335192</v>
      </c>
      <c r="GH605">
        <v>4.3417489464034453</v>
      </c>
      <c r="GI605">
        <v>2.7089011548747299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26.101647603485837</v>
      </c>
      <c r="AO606">
        <v>3.9668952939810849</v>
      </c>
      <c r="AP606">
        <v>26.564206243002161</v>
      </c>
      <c r="AQ606">
        <v>23.70415660167324</v>
      </c>
      <c r="AR606">
        <v>3.7148615854138454</v>
      </c>
      <c r="AS606">
        <v>19.485595022196119</v>
      </c>
      <c r="AT606" t="e">
        <v>#DIV/0!</v>
      </c>
      <c r="AU606" t="e">
        <v>#DIV/0!</v>
      </c>
      <c r="AV606"/>
      <c r="AW606"/>
      <c r="FY606" s="210">
        <v>601</v>
      </c>
      <c r="FZ606">
        <v>1.4886114016693379</v>
      </c>
      <c r="GA606">
        <v>3.1642136923647426</v>
      </c>
      <c r="GB606">
        <v>2.4715252638180538</v>
      </c>
      <c r="GC606">
        <v>1.0380599323321527</v>
      </c>
      <c r="GD606">
        <v>2.0921542506723281</v>
      </c>
      <c r="GE606">
        <v>6.2647044164348653</v>
      </c>
      <c r="GF606">
        <v>7.926154735042843</v>
      </c>
      <c r="GG606">
        <v>5.5237288842198007</v>
      </c>
      <c r="GH606">
        <v>4.1315682181289901</v>
      </c>
      <c r="GI606">
        <v>4.1903606143875995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22.431374224426087</v>
      </c>
      <c r="AO607">
        <v>4.3616835117734194</v>
      </c>
      <c r="AP607">
        <v>32.507800864655103</v>
      </c>
      <c r="AQ607">
        <v>27.964842826501073</v>
      </c>
      <c r="AR607">
        <v>4.0867138635621743</v>
      </c>
      <c r="AS607">
        <v>19.949091052869917</v>
      </c>
      <c r="AT607">
        <v>2.8751203748937808</v>
      </c>
      <c r="AU607">
        <v>9.6987085387297389E-2</v>
      </c>
      <c r="AV607"/>
      <c r="AW607"/>
      <c r="FY607" s="210">
        <v>602</v>
      </c>
      <c r="FZ607">
        <v>1.124167534763771</v>
      </c>
      <c r="GA607">
        <v>1.5128111432108549</v>
      </c>
      <c r="GB607">
        <v>1.1373720039966724</v>
      </c>
      <c r="GC607">
        <v>0.90936414931190335</v>
      </c>
      <c r="GD607">
        <v>1.9910065549879494</v>
      </c>
      <c r="GE607">
        <v>5.0142132717213075</v>
      </c>
      <c r="GF607">
        <v>6.4038935303235789</v>
      </c>
      <c r="GG607">
        <v>5.3977286515496621</v>
      </c>
      <c r="GH607">
        <v>4.3469578127771689</v>
      </c>
      <c r="GI607">
        <v>3.5105332036857537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25.552634534105515</v>
      </c>
      <c r="AO608">
        <v>5.36626728023281</v>
      </c>
      <c r="AP608">
        <v>31.800503494456095</v>
      </c>
      <c r="AQ608">
        <v>29.980863109370155</v>
      </c>
      <c r="AR608">
        <v>5.0882442548068205</v>
      </c>
      <c r="AS608">
        <v>27.281098653912132</v>
      </c>
      <c r="AT608">
        <v>3.4486494615195631</v>
      </c>
      <c r="AU608">
        <v>7.420808928027002</v>
      </c>
      <c r="AV608"/>
      <c r="AW608"/>
      <c r="FY608" s="210">
        <v>603</v>
      </c>
      <c r="FZ608">
        <v>0.83006555318702357</v>
      </c>
      <c r="GA608">
        <v>1.1760206901381189</v>
      </c>
      <c r="GB608">
        <v>0.68073081643360245</v>
      </c>
      <c r="GC608">
        <v>0.71153229456527545</v>
      </c>
      <c r="GD608">
        <v>1.8772937144320214</v>
      </c>
      <c r="GE608">
        <v>5.3258165047491488</v>
      </c>
      <c r="GF608">
        <v>9.0280885354755593</v>
      </c>
      <c r="GG608">
        <v>7.2826723953743766</v>
      </c>
      <c r="GH608">
        <v>5.2923064951019363</v>
      </c>
      <c r="GI608">
        <v>3.9242574098704752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28.355818983576331</v>
      </c>
      <c r="AO609">
        <v>5.6587234992174196</v>
      </c>
      <c r="AP609">
        <v>37.258819031971591</v>
      </c>
      <c r="AQ609">
        <v>33.371776333140758</v>
      </c>
      <c r="AR609">
        <v>5.3085933072005629</v>
      </c>
      <c r="AS609">
        <v>25.221956972166787</v>
      </c>
      <c r="AT609" t="e">
        <v>#DIV/0!</v>
      </c>
      <c r="AU609" t="e">
        <v>#DIV/0!</v>
      </c>
      <c r="AV609"/>
      <c r="AW609"/>
      <c r="FY609" s="210">
        <v>604</v>
      </c>
      <c r="FZ609">
        <v>0.93276247991022543</v>
      </c>
      <c r="GA609">
        <v>1.4018702689629592</v>
      </c>
      <c r="GB609">
        <v>1.6216096480010065</v>
      </c>
      <c r="GC609">
        <v>0.99079127763131791</v>
      </c>
      <c r="GD609">
        <v>1.4477238249970517</v>
      </c>
      <c r="GE609">
        <v>3.495434243270628</v>
      </c>
      <c r="GF609">
        <v>6.2662207296201835</v>
      </c>
      <c r="GG609">
        <v>7.4774803185419509</v>
      </c>
      <c r="GH609">
        <v>6.1416354953326353</v>
      </c>
      <c r="GI609">
        <v>3.5375429537617751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19.330188416292138</v>
      </c>
      <c r="AO610">
        <v>3.8220056267165154</v>
      </c>
      <c r="AP610">
        <v>26.07827998742264</v>
      </c>
      <c r="AQ610">
        <v>23.582139595611267</v>
      </c>
      <c r="AR610">
        <v>3.6211763316094094</v>
      </c>
      <c r="AS610">
        <v>18.069617530626324</v>
      </c>
      <c r="AT610">
        <v>2.4816884600808806</v>
      </c>
      <c r="AU610">
        <v>0.40850909126699164</v>
      </c>
      <c r="AV610"/>
      <c r="AW610"/>
      <c r="FY610" s="210">
        <v>605</v>
      </c>
      <c r="FZ610">
        <v>0.98821344913473252</v>
      </c>
      <c r="GA610">
        <v>2.3282258484343923</v>
      </c>
      <c r="GB610">
        <v>1.5870222168310937</v>
      </c>
      <c r="GC610">
        <v>0.84757994936811154</v>
      </c>
      <c r="GD610">
        <v>1.192176463471184</v>
      </c>
      <c r="GE610">
        <v>2.9080689927668537</v>
      </c>
      <c r="GF610">
        <v>8.5896023790694294</v>
      </c>
      <c r="GG610">
        <v>7.5646916712556038</v>
      </c>
      <c r="GH610">
        <v>3.3459586358373783</v>
      </c>
      <c r="GI610">
        <v>3.3985790194928338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30.725873418448124</v>
      </c>
      <c r="AO611">
        <v>4.7600437198785581</v>
      </c>
      <c r="AP611">
        <v>35.226287941345909</v>
      </c>
      <c r="AQ611">
        <v>30.508349522504062</v>
      </c>
      <c r="AR611">
        <v>4.3398765683407259</v>
      </c>
      <c r="AS611">
        <v>22.540836542310885</v>
      </c>
      <c r="AT611">
        <v>3.0260661246603271</v>
      </c>
      <c r="AU611">
        <v>6.5806069930801669</v>
      </c>
      <c r="AV611"/>
      <c r="AW611"/>
      <c r="FY611" s="210">
        <v>606</v>
      </c>
      <c r="FZ611">
        <v>0.95989755788222053</v>
      </c>
      <c r="GA611">
        <v>2.0261127491243798</v>
      </c>
      <c r="GB611">
        <v>2.3294201850331602</v>
      </c>
      <c r="GC611">
        <v>1.0581624374179008</v>
      </c>
      <c r="GD611">
        <v>0.20266669341299065</v>
      </c>
      <c r="GE611">
        <v>2.0976799675128852</v>
      </c>
      <c r="GF611">
        <v>8.6852644907154399</v>
      </c>
      <c r="GG611">
        <v>6.0543802385571963</v>
      </c>
      <c r="GH611">
        <v>2.7433070699980218</v>
      </c>
      <c r="GI611">
        <v>2.9079892501486913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21.784354866469222</v>
      </c>
      <c r="AO612">
        <v>5.4914586082185197</v>
      </c>
      <c r="AP612">
        <v>35.94928678164721</v>
      </c>
      <c r="AQ612">
        <v>32.389133273076311</v>
      </c>
      <c r="AR612">
        <v>5.1216286314851267</v>
      </c>
      <c r="AS612">
        <v>24.833307439574245</v>
      </c>
      <c r="AT612">
        <v>3.7117296318517794</v>
      </c>
      <c r="AU612">
        <v>5.9987591379771725</v>
      </c>
      <c r="AV612"/>
      <c r="AW612"/>
      <c r="FY612" s="210">
        <v>607</v>
      </c>
      <c r="FZ612">
        <v>0.96776427554123767</v>
      </c>
      <c r="GA612">
        <v>1.992186013012506</v>
      </c>
      <c r="GB612">
        <v>1.3832610432640227</v>
      </c>
      <c r="GC612">
        <v>0.60377537446439156</v>
      </c>
      <c r="GD612">
        <v>1.2936941583406334</v>
      </c>
      <c r="GE612">
        <v>3.715076856789755</v>
      </c>
      <c r="GF612">
        <v>6.4284234354584413</v>
      </c>
      <c r="GG612">
        <v>7.2067406859739798</v>
      </c>
      <c r="GH612">
        <v>5.1287246650187486</v>
      </c>
      <c r="GI612">
        <v>3.2721448928539041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15.615351127152982</v>
      </c>
      <c r="AO613">
        <v>3.1694003879255117</v>
      </c>
      <c r="AP613">
        <v>27.576358043279281</v>
      </c>
      <c r="AQ613">
        <v>21.790141798558551</v>
      </c>
      <c r="AR613">
        <v>3.0870533532914073</v>
      </c>
      <c r="AS613">
        <v>14.117712926268815</v>
      </c>
      <c r="AT613">
        <v>2.125458213921565</v>
      </c>
      <c r="AU613">
        <v>3.8776427004409855</v>
      </c>
      <c r="AV613"/>
      <c r="AW613"/>
      <c r="FY613" s="210">
        <v>608</v>
      </c>
      <c r="FZ613">
        <v>1.041919781634064</v>
      </c>
      <c r="GA613">
        <v>1.8683522284758627</v>
      </c>
      <c r="GB613">
        <v>1.3194335830792732</v>
      </c>
      <c r="GC613">
        <v>0.68632581007221338</v>
      </c>
      <c r="GD613">
        <v>2.2190843410835939</v>
      </c>
      <c r="GE613">
        <v>5.2899352900063326</v>
      </c>
      <c r="GF613">
        <v>7.3814336961241782</v>
      </c>
      <c r="GG613">
        <v>6.889970063992374</v>
      </c>
      <c r="GH613">
        <v>3.5152558925155244</v>
      </c>
      <c r="GI613">
        <v>3.7219773503206368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25.305607918972282</v>
      </c>
      <c r="AO614">
        <v>5.2732784647746715</v>
      </c>
      <c r="AP614">
        <v>40.500402391771431</v>
      </c>
      <c r="AQ614">
        <v>33.733912631683324</v>
      </c>
      <c r="AR614">
        <v>4.8902198633092215</v>
      </c>
      <c r="AS614">
        <v>22.459982406463077</v>
      </c>
      <c r="AT614">
        <v>3.3251134888520557</v>
      </c>
      <c r="AU614">
        <v>-4.5313182912072252</v>
      </c>
      <c r="AV614"/>
      <c r="AW614"/>
      <c r="FY614" s="210">
        <v>609</v>
      </c>
      <c r="FZ614">
        <v>1.5915338577704032</v>
      </c>
      <c r="GA614">
        <v>1.4151337465841392</v>
      </c>
      <c r="GB614">
        <v>0.87214008806466725</v>
      </c>
      <c r="GC614">
        <v>0.72092701153557837</v>
      </c>
      <c r="GD614">
        <v>2.4392854700360154</v>
      </c>
      <c r="GE614">
        <v>5.6152245494562383</v>
      </c>
      <c r="GF614">
        <v>7.8418014260452136</v>
      </c>
      <c r="GG614">
        <v>8.1589221812537733</v>
      </c>
      <c r="GH614">
        <v>5.6719761489951868</v>
      </c>
      <c r="GI614">
        <v>4.2568679622762611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33.252832527355366</v>
      </c>
      <c r="AO615">
        <v>6.7636965589632982</v>
      </c>
      <c r="AP615">
        <v>48.039832612431866</v>
      </c>
      <c r="AQ615">
        <v>41.966300105981404</v>
      </c>
      <c r="AR615">
        <v>6.3113951043930507</v>
      </c>
      <c r="AS615">
        <v>31.45547223462982</v>
      </c>
      <c r="AT615">
        <v>3.8167056494543208</v>
      </c>
      <c r="AU615">
        <v>1.0421371849575589</v>
      </c>
      <c r="AV615"/>
      <c r="AW615"/>
      <c r="FY615" s="210">
        <v>610</v>
      </c>
      <c r="FZ615">
        <v>0.97411188585294251</v>
      </c>
      <c r="GA615">
        <v>1.2740137813129162</v>
      </c>
      <c r="GB615">
        <v>1.2895549405036066</v>
      </c>
      <c r="GC615">
        <v>1.0541084426046559</v>
      </c>
      <c r="GD615">
        <v>2.655037374841132</v>
      </c>
      <c r="GE615">
        <v>6.3038977588099252</v>
      </c>
      <c r="GF615">
        <v>7.78841994839979</v>
      </c>
      <c r="GG615">
        <v>8.9342367863555232</v>
      </c>
      <c r="GH615">
        <v>7.8774273801424481</v>
      </c>
      <c r="GI615">
        <v>4.729404514855573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21.932978105772225</v>
      </c>
      <c r="AO616">
        <v>3.8932426587352778</v>
      </c>
      <c r="AP616">
        <v>28.558416310115366</v>
      </c>
      <c r="AQ616">
        <v>24.469616618313008</v>
      </c>
      <c r="AR616">
        <v>3.7118892549239337</v>
      </c>
      <c r="AS616">
        <v>18.203113252030466</v>
      </c>
      <c r="AT616">
        <v>2.399766640832862</v>
      </c>
      <c r="AU616">
        <v>-3.2614326474906896</v>
      </c>
      <c r="AV616"/>
      <c r="AW616"/>
      <c r="FY616" s="210">
        <v>611</v>
      </c>
      <c r="FZ616">
        <v>1.0684910361614</v>
      </c>
      <c r="GA616">
        <v>2.0513534165958425</v>
      </c>
      <c r="GB616">
        <v>1.5755672343199583</v>
      </c>
      <c r="GC616">
        <v>0.96515818978877721</v>
      </c>
      <c r="GD616">
        <v>1.7130695846155326</v>
      </c>
      <c r="GE616">
        <v>5.6203759477225024</v>
      </c>
      <c r="GF616">
        <v>9.1194742536276614</v>
      </c>
      <c r="GG616">
        <v>5.4786671099814042</v>
      </c>
      <c r="GH616">
        <v>2.0628923563691477</v>
      </c>
      <c r="GI616">
        <v>3.5884419382276356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35.328761678339276</v>
      </c>
      <c r="AO617">
        <v>6.0987322317066122</v>
      </c>
      <c r="AP617">
        <v>44.388984334888868</v>
      </c>
      <c r="AQ617">
        <v>38.291081409070713</v>
      </c>
      <c r="AR617">
        <v>5.6662735697743241</v>
      </c>
      <c r="AS617">
        <v>27.890755654459479</v>
      </c>
      <c r="AT617">
        <v>3.659863271297358</v>
      </c>
      <c r="AU617">
        <v>7.3357442866487954</v>
      </c>
      <c r="AV617"/>
      <c r="AW617"/>
      <c r="FY617" s="210">
        <v>612</v>
      </c>
      <c r="FZ617">
        <v>1.4617018530752062</v>
      </c>
      <c r="GA617">
        <v>3.921480428794311</v>
      </c>
      <c r="GB617">
        <v>2.6470489158810153</v>
      </c>
      <c r="GC617">
        <v>1.020255526326723</v>
      </c>
      <c r="GD617">
        <v>1.1480160170091271</v>
      </c>
      <c r="GE617">
        <v>2.5719991458802451</v>
      </c>
      <c r="GF617">
        <v>7.1703967532581956</v>
      </c>
      <c r="GG617">
        <v>8.4160000960386441</v>
      </c>
      <c r="GH617">
        <v>4.8994526874607134</v>
      </c>
      <c r="GI617">
        <v>3.670060799893009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19.954426981853842</v>
      </c>
      <c r="AO618">
        <v>5.1203602302235476</v>
      </c>
      <c r="AP618">
        <v>35.710661776332032</v>
      </c>
      <c r="AQ618">
        <v>31.348047856328623</v>
      </c>
      <c r="AR618">
        <v>4.7953916088042066</v>
      </c>
      <c r="AS618">
        <v>22.95720408646325</v>
      </c>
      <c r="AT618">
        <v>3.419888368558432</v>
      </c>
      <c r="AU618">
        <v>3.8295925575449505</v>
      </c>
      <c r="AV618"/>
      <c r="AW618"/>
      <c r="FY618" s="210">
        <v>613</v>
      </c>
      <c r="FZ618">
        <v>1.365465301352641</v>
      </c>
      <c r="GA618">
        <v>1.3522295579630526</v>
      </c>
      <c r="GB618">
        <v>0.53560031701375532</v>
      </c>
      <c r="GC618">
        <v>0.50575208651416326</v>
      </c>
      <c r="GD618">
        <v>1.7172444783122152</v>
      </c>
      <c r="GE618">
        <v>3.4619149651888765</v>
      </c>
      <c r="GF618">
        <v>5.5081132334816889</v>
      </c>
      <c r="GG618">
        <v>7.604015073060415</v>
      </c>
      <c r="GH618">
        <v>6.1659604721133672</v>
      </c>
      <c r="GI618">
        <v>3.3663956822699288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24.499982036140516</v>
      </c>
      <c r="AO619">
        <v>5.7124398172840483</v>
      </c>
      <c r="AP619">
        <v>42.387270522057086</v>
      </c>
      <c r="AQ619">
        <v>36.128784409327537</v>
      </c>
      <c r="AR619">
        <v>5.3414913567728242</v>
      </c>
      <c r="AS619">
        <v>25.713779229454534</v>
      </c>
      <c r="AT619">
        <v>3.4180115272739706</v>
      </c>
      <c r="AU619">
        <v>1.1941408400402931</v>
      </c>
      <c r="AV619"/>
      <c r="AW619"/>
      <c r="FY619" s="210">
        <v>614</v>
      </c>
      <c r="FZ619">
        <v>0.72056995739638974</v>
      </c>
      <c r="GA619">
        <v>2.4684892480286331</v>
      </c>
      <c r="GB619">
        <v>1.4104857453259649</v>
      </c>
      <c r="GC619">
        <v>0.63187487402515075</v>
      </c>
      <c r="GD619">
        <v>2.1045303168079723</v>
      </c>
      <c r="GE619">
        <v>5.7584276182770742</v>
      </c>
      <c r="GF619">
        <v>9.6948756719413556</v>
      </c>
      <c r="GG619">
        <v>6.3853674260413769</v>
      </c>
      <c r="GH619">
        <v>1.5532091145378477</v>
      </c>
      <c r="GI619">
        <v>3.7582573397774146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25.137788138873482</v>
      </c>
      <c r="AO620">
        <v>5.1588331509833942</v>
      </c>
      <c r="AP620">
        <v>40.114459862083997</v>
      </c>
      <c r="AQ620">
        <v>33.313071240029736</v>
      </c>
      <c r="AR620">
        <v>4.8922529409360545</v>
      </c>
      <c r="AS620">
        <v>21.908643987607</v>
      </c>
      <c r="AT620">
        <v>3.0438328354541171</v>
      </c>
      <c r="AU620">
        <v>2.0844757030277012</v>
      </c>
      <c r="AV620"/>
      <c r="AW620"/>
      <c r="FY620" s="210">
        <v>615</v>
      </c>
      <c r="FZ620">
        <v>0.85062749146945027</v>
      </c>
      <c r="GA620">
        <v>2.7482360512772139</v>
      </c>
      <c r="GB620">
        <v>1.8815800394675009</v>
      </c>
      <c r="GC620">
        <v>0.88070152606895213</v>
      </c>
      <c r="GD620">
        <v>1.2010223845215959</v>
      </c>
      <c r="GE620">
        <v>2.7925421868936517</v>
      </c>
      <c r="GF620">
        <v>7.2205434307686449</v>
      </c>
      <c r="GG620">
        <v>7.0005574472957974</v>
      </c>
      <c r="GH620">
        <v>3.0378174501281938</v>
      </c>
      <c r="GI620">
        <v>3.1331706475872689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24.345695970695974</v>
      </c>
      <c r="AO621">
        <v>4.9852489585166158</v>
      </c>
      <c r="AP621">
        <v>40.72603689432303</v>
      </c>
      <c r="AQ621">
        <v>32.750118625661614</v>
      </c>
      <c r="AR621">
        <v>4.680483619072251</v>
      </c>
      <c r="AS621">
        <v>22.835163645903339</v>
      </c>
      <c r="AT621">
        <v>3.1364119916254687</v>
      </c>
      <c r="AU621">
        <v>-4.6585104323654178</v>
      </c>
      <c r="AV621"/>
      <c r="AW621"/>
      <c r="FY621" s="210">
        <v>616</v>
      </c>
      <c r="FZ621">
        <v>1.2419809069691488</v>
      </c>
      <c r="GA621">
        <v>2.0252924629703606</v>
      </c>
      <c r="GB621">
        <v>1.1278781997974383</v>
      </c>
      <c r="GC621">
        <v>0.59480422402459077</v>
      </c>
      <c r="GD621">
        <v>2.2546938060029618</v>
      </c>
      <c r="GE621">
        <v>6.2538491339243159</v>
      </c>
      <c r="GF621">
        <v>9.2415956614686063</v>
      </c>
      <c r="GG621">
        <v>6.1507757827842227</v>
      </c>
      <c r="GH621">
        <v>3.0436009555188885</v>
      </c>
      <c r="GI621">
        <v>3.9972776859368708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21.762383203872563</v>
      </c>
      <c r="AO622">
        <v>4.2259933308623543</v>
      </c>
      <c r="AP622">
        <v>37.962278780584818</v>
      </c>
      <c r="AQ622">
        <v>29.064880639802887</v>
      </c>
      <c r="AR622">
        <v>3.9396641305681586</v>
      </c>
      <c r="AS622">
        <v>17.254378467620118</v>
      </c>
      <c r="AT622">
        <v>2.6234071842728661</v>
      </c>
      <c r="AU622">
        <v>-0.82977703263451963</v>
      </c>
      <c r="AV622"/>
      <c r="AW622"/>
      <c r="FY622" s="210">
        <v>617</v>
      </c>
      <c r="FZ622">
        <v>1.1447294730461977</v>
      </c>
      <c r="GA622">
        <v>2.9711716288254806</v>
      </c>
      <c r="GB622">
        <v>2.5158027419520286</v>
      </c>
      <c r="GC622">
        <v>1.0324760093083385</v>
      </c>
      <c r="GD622">
        <v>1.852302077316087</v>
      </c>
      <c r="GE622">
        <v>3.6879385783460221</v>
      </c>
      <c r="GF622">
        <v>3.2813547940873145</v>
      </c>
      <c r="GG622">
        <v>3.3543225306307702</v>
      </c>
      <c r="GH622">
        <v>2.4429449803387184</v>
      </c>
      <c r="GI622">
        <v>2.8808043449908651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23.217484280150508</v>
      </c>
      <c r="AO623">
        <v>4.8857680030736885</v>
      </c>
      <c r="AP623">
        <v>38.496165207647977</v>
      </c>
      <c r="AQ623">
        <v>31.99179140071762</v>
      </c>
      <c r="AR623">
        <v>4.4901651051238343</v>
      </c>
      <c r="AS623">
        <v>20.315788947454863</v>
      </c>
      <c r="AT623">
        <v>3.0013997672130497</v>
      </c>
      <c r="AU623">
        <v>-0.170307489561347</v>
      </c>
      <c r="AV623"/>
      <c r="AW623"/>
      <c r="FY623" s="210">
        <v>618</v>
      </c>
      <c r="FZ623">
        <v>0.7413574250566799</v>
      </c>
      <c r="GA623">
        <v>1.9171502378840521</v>
      </c>
      <c r="GB623">
        <v>2.0454283399412367</v>
      </c>
      <c r="GC623">
        <v>0.94165416401862057</v>
      </c>
      <c r="GD623">
        <v>0.9707816236688519</v>
      </c>
      <c r="GE623">
        <v>3.4406536781475214</v>
      </c>
      <c r="GF623">
        <v>7.0825278848521069</v>
      </c>
      <c r="GG623">
        <v>5.6400940480917967</v>
      </c>
      <c r="GH623">
        <v>3.7697124229567485</v>
      </c>
      <c r="GI623">
        <v>3.1005400337263738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26.792449610777204</v>
      </c>
      <c r="AO624">
        <v>5.5157525694965681</v>
      </c>
      <c r="AP624">
        <v>39.026865753236486</v>
      </c>
      <c r="AQ624">
        <v>33.933688037304051</v>
      </c>
      <c r="AR624">
        <v>5.1330941338811353</v>
      </c>
      <c r="AS624">
        <v>24.531215822819043</v>
      </c>
      <c r="AT624">
        <v>3.4200331021976109</v>
      </c>
      <c r="AU624">
        <v>11.702256093712514</v>
      </c>
      <c r="AV624"/>
      <c r="AW624"/>
      <c r="FY624" s="210">
        <v>619</v>
      </c>
      <c r="FZ624">
        <v>1.4331604324448308</v>
      </c>
      <c r="GA624">
        <v>1.9837655246587442</v>
      </c>
      <c r="GB624">
        <v>1.3348430349715232</v>
      </c>
      <c r="GC624">
        <v>0.91440179751886586</v>
      </c>
      <c r="GD624">
        <v>1.9080941148133039</v>
      </c>
      <c r="GE624">
        <v>4.425168578365307</v>
      </c>
      <c r="GF624">
        <v>4.8862604521097603</v>
      </c>
      <c r="GG624">
        <v>6.2360144623399094</v>
      </c>
      <c r="GH624">
        <v>5.7037357045757924</v>
      </c>
      <c r="GI624">
        <v>3.4799927638265351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30.644125465357082</v>
      </c>
      <c r="AO625">
        <v>6.1860648943348115</v>
      </c>
      <c r="AP625">
        <v>44.158633834915982</v>
      </c>
      <c r="AQ625">
        <v>38.583812442017475</v>
      </c>
      <c r="AR625">
        <v>5.8590834156423028</v>
      </c>
      <c r="AS625">
        <v>30.181374451151264</v>
      </c>
      <c r="AT625">
        <v>3.7587123711285595</v>
      </c>
      <c r="AU625">
        <v>-0.84142916064383177</v>
      </c>
      <c r="AV625"/>
      <c r="AW625"/>
      <c r="FY625" s="210">
        <v>620</v>
      </c>
      <c r="FZ625">
        <v>0.85686233709222326</v>
      </c>
      <c r="GA625">
        <v>1.2378068517306582</v>
      </c>
      <c r="GB625">
        <v>1.1900195903916226</v>
      </c>
      <c r="GC625">
        <v>0.92522759482416594</v>
      </c>
      <c r="GD625">
        <v>2.3986164468334907</v>
      </c>
      <c r="GE625">
        <v>5.7122457730482488</v>
      </c>
      <c r="GF625">
        <v>6.4829629736007819</v>
      </c>
      <c r="GG625">
        <v>7.0382180512952326</v>
      </c>
      <c r="GH625">
        <v>5.8543721405151974</v>
      </c>
      <c r="GI625">
        <v>3.9839949033583464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34.567179553559008</v>
      </c>
      <c r="AO626">
        <v>6.9302329395646494</v>
      </c>
      <c r="AP626">
        <v>49.403630186583371</v>
      </c>
      <c r="AQ626">
        <v>42.880212813678511</v>
      </c>
      <c r="AR626">
        <v>6.5168659293145028</v>
      </c>
      <c r="AS626">
        <v>30.753441005804124</v>
      </c>
      <c r="AT626">
        <v>4.4565418270720798</v>
      </c>
      <c r="AU626">
        <v>5.5029115165533851</v>
      </c>
      <c r="AV626"/>
      <c r="AW626"/>
      <c r="FY626" s="210">
        <v>621</v>
      </c>
      <c r="FZ626">
        <v>1.0690548596060589</v>
      </c>
      <c r="GA626">
        <v>3.1295192376648866</v>
      </c>
      <c r="GB626">
        <v>1.8417475091216968</v>
      </c>
      <c r="GC626">
        <v>0.68702251401114134</v>
      </c>
      <c r="GD626">
        <v>1.9108193446022663</v>
      </c>
      <c r="GE626">
        <v>3.8419801185021383</v>
      </c>
      <c r="GF626">
        <v>4.252452786122384</v>
      </c>
      <c r="GG626">
        <v>7.8893043717876408</v>
      </c>
      <c r="GH626">
        <v>7.858328406962837</v>
      </c>
      <c r="GI626">
        <v>3.7953272739076755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29.51187259091671</v>
      </c>
      <c r="AO627">
        <v>5.3664158710178995</v>
      </c>
      <c r="AP627">
        <v>38.779177638183725</v>
      </c>
      <c r="AQ627">
        <v>33.243491067409863</v>
      </c>
      <c r="AR627">
        <v>4.7991257753076138</v>
      </c>
      <c r="AS627">
        <v>22.878912538678307</v>
      </c>
      <c r="AT627" t="e">
        <v>#DIV/0!</v>
      </c>
      <c r="AU627" t="e">
        <v>#DIV/0!</v>
      </c>
      <c r="AV627"/>
      <c r="AW627"/>
      <c r="FY627" s="210">
        <v>622</v>
      </c>
      <c r="FZ627">
        <v>1.3156853543062481</v>
      </c>
      <c r="GA627">
        <v>2.6190630794253815</v>
      </c>
      <c r="GB627">
        <v>2.3423107510761687</v>
      </c>
      <c r="GC627">
        <v>1.0525269331475824</v>
      </c>
      <c r="GD627">
        <v>1.4730537851528471</v>
      </c>
      <c r="GE627">
        <v>3.4678453912724141</v>
      </c>
      <c r="GF627">
        <v>4.2757064369741888</v>
      </c>
      <c r="GG627">
        <v>5.3708119675826218</v>
      </c>
      <c r="GH627">
        <v>5.0404501485319662</v>
      </c>
      <c r="GI627">
        <v>3.2453999378971656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26.097285816035814</v>
      </c>
      <c r="AO628">
        <v>5.4431415285656817</v>
      </c>
      <c r="AP628">
        <v>46.137190727684462</v>
      </c>
      <c r="AQ628">
        <v>36.926412223617191</v>
      </c>
      <c r="AR628">
        <v>5.0985338447545683</v>
      </c>
      <c r="AS628">
        <v>26.766742294679158</v>
      </c>
      <c r="AT628">
        <v>3.3190880488208996</v>
      </c>
      <c r="AU628">
        <v>25.594369599906102</v>
      </c>
      <c r="AV628"/>
      <c r="AW628"/>
      <c r="FY628" s="210">
        <v>623</v>
      </c>
      <c r="FZ628">
        <v>1.2006315010264317</v>
      </c>
      <c r="GA628">
        <v>2.9247727775104351</v>
      </c>
      <c r="GB628">
        <v>2.1944349114087798</v>
      </c>
      <c r="GC628">
        <v>1.0661091284448669</v>
      </c>
      <c r="GD628">
        <v>1.5438514020755032</v>
      </c>
      <c r="GE628">
        <v>3.385177632739413</v>
      </c>
      <c r="GF628">
        <v>2.9494277462621477</v>
      </c>
      <c r="GG628">
        <v>2.293563785931263</v>
      </c>
      <c r="GH628">
        <v>2.2658686276106916</v>
      </c>
      <c r="GI628">
        <v>2.5423636687905318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21.663343515825133</v>
      </c>
      <c r="AO629">
        <v>4.8934997875387056</v>
      </c>
      <c r="AP629">
        <v>37.407106515007854</v>
      </c>
      <c r="AQ629">
        <v>31.582691167270102</v>
      </c>
      <c r="AR629">
        <v>4.7127722132929541</v>
      </c>
      <c r="AS629">
        <v>21.386901748685254</v>
      </c>
      <c r="AT629">
        <v>3.0458498896752118</v>
      </c>
      <c r="AU629">
        <v>3.1300064270982322</v>
      </c>
      <c r="AV629"/>
      <c r="AW629"/>
      <c r="FY629" s="210">
        <v>624</v>
      </c>
      <c r="FZ629">
        <v>0.99467382413536909</v>
      </c>
      <c r="GA629">
        <v>0.98347429119645513</v>
      </c>
      <c r="GB629">
        <v>0.64510870954306299</v>
      </c>
      <c r="GC629">
        <v>0.35440420662425604</v>
      </c>
      <c r="GD629">
        <v>1.076544674019966</v>
      </c>
      <c r="GE629">
        <v>2.9612751837230675</v>
      </c>
      <c r="GF629">
        <v>5.6606903845770047</v>
      </c>
      <c r="GG629">
        <v>3.5080717382184248</v>
      </c>
      <c r="GH629">
        <v>0.90599680944623417</v>
      </c>
      <c r="GI629">
        <v>2.1445992052727196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24.458345678014791</v>
      </c>
      <c r="AO630">
        <v>5.6058547344899932</v>
      </c>
      <c r="AP630">
        <v>40.153858992561283</v>
      </c>
      <c r="AQ630">
        <v>34.486087312159178</v>
      </c>
      <c r="AR630">
        <v>5.1001849892386009</v>
      </c>
      <c r="AS630">
        <v>25.135237194451612</v>
      </c>
      <c r="AT630">
        <v>3.5253112947806104</v>
      </c>
      <c r="AU630">
        <v>11.037833213406165</v>
      </c>
      <c r="AV630"/>
      <c r="AW630"/>
      <c r="FY630" s="210">
        <v>625</v>
      </c>
      <c r="FZ630">
        <v>0.65854584848231434</v>
      </c>
      <c r="GA630">
        <v>3.3261545496356111</v>
      </c>
      <c r="GB630">
        <v>1.6196670887866262</v>
      </c>
      <c r="GC630">
        <v>0.53519772732371029</v>
      </c>
      <c r="GD630">
        <v>2.0320223702089231</v>
      </c>
      <c r="GE630">
        <v>5.1972123226603113</v>
      </c>
      <c r="GF630">
        <v>7.2011289235113622</v>
      </c>
      <c r="GG630">
        <v>5.794384234126623</v>
      </c>
      <c r="GH630">
        <v>2.885670667392966</v>
      </c>
      <c r="GI630">
        <v>3.5302971938303682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19.194363260852619</v>
      </c>
      <c r="AO631">
        <v>4.6909574542058126</v>
      </c>
      <c r="AP631">
        <v>37.708725370232145</v>
      </c>
      <c r="AQ631">
        <v>30.746798655478273</v>
      </c>
      <c r="AR631">
        <v>4.3172125374830888</v>
      </c>
      <c r="AS631">
        <v>21.562126205339482</v>
      </c>
      <c r="AT631">
        <v>3.0619664644046671</v>
      </c>
      <c r="AU631">
        <v>3.9192667450599679</v>
      </c>
      <c r="AV631"/>
      <c r="AW631"/>
      <c r="FY631" s="210">
        <v>626</v>
      </c>
      <c r="FZ631">
        <v>1.4537223707272573</v>
      </c>
      <c r="GA631">
        <v>2.3668542726503596</v>
      </c>
      <c r="GB631">
        <v>1.730180480952753</v>
      </c>
      <c r="GC631">
        <v>0.88284615920821774</v>
      </c>
      <c r="GD631">
        <v>2.0065607626529705</v>
      </c>
      <c r="GE631">
        <v>4.4723172820859523</v>
      </c>
      <c r="GF631">
        <v>3.5521515894235098</v>
      </c>
      <c r="GG631">
        <v>2.7781847456508793</v>
      </c>
      <c r="GH631">
        <v>2.5783591035911426</v>
      </c>
      <c r="GI631">
        <v>2.8981451798794269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30.116639642081594</v>
      </c>
      <c r="AO632">
        <v>5.8084733656431151</v>
      </c>
      <c r="AP632">
        <v>41.234679099254564</v>
      </c>
      <c r="AQ632">
        <v>35.931748819397406</v>
      </c>
      <c r="AR632">
        <v>5.4267073570403168</v>
      </c>
      <c r="AS632">
        <v>26.76860074358386</v>
      </c>
      <c r="AT632">
        <v>3.7200617160339498</v>
      </c>
      <c r="AU632">
        <v>9.0171251809538369</v>
      </c>
      <c r="AV632"/>
      <c r="AW632"/>
      <c r="FY632" s="210">
        <v>627</v>
      </c>
      <c r="FZ632">
        <v>1.3241158954099239</v>
      </c>
      <c r="GA632">
        <v>2.9698038843471153</v>
      </c>
      <c r="GB632">
        <v>2.2613470903673036</v>
      </c>
      <c r="GC632">
        <v>1.1963847586446719</v>
      </c>
      <c r="GD632">
        <v>1.4389151652683694</v>
      </c>
      <c r="GE632">
        <v>3.2114898860550962</v>
      </c>
      <c r="GF632">
        <v>8.0311864460111977</v>
      </c>
      <c r="GG632">
        <v>7.7444003319671184</v>
      </c>
      <c r="GH632">
        <v>3.2455770493873182</v>
      </c>
      <c r="GI632">
        <v>3.6299829143000646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22.969757213782948</v>
      </c>
      <c r="AO633">
        <v>4.1749128310225707</v>
      </c>
      <c r="AP633">
        <v>28.907988754939048</v>
      </c>
      <c r="AQ633">
        <v>25.163847158841826</v>
      </c>
      <c r="AR633">
        <v>3.9997281600665202</v>
      </c>
      <c r="AS633">
        <v>18.717586365137656</v>
      </c>
      <c r="AT633">
        <v>2.7142930176732709</v>
      </c>
      <c r="AU633">
        <v>11.825088836155871</v>
      </c>
      <c r="AV633"/>
      <c r="AW633"/>
      <c r="FY633" s="210">
        <v>628</v>
      </c>
      <c r="FZ633">
        <v>1.0212450786627052</v>
      </c>
      <c r="GA633">
        <v>3.076954325685187</v>
      </c>
      <c r="GB633">
        <v>2.4150471779938916</v>
      </c>
      <c r="GC633">
        <v>0.85665298450246119</v>
      </c>
      <c r="GD633">
        <v>1.7177799503411526</v>
      </c>
      <c r="GE633">
        <v>4.0766415868137074</v>
      </c>
      <c r="GF633">
        <v>6.3140537289287995</v>
      </c>
      <c r="GG633">
        <v>6.9271361929947259</v>
      </c>
      <c r="GH633">
        <v>4.2585304479810286</v>
      </c>
      <c r="GI633">
        <v>3.608505402597026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20.850720996254474</v>
      </c>
      <c r="AO634">
        <v>4.5288422988176018</v>
      </c>
      <c r="AP634">
        <v>36.369156325846824</v>
      </c>
      <c r="AQ634">
        <v>29.649899858343989</v>
      </c>
      <c r="AR634">
        <v>4.2014581627700016</v>
      </c>
      <c r="AS634">
        <v>21.291545771811574</v>
      </c>
      <c r="AT634">
        <v>3.0031095130297807</v>
      </c>
      <c r="AU634">
        <v>5.2906096255907977</v>
      </c>
      <c r="AV634"/>
      <c r="AW634"/>
      <c r="FY634" s="210">
        <v>629</v>
      </c>
      <c r="FZ634">
        <v>1.4064764132285625</v>
      </c>
      <c r="GA634">
        <v>1.965281824345136</v>
      </c>
      <c r="GB634">
        <v>1.3881236722589749</v>
      </c>
      <c r="GC634">
        <v>0.74164294375156348</v>
      </c>
      <c r="GD634">
        <v>2.5025010816820572</v>
      </c>
      <c r="GE634">
        <v>4.9602988747643035</v>
      </c>
      <c r="GF634">
        <v>4.2875892362871566</v>
      </c>
      <c r="GG634">
        <v>3.2344773779988931</v>
      </c>
      <c r="GH634">
        <v>0.68301489750012823</v>
      </c>
      <c r="GI634">
        <v>2.9376703964969342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25.104048644030264</v>
      </c>
      <c r="AO635">
        <v>5.1299581271341603</v>
      </c>
      <c r="AP635">
        <v>37.085490460990087</v>
      </c>
      <c r="AQ635">
        <v>32.305436865624571</v>
      </c>
      <c r="AR635">
        <v>4.7812320270585866</v>
      </c>
      <c r="AS635">
        <v>24.807288514984162</v>
      </c>
      <c r="AT635">
        <v>3.2169219177866561</v>
      </c>
      <c r="AU635">
        <v>2.2680368017873538</v>
      </c>
      <c r="AV635"/>
      <c r="AW635"/>
      <c r="FY635" s="210">
        <v>630</v>
      </c>
      <c r="FZ635">
        <v>1.4479385838602115</v>
      </c>
      <c r="GA635">
        <v>1.3533187401527209</v>
      </c>
      <c r="GB635">
        <v>1.2179099135641511</v>
      </c>
      <c r="GC635">
        <v>0.87117028876593594</v>
      </c>
      <c r="GD635">
        <v>2.7823343944890024</v>
      </c>
      <c r="GE635">
        <v>6.3655929172560093</v>
      </c>
      <c r="GF635">
        <v>7.6855201631009784</v>
      </c>
      <c r="GG635">
        <v>11.353462666774586</v>
      </c>
      <c r="GH635">
        <v>9.3001164718637117</v>
      </c>
      <c r="GI635">
        <v>5.0744788359694848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28.115536663497</v>
      </c>
      <c r="AO636">
        <v>5.8799010715352154</v>
      </c>
      <c r="AP636">
        <v>40.438494529267494</v>
      </c>
      <c r="AQ636">
        <v>35.680326662689964</v>
      </c>
      <c r="AR636">
        <v>5.4837412772316725</v>
      </c>
      <c r="AS636">
        <v>25.551085305695818</v>
      </c>
      <c r="AT636">
        <v>3.3388556641932303</v>
      </c>
      <c r="AU636">
        <v>-1.6817361303698748</v>
      </c>
      <c r="AV636"/>
      <c r="AW636"/>
      <c r="FY636" s="210">
        <v>631</v>
      </c>
      <c r="FZ636">
        <v>1.4822637913576329</v>
      </c>
      <c r="GA636">
        <v>2.233376024705275</v>
      </c>
      <c r="GB636">
        <v>1.9209627592852334</v>
      </c>
      <c r="GC636">
        <v>0.92858184887950601</v>
      </c>
      <c r="GD636">
        <v>1.1397654357701434</v>
      </c>
      <c r="GE636">
        <v>2.9195151893602134</v>
      </c>
      <c r="GF636">
        <v>4.6147640660931533</v>
      </c>
      <c r="GG636">
        <v>6.7250431297362665</v>
      </c>
      <c r="GH636">
        <v>6.9396710151156089</v>
      </c>
      <c r="GI636">
        <v>3.3366434072674709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26.450882943989559</v>
      </c>
      <c r="AO637">
        <v>5.5810441753984632</v>
      </c>
      <c r="AP637">
        <v>43.274388679569967</v>
      </c>
      <c r="AQ637">
        <v>36.275556422288723</v>
      </c>
      <c r="AR637">
        <v>5.3112299083324448</v>
      </c>
      <c r="AS637">
        <v>23.119227670415817</v>
      </c>
      <c r="AT637">
        <v>3.2018600767259495</v>
      </c>
      <c r="AU637">
        <v>32.402950988028664</v>
      </c>
      <c r="AV637"/>
      <c r="AW637"/>
      <c r="FY637" s="210">
        <v>632</v>
      </c>
      <c r="FZ637">
        <v>0.8236051781863869</v>
      </c>
      <c r="GA637">
        <v>3.1783697011474019</v>
      </c>
      <c r="GB637">
        <v>2.1816548997467744</v>
      </c>
      <c r="GC637">
        <v>0.79253419407666981</v>
      </c>
      <c r="GD637">
        <v>1.4360654541986735</v>
      </c>
      <c r="GE637">
        <v>3.4202242874847641</v>
      </c>
      <c r="GF637">
        <v>5.9376661806136504</v>
      </c>
      <c r="GG637">
        <v>6.1743414213371484</v>
      </c>
      <c r="GH637">
        <v>5.1436194723404194</v>
      </c>
      <c r="GI637">
        <v>3.4396324626405903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21.916450073619188</v>
      </c>
      <c r="AO638">
        <v>4.72653983025541</v>
      </c>
      <c r="AP638">
        <v>36.060697817090556</v>
      </c>
      <c r="AQ638">
        <v>30.202853785366585</v>
      </c>
      <c r="AR638">
        <v>4.4807155054571286</v>
      </c>
      <c r="AS638">
        <v>21.668640914801944</v>
      </c>
      <c r="AT638">
        <v>3.1403503579287357</v>
      </c>
      <c r="AU638">
        <v>6.2536570708285097</v>
      </c>
      <c r="AV638"/>
      <c r="AW638"/>
      <c r="FY638" s="210">
        <v>633</v>
      </c>
      <c r="FZ638">
        <v>1.2209679099309951</v>
      </c>
      <c r="GA638">
        <v>2.9951688309419029</v>
      </c>
      <c r="GB638">
        <v>1.7983831899939287</v>
      </c>
      <c r="GC638">
        <v>0.64593387937695956</v>
      </c>
      <c r="GD638">
        <v>1.4622229098486088</v>
      </c>
      <c r="GE638">
        <v>3.7872166574544357</v>
      </c>
      <c r="GF638">
        <v>5.9384166250508628</v>
      </c>
      <c r="GG638">
        <v>4.5092540977642699</v>
      </c>
      <c r="GH638">
        <v>3.571923701731059</v>
      </c>
      <c r="GI638">
        <v>3.1823568335096994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22.309928744524719</v>
      </c>
      <c r="AO639">
        <v>3.6906834386993572</v>
      </c>
      <c r="AP639">
        <v>25.495850741276989</v>
      </c>
      <c r="AQ639">
        <v>22.366201181800061</v>
      </c>
      <c r="AR639">
        <v>3.4787194295912895</v>
      </c>
      <c r="AS639">
        <v>17.357786873302672</v>
      </c>
      <c r="AT639">
        <v>2.2183482538308152</v>
      </c>
      <c r="AU639">
        <v>1.2353420369195074</v>
      </c>
      <c r="AV639"/>
      <c r="AW639"/>
      <c r="FY639" s="210">
        <v>634</v>
      </c>
      <c r="FZ639">
        <v>1.447713054482348</v>
      </c>
      <c r="GA639">
        <v>1.9886452186553685</v>
      </c>
      <c r="GB639">
        <v>2.025608522819589</v>
      </c>
      <c r="GC639">
        <v>1.4762054908514477</v>
      </c>
      <c r="GD639">
        <v>1.6661027302384279</v>
      </c>
      <c r="GE639">
        <v>3.6645477773811006</v>
      </c>
      <c r="GF639">
        <v>7.1486320260453802</v>
      </c>
      <c r="GG639">
        <v>8.6823579221982712</v>
      </c>
      <c r="GH639">
        <v>7.2915133639745919</v>
      </c>
      <c r="GI639">
        <v>4.1908896988510875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15.422876602564102</v>
      </c>
      <c r="AO640">
        <v>3.0711873463515156</v>
      </c>
      <c r="AP640">
        <v>22.536759618523888</v>
      </c>
      <c r="AQ640">
        <v>19.234839026756561</v>
      </c>
      <c r="AR640">
        <v>2.9229641974935836</v>
      </c>
      <c r="AS640">
        <v>13.082182427098145</v>
      </c>
      <c r="AT640">
        <v>2.0893234198465009</v>
      </c>
      <c r="AU640">
        <v>5.0892661134415498</v>
      </c>
      <c r="AV640"/>
      <c r="AW640"/>
      <c r="FY640" s="210">
        <v>635</v>
      </c>
      <c r="FZ640">
        <v>1.0153485271067277</v>
      </c>
      <c r="GA640">
        <v>2.3271623531288683</v>
      </c>
      <c r="GB640">
        <v>1.6411919537380673</v>
      </c>
      <c r="GC640">
        <v>0.64043802900133051</v>
      </c>
      <c r="GD640">
        <v>2.4284373893901883</v>
      </c>
      <c r="GE640">
        <v>4.9684646129116405</v>
      </c>
      <c r="GF640">
        <v>5.2217266140466574</v>
      </c>
      <c r="GG640">
        <v>6.6784772999889874</v>
      </c>
      <c r="GH640">
        <v>4.7359688903683583</v>
      </c>
      <c r="GI640">
        <v>3.7165833712705059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19.997929818408537</v>
      </c>
      <c r="AO641">
        <v>5.3063684665743409</v>
      </c>
      <c r="AP641">
        <v>38.376829322244035</v>
      </c>
      <c r="AQ641">
        <v>32.78028092595882</v>
      </c>
      <c r="AR641">
        <v>4.8385004513214138</v>
      </c>
      <c r="AS641">
        <v>19.809127219976869</v>
      </c>
      <c r="AT641">
        <v>3.5856217873482712</v>
      </c>
      <c r="AU641">
        <v>5.3212011190358499</v>
      </c>
      <c r="AV641"/>
      <c r="AW641"/>
      <c r="FY641" s="210">
        <v>636</v>
      </c>
      <c r="FZ641">
        <v>1.1923137246116877</v>
      </c>
      <c r="GA641">
        <v>2.973514982500721</v>
      </c>
      <c r="GB641">
        <v>2.3006761564696321</v>
      </c>
      <c r="GC641">
        <v>0.78840005601670982</v>
      </c>
      <c r="GD641">
        <v>1.2748731574548695</v>
      </c>
      <c r="GE641">
        <v>3.0518806458657397</v>
      </c>
      <c r="GF641">
        <v>3.2903374466834321</v>
      </c>
      <c r="GG641">
        <v>3.4317957562657906</v>
      </c>
      <c r="GH641">
        <v>3.6056240326523268</v>
      </c>
      <c r="GI641">
        <v>2.6876599137995405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22.407195856497719</v>
      </c>
      <c r="AO642">
        <v>4.162563075316446</v>
      </c>
      <c r="AP642">
        <v>27.091288709346923</v>
      </c>
      <c r="AQ642">
        <v>24.719321946822472</v>
      </c>
      <c r="AR642">
        <v>3.9711001298707331</v>
      </c>
      <c r="AS642">
        <v>20.861950083422705</v>
      </c>
      <c r="AT642">
        <v>2.7341084054522544</v>
      </c>
      <c r="AU642">
        <v>-0.20718294647117141</v>
      </c>
      <c r="AV642"/>
      <c r="AW642"/>
      <c r="FY642" s="210">
        <v>637</v>
      </c>
      <c r="FZ642">
        <v>1.1530472494609418</v>
      </c>
      <c r="GA642">
        <v>2.319293333790609</v>
      </c>
      <c r="GB642">
        <v>1.2782618683277822</v>
      </c>
      <c r="GC642">
        <v>0.7074467009328429</v>
      </c>
      <c r="GD642">
        <v>1.5537062586728845</v>
      </c>
      <c r="GE642">
        <v>3.822836131991918</v>
      </c>
      <c r="GF642">
        <v>4.457912883857241</v>
      </c>
      <c r="GG642">
        <v>6.1343924702726556</v>
      </c>
      <c r="GH642">
        <v>7.0185701774618554</v>
      </c>
      <c r="GI642">
        <v>3.350587163828215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21.295571326821324</v>
      </c>
      <c r="AO643">
        <v>5.4205786968215675</v>
      </c>
      <c r="AP643">
        <v>42.92832500523491</v>
      </c>
      <c r="AQ643">
        <v>35.053203421758177</v>
      </c>
      <c r="AR643">
        <v>5.0094356023558362</v>
      </c>
      <c r="AS643">
        <v>24.206299277314809</v>
      </c>
      <c r="AT643" t="e">
        <v>#DIV/0!</v>
      </c>
      <c r="AU643" t="e">
        <v>#DIV/0!</v>
      </c>
      <c r="AV643"/>
      <c r="AW643"/>
      <c r="FY643" s="210">
        <v>638</v>
      </c>
      <c r="FZ643">
        <v>1.5708591547990447</v>
      </c>
      <c r="GA643">
        <v>4.3450978230509918</v>
      </c>
      <c r="GB643">
        <v>2.023054768991166</v>
      </c>
      <c r="GC643">
        <v>0.5737666099726525</v>
      </c>
      <c r="GD643">
        <v>1.9533096840888249</v>
      </c>
      <c r="GE643">
        <v>4.9880275648077044</v>
      </c>
      <c r="GF643">
        <v>7.6073731965945619</v>
      </c>
      <c r="GG643">
        <v>7.9233388622897625</v>
      </c>
      <c r="GH643">
        <v>5.636182194423899</v>
      </c>
      <c r="GI643">
        <v>4.199076739985605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28.827112907242359</v>
      </c>
      <c r="AO644">
        <v>5.3321434665786978</v>
      </c>
      <c r="AP644">
        <v>40.944860826559086</v>
      </c>
      <c r="AQ644">
        <v>34.272546876500684</v>
      </c>
      <c r="AR644">
        <v>4.9829091411099427</v>
      </c>
      <c r="AS644">
        <v>24.219852616352782</v>
      </c>
      <c r="AT644">
        <v>3.2615371569051885</v>
      </c>
      <c r="AU644">
        <v>6.4821450352818015</v>
      </c>
      <c r="AV644"/>
      <c r="AW644"/>
      <c r="FY644" s="210">
        <v>639</v>
      </c>
      <c r="FZ644">
        <v>0.59708556301289761</v>
      </c>
      <c r="GA644">
        <v>1.4862059681128934</v>
      </c>
      <c r="GB644">
        <v>1.8060611435885763</v>
      </c>
      <c r="GC644">
        <v>1.2383581020539993</v>
      </c>
      <c r="GD644">
        <v>1.8035846391238932</v>
      </c>
      <c r="GE644">
        <v>4.3435244837795093</v>
      </c>
      <c r="GF644">
        <v>3.5301321543904156</v>
      </c>
      <c r="GG644">
        <v>3.5684097139093121</v>
      </c>
      <c r="GH644">
        <v>3.9983798073027161</v>
      </c>
      <c r="GI644">
        <v>2.8821639718174383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25.351253321841554</v>
      </c>
      <c r="AO645">
        <v>4.2774554904549564</v>
      </c>
      <c r="AP645">
        <v>25.575806403400346</v>
      </c>
      <c r="AQ645">
        <v>24.10707671831371</v>
      </c>
      <c r="AR645">
        <v>4.0763522658553102</v>
      </c>
      <c r="AS645">
        <v>20.62866486207659</v>
      </c>
      <c r="AT645">
        <v>2.766263355462351</v>
      </c>
      <c r="AU645">
        <v>18.153819073946078</v>
      </c>
      <c r="AV645"/>
      <c r="AW645"/>
      <c r="FY645" s="210">
        <v>640</v>
      </c>
      <c r="FZ645">
        <v>0.76169383396124335</v>
      </c>
      <c r="GA645">
        <v>2.4704158173094526</v>
      </c>
      <c r="GB645">
        <v>1.4926936792676682</v>
      </c>
      <c r="GC645">
        <v>0.66584828288349041</v>
      </c>
      <c r="GD645">
        <v>2.2968728190660892</v>
      </c>
      <c r="GE645">
        <v>4.965293545422405</v>
      </c>
      <c r="GF645">
        <v>5.6874305029962207</v>
      </c>
      <c r="GG645">
        <v>5.9049716174300464</v>
      </c>
      <c r="GH645">
        <v>3.7173725876546104</v>
      </c>
      <c r="GI645">
        <v>3.4832239909728013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34.429751834016926</v>
      </c>
      <c r="AO646">
        <v>7.5498909972382693</v>
      </c>
      <c r="AP646">
        <v>54.871310126914963</v>
      </c>
      <c r="AQ646">
        <v>47.451842975796787</v>
      </c>
      <c r="AR646">
        <v>7.0508372952894165</v>
      </c>
      <c r="AS646">
        <v>32.420673132022841</v>
      </c>
      <c r="AT646">
        <v>4.1994966824680491</v>
      </c>
      <c r="AU646">
        <v>1.8746614993513926</v>
      </c>
      <c r="AV646"/>
      <c r="AW646"/>
      <c r="FY646" s="210">
        <v>641</v>
      </c>
      <c r="FZ646">
        <v>0.62388234691809741</v>
      </c>
      <c r="GA646">
        <v>2.0144011838633</v>
      </c>
      <c r="GB646">
        <v>1.6241717478841187</v>
      </c>
      <c r="GC646">
        <v>0.88424260390505016</v>
      </c>
      <c r="GD646">
        <v>1.1139590881124013</v>
      </c>
      <c r="GE646">
        <v>2.3867245790143219</v>
      </c>
      <c r="GF646">
        <v>6.5498670025532153</v>
      </c>
      <c r="GG646">
        <v>6.4517465386188846</v>
      </c>
      <c r="GH646">
        <v>3.4092014477503292</v>
      </c>
      <c r="GI646">
        <v>2.9306328335302556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20.613870879662102</v>
      </c>
      <c r="AO647">
        <v>4.827657384528945</v>
      </c>
      <c r="AP647">
        <v>39.267270606707243</v>
      </c>
      <c r="AQ647">
        <v>32.240586667570504</v>
      </c>
      <c r="AR647">
        <v>4.6205504399856059</v>
      </c>
      <c r="AS647">
        <v>21.021750990470601</v>
      </c>
      <c r="AT647">
        <v>3.0909569156774457</v>
      </c>
      <c r="AU647">
        <v>-4.2873176792528573</v>
      </c>
      <c r="AV647"/>
      <c r="AW647"/>
      <c r="FY647" s="210">
        <v>642</v>
      </c>
      <c r="FZ647">
        <v>0.32932930658562309</v>
      </c>
      <c r="GA647">
        <v>2.3854173866173185</v>
      </c>
      <c r="GB647">
        <v>1.4860963263591156</v>
      </c>
      <c r="GC647">
        <v>1.0565747575798745</v>
      </c>
      <c r="GD647">
        <v>1.4352606043063729</v>
      </c>
      <c r="GE647">
        <v>2.70254063776928</v>
      </c>
      <c r="GF647">
        <v>5.626325582827965</v>
      </c>
      <c r="GG647">
        <v>9.1268628854489542</v>
      </c>
      <c r="GH647">
        <v>8.1851729816905845</v>
      </c>
      <c r="GI647">
        <v>3.6011702251779258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22.17641671257519</v>
      </c>
      <c r="AO648">
        <v>4.9644248611302189</v>
      </c>
      <c r="AP648">
        <v>39.642138253032599</v>
      </c>
      <c r="AQ648">
        <v>32.527713251772475</v>
      </c>
      <c r="AR648">
        <v>4.7584241686988227</v>
      </c>
      <c r="AS648">
        <v>21.571308804698198</v>
      </c>
      <c r="AT648">
        <v>2.9806577236196325</v>
      </c>
      <c r="AU648">
        <v>-1.4795401064846583</v>
      </c>
      <c r="AV648"/>
      <c r="AW648"/>
      <c r="FY648" s="210">
        <v>643</v>
      </c>
      <c r="FZ648">
        <v>0.68545539707644587</v>
      </c>
      <c r="GA648">
        <v>1.7868452960212753</v>
      </c>
      <c r="GB648">
        <v>1.6193683893016939</v>
      </c>
      <c r="GC648">
        <v>0.66147564305326878</v>
      </c>
      <c r="GD648">
        <v>1.0567230700838173</v>
      </c>
      <c r="GE648">
        <v>3.9801576281109159</v>
      </c>
      <c r="GF648">
        <v>7.0122358296726937</v>
      </c>
      <c r="GG648">
        <v>4.9821480530039466</v>
      </c>
      <c r="GH648">
        <v>3.4092014477503292</v>
      </c>
      <c r="GI648">
        <v>2.9633990432345541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16.328859508547005</v>
      </c>
      <c r="AO649">
        <v>4.5365855138289035</v>
      </c>
      <c r="AP649">
        <v>35.04483522627433</v>
      </c>
      <c r="AQ649">
        <v>29.111844635602722</v>
      </c>
      <c r="AR649">
        <v>4.3826791472585587</v>
      </c>
      <c r="AS649">
        <v>19.90975764165978</v>
      </c>
      <c r="AT649">
        <v>3.1843695835904522</v>
      </c>
      <c r="AU649">
        <v>6.6452525041734845</v>
      </c>
      <c r="AV649"/>
      <c r="AW649"/>
      <c r="FY649" s="210">
        <v>644</v>
      </c>
      <c r="FZ649">
        <v>1.0360232300780863</v>
      </c>
      <c r="GA649">
        <v>2.2822726263526456</v>
      </c>
      <c r="GB649">
        <v>1.2101405602356858</v>
      </c>
      <c r="GC649">
        <v>0.52947894624470082</v>
      </c>
      <c r="GD649">
        <v>2.0021651827724067</v>
      </c>
      <c r="GE649">
        <v>4.0144916984958607</v>
      </c>
      <c r="GF649">
        <v>3.6062670543500568</v>
      </c>
      <c r="GG649">
        <v>3.6230126211800417</v>
      </c>
      <c r="GH649">
        <v>3.0614916562155607</v>
      </c>
      <c r="GI649">
        <v>2.7828560845952941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30.83865275288148</v>
      </c>
      <c r="AO650">
        <v>6.107585879826777</v>
      </c>
      <c r="AP650">
        <v>47.671652462880765</v>
      </c>
      <c r="AQ650">
        <v>39.582215805497611</v>
      </c>
      <c r="AR650">
        <v>5.7819538838514424</v>
      </c>
      <c r="AS650">
        <v>26.294067956729329</v>
      </c>
      <c r="AT650">
        <v>3.6868477015361663</v>
      </c>
      <c r="AU650">
        <v>-0.56644781039306236</v>
      </c>
      <c r="AV650"/>
      <c r="AW650"/>
      <c r="FY650" s="210">
        <v>645</v>
      </c>
      <c r="FZ650">
        <v>1.0764705185093491</v>
      </c>
      <c r="GA650">
        <v>2.3063019101598128</v>
      </c>
      <c r="GB650">
        <v>1.6556450603165334</v>
      </c>
      <c r="GC650">
        <v>1.0383468817869426</v>
      </c>
      <c r="GD650">
        <v>2.0882330298734586</v>
      </c>
      <c r="GE650">
        <v>4.9233800581008875</v>
      </c>
      <c r="GF650">
        <v>5.2480000231898956</v>
      </c>
      <c r="GG650">
        <v>3.5749736325431631</v>
      </c>
      <c r="GH650">
        <v>2.5590128714171723</v>
      </c>
      <c r="GI650">
        <v>3.179889821175748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27.512810022626979</v>
      </c>
      <c r="AO651">
        <v>5.4460584762476696</v>
      </c>
      <c r="AP651">
        <v>38.012621535934699</v>
      </c>
      <c r="AQ651">
        <v>33.373799040951333</v>
      </c>
      <c r="AR651">
        <v>5.1906705284802044</v>
      </c>
      <c r="AS651">
        <v>25.977674338009184</v>
      </c>
      <c r="AT651">
        <v>3.1270064712049996</v>
      </c>
      <c r="AU651">
        <v>7.0730121322127459</v>
      </c>
      <c r="AV651"/>
      <c r="AW651"/>
      <c r="FY651" s="210">
        <v>646</v>
      </c>
      <c r="FZ651">
        <v>0.98012120209785181</v>
      </c>
      <c r="GA651">
        <v>1.9288349224632395</v>
      </c>
      <c r="GB651">
        <v>0.92362673102599113</v>
      </c>
      <c r="GC651">
        <v>0.46415366846481076</v>
      </c>
      <c r="GD651">
        <v>1.8747560828076679</v>
      </c>
      <c r="GE651">
        <v>4.49059433225713</v>
      </c>
      <c r="GF651">
        <v>4.1095488260051143</v>
      </c>
      <c r="GG651">
        <v>3.8684922028824991</v>
      </c>
      <c r="GH651">
        <v>2.8519616986344714</v>
      </c>
      <c r="GI651">
        <v>2.7024106900531635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20.170588339559316</v>
      </c>
      <c r="AO652">
        <v>3.8397060733806376</v>
      </c>
      <c r="AP652">
        <v>29.341385583681859</v>
      </c>
      <c r="AQ652">
        <v>24.597075872320449</v>
      </c>
      <c r="AR652">
        <v>3.7098735489405978</v>
      </c>
      <c r="AS652">
        <v>16.89731731197319</v>
      </c>
      <c r="AT652">
        <v>2.3496618725405134</v>
      </c>
      <c r="AU652">
        <v>4.3656876083045635</v>
      </c>
      <c r="AV652"/>
      <c r="AW652"/>
      <c r="FY652" s="210">
        <v>647</v>
      </c>
      <c r="FZ652">
        <v>1.5568703562061863</v>
      </c>
      <c r="GA652">
        <v>1.4872951503025618</v>
      </c>
      <c r="GB652">
        <v>0.69109439896647085</v>
      </c>
      <c r="GC652">
        <v>0.82710242217938856</v>
      </c>
      <c r="GD652">
        <v>1.5967704207557689</v>
      </c>
      <c r="GE652">
        <v>2.5499380731120702</v>
      </c>
      <c r="GF652">
        <v>4.8145295449648682</v>
      </c>
      <c r="GG652">
        <v>5.5021709264047995</v>
      </c>
      <c r="GH652">
        <v>3.4300666645573488</v>
      </c>
      <c r="GI652">
        <v>2.7951864327983356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21.42866512796699</v>
      </c>
      <c r="AO653">
        <v>4.8700375003025282</v>
      </c>
      <c r="AP653">
        <v>37.288687035412657</v>
      </c>
      <c r="AQ653">
        <v>31.796054238596945</v>
      </c>
      <c r="AR653">
        <v>4.6146514022648599</v>
      </c>
      <c r="AS653">
        <v>22.425380536779237</v>
      </c>
      <c r="AT653">
        <v>2.9604626254801953</v>
      </c>
      <c r="AU653">
        <v>0.70161987265991321</v>
      </c>
      <c r="AV653"/>
      <c r="AW653"/>
      <c r="FY653" s="210">
        <v>648</v>
      </c>
      <c r="FZ653">
        <v>1.583667140111386</v>
      </c>
      <c r="GA653">
        <v>2.493536002468181</v>
      </c>
      <c r="GB653">
        <v>1.9981034661121422</v>
      </c>
      <c r="GC653">
        <v>1.0116768002836622</v>
      </c>
      <c r="GD653">
        <v>2.8456917817584975</v>
      </c>
      <c r="GE653">
        <v>5.7154391036047709</v>
      </c>
      <c r="GF653">
        <v>7.0095286523846498</v>
      </c>
      <c r="GG653">
        <v>10.258629062492764</v>
      </c>
      <c r="GH653">
        <v>7.5467400753646681</v>
      </c>
      <c r="GI653">
        <v>4.9107574302683545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31.699504072519165</v>
      </c>
      <c r="AO654">
        <v>6.1908168406350113</v>
      </c>
      <c r="AP654">
        <v>48.764581366384462</v>
      </c>
      <c r="AQ654">
        <v>40.82008659900422</v>
      </c>
      <c r="AR654">
        <v>5.7653363736301211</v>
      </c>
      <c r="AS654">
        <v>28.305463313473119</v>
      </c>
      <c r="AT654">
        <v>3.6824470607800386</v>
      </c>
      <c r="AU654">
        <v>4.5357297974635236</v>
      </c>
      <c r="AV654"/>
      <c r="AW654"/>
      <c r="FY654" s="210">
        <v>649</v>
      </c>
      <c r="FZ654">
        <v>0.80916532083780157</v>
      </c>
      <c r="GA654">
        <v>2.6144396111768899</v>
      </c>
      <c r="GB654">
        <v>1.5468041457621144</v>
      </c>
      <c r="GC654">
        <v>0.70758322126555595</v>
      </c>
      <c r="GD654">
        <v>2.4311213294712331</v>
      </c>
      <c r="GE654">
        <v>6.689840623140249</v>
      </c>
      <c r="GF654">
        <v>5.9157566999072229</v>
      </c>
      <c r="GG654">
        <v>3.8528575677104682</v>
      </c>
      <c r="GH654">
        <v>2.9217495590497409</v>
      </c>
      <c r="GI654">
        <v>3.481239943528621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22.355331547740029</v>
      </c>
      <c r="AO655">
        <v>4.2759515931797702</v>
      </c>
      <c r="AP655">
        <v>28.191263221790958</v>
      </c>
      <c r="AQ655">
        <v>25.253905547091648</v>
      </c>
      <c r="AR655">
        <v>3.9144105608283883</v>
      </c>
      <c r="AS655">
        <v>18.622735100641524</v>
      </c>
      <c r="AT655">
        <v>2.6017471896979321</v>
      </c>
      <c r="AU655">
        <v>3.1782408769393524</v>
      </c>
      <c r="AV655"/>
      <c r="AW655"/>
      <c r="FY655" s="210">
        <v>650</v>
      </c>
      <c r="FZ655">
        <v>1.124167534763771</v>
      </c>
      <c r="GA655">
        <v>2.4656208514667437</v>
      </c>
      <c r="GB655">
        <v>1.3031378278516441</v>
      </c>
      <c r="GC655">
        <v>0.52175039008162116</v>
      </c>
      <c r="GD655">
        <v>1.0435285821091795</v>
      </c>
      <c r="GE655">
        <v>4.1532201889249185</v>
      </c>
      <c r="GF655">
        <v>5.951318725789891</v>
      </c>
      <c r="GG655">
        <v>2.8829712930582549</v>
      </c>
      <c r="GH655">
        <v>3.0929662747106788</v>
      </c>
      <c r="GI655">
        <v>2.7037054361323243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27.848906507160969</v>
      </c>
      <c r="AO656">
        <v>5.1528702014730303</v>
      </c>
      <c r="AP656">
        <v>35.841552148436236</v>
      </c>
      <c r="AQ656">
        <v>31.445816676964029</v>
      </c>
      <c r="AR656">
        <v>4.823147448644769</v>
      </c>
      <c r="AS656">
        <v>23.035842258715597</v>
      </c>
      <c r="AT656">
        <v>3.1616460018616483</v>
      </c>
      <c r="AU656">
        <v>12.055660124233679</v>
      </c>
      <c r="AV656"/>
      <c r="AW656"/>
      <c r="FY656" s="210">
        <v>651</v>
      </c>
      <c r="FZ656">
        <v>0.7619193633391067</v>
      </c>
      <c r="GA656">
        <v>2.209248148658927</v>
      </c>
      <c r="GB656">
        <v>1.7552346814486752</v>
      </c>
      <c r="GC656">
        <v>1.0576478581632363</v>
      </c>
      <c r="GD656">
        <v>1.8396429450915255</v>
      </c>
      <c r="GE656">
        <v>3.3115996421188845</v>
      </c>
      <c r="GF656">
        <v>3.7268637023999993</v>
      </c>
      <c r="GG656">
        <v>3.6192348633180127</v>
      </c>
      <c r="GH656">
        <v>1.8713937007553869</v>
      </c>
      <c r="GI656">
        <v>2.6291621417619022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18.036408946648308</v>
      </c>
      <c r="AO657">
        <v>4.3152913419948362</v>
      </c>
      <c r="AP657">
        <v>34.756149037452978</v>
      </c>
      <c r="AQ657">
        <v>27.988829372149979</v>
      </c>
      <c r="AR657">
        <v>4.068532914387915</v>
      </c>
      <c r="AS657">
        <v>18.870195469123978</v>
      </c>
      <c r="AT657">
        <v>2.6741224978902327</v>
      </c>
      <c r="AU657">
        <v>-2.7135588207417891</v>
      </c>
      <c r="AV657"/>
      <c r="AW657"/>
      <c r="FY657" s="210">
        <v>652</v>
      </c>
      <c r="FZ657">
        <v>1.4063636485396311</v>
      </c>
      <c r="GA657">
        <v>2.0992582344949766</v>
      </c>
      <c r="GB657">
        <v>1.8541419800605272</v>
      </c>
      <c r="GC657">
        <v>0.82357995222914837</v>
      </c>
      <c r="GD657">
        <v>1.6909460263236287</v>
      </c>
      <c r="GE657">
        <v>5.6609202786869979</v>
      </c>
      <c r="GF657">
        <v>9.1177725156939591</v>
      </c>
      <c r="GG657">
        <v>8.70835803255369</v>
      </c>
      <c r="GH657">
        <v>7.1474306143747324</v>
      </c>
      <c r="GI657">
        <v>4.4977647899993309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25.556315127546746</v>
      </c>
      <c r="AO658">
        <v>5.3975864857243021</v>
      </c>
      <c r="AP658">
        <v>43.675343286381008</v>
      </c>
      <c r="AQ658">
        <v>35.934750694363011</v>
      </c>
      <c r="AR658">
        <v>4.9887268796558244</v>
      </c>
      <c r="AS658">
        <v>23.060141939592317</v>
      </c>
      <c r="AT658">
        <v>3.0962382503182102</v>
      </c>
      <c r="AU658">
        <v>-0.25525106953554022</v>
      </c>
      <c r="AV658"/>
      <c r="AW658"/>
      <c r="FY658" s="210">
        <v>653</v>
      </c>
      <c r="FZ658">
        <v>0.62399511160702914</v>
      </c>
      <c r="GA658">
        <v>2.3912779254142498</v>
      </c>
      <c r="GB658">
        <v>1.8488483262737256</v>
      </c>
      <c r="GC658">
        <v>0.81598967541929901</v>
      </c>
      <c r="GD658">
        <v>2.726016431816618</v>
      </c>
      <c r="GE658">
        <v>7.1193507713807396</v>
      </c>
      <c r="GF658">
        <v>6.0423274020118676</v>
      </c>
      <c r="GG658">
        <v>4.3502165736697833</v>
      </c>
      <c r="GH658">
        <v>4.1315682181289901</v>
      </c>
      <c r="GI658">
        <v>3.9287551027543355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23.214601617947597</v>
      </c>
      <c r="AO659">
        <v>4.3200800074164203</v>
      </c>
      <c r="AP659">
        <v>33.891855878161472</v>
      </c>
      <c r="AQ659">
        <v>28.157009797308941</v>
      </c>
      <c r="AR659">
        <v>3.9829996555958731</v>
      </c>
      <c r="AS659">
        <v>19.367321012935843</v>
      </c>
      <c r="AT659">
        <v>2.6653317846645126</v>
      </c>
      <c r="AU659">
        <v>3.7717031049906358</v>
      </c>
      <c r="AV659"/>
      <c r="AW659"/>
      <c r="FY659" s="210">
        <v>654</v>
      </c>
      <c r="FZ659">
        <v>1.1388329214902198</v>
      </c>
      <c r="GA659">
        <v>1.9974266080885139</v>
      </c>
      <c r="GB659">
        <v>2.1599152614827939</v>
      </c>
      <c r="GC659">
        <v>1.0895143063394512</v>
      </c>
      <c r="GD659">
        <v>2.1996791373483333</v>
      </c>
      <c r="GE659">
        <v>5.259000051047698</v>
      </c>
      <c r="GF659">
        <v>4.979050006377868</v>
      </c>
      <c r="GG659">
        <v>5.9431685074266269</v>
      </c>
      <c r="GH659">
        <v>5.034424135129596</v>
      </c>
      <c r="GI659">
        <v>3.7161976559226222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26.212132112574075</v>
      </c>
      <c r="AO660">
        <v>3.9745882893656317</v>
      </c>
      <c r="AP660">
        <v>26.757829203675232</v>
      </c>
      <c r="AQ660">
        <v>24.148199660520341</v>
      </c>
      <c r="AR660">
        <v>3.8531961323256745</v>
      </c>
      <c r="AS660">
        <v>20.640390100794178</v>
      </c>
      <c r="AT660">
        <v>2.363020852770394</v>
      </c>
      <c r="AU660">
        <v>8.6579879216477771</v>
      </c>
      <c r="AV660"/>
      <c r="AW660"/>
      <c r="FY660" s="210">
        <v>655</v>
      </c>
      <c r="FZ660">
        <v>1.2064152878934777</v>
      </c>
      <c r="GA660">
        <v>3.1583691741989077</v>
      </c>
      <c r="GB660">
        <v>2.1288029894900751</v>
      </c>
      <c r="GC660">
        <v>1.0984979910271566</v>
      </c>
      <c r="GD660">
        <v>2.104164625026562</v>
      </c>
      <c r="GE660">
        <v>4.7228113948185566</v>
      </c>
      <c r="GF660">
        <v>6.0584377739341191</v>
      </c>
      <c r="GG660">
        <v>6.5404439943724473</v>
      </c>
      <c r="GH660">
        <v>5.4435937017347058</v>
      </c>
      <c r="GI660">
        <v>3.9578739489485262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23.166354682898806</v>
      </c>
      <c r="AO661">
        <v>4.6455038515500444</v>
      </c>
      <c r="AP661">
        <v>30.752958087057969</v>
      </c>
      <c r="AQ661">
        <v>27.650253807072964</v>
      </c>
      <c r="AR661">
        <v>4.3238685418931704</v>
      </c>
      <c r="AS661">
        <v>22.122796774293494</v>
      </c>
      <c r="AT661">
        <v>2.9908400802106132</v>
      </c>
      <c r="AU661">
        <v>7.6535122770011252</v>
      </c>
      <c r="AV661"/>
      <c r="AW661"/>
      <c r="FY661" s="210">
        <v>656</v>
      </c>
      <c r="FZ661">
        <v>1.1527089553941465</v>
      </c>
      <c r="GA661">
        <v>3.5986001642538583</v>
      </c>
      <c r="GB661">
        <v>2.7126864544968416</v>
      </c>
      <c r="GC661">
        <v>1.1787516053531186</v>
      </c>
      <c r="GD661">
        <v>2.2352289679034576</v>
      </c>
      <c r="GE661">
        <v>4.6321670020879573</v>
      </c>
      <c r="GF661">
        <v>7.2852993873944296</v>
      </c>
      <c r="GG661">
        <v>7.9885688048335313</v>
      </c>
      <c r="GH661">
        <v>5.1971463891103262</v>
      </c>
      <c r="GI661">
        <v>4.3566252792921212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20.518413214644831</v>
      </c>
      <c r="AO662">
        <v>4.0138240683621191</v>
      </c>
      <c r="AP662">
        <v>26.692840961624825</v>
      </c>
      <c r="AQ662">
        <v>24.19450035669194</v>
      </c>
      <c r="AR662">
        <v>3.7008830163580031</v>
      </c>
      <c r="AS662">
        <v>17.254988961218295</v>
      </c>
      <c r="AT662">
        <v>2.5583260415672235</v>
      </c>
      <c r="AU662">
        <v>5.9557456266362223</v>
      </c>
      <c r="AV662"/>
      <c r="AW662"/>
      <c r="FY662" s="210">
        <v>657</v>
      </c>
      <c r="FZ662">
        <v>1.544062370893845</v>
      </c>
      <c r="GA662">
        <v>2.3122117450763344</v>
      </c>
      <c r="GB662">
        <v>0.89005236942750265</v>
      </c>
      <c r="GC662">
        <v>0.60763813413644319</v>
      </c>
      <c r="GD662">
        <v>1.217559354012888</v>
      </c>
      <c r="GE662">
        <v>2.7666019016530372</v>
      </c>
      <c r="GF662">
        <v>5.621800061388786</v>
      </c>
      <c r="GG662">
        <v>7.8932440684519785</v>
      </c>
      <c r="GH662">
        <v>7.4647130562099901</v>
      </c>
      <c r="GI662">
        <v>3.4031517627106087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20.536054138535754</v>
      </c>
      <c r="AO663">
        <v>4.0237253459038609</v>
      </c>
      <c r="AP663">
        <v>29.465545370682474</v>
      </c>
      <c r="AQ663">
        <v>25.2510243902478</v>
      </c>
      <c r="AR663">
        <v>3.9124247113374948</v>
      </c>
      <c r="AS663">
        <v>19.205380422471979</v>
      </c>
      <c r="AT663">
        <v>2.4836090628551708</v>
      </c>
      <c r="AU663">
        <v>15.24417935138276</v>
      </c>
      <c r="AV663"/>
      <c r="AW663"/>
      <c r="FY663" s="210">
        <v>658</v>
      </c>
      <c r="FZ663">
        <v>0.98787515506793722</v>
      </c>
      <c r="GA663">
        <v>3.0597825654320401</v>
      </c>
      <c r="GB663">
        <v>1.5638193522236929</v>
      </c>
      <c r="GC663">
        <v>0.63997669327068785</v>
      </c>
      <c r="GD663">
        <v>1.7407322678452821</v>
      </c>
      <c r="GE663">
        <v>4.3039511066065321</v>
      </c>
      <c r="GF663">
        <v>5.2266055306454371</v>
      </c>
      <c r="GG663">
        <v>3.6261615696893581</v>
      </c>
      <c r="GH663">
        <v>2.2118990352572441</v>
      </c>
      <c r="GI663">
        <v>2.8973530886020695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40.003983201300159</v>
      </c>
      <c r="AO664">
        <v>7.2344176345772855</v>
      </c>
      <c r="AP664">
        <v>52.450073774225892</v>
      </c>
      <c r="AQ664">
        <v>45.373769514849073</v>
      </c>
      <c r="AR664">
        <v>6.8499930612604363</v>
      </c>
      <c r="AS664">
        <v>32.651367285807957</v>
      </c>
      <c r="AT664">
        <v>4.0081697556557829</v>
      </c>
      <c r="AU664">
        <v>1.3818964903322448</v>
      </c>
      <c r="AV664"/>
      <c r="AW664"/>
      <c r="FY664" s="210">
        <v>659</v>
      </c>
      <c r="FZ664">
        <v>1.1180454538299296</v>
      </c>
      <c r="GA664">
        <v>1.7387894318086354</v>
      </c>
      <c r="GB664">
        <v>1.3226390068977185</v>
      </c>
      <c r="GC664">
        <v>0.63458272758960776</v>
      </c>
      <c r="GD664">
        <v>0.9564652856999849</v>
      </c>
      <c r="GE664">
        <v>2.164947780311878</v>
      </c>
      <c r="GF664">
        <v>7.2599733540207385</v>
      </c>
      <c r="GG664">
        <v>7.8080201448594497</v>
      </c>
      <c r="GH664">
        <v>3.5798348865570704</v>
      </c>
      <c r="GI664">
        <v>2.9919780928450748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30.026865572674787</v>
      </c>
      <c r="AO665">
        <v>5.1963083211748691</v>
      </c>
      <c r="AP665">
        <v>33.719335026749945</v>
      </c>
      <c r="AQ665">
        <v>30.970558021849897</v>
      </c>
      <c r="AR665">
        <v>4.6722849467768102</v>
      </c>
      <c r="AS665">
        <v>24.07746849513585</v>
      </c>
      <c r="AT665">
        <v>3.3585685956960152</v>
      </c>
      <c r="AU665">
        <v>13.492714671326135</v>
      </c>
      <c r="AV665"/>
      <c r="AW665"/>
      <c r="FY665" s="210">
        <v>660</v>
      </c>
      <c r="FZ665">
        <v>1.1037183611702759</v>
      </c>
      <c r="GA665">
        <v>2.410831629331696</v>
      </c>
      <c r="GB665">
        <v>1.6049474120445177</v>
      </c>
      <c r="GC665">
        <v>0.73039054309678453</v>
      </c>
      <c r="GD665">
        <v>1.9486515421322435</v>
      </c>
      <c r="GE665">
        <v>4.3461401186119346</v>
      </c>
      <c r="GF665">
        <v>5.6400298793136701</v>
      </c>
      <c r="GG665">
        <v>7.5221948043660438</v>
      </c>
      <c r="GH665">
        <v>5.4612207817037612</v>
      </c>
      <c r="GI665">
        <v>3.6460255090047462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21.446787673516397</v>
      </c>
      <c r="AO666">
        <v>3.8530044631545683</v>
      </c>
      <c r="AP666">
        <v>29.558400421602141</v>
      </c>
      <c r="AQ666">
        <v>25.24238710488903</v>
      </c>
      <c r="AR666">
        <v>3.5786569834030617</v>
      </c>
      <c r="AS666">
        <v>18.22819864375678</v>
      </c>
      <c r="AT666">
        <v>2.5605332781343537</v>
      </c>
      <c r="AU666">
        <v>-1.7335728081937067</v>
      </c>
      <c r="AV666"/>
      <c r="AW666"/>
      <c r="FY666" s="210">
        <v>661</v>
      </c>
      <c r="FZ666">
        <v>1.0359104653891544</v>
      </c>
      <c r="GA666">
        <v>4.0133079927546262</v>
      </c>
      <c r="GB666">
        <v>2.6155645464623141</v>
      </c>
      <c r="GC666">
        <v>0.98827162238907795</v>
      </c>
      <c r="GD666">
        <v>2.0566259764733834</v>
      </c>
      <c r="GE666">
        <v>3.8262522721658461</v>
      </c>
      <c r="GF666">
        <v>4.4648861924418464</v>
      </c>
      <c r="GG666">
        <v>7.3124694201100118</v>
      </c>
      <c r="GH666">
        <v>6.6515055159158898</v>
      </c>
      <c r="GI666">
        <v>3.9048184866386517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18.265918645827121</v>
      </c>
      <c r="AO667">
        <v>3.8819132091330504</v>
      </c>
      <c r="AP667">
        <v>25.796023856989411</v>
      </c>
      <c r="AQ667">
        <v>22.781947047055656</v>
      </c>
      <c r="AR667">
        <v>3.6469604378729121</v>
      </c>
      <c r="AS667">
        <v>18.202367222686501</v>
      </c>
      <c r="AT667">
        <v>2.535825698794445</v>
      </c>
      <c r="AU667">
        <v>5.4752532364203619</v>
      </c>
      <c r="AV667"/>
      <c r="AW667"/>
      <c r="FY667" s="210">
        <v>662</v>
      </c>
      <c r="FZ667">
        <v>1.6043418430827447</v>
      </c>
      <c r="GA667">
        <v>2.6752050652851813</v>
      </c>
      <c r="GB667">
        <v>1.9923550024049002</v>
      </c>
      <c r="GC667">
        <v>0.94267558661247874</v>
      </c>
      <c r="GD667">
        <v>1.6131824086989992</v>
      </c>
      <c r="GE667">
        <v>4.6560815665234649</v>
      </c>
      <c r="GF667">
        <v>6.3941150673412093</v>
      </c>
      <c r="GG667">
        <v>4.9370671222473623</v>
      </c>
      <c r="GH667">
        <v>3.2836053542219821</v>
      </c>
      <c r="GI667">
        <v>3.371597721316637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33.558278485061962</v>
      </c>
      <c r="AO668">
        <v>6.5682656737615535</v>
      </c>
      <c r="AP668">
        <v>51.467240820571234</v>
      </c>
      <c r="AQ668">
        <v>43.006536072956621</v>
      </c>
      <c r="AR668">
        <v>6.1121067531827729</v>
      </c>
      <c r="AS668">
        <v>28.721685774810776</v>
      </c>
      <c r="AT668">
        <v>3.9142793229326589</v>
      </c>
      <c r="AU668">
        <v>2.8832714579249235</v>
      </c>
      <c r="AV668"/>
      <c r="AW668"/>
      <c r="FY668" s="210">
        <v>663</v>
      </c>
      <c r="FZ668">
        <v>1.0704612022644393</v>
      </c>
      <c r="GA668">
        <v>2.2659211522535179</v>
      </c>
      <c r="GB668">
        <v>1.2886254508606507</v>
      </c>
      <c r="GC668">
        <v>0.77835414271602965</v>
      </c>
      <c r="GD668">
        <v>1.6612503751400332</v>
      </c>
      <c r="GE668">
        <v>3.4326067370759077</v>
      </c>
      <c r="GF668">
        <v>4.2296637825579335</v>
      </c>
      <c r="GG668">
        <v>6.5801405858599571</v>
      </c>
      <c r="GH668">
        <v>6.5265140155996102</v>
      </c>
      <c r="GI668">
        <v>3.2753004555505565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32.395382557460152</v>
      </c>
      <c r="AO669">
        <v>5.747016894927194</v>
      </c>
      <c r="AP669">
        <v>37.242626470115674</v>
      </c>
      <c r="AQ669">
        <v>33.978345538476638</v>
      </c>
      <c r="AR669">
        <v>5.32610667747677</v>
      </c>
      <c r="AS669">
        <v>26.112389232181044</v>
      </c>
      <c r="AT669">
        <v>3.4482045906374093</v>
      </c>
      <c r="AU669">
        <v>6.9535206726805914</v>
      </c>
      <c r="AV669"/>
      <c r="AW669"/>
      <c r="FY669" s="210">
        <v>664</v>
      </c>
      <c r="FZ669">
        <v>0.78871614724430639</v>
      </c>
      <c r="GA669">
        <v>2.1921749806449604</v>
      </c>
      <c r="GB669">
        <v>1.7466058228294075</v>
      </c>
      <c r="GC669">
        <v>0.84339247104113013</v>
      </c>
      <c r="GD669">
        <v>2.2992969354015034</v>
      </c>
      <c r="GE669">
        <v>6.0601294185104786</v>
      </c>
      <c r="GF669">
        <v>6.7356456328782208</v>
      </c>
      <c r="GG669">
        <v>4.6526870309953754</v>
      </c>
      <c r="GH669">
        <v>3.4800365769612069</v>
      </c>
      <c r="GI669">
        <v>3.7081031055769267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31.319413184782</v>
      </c>
      <c r="AO670">
        <v>5.4881120662870888</v>
      </c>
      <c r="AP670">
        <v>38.002933234859988</v>
      </c>
      <c r="AQ670">
        <v>33.517208590653723</v>
      </c>
      <c r="AR670">
        <v>5.1011840289535781</v>
      </c>
      <c r="AS670">
        <v>26.260108844174123</v>
      </c>
      <c r="AT670">
        <v>3.1828511287384469</v>
      </c>
      <c r="AU670">
        <v>-0.73577269883952323</v>
      </c>
      <c r="AV670"/>
      <c r="AW670"/>
      <c r="FY670" s="210">
        <v>665</v>
      </c>
      <c r="FZ670">
        <v>0.96753874616337399</v>
      </c>
      <c r="GA670">
        <v>2.3585914178055498</v>
      </c>
      <c r="GB670">
        <v>2.171773697960063</v>
      </c>
      <c r="GC670">
        <v>1.1140397547034659</v>
      </c>
      <c r="GD670">
        <v>2.1052726782259348</v>
      </c>
      <c r="GE670">
        <v>5.7419916269575779</v>
      </c>
      <c r="GF670">
        <v>6.0036932891460282</v>
      </c>
      <c r="GG670">
        <v>3.5349601154353163</v>
      </c>
      <c r="GH670">
        <v>4.1093368649982782</v>
      </c>
      <c r="GI670">
        <v>3.6778510801806044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21.864373473748472</v>
      </c>
      <c r="AO671">
        <v>5.8217671413597305</v>
      </c>
      <c r="AP671">
        <v>42.842428982303943</v>
      </c>
      <c r="AQ671">
        <v>36.419410881444534</v>
      </c>
      <c r="AR671">
        <v>5.4676697363202775</v>
      </c>
      <c r="AS671">
        <v>25.86434578941622</v>
      </c>
      <c r="AT671">
        <v>4.0337139200940602</v>
      </c>
      <c r="AU671">
        <v>17.963441027025151</v>
      </c>
      <c r="AV671"/>
      <c r="AW671"/>
      <c r="FY671" s="210">
        <v>666</v>
      </c>
      <c r="FZ671">
        <v>0.96776427554123767</v>
      </c>
      <c r="GA671">
        <v>2.1101923014233144</v>
      </c>
      <c r="GB671">
        <v>1.1593515122298528</v>
      </c>
      <c r="GC671">
        <v>0.58401315910045448</v>
      </c>
      <c r="GD671">
        <v>2.2063358400471262</v>
      </c>
      <c r="GE671">
        <v>6.6635153487820489</v>
      </c>
      <c r="GF671">
        <v>8.4413233833837769</v>
      </c>
      <c r="GG671">
        <v>7.5391654181311223</v>
      </c>
      <c r="GH671">
        <v>5.6513958692736539</v>
      </c>
      <c r="GI671">
        <v>4.1940172462966565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30.667893450228792</v>
      </c>
      <c r="AO672">
        <v>6.3921344970713081</v>
      </c>
      <c r="AP672">
        <v>48.203539806358414</v>
      </c>
      <c r="AQ672">
        <v>40.337783010119793</v>
      </c>
      <c r="AR672">
        <v>6.0650948642465297</v>
      </c>
      <c r="AS672">
        <v>28.01671670836966</v>
      </c>
      <c r="AT672">
        <v>3.6759323681080307</v>
      </c>
      <c r="AU672">
        <v>2.7723274597299614</v>
      </c>
      <c r="AV672"/>
      <c r="AW672"/>
      <c r="FY672" s="210">
        <v>667</v>
      </c>
      <c r="FZ672">
        <v>1.0974835155475027</v>
      </c>
      <c r="GA672">
        <v>2.6031027028365292</v>
      </c>
      <c r="GB672">
        <v>1.9381389089359888</v>
      </c>
      <c r="GC672">
        <v>0.97823050492789154</v>
      </c>
      <c r="GD672">
        <v>2.7135312866153374</v>
      </c>
      <c r="GE672">
        <v>6.2140487124289452</v>
      </c>
      <c r="GF672">
        <v>4.1842777649093259</v>
      </c>
      <c r="GG672">
        <v>3.2467692671211243</v>
      </c>
      <c r="GH672">
        <v>2.5194655819494578</v>
      </c>
      <c r="GI672">
        <v>3.4065860816072124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22.935436006667626</v>
      </c>
      <c r="AO673">
        <v>4.9330309574159932</v>
      </c>
      <c r="AP673">
        <v>41.039640937396932</v>
      </c>
      <c r="AQ673">
        <v>33.721034823961411</v>
      </c>
      <c r="AR673">
        <v>4.711485769160765</v>
      </c>
      <c r="AS673">
        <v>22.57679559365096</v>
      </c>
      <c r="AT673">
        <v>3.0716241426288842</v>
      </c>
      <c r="AU673">
        <v>5.1511019984504198</v>
      </c>
      <c r="AV673"/>
      <c r="AW673"/>
      <c r="FY673" s="210">
        <v>668</v>
      </c>
      <c r="FZ673">
        <v>0.89186413272323539</v>
      </c>
      <c r="GA673">
        <v>2.3625982926766973</v>
      </c>
      <c r="GB673">
        <v>1.4608600991766973</v>
      </c>
      <c r="GC673">
        <v>0.87917022331692396</v>
      </c>
      <c r="GD673">
        <v>2.5011477970963534</v>
      </c>
      <c r="GE673">
        <v>4.7239530092808391</v>
      </c>
      <c r="GF673">
        <v>4.2481537331600547</v>
      </c>
      <c r="GG673">
        <v>3.7175715774470435</v>
      </c>
      <c r="GH673">
        <v>1.7618794960164796</v>
      </c>
      <c r="GI673">
        <v>3.0247045329127058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17.834878460044685</v>
      </c>
      <c r="AO674">
        <v>4.2592875204156062</v>
      </c>
      <c r="AP674">
        <v>30.122367404139215</v>
      </c>
      <c r="AQ674">
        <v>26.258156364640282</v>
      </c>
      <c r="AR674">
        <v>3.9566797265437215</v>
      </c>
      <c r="AS674">
        <v>19.52240454240669</v>
      </c>
      <c r="AT674">
        <v>2.9637278457375138</v>
      </c>
      <c r="AU674">
        <v>0.43426808242879322</v>
      </c>
      <c r="AV674"/>
      <c r="AW674"/>
      <c r="FY674" s="210">
        <v>669</v>
      </c>
      <c r="FZ674">
        <v>1.3302379763437653</v>
      </c>
      <c r="GA674">
        <v>2.9138322022837833</v>
      </c>
      <c r="GB674">
        <v>1.6928186507562435</v>
      </c>
      <c r="GC674">
        <v>0.92355977173942472</v>
      </c>
      <c r="GD674">
        <v>2.1242625519322149</v>
      </c>
      <c r="GE674">
        <v>5.9560133278046372</v>
      </c>
      <c r="GF674">
        <v>5.0146860874843888</v>
      </c>
      <c r="GG674">
        <v>4.6042825107071792</v>
      </c>
      <c r="GH674">
        <v>5.2110835873387069</v>
      </c>
      <c r="GI674">
        <v>3.6156321141652712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24.56472409215095</v>
      </c>
      <c r="AO675">
        <v>4.4117404211877194</v>
      </c>
      <c r="AP675">
        <v>36.891508237252047</v>
      </c>
      <c r="AQ675">
        <v>29.575276164420085</v>
      </c>
      <c r="AR675">
        <v>4.1588358235870384</v>
      </c>
      <c r="AS675">
        <v>19.619220246420195</v>
      </c>
      <c r="AT675">
        <v>2.6282653568368932</v>
      </c>
      <c r="AU675">
        <v>-2.6488888674623814</v>
      </c>
      <c r="AV675"/>
      <c r="AW675"/>
      <c r="FY675" s="210">
        <v>670</v>
      </c>
      <c r="FZ675">
        <v>0.9881006844458009</v>
      </c>
      <c r="GA675">
        <v>2.0631006010323092</v>
      </c>
      <c r="GB675">
        <v>0.97940222250229292</v>
      </c>
      <c r="GC675">
        <v>0.26422876182542143</v>
      </c>
      <c r="GD675">
        <v>1.1501287677800325</v>
      </c>
      <c r="GE675">
        <v>4.9746391090052704</v>
      </c>
      <c r="GF675">
        <v>9.4579523062070301</v>
      </c>
      <c r="GG675">
        <v>5.9276637450846579</v>
      </c>
      <c r="GH675">
        <v>3.844866888243796</v>
      </c>
      <c r="GI675">
        <v>3.4517410172418912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23.240668722139702</v>
      </c>
      <c r="AO676">
        <v>5.4540893396765959</v>
      </c>
      <c r="AP676">
        <v>40.52178654667712</v>
      </c>
      <c r="AQ676">
        <v>34.414150580775676</v>
      </c>
      <c r="AR676">
        <v>5.0634531418727038</v>
      </c>
      <c r="AS676">
        <v>20.979751531016273</v>
      </c>
      <c r="AT676">
        <v>3.4738591556072667</v>
      </c>
      <c r="AU676">
        <v>3.9629804794756307</v>
      </c>
      <c r="AV676"/>
      <c r="AW676"/>
      <c r="FY676" s="210">
        <v>671</v>
      </c>
      <c r="FZ676">
        <v>1.0420325463229956</v>
      </c>
      <c r="GA676">
        <v>1.889093706822158</v>
      </c>
      <c r="GB676">
        <v>1.8875553984698388</v>
      </c>
      <c r="GC676">
        <v>1.1092057791426015</v>
      </c>
      <c r="GD676">
        <v>2.9549836743356814</v>
      </c>
      <c r="GE676">
        <v>6.2601258379607323</v>
      </c>
      <c r="GF676">
        <v>2.2680020994075694</v>
      </c>
      <c r="GG676">
        <v>2.2401177532627274</v>
      </c>
      <c r="GH676">
        <v>3.3939877729005739</v>
      </c>
      <c r="GI676">
        <v>3.3152592215218584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26.935057249395481</v>
      </c>
      <c r="AO677">
        <v>5.7297390068586767</v>
      </c>
      <c r="AP677">
        <v>44.029242193683316</v>
      </c>
      <c r="AQ677">
        <v>36.869612490740799</v>
      </c>
      <c r="AR677">
        <v>5.4590685101192991</v>
      </c>
      <c r="AS677">
        <v>26.075926370807579</v>
      </c>
      <c r="AT677">
        <v>3.5405909638602466</v>
      </c>
      <c r="AU677">
        <v>2.2014734182586269</v>
      </c>
      <c r="AV677"/>
      <c r="AW677"/>
      <c r="FY677" s="210">
        <v>672</v>
      </c>
      <c r="FZ677">
        <v>1.2824281954004118</v>
      </c>
      <c r="GA677">
        <v>2.2704953243824195</v>
      </c>
      <c r="GB677">
        <v>0.99322997921189959</v>
      </c>
      <c r="GC677">
        <v>0.37030062549716486</v>
      </c>
      <c r="GD677">
        <v>0.89098966825825709</v>
      </c>
      <c r="GE677">
        <v>3.415579265553764</v>
      </c>
      <c r="GF677">
        <v>7.1916051683492705</v>
      </c>
      <c r="GG677">
        <v>4.9395846752784642</v>
      </c>
      <c r="GH677">
        <v>2.6298393627908228</v>
      </c>
      <c r="GI677">
        <v>2.7208036738831995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30.185894996410092</v>
      </c>
      <c r="AO678">
        <v>4.9232897586040574</v>
      </c>
      <c r="AP678">
        <v>36.37300482437891</v>
      </c>
      <c r="AQ678">
        <v>31.470226737734961</v>
      </c>
      <c r="AR678">
        <v>4.5465502427283395</v>
      </c>
      <c r="AS678">
        <v>24.014373629343947</v>
      </c>
      <c r="AT678">
        <v>3.0870940462374663</v>
      </c>
      <c r="AU678">
        <v>0.25348934778150367</v>
      </c>
      <c r="AV678"/>
      <c r="AW678"/>
      <c r="FY678" s="210">
        <v>673</v>
      </c>
      <c r="FZ678">
        <v>1.2275410496205634</v>
      </c>
      <c r="GA678">
        <v>2.3916454136890799</v>
      </c>
      <c r="GB678">
        <v>1.582995033740259</v>
      </c>
      <c r="GC678">
        <v>0.74536918309090172</v>
      </c>
      <c r="GD678">
        <v>2.2257497645007183</v>
      </c>
      <c r="GE678">
        <v>5.6359639560136072</v>
      </c>
      <c r="GF678">
        <v>9.0562040408206244</v>
      </c>
      <c r="GG678">
        <v>7.8922665859919983</v>
      </c>
      <c r="GH678">
        <v>4.1733412200228539</v>
      </c>
      <c r="GI678">
        <v>4.2729333164563998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24.732279006801846</v>
      </c>
      <c r="AO679">
        <v>4.7976984917774104</v>
      </c>
      <c r="AP679">
        <v>36.432051018222488</v>
      </c>
      <c r="AQ679">
        <v>31.108837899878637</v>
      </c>
      <c r="AR679">
        <v>4.5266453799424706</v>
      </c>
      <c r="AS679">
        <v>22.795174301662378</v>
      </c>
      <c r="AT679">
        <v>3.1373352562084134</v>
      </c>
      <c r="AU679">
        <v>-0.47002305379579745</v>
      </c>
      <c r="AV679"/>
      <c r="AW679"/>
      <c r="FY679" s="210">
        <v>674</v>
      </c>
      <c r="FZ679">
        <v>1.4125984941624039</v>
      </c>
      <c r="GA679">
        <v>1.8911188683421585</v>
      </c>
      <c r="GB679">
        <v>1.4377781339789633</v>
      </c>
      <c r="GC679">
        <v>0.83324780660787701</v>
      </c>
      <c r="GD679">
        <v>1.4130546497695251</v>
      </c>
      <c r="GE679">
        <v>4.0591993062230021</v>
      </c>
      <c r="GF679">
        <v>11.598517775840355</v>
      </c>
      <c r="GG679">
        <v>10.389600075669083</v>
      </c>
      <c r="GH679">
        <v>4.1787291412525009</v>
      </c>
      <c r="GI679">
        <v>4.2434498998814147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29.637552467681928</v>
      </c>
      <c r="AO680">
        <v>5.3985891928452983</v>
      </c>
      <c r="AP680">
        <v>36.699156852939737</v>
      </c>
      <c r="AQ680">
        <v>32.50678812208352</v>
      </c>
      <c r="AR680">
        <v>5.0409278482344568</v>
      </c>
      <c r="AS680">
        <v>23.601281741675226</v>
      </c>
      <c r="AT680">
        <v>3.203280472676012</v>
      </c>
      <c r="AU680">
        <v>5.7826623404317434</v>
      </c>
      <c r="AV680"/>
      <c r="AW680"/>
      <c r="FY680" s="210">
        <v>675</v>
      </c>
      <c r="FZ680">
        <v>0.88517822834473536</v>
      </c>
      <c r="GA680">
        <v>2.796646200026994</v>
      </c>
      <c r="GB680">
        <v>1.372988860464972</v>
      </c>
      <c r="GC680">
        <v>0.57475330018534687</v>
      </c>
      <c r="GD680">
        <v>1.1948138050195367</v>
      </c>
      <c r="GE680">
        <v>2.583808068523902</v>
      </c>
      <c r="GF680">
        <v>5.9678339838829908</v>
      </c>
      <c r="GG680">
        <v>7.1901365171413927</v>
      </c>
      <c r="GH680">
        <v>5.8340689486404216</v>
      </c>
      <c r="GI680">
        <v>3.2209481370900344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33.664126834016926</v>
      </c>
      <c r="AO681">
        <v>5.2203644564172587</v>
      </c>
      <c r="AP681">
        <v>36.030423209994304</v>
      </c>
      <c r="AQ681">
        <v>31.785049271576195</v>
      </c>
      <c r="AR681">
        <v>4.9737639707277257</v>
      </c>
      <c r="AS681">
        <v>24.833921134731895</v>
      </c>
      <c r="AT681">
        <v>3.3804382360250398</v>
      </c>
      <c r="AU681">
        <v>7.1576911223702453</v>
      </c>
      <c r="AV681"/>
      <c r="AW681"/>
      <c r="FY681" s="210">
        <v>676</v>
      </c>
      <c r="FZ681">
        <v>0.73337794270873113</v>
      </c>
      <c r="GA681">
        <v>2.8352193532752303</v>
      </c>
      <c r="GB681">
        <v>1.5726314512073905</v>
      </c>
      <c r="GC681">
        <v>0.55980939257239326</v>
      </c>
      <c r="GD681">
        <v>1.195480482112286</v>
      </c>
      <c r="GE681">
        <v>1.9454937046226521</v>
      </c>
      <c r="GF681">
        <v>1.555055012292045</v>
      </c>
      <c r="GG681">
        <v>2.6636293551893377</v>
      </c>
      <c r="GH681">
        <v>2.4614316364102313</v>
      </c>
      <c r="GI681">
        <v>1.8813163466872533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34.258286640033347</v>
      </c>
      <c r="AO682">
        <v>6.2641541360288029</v>
      </c>
      <c r="AP682">
        <v>45.476395111395789</v>
      </c>
      <c r="AQ682">
        <v>39.517074354209242</v>
      </c>
      <c r="AR682">
        <v>5.6738636714228967</v>
      </c>
      <c r="AS682">
        <v>27.798108686729964</v>
      </c>
      <c r="AT682">
        <v>3.7931221962054682</v>
      </c>
      <c r="AU682">
        <v>7.8207772140911151</v>
      </c>
      <c r="AV682"/>
      <c r="AW682"/>
      <c r="FY682" s="210">
        <v>677</v>
      </c>
      <c r="FZ682">
        <v>1.1657424700843513</v>
      </c>
      <c r="GA682">
        <v>2.3540665417962385</v>
      </c>
      <c r="GB682">
        <v>1.3579027029940041</v>
      </c>
      <c r="GC682">
        <v>0.64719370699807954</v>
      </c>
      <c r="GD682">
        <v>1.1021873955712631</v>
      </c>
      <c r="GE682">
        <v>2.7792595928681472</v>
      </c>
      <c r="GF682">
        <v>6.4260438567785698</v>
      </c>
      <c r="GG682">
        <v>6.6761031743185715</v>
      </c>
      <c r="GH682">
        <v>4.6127513575755197</v>
      </c>
      <c r="GI682">
        <v>3.1058262520197091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33.621372339056549</v>
      </c>
      <c r="AO683">
        <v>5.0295165629699596</v>
      </c>
      <c r="AP683">
        <v>30.751264229655433</v>
      </c>
      <c r="AQ683">
        <v>28.901634326879314</v>
      </c>
      <c r="AR683">
        <v>4.6485465095644205</v>
      </c>
      <c r="AS683">
        <v>25.636531592680708</v>
      </c>
      <c r="AT683">
        <v>2.9895956249301379</v>
      </c>
      <c r="AU683">
        <v>10.021487601079635</v>
      </c>
      <c r="AV683"/>
      <c r="AW683"/>
      <c r="FY683" s="210">
        <v>678</v>
      </c>
      <c r="FZ683">
        <v>1.262317315873712</v>
      </c>
      <c r="GA683">
        <v>2.0605022943038178</v>
      </c>
      <c r="GB683">
        <v>1.3950762934337144</v>
      </c>
      <c r="GC683">
        <v>0.89532061828397647</v>
      </c>
      <c r="GD683">
        <v>1.7012414335696273</v>
      </c>
      <c r="GE683">
        <v>3.7088533043745797</v>
      </c>
      <c r="GF683">
        <v>4.1095488260051143</v>
      </c>
      <c r="GG683">
        <v>4.134292802431216</v>
      </c>
      <c r="GH683">
        <v>4.4125840756143226</v>
      </c>
      <c r="GI683">
        <v>3.0011433266829264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29.343770932632005</v>
      </c>
      <c r="AO684">
        <v>4.4298079574500164</v>
      </c>
      <c r="AP684">
        <v>27.522387162417886</v>
      </c>
      <c r="AQ684">
        <v>25.571902893807028</v>
      </c>
      <c r="AR684">
        <v>4.1872113029972624</v>
      </c>
      <c r="AS684">
        <v>22.376657221470733</v>
      </c>
      <c r="AT684">
        <v>2.6855156498786257</v>
      </c>
      <c r="AU684">
        <v>8.2398883941457211</v>
      </c>
      <c r="AV684"/>
      <c r="AW684"/>
      <c r="FY684" s="210">
        <v>679</v>
      </c>
      <c r="FZ684">
        <v>0.90399552990198639</v>
      </c>
      <c r="GA684">
        <v>1.8107932020181063</v>
      </c>
      <c r="GB684">
        <v>1.2984152529135444</v>
      </c>
      <c r="GC684">
        <v>0.80007288964001499</v>
      </c>
      <c r="GD684">
        <v>2.5031031646128987</v>
      </c>
      <c r="GE684">
        <v>5.2116417560683601</v>
      </c>
      <c r="GF684">
        <v>5.6285049348858811</v>
      </c>
      <c r="GG684">
        <v>8.4629932795667706</v>
      </c>
      <c r="GH684">
        <v>6.8921145078310504</v>
      </c>
      <c r="GI684">
        <v>4.0930619482185531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28.431022221922955</v>
      </c>
      <c r="AO685">
        <v>5.378298611114424</v>
      </c>
      <c r="AP685">
        <v>37.264528641178991</v>
      </c>
      <c r="AQ685">
        <v>33.386408780555612</v>
      </c>
      <c r="AR685">
        <v>4.8688066287658991</v>
      </c>
      <c r="AS685">
        <v>23.472492062007532</v>
      </c>
      <c r="AT685">
        <v>3.2048088920938107</v>
      </c>
      <c r="AU685">
        <v>5.8182727616530174</v>
      </c>
      <c r="AV685"/>
      <c r="AW685"/>
      <c r="FY685" s="210">
        <v>680</v>
      </c>
      <c r="FZ685">
        <v>1.1242802994527026</v>
      </c>
      <c r="GA685">
        <v>1.8485092561391876</v>
      </c>
      <c r="GB685">
        <v>0.87002279931725723</v>
      </c>
      <c r="GC685">
        <v>0.66496338062234539</v>
      </c>
      <c r="GD685">
        <v>2.1065989701659062</v>
      </c>
      <c r="GE685">
        <v>6.4391927343890618</v>
      </c>
      <c r="GF685">
        <v>7.807839780630303</v>
      </c>
      <c r="GG685">
        <v>6.2638046572052648</v>
      </c>
      <c r="GH685">
        <v>6.0905210697408325</v>
      </c>
      <c r="GI685">
        <v>4.0396153751362318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19.856979001593363</v>
      </c>
      <c r="AO686">
        <v>4.993706730165</v>
      </c>
      <c r="AP686">
        <v>39.960671245957137</v>
      </c>
      <c r="AQ686">
        <v>33.1018241033685</v>
      </c>
      <c r="AR686">
        <v>4.6365868809390909</v>
      </c>
      <c r="AS686">
        <v>21.338900771053876</v>
      </c>
      <c r="AT686">
        <v>3.2842455317961026</v>
      </c>
      <c r="AU686">
        <v>-3.0914919609746785</v>
      </c>
      <c r="AV686"/>
      <c r="AW686"/>
      <c r="FY686" s="210">
        <v>681</v>
      </c>
      <c r="FZ686">
        <v>1.3644504191522553</v>
      </c>
      <c r="GA686">
        <v>3.1864149991302715</v>
      </c>
      <c r="GB686">
        <v>2.2413255901916638</v>
      </c>
      <c r="GC686">
        <v>1.0613254563320478</v>
      </c>
      <c r="GD686">
        <v>1.7005087471476437</v>
      </c>
      <c r="GE686">
        <v>3.827935883794682</v>
      </c>
      <c r="GF686">
        <v>2.8289328977930546</v>
      </c>
      <c r="GG686">
        <v>6.2335599831515838</v>
      </c>
      <c r="GH686">
        <v>7.6593395686321823</v>
      </c>
      <c r="GI686">
        <v>3.4937872315157699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27.959596410736502</v>
      </c>
      <c r="AO687">
        <v>4.8056884677054974</v>
      </c>
      <c r="AP687">
        <v>26.77388741245489</v>
      </c>
      <c r="AQ687">
        <v>26.360363790146735</v>
      </c>
      <c r="AR687">
        <v>4.5648955964509632</v>
      </c>
      <c r="AS687">
        <v>23.334218188846769</v>
      </c>
      <c r="AT687">
        <v>2.8873847805209318</v>
      </c>
      <c r="AU687">
        <v>14.429765171382613</v>
      </c>
      <c r="AV687"/>
      <c r="AW687"/>
      <c r="FY687" s="210">
        <v>682</v>
      </c>
      <c r="FZ687">
        <v>1.0420325463229958</v>
      </c>
      <c r="GA687">
        <v>2.6762942474748503</v>
      </c>
      <c r="GB687">
        <v>1.8079035068173304</v>
      </c>
      <c r="GC687">
        <v>0.85455855806824133</v>
      </c>
      <c r="GD687">
        <v>1.8890771830573225</v>
      </c>
      <c r="GE687">
        <v>4.5116447400135922</v>
      </c>
      <c r="GF687">
        <v>8.8091814441596483</v>
      </c>
      <c r="GG687">
        <v>8.2680976330012701</v>
      </c>
      <c r="GH687">
        <v>4.1239759008310628</v>
      </c>
      <c r="GI687">
        <v>4.0207135344870277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20.119289275539273</v>
      </c>
      <c r="AO688">
        <v>3.9638644104818987</v>
      </c>
      <c r="AP688">
        <v>32.253800199439766</v>
      </c>
      <c r="AQ688">
        <v>26.704855938605672</v>
      </c>
      <c r="AR688">
        <v>3.6479380830620363</v>
      </c>
      <c r="AS688">
        <v>18.196517678234155</v>
      </c>
      <c r="AT688">
        <v>2.5568326091286488</v>
      </c>
      <c r="AU688">
        <v>0.51217556102424944</v>
      </c>
      <c r="AV688"/>
      <c r="AW688"/>
      <c r="FY688" s="210">
        <v>683</v>
      </c>
      <c r="FZ688">
        <v>0.66523175286081437</v>
      </c>
      <c r="GA688">
        <v>2.3866972449870345</v>
      </c>
      <c r="GB688">
        <v>1.8088004262422013</v>
      </c>
      <c r="GC688">
        <v>0.83045667623472896</v>
      </c>
      <c r="GD688">
        <v>1.5886731969472332</v>
      </c>
      <c r="GE688">
        <v>3.2791380167119231</v>
      </c>
      <c r="GF688">
        <v>4.8744587628305975</v>
      </c>
      <c r="GG688">
        <v>4.0143113203704308</v>
      </c>
      <c r="GH688">
        <v>1.7038455504772532</v>
      </c>
      <c r="GI688">
        <v>2.653784697624022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23.989289110465972</v>
      </c>
      <c r="AO689">
        <v>6.2984393175721953</v>
      </c>
      <c r="AP689">
        <v>46.286265712023464</v>
      </c>
      <c r="AQ689">
        <v>39.204009563947011</v>
      </c>
      <c r="AR689">
        <v>5.8860123408527709</v>
      </c>
      <c r="AS689">
        <v>27.32149723686253</v>
      </c>
      <c r="AT689">
        <v>4.1202564836157132</v>
      </c>
      <c r="AU689">
        <v>-3.4957096748305823</v>
      </c>
      <c r="AV689"/>
      <c r="AW689"/>
      <c r="FY689" s="210">
        <v>684</v>
      </c>
      <c r="FZ689">
        <v>1.4742843090096842</v>
      </c>
      <c r="GA689">
        <v>2.6177735548026173</v>
      </c>
      <c r="GB689">
        <v>1.660125124477676</v>
      </c>
      <c r="GC689">
        <v>0.86987572876365216</v>
      </c>
      <c r="GD689">
        <v>1.9624468334855911</v>
      </c>
      <c r="GE689">
        <v>4.5354552919074171</v>
      </c>
      <c r="GF689">
        <v>5.0484427862535499</v>
      </c>
      <c r="GG689">
        <v>4.0603158137198134</v>
      </c>
      <c r="GH689">
        <v>2.7739221123906823</v>
      </c>
      <c r="GI689">
        <v>3.151002304615091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25.435005431182294</v>
      </c>
      <c r="AO690">
        <v>6.2916890041722491</v>
      </c>
      <c r="AP690">
        <v>51.315286546930999</v>
      </c>
      <c r="AQ690">
        <v>41.457294151727282</v>
      </c>
      <c r="AR690">
        <v>5.8298808398843596</v>
      </c>
      <c r="AS690">
        <v>27.939887555981002</v>
      </c>
      <c r="AT690">
        <v>4.164264114927092</v>
      </c>
      <c r="AU690">
        <v>9.3669497594710958</v>
      </c>
      <c r="AV690"/>
      <c r="AW690"/>
      <c r="FY690" s="210">
        <v>685</v>
      </c>
      <c r="FZ690">
        <v>1.4206907411992848</v>
      </c>
      <c r="GA690">
        <v>2.5838532480919243</v>
      </c>
      <c r="GB690">
        <v>1.4998950242896676</v>
      </c>
      <c r="GC690">
        <v>0.939710166706477</v>
      </c>
      <c r="GD690">
        <v>1.5923456412302808</v>
      </c>
      <c r="GE690">
        <v>3.0254378575472254</v>
      </c>
      <c r="GF690">
        <v>4.3895817543709486</v>
      </c>
      <c r="GG690">
        <v>3.4674203690335172</v>
      </c>
      <c r="GH690">
        <v>1.7933541145115979</v>
      </c>
      <c r="GI690">
        <v>2.6201172814386231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22.50961984971293</v>
      </c>
      <c r="AO691">
        <v>4.6711443703553632</v>
      </c>
      <c r="AP691">
        <v>38.884792986834825</v>
      </c>
      <c r="AQ691">
        <v>31.621176049320326</v>
      </c>
      <c r="AR691">
        <v>4.4822039913996203</v>
      </c>
      <c r="AS691">
        <v>21.949993900012366</v>
      </c>
      <c r="AT691">
        <v>3.0250036104747058</v>
      </c>
      <c r="AU691">
        <v>3.7986959128295916E-2</v>
      </c>
      <c r="AV691"/>
      <c r="AW691"/>
      <c r="FY691" s="210">
        <v>686</v>
      </c>
      <c r="FZ691">
        <v>1.1322597818006515</v>
      </c>
      <c r="GA691">
        <v>2.8903274279130935</v>
      </c>
      <c r="GB691">
        <v>2.0583590217495864</v>
      </c>
      <c r="GC691">
        <v>0.65077089175680025</v>
      </c>
      <c r="GD691">
        <v>1.674693030348265</v>
      </c>
      <c r="GE691">
        <v>5.6262544442826226</v>
      </c>
      <c r="GF691">
        <v>7.3623649510657518</v>
      </c>
      <c r="GG691">
        <v>8.0577513416548729</v>
      </c>
      <c r="GH691">
        <v>7.4058195345683071</v>
      </c>
      <c r="GI691">
        <v>4.2177830871762012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12.841916806843667</v>
      </c>
      <c r="AO692">
        <v>2.7451592817560466</v>
      </c>
      <c r="AP692">
        <v>20.159188485554022</v>
      </c>
      <c r="AQ692">
        <v>17.403444677077552</v>
      </c>
      <c r="AR692">
        <v>2.6240375967028275</v>
      </c>
      <c r="AS692">
        <v>13.477337036566125</v>
      </c>
      <c r="AT692">
        <v>1.8260751229204748</v>
      </c>
      <c r="AU692">
        <v>-0.58309497284591671</v>
      </c>
      <c r="AV692"/>
      <c r="AW692"/>
      <c r="FY692" s="210">
        <v>687</v>
      </c>
      <c r="FZ692">
        <v>1.7010294535610369</v>
      </c>
      <c r="GA692">
        <v>2.5680599384476741</v>
      </c>
      <c r="GB692">
        <v>0.87105992827536671</v>
      </c>
      <c r="GC692">
        <v>0.57706928278148861</v>
      </c>
      <c r="GD692">
        <v>2.0627148984087684</v>
      </c>
      <c r="GE692">
        <v>3.8954091190757576</v>
      </c>
      <c r="GF692">
        <v>6.6336683243501966</v>
      </c>
      <c r="GG692">
        <v>7.5545114344329631</v>
      </c>
      <c r="GH692">
        <v>5.0855855268011929</v>
      </c>
      <c r="GI692">
        <v>3.7243323811740763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19.703433429995933</v>
      </c>
      <c r="AO693">
        <v>4.5357572944078726</v>
      </c>
      <c r="AP693">
        <v>37.255756942968489</v>
      </c>
      <c r="AQ693">
        <v>30.227077051004454</v>
      </c>
      <c r="AR693">
        <v>4.2962920659572879</v>
      </c>
      <c r="AS693">
        <v>17.287602048607688</v>
      </c>
      <c r="AT693">
        <v>2.7926884050255834</v>
      </c>
      <c r="AU693">
        <v>16.395743145512011</v>
      </c>
      <c r="AV693"/>
      <c r="AW693"/>
      <c r="FY693" s="210">
        <v>688</v>
      </c>
      <c r="FZ693">
        <v>0.90607846069395737</v>
      </c>
      <c r="GA693">
        <v>2.1249617456285832</v>
      </c>
      <c r="GB693">
        <v>1.8983336751578073</v>
      </c>
      <c r="GC693">
        <v>0.97492783211905543</v>
      </c>
      <c r="GD693">
        <v>2.4636400049331346</v>
      </c>
      <c r="GE693">
        <v>6.5467249652688331</v>
      </c>
      <c r="GF693">
        <v>8.2843566669461897</v>
      </c>
      <c r="GG693">
        <v>4.4059601539160465</v>
      </c>
      <c r="GH693">
        <v>0.71672386625862272</v>
      </c>
      <c r="GI693">
        <v>3.6947776337950411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24.698760398981378</v>
      </c>
      <c r="AO694">
        <v>4.2810940060578959</v>
      </c>
      <c r="AP694">
        <v>30.706805712911724</v>
      </c>
      <c r="AQ694">
        <v>26.680880290573004</v>
      </c>
      <c r="AR694">
        <v>4.1255367453260323</v>
      </c>
      <c r="AS694">
        <v>19.542551334351536</v>
      </c>
      <c r="AT694">
        <v>2.5696158710681369</v>
      </c>
      <c r="AU694">
        <v>-1.5384577877208998</v>
      </c>
      <c r="AV694"/>
      <c r="AW694"/>
      <c r="FY694" s="210">
        <v>689</v>
      </c>
      <c r="FZ694">
        <v>1.2826537247782752</v>
      </c>
      <c r="GA694">
        <v>2.2603005857562244</v>
      </c>
      <c r="GB694">
        <v>2.0843959247070747</v>
      </c>
      <c r="GC694">
        <v>1.0087491495778007</v>
      </c>
      <c r="GD694">
        <v>0.95443564505485634</v>
      </c>
      <c r="GE694">
        <v>2.0236511327372848</v>
      </c>
      <c r="GF694">
        <v>5.8784885716210926</v>
      </c>
      <c r="GG694">
        <v>7.7800384992654701</v>
      </c>
      <c r="GH694">
        <v>5.8326047793258962</v>
      </c>
      <c r="GI694">
        <v>3.3129316165517988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25.37304560451658</v>
      </c>
      <c r="AO695">
        <v>6.1074621930085371</v>
      </c>
      <c r="AP695">
        <v>43.239338111347351</v>
      </c>
      <c r="AQ695">
        <v>37.60469646565717</v>
      </c>
      <c r="AR695">
        <v>5.7003011004851869</v>
      </c>
      <c r="AS695">
        <v>25.40031372494261</v>
      </c>
      <c r="AT695">
        <v>3.6344049943676016</v>
      </c>
      <c r="AU695">
        <v>-5.2015058886455865</v>
      </c>
      <c r="AV695"/>
      <c r="AW695"/>
      <c r="FY695" s="210">
        <v>690</v>
      </c>
      <c r="FZ695">
        <v>0.97388635647507882</v>
      </c>
      <c r="GA695">
        <v>1.9424894975946958</v>
      </c>
      <c r="GB695">
        <v>1.5385286985447313</v>
      </c>
      <c r="GC695">
        <v>0.96883412568007077</v>
      </c>
      <c r="GD695">
        <v>1.2346846441818566</v>
      </c>
      <c r="GE695">
        <v>3.4039584566445713</v>
      </c>
      <c r="GF695">
        <v>6.5571591123492885</v>
      </c>
      <c r="GG695">
        <v>3.9335439547165909</v>
      </c>
      <c r="GH695">
        <v>0.82217371781175097</v>
      </c>
      <c r="GI695">
        <v>2.6061819834282507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28.631988586032701</v>
      </c>
      <c r="AO696">
        <v>5.9092108353513844</v>
      </c>
      <c r="AP696">
        <v>42.33350282637609</v>
      </c>
      <c r="AQ696">
        <v>37.255348322799087</v>
      </c>
      <c r="AR696">
        <v>5.4238137984510413</v>
      </c>
      <c r="AS696">
        <v>28.467364926765459</v>
      </c>
      <c r="AT696">
        <v>3.6499328743728854</v>
      </c>
      <c r="AU696">
        <v>2.2212999687266342</v>
      </c>
      <c r="AV696"/>
      <c r="AW696"/>
      <c r="FY696" s="210">
        <v>691</v>
      </c>
      <c r="FZ696">
        <v>0.81573846052736987</v>
      </c>
      <c r="GA696">
        <v>2.4562302244432059</v>
      </c>
      <c r="GB696">
        <v>1.9615955245093128</v>
      </c>
      <c r="GC696">
        <v>0.79132770672257136</v>
      </c>
      <c r="GD696">
        <v>1.3338777549277578</v>
      </c>
      <c r="GE696">
        <v>3.83062104979828</v>
      </c>
      <c r="GF696">
        <v>8.8164664361949736</v>
      </c>
      <c r="GG696">
        <v>8.0023738996966074</v>
      </c>
      <c r="GH696">
        <v>4.6941958884744954</v>
      </c>
      <c r="GI696">
        <v>3.7953909481578592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32.428958773794122</v>
      </c>
      <c r="AO697">
        <v>5.1671203817222029</v>
      </c>
      <c r="AP697">
        <v>39.194702168076191</v>
      </c>
      <c r="AQ697">
        <v>33.597580776841156</v>
      </c>
      <c r="AR697">
        <v>4.8037402363079647</v>
      </c>
      <c r="AS697">
        <v>24.123143393151405</v>
      </c>
      <c r="AT697">
        <v>2.7824725741258658</v>
      </c>
      <c r="AU697">
        <v>-8.8282272956859984</v>
      </c>
      <c r="AV697"/>
      <c r="AW697"/>
      <c r="FY697" s="210">
        <v>692</v>
      </c>
      <c r="FZ697">
        <v>1.3986096955695455</v>
      </c>
      <c r="GA697">
        <v>2.5119126380873094</v>
      </c>
      <c r="GB697">
        <v>2.3373241521293138</v>
      </c>
      <c r="GC697">
        <v>1.0318296088174552</v>
      </c>
      <c r="GD697">
        <v>1.0422686716235623</v>
      </c>
      <c r="GE697">
        <v>2.4864361276018121</v>
      </c>
      <c r="GF697">
        <v>7.0974678164942624</v>
      </c>
      <c r="GG697">
        <v>8.3126107242240366</v>
      </c>
      <c r="GH697">
        <v>5.4663996938823889</v>
      </c>
      <c r="GI697">
        <v>3.5898506343089971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27.261361775001866</v>
      </c>
      <c r="AO698">
        <v>5.9439818220310432</v>
      </c>
      <c r="AP698">
        <v>45.67018445961174</v>
      </c>
      <c r="AQ698">
        <v>38.003479294233344</v>
      </c>
      <c r="AR698">
        <v>5.5543654588228355</v>
      </c>
      <c r="AS698">
        <v>24.973924186698689</v>
      </c>
      <c r="AT698">
        <v>3.7667373475366386</v>
      </c>
      <c r="AU698">
        <v>8.7757257783248033</v>
      </c>
      <c r="AV698"/>
      <c r="AW698"/>
      <c r="FY698" s="210">
        <v>693</v>
      </c>
      <c r="FZ698">
        <v>1.1388329214902198</v>
      </c>
      <c r="GA698">
        <v>2.665531678140729</v>
      </c>
      <c r="GB698">
        <v>2.3354708873906596</v>
      </c>
      <c r="GC698">
        <v>1.0001374501740936</v>
      </c>
      <c r="GD698">
        <v>1.4670465933462913</v>
      </c>
      <c r="GE698">
        <v>4.5944868278025073</v>
      </c>
      <c r="GF698">
        <v>8.0274544269707526</v>
      </c>
      <c r="GG698">
        <v>6.4214806520031988</v>
      </c>
      <c r="GH698">
        <v>5.3390034262840356</v>
      </c>
      <c r="GI698">
        <v>3.9597635313205153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23.660722873664831</v>
      </c>
      <c r="AO699">
        <v>3.8788307425012327</v>
      </c>
      <c r="AP699">
        <v>27.767738808808708</v>
      </c>
      <c r="AQ699">
        <v>23.805397645286241</v>
      </c>
      <c r="AR699">
        <v>3.6634080708772228</v>
      </c>
      <c r="AS699">
        <v>19.17011560428195</v>
      </c>
      <c r="AT699">
        <v>2.4072644564777823</v>
      </c>
      <c r="AU699">
        <v>6.0209841142253273</v>
      </c>
      <c r="AV699"/>
      <c r="AW699"/>
      <c r="FY699" s="210">
        <v>694</v>
      </c>
      <c r="FZ699">
        <v>1.0420325463229956</v>
      </c>
      <c r="GA699">
        <v>1.6318349811511759</v>
      </c>
      <c r="GB699">
        <v>1.0145874935388652</v>
      </c>
      <c r="GC699">
        <v>0.56386035056666162</v>
      </c>
      <c r="GD699">
        <v>1.4684687108003287</v>
      </c>
      <c r="GE699">
        <v>2.6441392296048449</v>
      </c>
      <c r="GF699">
        <v>5.5856847008214192</v>
      </c>
      <c r="GG699">
        <v>8.4037082069164146</v>
      </c>
      <c r="GH699">
        <v>6.3552759835808024</v>
      </c>
      <c r="GI699">
        <v>3.3199313308965999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29.975545739185833</v>
      </c>
      <c r="AO700">
        <v>4.5685214411386657</v>
      </c>
      <c r="AP700">
        <v>31.511619248555384</v>
      </c>
      <c r="AQ700">
        <v>28.153643859425774</v>
      </c>
      <c r="AR700">
        <v>4.2917671421384798</v>
      </c>
      <c r="AS700">
        <v>23.614448536853839</v>
      </c>
      <c r="AT700">
        <v>2.7855593393737603</v>
      </c>
      <c r="AU700">
        <v>5.324100900375182</v>
      </c>
      <c r="AV700"/>
      <c r="AW700"/>
      <c r="FY700" s="210">
        <v>695</v>
      </c>
      <c r="FZ700">
        <v>0.85040196209158658</v>
      </c>
      <c r="GA700">
        <v>2.3753432357095416</v>
      </c>
      <c r="GB700">
        <v>1.2460989362216117</v>
      </c>
      <c r="GC700">
        <v>0.51933428181144781</v>
      </c>
      <c r="GD700">
        <v>2.5089790390474791</v>
      </c>
      <c r="GE700">
        <v>6.5600599913008981</v>
      </c>
      <c r="GF700">
        <v>8.617764018147497</v>
      </c>
      <c r="GG700">
        <v>8.4297430806208258</v>
      </c>
      <c r="GH700">
        <v>6.272917061260844</v>
      </c>
      <c r="GI700">
        <v>4.5184093008497204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21.362993285034506</v>
      </c>
      <c r="AO701">
        <v>3.7712540578388754</v>
      </c>
      <c r="AP701">
        <v>26.642124416953457</v>
      </c>
      <c r="AQ701">
        <v>23.332406198419545</v>
      </c>
      <c r="AR701">
        <v>3.5984699907558499</v>
      </c>
      <c r="AS701">
        <v>21.68505928554789</v>
      </c>
      <c r="AT701">
        <v>2.5482338228458854</v>
      </c>
      <c r="AU701">
        <v>1.1796723785175298</v>
      </c>
      <c r="AV701"/>
      <c r="AW701"/>
      <c r="FY701" s="210">
        <v>696</v>
      </c>
      <c r="FZ701">
        <v>1.0974835155475027</v>
      </c>
      <c r="GA701">
        <v>2.4208297169297017</v>
      </c>
      <c r="GB701">
        <v>2.2093137691286326</v>
      </c>
      <c r="GC701">
        <v>1.1522336152494332</v>
      </c>
      <c r="GD701">
        <v>1.2906720042346256</v>
      </c>
      <c r="GE701">
        <v>2.3968325028938198</v>
      </c>
      <c r="GF701">
        <v>5.6434052079048929</v>
      </c>
      <c r="GG701">
        <v>8.3925448856462275</v>
      </c>
      <c r="GH701">
        <v>6.1716459445132292</v>
      </c>
      <c r="GI701">
        <v>3.5059457077804987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25.624649859943975</v>
      </c>
      <c r="AO702">
        <v>6.2686821405079574</v>
      </c>
      <c r="AP702">
        <v>49.08581526732118</v>
      </c>
      <c r="AQ702">
        <v>41.076383512316156</v>
      </c>
      <c r="AR702">
        <v>5.7543630113129334</v>
      </c>
      <c r="AS702">
        <v>27.161363024880419</v>
      </c>
      <c r="AT702">
        <v>4.1609784706080069</v>
      </c>
      <c r="AU702">
        <v>9.8113870027097825</v>
      </c>
      <c r="AV702"/>
      <c r="AW702"/>
      <c r="FY702" s="210">
        <v>697</v>
      </c>
      <c r="FZ702">
        <v>1.5504099812055498</v>
      </c>
      <c r="GA702">
        <v>2.6615740993891714</v>
      </c>
      <c r="GB702">
        <v>1.4213477927099396</v>
      </c>
      <c r="GC702">
        <v>0.61099238819178348</v>
      </c>
      <c r="GD702">
        <v>2.5886619114217404</v>
      </c>
      <c r="GE702">
        <v>5.5603044293478634</v>
      </c>
      <c r="GF702">
        <v>5.4677362215569048</v>
      </c>
      <c r="GG702">
        <v>5.4326920661448144</v>
      </c>
      <c r="GH702">
        <v>2.9719744543439894</v>
      </c>
      <c r="GI702">
        <v>3.5960666961749026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28.931732781310377</v>
      </c>
      <c r="AO703">
        <v>5.3577459464936767</v>
      </c>
      <c r="AP703">
        <v>40.537071001350128</v>
      </c>
      <c r="AQ703">
        <v>34.673440287308523</v>
      </c>
      <c r="AR703">
        <v>5.1940473545588164</v>
      </c>
      <c r="AS703">
        <v>25.024630657707647</v>
      </c>
      <c r="AT703">
        <v>3.2742848770858934</v>
      </c>
      <c r="AU703">
        <v>5.8995415137819469</v>
      </c>
      <c r="AV703"/>
      <c r="AW703"/>
      <c r="FY703" s="210">
        <v>698</v>
      </c>
      <c r="FZ703">
        <v>1.4473747604155527</v>
      </c>
      <c r="GA703">
        <v>3.1549366383339996</v>
      </c>
      <c r="GB703">
        <v>1.8044499487300838</v>
      </c>
      <c r="GC703">
        <v>0.80374882553130855</v>
      </c>
      <c r="GD703">
        <v>1.8534079125197267</v>
      </c>
      <c r="GE703">
        <v>4.3971413150276755</v>
      </c>
      <c r="GF703">
        <v>7.7596695254655952</v>
      </c>
      <c r="GG703">
        <v>5.338614671677206</v>
      </c>
      <c r="GH703">
        <v>1.0523052714722432</v>
      </c>
      <c r="GI703">
        <v>3.3666828806975047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32.759261113747186</v>
      </c>
      <c r="AO704">
        <v>5.4461639351601381</v>
      </c>
      <c r="AP704">
        <v>35.499313937440284</v>
      </c>
      <c r="AQ704">
        <v>32.016485004717268</v>
      </c>
      <c r="AR704">
        <v>4.9834833730122572</v>
      </c>
      <c r="AS704">
        <v>27.187021996765075</v>
      </c>
      <c r="AT704">
        <v>3.5438676535708278</v>
      </c>
      <c r="AU704">
        <v>5.3326257470330845</v>
      </c>
      <c r="AV704"/>
      <c r="AW704"/>
      <c r="FY704" s="210">
        <v>699</v>
      </c>
      <c r="FZ704">
        <v>1.0769215772650762</v>
      </c>
      <c r="GA704">
        <v>1.6053014387133702</v>
      </c>
      <c r="GB704">
        <v>1.2225893021946737</v>
      </c>
      <c r="GC704">
        <v>0.93016335833657959</v>
      </c>
      <c r="GD704">
        <v>1.6915420832555967</v>
      </c>
      <c r="GE704">
        <v>4.9336449241009781</v>
      </c>
      <c r="GF704">
        <v>7.8146478011922973</v>
      </c>
      <c r="GG704">
        <v>7.8858364416141713</v>
      </c>
      <c r="GH704">
        <v>6.9968028162725542</v>
      </c>
      <c r="GI704">
        <v>4.0371271583593078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19.418353391092751</v>
      </c>
      <c r="AO705">
        <v>4.8314182169785314</v>
      </c>
      <c r="AP705">
        <v>40.861712260046154</v>
      </c>
      <c r="AQ705">
        <v>32.418249629375772</v>
      </c>
      <c r="AR705">
        <v>4.6248340092016367</v>
      </c>
      <c r="AS705">
        <v>20.563211616606278</v>
      </c>
      <c r="AT705">
        <v>2.8992247594221046</v>
      </c>
      <c r="AU705">
        <v>-1.4157388854354007</v>
      </c>
      <c r="AV705"/>
      <c r="AW705"/>
      <c r="FY705" s="210">
        <v>700</v>
      </c>
      <c r="FZ705">
        <v>1.2972063468157926</v>
      </c>
      <c r="GA705">
        <v>3.0622406858978226</v>
      </c>
      <c r="GB705">
        <v>2.0173919051179383</v>
      </c>
      <c r="GC705">
        <v>1.0977497058417243</v>
      </c>
      <c r="GD705">
        <v>2.6311803726717589</v>
      </c>
      <c r="GE705">
        <v>5.6896689788434607</v>
      </c>
      <c r="GF705">
        <v>4.1967540028336039</v>
      </c>
      <c r="GG705">
        <v>5.4042763220197765</v>
      </c>
      <c r="GH705">
        <v>5.6794107277950596</v>
      </c>
      <c r="GI705">
        <v>3.929732661982007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19.854971128408629</v>
      </c>
      <c r="AO706">
        <v>3.8700006777331724</v>
      </c>
      <c r="AP706">
        <v>28.202348212968971</v>
      </c>
      <c r="AQ706">
        <v>23.981440547426885</v>
      </c>
      <c r="AR706">
        <v>3.5103223363272793</v>
      </c>
      <c r="AS706">
        <v>16.718684686280955</v>
      </c>
      <c r="AT706" t="e">
        <v>#DIV/0!</v>
      </c>
      <c r="AU706" t="e">
        <v>#DIV/0!</v>
      </c>
      <c r="AV706"/>
      <c r="AW706"/>
      <c r="FY706" s="210">
        <v>701</v>
      </c>
      <c r="FZ706">
        <v>0.76826697365081154</v>
      </c>
      <c r="GA706">
        <v>2.2784629359598592</v>
      </c>
      <c r="GB706">
        <v>1.4374789935972365</v>
      </c>
      <c r="GC706">
        <v>0.80133271726113497</v>
      </c>
      <c r="GD706">
        <v>1.456268648427961</v>
      </c>
      <c r="GE706">
        <v>3.5329782333450304</v>
      </c>
      <c r="GF706">
        <v>5.6105477844394631</v>
      </c>
      <c r="GG706">
        <v>5.0992748074131704</v>
      </c>
      <c r="GH706">
        <v>3.9085863061828841</v>
      </c>
      <c r="GI706">
        <v>2.9976758764061056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21.401760073801292</v>
      </c>
      <c r="AO707">
        <v>5.5536581800975586</v>
      </c>
      <c r="AP707">
        <v>44.910771759156916</v>
      </c>
      <c r="AQ707">
        <v>36.497817893452435</v>
      </c>
      <c r="AR707">
        <v>5.2196841059167172</v>
      </c>
      <c r="AS707">
        <v>24.451281862016149</v>
      </c>
      <c r="AT707">
        <v>3.5566138934036613</v>
      </c>
      <c r="AU707">
        <v>-5.4503587533392679</v>
      </c>
      <c r="AV707"/>
      <c r="AW707"/>
      <c r="FY707" s="210">
        <v>702</v>
      </c>
      <c r="FZ707">
        <v>0.87118942975187696</v>
      </c>
      <c r="GA707">
        <v>1.134245307071565</v>
      </c>
      <c r="GB707">
        <v>0.51750495076287606</v>
      </c>
      <c r="GC707">
        <v>0.56018441467536795</v>
      </c>
      <c r="GD707">
        <v>1.4205834912419846</v>
      </c>
      <c r="GE707">
        <v>4.9931620784217863</v>
      </c>
      <c r="GF707">
        <v>7.9044352463281786</v>
      </c>
      <c r="GG707">
        <v>4.6042825107071792</v>
      </c>
      <c r="GH707">
        <v>3.9574750193485371</v>
      </c>
      <c r="GI707">
        <v>3.2012992472288637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27.294089216883332</v>
      </c>
      <c r="AO708">
        <v>5.2181779192471272</v>
      </c>
      <c r="AP708">
        <v>44.036273594928304</v>
      </c>
      <c r="AQ708">
        <v>35.274709762738681</v>
      </c>
      <c r="AR708">
        <v>4.9813442438151672</v>
      </c>
      <c r="AS708">
        <v>25.75061822840286</v>
      </c>
      <c r="AT708">
        <v>3.0404381737497883</v>
      </c>
      <c r="AU708">
        <v>0.37278858892291145</v>
      </c>
      <c r="AV708"/>
      <c r="AW708"/>
      <c r="FY708" s="210">
        <v>703</v>
      </c>
      <c r="FZ708">
        <v>1.4331604324448308</v>
      </c>
      <c r="GA708">
        <v>3.1170299080328707</v>
      </c>
      <c r="GB708">
        <v>2.3163976625941975</v>
      </c>
      <c r="GC708">
        <v>0.74411239228875825</v>
      </c>
      <c r="GD708">
        <v>2.5636893950820516</v>
      </c>
      <c r="GE708">
        <v>6.4250226606273984</v>
      </c>
      <c r="GF708">
        <v>6.4194392803602227</v>
      </c>
      <c r="GG708">
        <v>7.2739297032246961</v>
      </c>
      <c r="GH708">
        <v>5.9975527457327757</v>
      </c>
      <c r="GI708">
        <v>4.4585338283949287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25.632767407290249</v>
      </c>
      <c r="AO709">
        <v>5.6853142285177309</v>
      </c>
      <c r="AP709">
        <v>44.909517179835333</v>
      </c>
      <c r="AQ709">
        <v>36.949208394923005</v>
      </c>
      <c r="AR709">
        <v>5.4077292917767501</v>
      </c>
      <c r="AS709">
        <v>25.596835346068389</v>
      </c>
      <c r="AT709">
        <v>3.6597997000875133</v>
      </c>
      <c r="AU709">
        <v>6.5470605430963102</v>
      </c>
      <c r="AV709"/>
      <c r="AW709"/>
      <c r="FY709" s="210">
        <v>704</v>
      </c>
      <c r="FZ709">
        <v>1.076921577265076</v>
      </c>
      <c r="GA709">
        <v>3.1780707664751251</v>
      </c>
      <c r="GB709">
        <v>1.6615607080095496</v>
      </c>
      <c r="GC709">
        <v>0.83329801331292241</v>
      </c>
      <c r="GD709">
        <v>2.5922269912636664</v>
      </c>
      <c r="GE709">
        <v>6.0726166661863648</v>
      </c>
      <c r="GF709">
        <v>5.7596257703316098</v>
      </c>
      <c r="GG709">
        <v>6.2800580968867701</v>
      </c>
      <c r="GH709">
        <v>7.0628459796286247</v>
      </c>
      <c r="GI709">
        <v>4.2793974097486354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26.658249651356265</v>
      </c>
      <c r="AO710">
        <v>4.8266372528641712</v>
      </c>
      <c r="AP710">
        <v>38.723547704611818</v>
      </c>
      <c r="AQ710">
        <v>32.029523534200109</v>
      </c>
      <c r="AR710">
        <v>4.6529369761448898</v>
      </c>
      <c r="AS710">
        <v>24.31451789745087</v>
      </c>
      <c r="AT710">
        <v>2.8460879261272383</v>
      </c>
      <c r="AU710">
        <v>5.6345549327513496</v>
      </c>
      <c r="AV710"/>
      <c r="AW710"/>
      <c r="FY710" s="210">
        <v>705</v>
      </c>
      <c r="FZ710">
        <v>1.3919237911910454</v>
      </c>
      <c r="GA710">
        <v>3.3968687952223182</v>
      </c>
      <c r="GB710">
        <v>2.1325310321991831</v>
      </c>
      <c r="GC710">
        <v>0.91304008520319702</v>
      </c>
      <c r="GD710">
        <v>2.0365079123495757</v>
      </c>
      <c r="GE710">
        <v>3.8715635882390727</v>
      </c>
      <c r="GF710">
        <v>7.3874968521239728</v>
      </c>
      <c r="GG710">
        <v>6.4708894693009444</v>
      </c>
      <c r="GH710">
        <v>1.8722532768578446</v>
      </c>
      <c r="GI710">
        <v>3.6363313450116319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30.565033636431487</v>
      </c>
      <c r="AO711">
        <v>6.6600501013800883</v>
      </c>
      <c r="AP711">
        <v>48.299954893253698</v>
      </c>
      <c r="AQ711">
        <v>41.899050907061451</v>
      </c>
      <c r="AR711">
        <v>6.1831047797971195</v>
      </c>
      <c r="AS711">
        <v>28.97658769200256</v>
      </c>
      <c r="AT711">
        <v>3.9366014670004144</v>
      </c>
      <c r="AU711">
        <v>0.45069652445279917</v>
      </c>
      <c r="AV711"/>
      <c r="AW711"/>
      <c r="FY711" s="210">
        <v>706</v>
      </c>
      <c r="FZ711">
        <v>1.0700101435087124</v>
      </c>
      <c r="GA711">
        <v>2.5531919020032254</v>
      </c>
      <c r="GB711">
        <v>1.2991290874503716</v>
      </c>
      <c r="GC711">
        <v>0.48141179965338876</v>
      </c>
      <c r="GD711">
        <v>1.1545368303616295</v>
      </c>
      <c r="GE711">
        <v>4.2153576444271117</v>
      </c>
      <c r="GF711">
        <v>7.2458429673856628</v>
      </c>
      <c r="GG711">
        <v>7.7884227576956091</v>
      </c>
      <c r="GH711">
        <v>6.4635561407721474</v>
      </c>
      <c r="GI711">
        <v>3.5472821593500936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26.817889201620822</v>
      </c>
      <c r="AO712">
        <v>5.18053830886433</v>
      </c>
      <c r="AP712">
        <v>42.172788970213439</v>
      </c>
      <c r="AQ712">
        <v>34.28090686982857</v>
      </c>
      <c r="AR712">
        <v>4.8899615058868058</v>
      </c>
      <c r="AS712">
        <v>22.663415383946752</v>
      </c>
      <c r="AT712">
        <v>2.9618117030328008</v>
      </c>
      <c r="AU712">
        <v>1.1904336240556201E-2</v>
      </c>
      <c r="AV712"/>
      <c r="AW712"/>
      <c r="FY712" s="210">
        <v>707</v>
      </c>
      <c r="FZ712">
        <v>1.1448422377351291</v>
      </c>
      <c r="GA712">
        <v>1.8683522284758629</v>
      </c>
      <c r="GB712">
        <v>2.0945522074888285</v>
      </c>
      <c r="GC712">
        <v>1.2870716491361949</v>
      </c>
      <c r="GD712">
        <v>1.5952445323834386</v>
      </c>
      <c r="GE712">
        <v>3.2355406347016498</v>
      </c>
      <c r="GF712">
        <v>5.3888290259144709</v>
      </c>
      <c r="GG712">
        <v>4.629622915090601</v>
      </c>
      <c r="GH712">
        <v>1.9502928631016334</v>
      </c>
      <c r="GI712">
        <v>2.9461588160258807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33.223825526528124</v>
      </c>
      <c r="AO713">
        <v>5.281594594722506</v>
      </c>
      <c r="AP713">
        <v>35.148826053317137</v>
      </c>
      <c r="AQ713">
        <v>31.861760040486658</v>
      </c>
      <c r="AR713">
        <v>4.9801430142371217</v>
      </c>
      <c r="AS713">
        <v>26.239896028689206</v>
      </c>
      <c r="AT713">
        <v>2.9975997564529835</v>
      </c>
      <c r="AU713">
        <v>-1.4575524076021529</v>
      </c>
      <c r="AV713"/>
      <c r="AW713"/>
      <c r="FY713" s="210">
        <v>708</v>
      </c>
      <c r="FZ713">
        <v>1.1861916436778464</v>
      </c>
      <c r="GA713">
        <v>2.8745341182688433</v>
      </c>
      <c r="GB713">
        <v>1.8594494201911815</v>
      </c>
      <c r="GC713">
        <v>0.92863205558455153</v>
      </c>
      <c r="GD713">
        <v>3.2241274604974164</v>
      </c>
      <c r="GE713">
        <v>6.8309453496513894</v>
      </c>
      <c r="GF713">
        <v>4.2747412611924211</v>
      </c>
      <c r="GG713">
        <v>5.5175738041815396</v>
      </c>
      <c r="GH713">
        <v>5.2543207585470952</v>
      </c>
      <c r="GI713">
        <v>4.1656790581273251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26.327138718849056</v>
      </c>
      <c r="AO714">
        <v>4.9486566033076684</v>
      </c>
      <c r="AP714">
        <v>36.08341344845892</v>
      </c>
      <c r="AQ714">
        <v>30.978331749870897</v>
      </c>
      <c r="AR714">
        <v>4.5930257962388019</v>
      </c>
      <c r="AS714">
        <v>22.801484205700365</v>
      </c>
      <c r="AT714">
        <v>3.111485293629737</v>
      </c>
      <c r="AU714">
        <v>-3.1677704864620728</v>
      </c>
      <c r="AV714"/>
      <c r="AW714"/>
      <c r="FY714" s="210">
        <v>709</v>
      </c>
      <c r="FZ714">
        <v>1.1941711260257952</v>
      </c>
      <c r="GA714">
        <v>2.9532117776007727</v>
      </c>
      <c r="GB714">
        <v>2.3628306163907906</v>
      </c>
      <c r="GC714">
        <v>1.0871467424968053</v>
      </c>
      <c r="GD714">
        <v>2.2177997605465833</v>
      </c>
      <c r="GE714">
        <v>4.0355252216001407</v>
      </c>
      <c r="GF714">
        <v>4.2964025234877576</v>
      </c>
      <c r="GG714">
        <v>4.3722213299351829</v>
      </c>
      <c r="GH714">
        <v>1.442835333696483</v>
      </c>
      <c r="GI714">
        <v>3.1047405481703145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21.822156346512962</v>
      </c>
      <c r="AO715">
        <v>5.9397086271513873</v>
      </c>
      <c r="AP715">
        <v>45.555526036027715</v>
      </c>
      <c r="AQ715">
        <v>38.1945769013046</v>
      </c>
      <c r="AR715">
        <v>5.5182263124867275</v>
      </c>
      <c r="AS715">
        <v>24.258255832239232</v>
      </c>
      <c r="AT715">
        <v>4.0362695639286343</v>
      </c>
      <c r="AU715">
        <v>6.9173934270255053</v>
      </c>
      <c r="AV715"/>
      <c r="AW715"/>
      <c r="FY715" s="210">
        <v>710</v>
      </c>
      <c r="FZ715">
        <v>1.4680494633869112</v>
      </c>
      <c r="GA715">
        <v>1.7710026902574347</v>
      </c>
      <c r="GB715">
        <v>1.2695958809948547</v>
      </c>
      <c r="GC715">
        <v>0.77895199877938548</v>
      </c>
      <c r="GD715">
        <v>2.2280792653101562</v>
      </c>
      <c r="GE715">
        <v>5.6439418634863978</v>
      </c>
      <c r="GF715">
        <v>7.5200136090245451</v>
      </c>
      <c r="GG715">
        <v>7.869800916645973</v>
      </c>
      <c r="GH715">
        <v>5.4412151409991987</v>
      </c>
      <c r="GI715">
        <v>4.1299296344779064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28.549980980753823</v>
      </c>
      <c r="AO716">
        <v>5.7934828509491663</v>
      </c>
      <c r="AP716">
        <v>39.086546618405769</v>
      </c>
      <c r="AQ716">
        <v>35.005611709818943</v>
      </c>
      <c r="AR716">
        <v>5.4032489129308194</v>
      </c>
      <c r="AS716">
        <v>24.971319995347304</v>
      </c>
      <c r="AT716">
        <v>3.4347251844995168</v>
      </c>
      <c r="AU716">
        <v>2.0675768455433747</v>
      </c>
      <c r="AV716"/>
      <c r="AW716"/>
      <c r="FY716" s="210">
        <v>711</v>
      </c>
      <c r="FZ716">
        <v>1.2004059716485682</v>
      </c>
      <c r="GA716">
        <v>2.7531380818144031</v>
      </c>
      <c r="GB716">
        <v>2.416310578147622</v>
      </c>
      <c r="GC716">
        <v>1.2969779085421858</v>
      </c>
      <c r="GD716">
        <v>1.1294040191949104</v>
      </c>
      <c r="GE716">
        <v>2.9396644624670407</v>
      </c>
      <c r="GF716">
        <v>4.4253172230220397</v>
      </c>
      <c r="GG716">
        <v>4.0211219965937008</v>
      </c>
      <c r="GH716">
        <v>4.6507796624101836</v>
      </c>
      <c r="GI716">
        <v>3.0062502802161721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22.968315496661479</v>
      </c>
      <c r="AO717">
        <v>4.3755382386747588</v>
      </c>
      <c r="AP717">
        <v>33.056950388500816</v>
      </c>
      <c r="AQ717">
        <v>27.890873276683656</v>
      </c>
      <c r="AR717">
        <v>4.0941204608945361</v>
      </c>
      <c r="AS717">
        <v>19.67771848311736</v>
      </c>
      <c r="AT717">
        <v>2.749640405001248</v>
      </c>
      <c r="AU717">
        <v>-3.9863283605555515</v>
      </c>
      <c r="AV717"/>
      <c r="AW717"/>
      <c r="FY717" s="210">
        <v>712</v>
      </c>
      <c r="FZ717">
        <v>1.1036055964813443</v>
      </c>
      <c r="GA717">
        <v>2.0785660522682714</v>
      </c>
      <c r="GB717">
        <v>1.4097639963309181</v>
      </c>
      <c r="GC717">
        <v>0.76931887678182032</v>
      </c>
      <c r="GD717">
        <v>2.2468156596648012</v>
      </c>
      <c r="GE717">
        <v>5.5236084223018533</v>
      </c>
      <c r="GF717">
        <v>6.9918950231734955</v>
      </c>
      <c r="GG717">
        <v>7.6845912761369934</v>
      </c>
      <c r="GH717">
        <v>5.9966931696303174</v>
      </c>
      <c r="GI717">
        <v>4.0931653605704357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20.266104930333654</v>
      </c>
      <c r="AO718">
        <v>4.6023814319793654</v>
      </c>
      <c r="AP718">
        <v>34.002569511993237</v>
      </c>
      <c r="AQ718">
        <v>29.164361695538215</v>
      </c>
      <c r="AR718">
        <v>4.2861837563058529</v>
      </c>
      <c r="AS718">
        <v>19.08238193619221</v>
      </c>
      <c r="AT718">
        <v>2.9820492409239585</v>
      </c>
      <c r="AU718">
        <v>2.3594941436202355</v>
      </c>
      <c r="AV718"/>
      <c r="AW718"/>
      <c r="FY718" s="210">
        <v>713</v>
      </c>
      <c r="FZ718">
        <v>1.0354594066334275</v>
      </c>
      <c r="GA718">
        <v>2.5847399313026664</v>
      </c>
      <c r="GB718">
        <v>1.9959429910571553</v>
      </c>
      <c r="GC718">
        <v>1.1656462201103588</v>
      </c>
      <c r="GD718">
        <v>1.7088906497292999</v>
      </c>
      <c r="GE718">
        <v>4.4489915630747863</v>
      </c>
      <c r="GF718">
        <v>6.881075335603823</v>
      </c>
      <c r="GG718">
        <v>3.9830823566930347</v>
      </c>
      <c r="GH718">
        <v>1.9791672977254975</v>
      </c>
      <c r="GI718">
        <v>3.2500900770052796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29.647351160072141</v>
      </c>
      <c r="AO719">
        <v>6.5577330124722319</v>
      </c>
      <c r="AP719">
        <v>46.908504052067258</v>
      </c>
      <c r="AQ719">
        <v>40.748868008782729</v>
      </c>
      <c r="AR719">
        <v>6.1695905270313558</v>
      </c>
      <c r="AS719">
        <v>27.311826197359999</v>
      </c>
      <c r="AT719">
        <v>3.8174401302629035</v>
      </c>
      <c r="AU719">
        <v>8.2316091414321093</v>
      </c>
      <c r="AV719"/>
      <c r="AW719"/>
      <c r="FY719" s="210">
        <v>714</v>
      </c>
      <c r="FZ719">
        <v>1.3384429880695774</v>
      </c>
      <c r="GA719">
        <v>2.459849238655945</v>
      </c>
      <c r="GB719">
        <v>1.6404188487887126</v>
      </c>
      <c r="GC719">
        <v>0.93955973758440048</v>
      </c>
      <c r="GD719">
        <v>1.1801236169825198</v>
      </c>
      <c r="GE719">
        <v>2.9481277053056303</v>
      </c>
      <c r="GF719">
        <v>4.5271527554934954</v>
      </c>
      <c r="GG719">
        <v>4.2277796991395</v>
      </c>
      <c r="GH719">
        <v>3.7401785798022926</v>
      </c>
      <c r="GI719">
        <v>2.7334475002745071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33.652519271711235</v>
      </c>
      <c r="AO720">
        <v>6.1935531093038803</v>
      </c>
      <c r="AP720">
        <v>44.004356416069768</v>
      </c>
      <c r="AQ720">
        <v>38.796621979108345</v>
      </c>
      <c r="AR720">
        <v>5.8624924579336168</v>
      </c>
      <c r="AS720">
        <v>30.100741213994272</v>
      </c>
      <c r="AT720">
        <v>3.6734857799748855</v>
      </c>
      <c r="AU720">
        <v>3.1933711615749645</v>
      </c>
      <c r="AV720"/>
      <c r="AW720"/>
      <c r="FY720" s="210">
        <v>715</v>
      </c>
      <c r="FZ720">
        <v>1.2481029879029901</v>
      </c>
      <c r="GA720">
        <v>2.6813742839045696</v>
      </c>
      <c r="GB720">
        <v>1.4514255653899906</v>
      </c>
      <c r="GC720">
        <v>0.61471862753112183</v>
      </c>
      <c r="GD720">
        <v>1.5138484297566563</v>
      </c>
      <c r="GE720">
        <v>3.7136555514860898</v>
      </c>
      <c r="GF720">
        <v>6.5992661485634034</v>
      </c>
      <c r="GG720">
        <v>5.7027230682244907</v>
      </c>
      <c r="GH720">
        <v>3.7182321637570679</v>
      </c>
      <c r="GI720">
        <v>3.2441204420112975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21.883182832484692</v>
      </c>
      <c r="AO721">
        <v>5.3251903391495201</v>
      </c>
      <c r="AP721">
        <v>39.369041562518596</v>
      </c>
      <c r="AQ721">
        <v>33.109406147698785</v>
      </c>
      <c r="AR721">
        <v>5.0791047341993147</v>
      </c>
      <c r="AS721">
        <v>24.715150261577016</v>
      </c>
      <c r="AT721">
        <v>3.511303322053426</v>
      </c>
      <c r="AU721">
        <v>-2.4645848584190171</v>
      </c>
      <c r="AV721"/>
      <c r="AW721"/>
      <c r="FY721" s="210">
        <v>716</v>
      </c>
      <c r="FZ721">
        <v>0.84264800912150128</v>
      </c>
      <c r="GA721">
        <v>1.3909072782986101</v>
      </c>
      <c r="GB721">
        <v>0.54975136814464454</v>
      </c>
      <c r="GC721">
        <v>0.64402765126495609</v>
      </c>
      <c r="GD721">
        <v>1.6048732625366882</v>
      </c>
      <c r="GE721">
        <v>3.7003900615359893</v>
      </c>
      <c r="GF721">
        <v>7.6424931896032469</v>
      </c>
      <c r="GG721">
        <v>6.5218250468701555</v>
      </c>
      <c r="GH721">
        <v>3.0386770262306517</v>
      </c>
      <c r="GI721">
        <v>3.1144265258027448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23.130378345305211</v>
      </c>
      <c r="AO722">
        <v>5.3176967092240357</v>
      </c>
      <c r="AP722">
        <v>43.558652804450666</v>
      </c>
      <c r="AQ722">
        <v>35.818741432607958</v>
      </c>
      <c r="AR722">
        <v>4.8129863118332521</v>
      </c>
      <c r="AS722">
        <v>21.870436228632343</v>
      </c>
      <c r="AT722">
        <v>3.2843355841139856</v>
      </c>
      <c r="AU722">
        <v>-2.4251849951741145</v>
      </c>
      <c r="AV722"/>
      <c r="AW722"/>
      <c r="FY722" s="210">
        <v>717</v>
      </c>
      <c r="FZ722">
        <v>1.3447905983812825</v>
      </c>
      <c r="GA722">
        <v>1.462701193742203</v>
      </c>
      <c r="GB722">
        <v>0.92094066119097606</v>
      </c>
      <c r="GC722">
        <v>0.53189505451487418</v>
      </c>
      <c r="GD722">
        <v>0.61197231928235907</v>
      </c>
      <c r="GE722">
        <v>3.3314204485035912</v>
      </c>
      <c r="GF722">
        <v>7.4713434753699044</v>
      </c>
      <c r="GG722">
        <v>4.5568469292836813</v>
      </c>
      <c r="GH722">
        <v>3.0549379698760148</v>
      </c>
      <c r="GI722">
        <v>2.673040523314048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19.903448318429938</v>
      </c>
      <c r="AO723">
        <v>4.3166561561981016</v>
      </c>
      <c r="AP723">
        <v>30.715063312227024</v>
      </c>
      <c r="AQ723">
        <v>26.14050711005369</v>
      </c>
      <c r="AR723">
        <v>4.0700246827269249</v>
      </c>
      <c r="AS723">
        <v>19.295983698048662</v>
      </c>
      <c r="AT723">
        <v>2.8250750917155418</v>
      </c>
      <c r="AU723">
        <v>11.71182345878149</v>
      </c>
      <c r="AV723"/>
      <c r="AW723"/>
      <c r="FY723" s="210">
        <v>718</v>
      </c>
      <c r="FZ723">
        <v>1.2475391644583311</v>
      </c>
      <c r="GA723">
        <v>1.7558324822888416</v>
      </c>
      <c r="GB723">
        <v>0.96584619082508327</v>
      </c>
      <c r="GC723">
        <v>0.43194996738576141</v>
      </c>
      <c r="GD723">
        <v>1.7805374035327097</v>
      </c>
      <c r="GE723">
        <v>4.4930042566367625</v>
      </c>
      <c r="GF723">
        <v>5.1521905831794639</v>
      </c>
      <c r="GG723">
        <v>4.9165876805899256</v>
      </c>
      <c r="GH723">
        <v>3.478572407646682</v>
      </c>
      <c r="GI723">
        <v>2.9973339624395989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28.924312871629827</v>
      </c>
      <c r="AO724">
        <v>6.1543367989475817</v>
      </c>
      <c r="AP724">
        <v>38.983026112655594</v>
      </c>
      <c r="AQ724">
        <v>36.116194929919608</v>
      </c>
      <c r="AR724">
        <v>5.7638415823118887</v>
      </c>
      <c r="AS724">
        <v>27.470610898856542</v>
      </c>
      <c r="AT724">
        <v>3.799073231560234</v>
      </c>
      <c r="AU724">
        <v>4.5072964343937825</v>
      </c>
      <c r="AV724"/>
      <c r="AW724"/>
      <c r="FY724" s="210">
        <v>719</v>
      </c>
      <c r="FZ724">
        <v>1.3922620852578407</v>
      </c>
      <c r="GA724">
        <v>1.4557674933866998</v>
      </c>
      <c r="GB724">
        <v>1.1891819413792788</v>
      </c>
      <c r="GC724">
        <v>0.89360258849418961</v>
      </c>
      <c r="GD724">
        <v>2.1872770053303023</v>
      </c>
      <c r="GE724">
        <v>3.9337887377506036</v>
      </c>
      <c r="GF724">
        <v>3.0317044003353777</v>
      </c>
      <c r="GG724">
        <v>4.3546193206918904</v>
      </c>
      <c r="GH724">
        <v>4.2262856485370586</v>
      </c>
      <c r="GI724">
        <v>3.0327061961450368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21.875293645827124</v>
      </c>
      <c r="AO725">
        <v>4.5977021780947256</v>
      </c>
      <c r="AP725">
        <v>30.601290842434846</v>
      </c>
      <c r="AQ725">
        <v>27.066884979950625</v>
      </c>
      <c r="AR725">
        <v>4.3302225617576235</v>
      </c>
      <c r="AS725">
        <v>20.010110162107324</v>
      </c>
      <c r="AT725">
        <v>3.05155772455403</v>
      </c>
      <c r="AU725">
        <v>11.525542808792524</v>
      </c>
      <c r="AV725"/>
      <c r="AW725"/>
      <c r="FY725" s="210">
        <v>720</v>
      </c>
      <c r="FZ725">
        <v>1.13883292149022</v>
      </c>
      <c r="GA725">
        <v>2.4696705141591684</v>
      </c>
      <c r="GB725">
        <v>1.392444650095243</v>
      </c>
      <c r="GC725">
        <v>0.60559528894872705</v>
      </c>
      <c r="GD725">
        <v>2.1236631676915292</v>
      </c>
      <c r="GE725">
        <v>5.8847396828467291</v>
      </c>
      <c r="GF725">
        <v>8.2555050944356267</v>
      </c>
      <c r="GG725">
        <v>8.7087161781218647</v>
      </c>
      <c r="GH725">
        <v>6.5015844456068113</v>
      </c>
      <c r="GI725">
        <v>4.3495856185607167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25.634687940460775</v>
      </c>
      <c r="AO726">
        <v>6.1206407051623373</v>
      </c>
      <c r="AP726">
        <v>44.21673676148815</v>
      </c>
      <c r="AQ726">
        <v>38.120580463362757</v>
      </c>
      <c r="AR726">
        <v>5.6818997792318537</v>
      </c>
      <c r="AS726">
        <v>25.161431999651434</v>
      </c>
      <c r="AT726">
        <v>3.8264289697997995</v>
      </c>
      <c r="AU726">
        <v>-1.5948294135983299</v>
      </c>
      <c r="AV726"/>
      <c r="AW726"/>
      <c r="FY726" s="210">
        <v>721</v>
      </c>
      <c r="FZ726">
        <v>1.501419386981679</v>
      </c>
      <c r="GA726">
        <v>2.8636493474600955</v>
      </c>
      <c r="GB726">
        <v>1.9651915830961735</v>
      </c>
      <c r="GC726">
        <v>1.0750095363238812</v>
      </c>
      <c r="GD726">
        <v>1.6330040126351479</v>
      </c>
      <c r="GE726">
        <v>3.5131916862885006</v>
      </c>
      <c r="GF726">
        <v>3.7808800976345536</v>
      </c>
      <c r="GG726">
        <v>4.8181025784455764</v>
      </c>
      <c r="GH726">
        <v>4.5329926191268157</v>
      </c>
      <c r="GI726">
        <v>3.0862732909844404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20.997254235618595</v>
      </c>
      <c r="AO727">
        <v>4.3027716164588057</v>
      </c>
      <c r="AP727">
        <v>33.54387184175296</v>
      </c>
      <c r="AQ727">
        <v>27.839370184056822</v>
      </c>
      <c r="AR727">
        <v>4.0981334497258244</v>
      </c>
      <c r="AS727">
        <v>20.597684334008491</v>
      </c>
      <c r="AT727">
        <v>2.6884559055556481</v>
      </c>
      <c r="AU727">
        <v>0.75353446236086974</v>
      </c>
      <c r="AV727"/>
      <c r="AW727"/>
      <c r="FY727" s="210">
        <v>722</v>
      </c>
      <c r="FZ727">
        <v>0.77416352520678933</v>
      </c>
      <c r="GA727">
        <v>2.2891077344689683</v>
      </c>
      <c r="GB727">
        <v>1.486993401260372</v>
      </c>
      <c r="GC727">
        <v>0.5764211232700881</v>
      </c>
      <c r="GD727">
        <v>1.9600687954017733</v>
      </c>
      <c r="GE727">
        <v>5.5968761923555572</v>
      </c>
      <c r="GF727">
        <v>8.851153511578957</v>
      </c>
      <c r="GG727">
        <v>8.34394867039844</v>
      </c>
      <c r="GH727">
        <v>6.4107097452487736</v>
      </c>
      <c r="GI727">
        <v>4.3205750697519196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28.51186734581994</v>
      </c>
      <c r="AO728">
        <v>6.0452251077037698</v>
      </c>
      <c r="AP728">
        <v>43.915970783365786</v>
      </c>
      <c r="AQ728">
        <v>37.898023433340256</v>
      </c>
      <c r="AR728">
        <v>5.6235281699789619</v>
      </c>
      <c r="AS728">
        <v>26.481663422562495</v>
      </c>
      <c r="AT728">
        <v>3.806808093840615</v>
      </c>
      <c r="AU728">
        <v>7.2708383837206538</v>
      </c>
      <c r="AV728"/>
      <c r="AW728"/>
      <c r="FY728" s="210">
        <v>723</v>
      </c>
      <c r="FZ728">
        <v>1.0293373256995859</v>
      </c>
      <c r="GA728">
        <v>3.6074597735426051</v>
      </c>
      <c r="GB728">
        <v>2.2522790373094566</v>
      </c>
      <c r="GC728">
        <v>0.62685583370404596</v>
      </c>
      <c r="GD728">
        <v>0.85613070370725719</v>
      </c>
      <c r="GE728">
        <v>1.9222385853856354</v>
      </c>
      <c r="GF728">
        <v>6.5816571957542465</v>
      </c>
      <c r="GG728">
        <v>5.6940758040411961</v>
      </c>
      <c r="GH728">
        <v>1.6701365817187586</v>
      </c>
      <c r="GI728">
        <v>2.7140387186500714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24.473158165566648</v>
      </c>
      <c r="AO729">
        <v>4.7325326194600184</v>
      </c>
      <c r="AP729">
        <v>33.88140594891545</v>
      </c>
      <c r="AQ729">
        <v>29.033085828935327</v>
      </c>
      <c r="AR729">
        <v>4.4101147556729963</v>
      </c>
      <c r="AS729">
        <v>20.918131600865749</v>
      </c>
      <c r="AT729">
        <v>2.9298326189155017</v>
      </c>
      <c r="AU729">
        <v>3.9341743788833901</v>
      </c>
      <c r="AV729"/>
      <c r="AW729"/>
      <c r="FY729" s="210">
        <v>724</v>
      </c>
      <c r="FZ729">
        <v>1.262317315873712</v>
      </c>
      <c r="GA729">
        <v>2.9750306153378574</v>
      </c>
      <c r="GB729">
        <v>1.5886953117475549</v>
      </c>
      <c r="GC729">
        <v>0.54673707743327882</v>
      </c>
      <c r="GD729">
        <v>2.3967331146450537</v>
      </c>
      <c r="GE729">
        <v>5.0307192993142298</v>
      </c>
      <c r="GF729">
        <v>7.8175234988417728</v>
      </c>
      <c r="GG729">
        <v>8.2653050156306023</v>
      </c>
      <c r="GH729">
        <v>3.8462330245674878</v>
      </c>
      <c r="GI729">
        <v>4.0681341334126131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22.161407255323475</v>
      </c>
      <c r="AO730">
        <v>3.959637006400599</v>
      </c>
      <c r="AP730">
        <v>30.383588191610372</v>
      </c>
      <c r="AQ730">
        <v>25.735080670096583</v>
      </c>
      <c r="AR730">
        <v>3.7188953101081337</v>
      </c>
      <c r="AS730">
        <v>18.477257223718965</v>
      </c>
      <c r="AT730">
        <v>2.5001377721029523</v>
      </c>
      <c r="AU730">
        <v>-1.0260134993469321</v>
      </c>
      <c r="AV730"/>
      <c r="AW730"/>
      <c r="FY730" s="210">
        <v>725</v>
      </c>
      <c r="FZ730">
        <v>1.212988427583046</v>
      </c>
      <c r="GA730">
        <v>0.53077434389306721</v>
      </c>
      <c r="GB730">
        <v>0.68589258581028156</v>
      </c>
      <c r="GC730">
        <v>0.95640987330935734</v>
      </c>
      <c r="GD730">
        <v>1.1046307416978216</v>
      </c>
      <c r="GE730">
        <v>2.2526403125138774</v>
      </c>
      <c r="GF730">
        <v>9.483352960205341</v>
      </c>
      <c r="GG730">
        <v>12.911492694035477</v>
      </c>
      <c r="GH730">
        <v>8.6092243199801697</v>
      </c>
      <c r="GI730">
        <v>4.1378983452508917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29.112111762553717</v>
      </c>
      <c r="AO731">
        <v>4.6636939390353165</v>
      </c>
      <c r="AP731">
        <v>36.233497611968446</v>
      </c>
      <c r="AQ731">
        <v>30.487467268527677</v>
      </c>
      <c r="AR731">
        <v>4.4459225976664891</v>
      </c>
      <c r="AS731">
        <v>23.859691039364382</v>
      </c>
      <c r="AT731">
        <v>2.7323336886652876</v>
      </c>
      <c r="AU731">
        <v>4.6108866684760752</v>
      </c>
      <c r="AV731"/>
      <c r="AW731"/>
      <c r="FY731" s="210">
        <v>726</v>
      </c>
      <c r="FZ731">
        <v>1.2210806746199268</v>
      </c>
      <c r="GA731">
        <v>2.0260141568851995</v>
      </c>
      <c r="GB731">
        <v>1.7777287109116178</v>
      </c>
      <c r="GC731">
        <v>1.2381196970267374</v>
      </c>
      <c r="GD731">
        <v>1.9193510732558039</v>
      </c>
      <c r="GE731">
        <v>4.4956766969245709</v>
      </c>
      <c r="GF731">
        <v>5.794304690969776</v>
      </c>
      <c r="GG731">
        <v>5.5311088456403903</v>
      </c>
      <c r="GH731">
        <v>4.3897694456294136</v>
      </c>
      <c r="GI731">
        <v>3.5256221732861852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22.154257448228428</v>
      </c>
      <c r="AO732">
        <v>4.5896583449549961</v>
      </c>
      <c r="AP732">
        <v>34.122172658503224</v>
      </c>
      <c r="AQ732">
        <v>29.050019419409189</v>
      </c>
      <c r="AR732">
        <v>4.2646661910062749</v>
      </c>
      <c r="AS732">
        <v>21.258399476201877</v>
      </c>
      <c r="AT732" t="e">
        <v>#DIV/0!</v>
      </c>
      <c r="AU732" t="e">
        <v>#DIV/0!</v>
      </c>
      <c r="AV732"/>
      <c r="AW732"/>
      <c r="FY732" s="210">
        <v>727</v>
      </c>
      <c r="FZ732">
        <v>1.1656297053954197</v>
      </c>
      <c r="GA732">
        <v>2.6619480959623156</v>
      </c>
      <c r="GB732">
        <v>2.0236369048261542</v>
      </c>
      <c r="GC732">
        <v>0.82981027574384547</v>
      </c>
      <c r="GD732">
        <v>1.5789131494220088</v>
      </c>
      <c r="GE732">
        <v>4.7252384134333774</v>
      </c>
      <c r="GF732">
        <v>7.9733324726350201</v>
      </c>
      <c r="GG732">
        <v>7.1489131653824174</v>
      </c>
      <c r="GH732">
        <v>5.2795053114302846</v>
      </c>
      <c r="GI732">
        <v>3.9171949430678432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17.917075155439516</v>
      </c>
      <c r="AO733">
        <v>3.8440938970872089</v>
      </c>
      <c r="AP733">
        <v>31.810519158656241</v>
      </c>
      <c r="AQ733">
        <v>25.959889173458933</v>
      </c>
      <c r="AR733">
        <v>3.553410785713023</v>
      </c>
      <c r="AS733">
        <v>16.95033418360098</v>
      </c>
      <c r="AT733">
        <v>2.5650088828716044</v>
      </c>
      <c r="AU733">
        <v>3.5035811297956334</v>
      </c>
      <c r="AV733"/>
      <c r="AW733"/>
      <c r="FY733" s="210">
        <v>728</v>
      </c>
      <c r="FZ733">
        <v>1.2004059716485682</v>
      </c>
      <c r="GA733">
        <v>1.5090410826846101</v>
      </c>
      <c r="GB733">
        <v>0.95094327371854537</v>
      </c>
      <c r="GC733">
        <v>0.6213222141282766</v>
      </c>
      <c r="GD733">
        <v>1.6618578983311243</v>
      </c>
      <c r="GE733">
        <v>5.5731356642758278</v>
      </c>
      <c r="GF733">
        <v>9.6433065762193877</v>
      </c>
      <c r="GG733">
        <v>7.6845368238874814</v>
      </c>
      <c r="GH733">
        <v>4.7144990803492721</v>
      </c>
      <c r="GI733">
        <v>3.9464324857172843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22.916284729703847</v>
      </c>
      <c r="AO734">
        <v>4.3935279989798834</v>
      </c>
      <c r="AP734">
        <v>30.979394737172679</v>
      </c>
      <c r="AQ734">
        <v>27.219394098983159</v>
      </c>
      <c r="AR734">
        <v>4.1116695889240065</v>
      </c>
      <c r="AS734">
        <v>19.524892452582112</v>
      </c>
      <c r="AT734">
        <v>2.7149045727972232</v>
      </c>
      <c r="AU734">
        <v>23.070210399489081</v>
      </c>
      <c r="AV734"/>
      <c r="AW734"/>
      <c r="FY734" s="210">
        <v>729</v>
      </c>
      <c r="FZ734">
        <v>1.577432294488613</v>
      </c>
      <c r="GA734">
        <v>3.4622707341757297</v>
      </c>
      <c r="GB734">
        <v>1.4347313555885974</v>
      </c>
      <c r="GC734">
        <v>0.33360499759957973</v>
      </c>
      <c r="GD734">
        <v>1.1964860018485592</v>
      </c>
      <c r="GE734">
        <v>3.9337876691476255</v>
      </c>
      <c r="GF734">
        <v>5.4977178199219709</v>
      </c>
      <c r="GG734">
        <v>3.4840245378661048</v>
      </c>
      <c r="GH734">
        <v>2.6944269946695956</v>
      </c>
      <c r="GI734">
        <v>2.7409213631853384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21.266829525727367</v>
      </c>
      <c r="AO735">
        <v>4.3416186203747138</v>
      </c>
      <c r="AP735">
        <v>28.416553081241048</v>
      </c>
      <c r="AQ735">
        <v>25.697195417308279</v>
      </c>
      <c r="AR735">
        <v>4.2428184641610542</v>
      </c>
      <c r="AS735">
        <v>22.043062120334401</v>
      </c>
      <c r="AT735">
        <v>2.895477174488009</v>
      </c>
      <c r="AU735">
        <v>7.1067848835701328</v>
      </c>
      <c r="AV735"/>
      <c r="AW735"/>
      <c r="FY735" s="210">
        <v>730</v>
      </c>
      <c r="FZ735">
        <v>0.86495458412910398</v>
      </c>
      <c r="GA735">
        <v>1.8665742079013901</v>
      </c>
      <c r="GB735">
        <v>1.4932353304263519</v>
      </c>
      <c r="GC735">
        <v>0.775887827740811</v>
      </c>
      <c r="GD735">
        <v>1.9686026761479205</v>
      </c>
      <c r="GE735">
        <v>3.9450551581254549</v>
      </c>
      <c r="GF735">
        <v>4.9170037545457852</v>
      </c>
      <c r="GG735">
        <v>5.4305862600637544</v>
      </c>
      <c r="GH735">
        <v>3.2651186981504696</v>
      </c>
      <c r="GI735">
        <v>3.1035977278983231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27.497700506598346</v>
      </c>
      <c r="AO736">
        <v>6.475328231740737</v>
      </c>
      <c r="AP736">
        <v>48.642595363165668</v>
      </c>
      <c r="AQ736">
        <v>41.430337561956634</v>
      </c>
      <c r="AR736">
        <v>5.9540734903119308</v>
      </c>
      <c r="AS736">
        <v>26.21960707180364</v>
      </c>
      <c r="AT736">
        <v>3.8223953759827212</v>
      </c>
      <c r="AU736">
        <v>-5.2453896107319746</v>
      </c>
      <c r="AV736"/>
      <c r="AW736"/>
      <c r="FY736" s="210">
        <v>731</v>
      </c>
      <c r="FZ736">
        <v>1.303328427749634</v>
      </c>
      <c r="GA736">
        <v>2.2588888596588332</v>
      </c>
      <c r="GB736">
        <v>1.0733773486638338</v>
      </c>
      <c r="GC736">
        <v>0.64426605629221834</v>
      </c>
      <c r="GD736">
        <v>1.3368310728721662</v>
      </c>
      <c r="GE736">
        <v>4.1825284170378882</v>
      </c>
      <c r="GF736">
        <v>6.0334976576551798</v>
      </c>
      <c r="GG736">
        <v>6.9027991723396811</v>
      </c>
      <c r="GH736">
        <v>6.9990285286987035</v>
      </c>
      <c r="GI736">
        <v>3.4832084334784019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23.344673224581705</v>
      </c>
      <c r="AO737">
        <v>4.5278259670032659</v>
      </c>
      <c r="AP737">
        <v>33.239620163982053</v>
      </c>
      <c r="AQ737">
        <v>28.769714138976862</v>
      </c>
      <c r="AR737">
        <v>4.2356496697048138</v>
      </c>
      <c r="AS737">
        <v>22.070258492324598</v>
      </c>
      <c r="AT737">
        <v>2.9746602863762273</v>
      </c>
      <c r="AU737">
        <v>5.1107992598162859</v>
      </c>
      <c r="AV737"/>
      <c r="AW737"/>
      <c r="FY737" s="210">
        <v>732</v>
      </c>
      <c r="FZ737">
        <v>1.1183837478967249</v>
      </c>
      <c r="GA737">
        <v>3.1659692975015177</v>
      </c>
      <c r="GB737">
        <v>1.9955845802629013</v>
      </c>
      <c r="GC737">
        <v>0.89261589828149546</v>
      </c>
      <c r="GD737">
        <v>1.952517719593672</v>
      </c>
      <c r="GE737">
        <v>3.7288453523008966</v>
      </c>
      <c r="GF737">
        <v>2.6502411127657939</v>
      </c>
      <c r="GG737">
        <v>5.8418545788991132</v>
      </c>
      <c r="GH737">
        <v>8.3059431789215292</v>
      </c>
      <c r="GI737">
        <v>3.6284910688036618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29.40171369568467</v>
      </c>
      <c r="AO738">
        <v>6.3206899531273413</v>
      </c>
      <c r="AP738">
        <v>48.416049487272659</v>
      </c>
      <c r="AQ738">
        <v>40.610017768941638</v>
      </c>
      <c r="AR738">
        <v>5.9294751091179734</v>
      </c>
      <c r="AS738">
        <v>25.931141855131457</v>
      </c>
      <c r="AT738">
        <v>3.5654390762044668</v>
      </c>
      <c r="AU738">
        <v>-1.1953391089620053</v>
      </c>
      <c r="AV738"/>
      <c r="AW738"/>
      <c r="FY738" s="210">
        <v>733</v>
      </c>
      <c r="FZ738">
        <v>1.344565069003419</v>
      </c>
      <c r="GA738">
        <v>1.4007875950716044</v>
      </c>
      <c r="GB738">
        <v>1.812518442440276</v>
      </c>
      <c r="GC738">
        <v>0.9914910183892226</v>
      </c>
      <c r="GD738">
        <v>0.6408631205736538</v>
      </c>
      <c r="GE738">
        <v>1.1762218301253096</v>
      </c>
      <c r="GF738">
        <v>4.4446967916799753</v>
      </c>
      <c r="GG738">
        <v>7.5451225908419115</v>
      </c>
      <c r="GH738">
        <v>6.0908060068263197</v>
      </c>
      <c r="GI738">
        <v>2.8302176897501887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19.14819266381766</v>
      </c>
      <c r="AO739">
        <v>3.9655613267099006</v>
      </c>
      <c r="AP739">
        <v>34.105062848364206</v>
      </c>
      <c r="AQ739">
        <v>26.954209559512861</v>
      </c>
      <c r="AR739">
        <v>3.7719389289426548</v>
      </c>
      <c r="AS739">
        <v>19.199304585971351</v>
      </c>
      <c r="AT739">
        <v>2.5091346930877232</v>
      </c>
      <c r="AU739">
        <v>-1.4650222680175253</v>
      </c>
      <c r="AV739"/>
      <c r="AW739"/>
      <c r="FY739" s="210">
        <v>734</v>
      </c>
      <c r="FZ739">
        <v>1.6122085607417618</v>
      </c>
      <c r="GA739">
        <v>2.4961482521790703</v>
      </c>
      <c r="GB739">
        <v>1.9825138443976988</v>
      </c>
      <c r="GC739">
        <v>0.74331076683630459</v>
      </c>
      <c r="GD739">
        <v>1.2599665906376325</v>
      </c>
      <c r="GE739">
        <v>3.1945814946685935</v>
      </c>
      <c r="GF739">
        <v>4.6123885647861913</v>
      </c>
      <c r="GG739">
        <v>4.9107344794408014</v>
      </c>
      <c r="GH739">
        <v>3.173231573380618</v>
      </c>
      <c r="GI739">
        <v>2.8452273012538454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29.728717379159338</v>
      </c>
      <c r="AO740">
        <v>6.0105067482111068</v>
      </c>
      <c r="AP740">
        <v>44.097709901169253</v>
      </c>
      <c r="AQ740">
        <v>37.797428406804165</v>
      </c>
      <c r="AR740">
        <v>5.6568149812319426</v>
      </c>
      <c r="AS740">
        <v>26.663586977066515</v>
      </c>
      <c r="AT740">
        <v>3.4964599366914526</v>
      </c>
      <c r="AU740">
        <v>4.9101479590996977E-2</v>
      </c>
      <c r="AV740"/>
      <c r="AW740"/>
      <c r="FY740" s="210">
        <v>735</v>
      </c>
      <c r="FZ740">
        <v>0.98023396678678376</v>
      </c>
      <c r="GA740">
        <v>1.9375670157767948</v>
      </c>
      <c r="GB740">
        <v>1.4485242813456412</v>
      </c>
      <c r="GC740">
        <v>0.87842027585397409</v>
      </c>
      <c r="GD740">
        <v>1.3128388139457614</v>
      </c>
      <c r="GE740">
        <v>2.8153993817142893</v>
      </c>
      <c r="GF740">
        <v>7.8901440240424776</v>
      </c>
      <c r="GG740">
        <v>9.0990034823709269</v>
      </c>
      <c r="GH740">
        <v>5.7383042494367436</v>
      </c>
      <c r="GI740">
        <v>3.6690741195902845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26.37978018937617</v>
      </c>
      <c r="AO741">
        <v>6.1337433847313161</v>
      </c>
      <c r="AP741">
        <v>52.354184295863512</v>
      </c>
      <c r="AQ741">
        <v>41.885304604279327</v>
      </c>
      <c r="AR741">
        <v>5.7520972416168883</v>
      </c>
      <c r="AS741">
        <v>26.514715274276583</v>
      </c>
      <c r="AT741">
        <v>3.6574325945048973</v>
      </c>
      <c r="AU741">
        <v>-2.9450746621839672</v>
      </c>
      <c r="AV741"/>
      <c r="AW741"/>
      <c r="FY741" s="210">
        <v>736</v>
      </c>
      <c r="FZ741">
        <v>1.4122602000956088</v>
      </c>
      <c r="GA741">
        <v>2.6334393484716756</v>
      </c>
      <c r="GB741">
        <v>1.2968878287510588</v>
      </c>
      <c r="GC741">
        <v>0.47773586376209531</v>
      </c>
      <c r="GD741">
        <v>1.7190010881261775</v>
      </c>
      <c r="GE741">
        <v>4.1885117116827493</v>
      </c>
      <c r="GF741">
        <v>7.6730974458715586</v>
      </c>
      <c r="GG741">
        <v>6.5287517532415009</v>
      </c>
      <c r="GH741">
        <v>2.6298393627908228</v>
      </c>
      <c r="GI741">
        <v>3.4030614251852076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29.696990628516364</v>
      </c>
      <c r="AO742">
        <v>5.1753238950784839</v>
      </c>
      <c r="AP742">
        <v>36.905660648645636</v>
      </c>
      <c r="AQ742">
        <v>31.91877616514962</v>
      </c>
      <c r="AR742">
        <v>4.8244056725244935</v>
      </c>
      <c r="AS742">
        <v>23.085265515422513</v>
      </c>
      <c r="AT742">
        <v>3.2149602261710801</v>
      </c>
      <c r="AU742">
        <v>5.8758397886927725</v>
      </c>
      <c r="AV742"/>
      <c r="AW742"/>
      <c r="FY742" s="210">
        <v>737</v>
      </c>
      <c r="FZ742">
        <v>1.1449550024240611</v>
      </c>
      <c r="GA742">
        <v>3.2691043915131424</v>
      </c>
      <c r="GB742">
        <v>2.1171215803069332</v>
      </c>
      <c r="GC742">
        <v>0.96175363228539223</v>
      </c>
      <c r="GD742">
        <v>1.184593256640746</v>
      </c>
      <c r="GE742">
        <v>3.2289537100984065</v>
      </c>
      <c r="GF742">
        <v>6.2591563359012801</v>
      </c>
      <c r="GG742">
        <v>6.2242727018968109</v>
      </c>
      <c r="GH742">
        <v>5.4913292638751878</v>
      </c>
      <c r="GI742">
        <v>3.4399883000606568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31.950462850738585</v>
      </c>
      <c r="AO743">
        <v>5.7049761420215113</v>
      </c>
      <c r="AP743">
        <v>44.742789833968978</v>
      </c>
      <c r="AQ743">
        <v>37.304122437298687</v>
      </c>
      <c r="AR743">
        <v>5.343624060547973</v>
      </c>
      <c r="AS743">
        <v>27.298012753859435</v>
      </c>
      <c r="AT743">
        <v>3.4290414465941006</v>
      </c>
      <c r="AU743">
        <v>9.6920356123525178</v>
      </c>
      <c r="AV743"/>
      <c r="AW743"/>
      <c r="FY743" s="210">
        <v>738</v>
      </c>
      <c r="FZ743">
        <v>1.2542250688368313</v>
      </c>
      <c r="GA743">
        <v>2.2759856369082461</v>
      </c>
      <c r="GB743">
        <v>1.0020634359510097</v>
      </c>
      <c r="GC743">
        <v>0.54598879224784669</v>
      </c>
      <c r="GD743">
        <v>1.2008526042740686</v>
      </c>
      <c r="GE743">
        <v>2.3341967130903374</v>
      </c>
      <c r="GF743">
        <v>3.5971850142093693</v>
      </c>
      <c r="GG743">
        <v>5.0414817316852849</v>
      </c>
      <c r="GH743">
        <v>4.5918861407684997</v>
      </c>
      <c r="GI743">
        <v>2.5547211644628605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28.743702147048129</v>
      </c>
      <c r="AO744">
        <v>5.8310962738392362</v>
      </c>
      <c r="AP744">
        <v>44.245537443192397</v>
      </c>
      <c r="AQ744">
        <v>37.505481070960371</v>
      </c>
      <c r="AR744">
        <v>5.3265116541822985</v>
      </c>
      <c r="AS744">
        <v>25.105378431067699</v>
      </c>
      <c r="AT744">
        <v>3.5298958051239002</v>
      </c>
      <c r="AU744">
        <v>-3.2670150986526645</v>
      </c>
      <c r="AV744"/>
      <c r="AW744"/>
      <c r="FY744" s="210">
        <v>739</v>
      </c>
      <c r="FZ744">
        <v>0.99478658882430104</v>
      </c>
      <c r="GA744">
        <v>2.2702493772346397</v>
      </c>
      <c r="GB744">
        <v>2.4542898437547715</v>
      </c>
      <c r="GC744">
        <v>1.0859402551427066</v>
      </c>
      <c r="GD744">
        <v>2.0686904827673489</v>
      </c>
      <c r="GE744">
        <v>4.2487557448741899</v>
      </c>
      <c r="GF744">
        <v>5.5492772583960202</v>
      </c>
      <c r="GG744">
        <v>6.2888820558355318</v>
      </c>
      <c r="GH744">
        <v>3.8034213917152431</v>
      </c>
      <c r="GI744">
        <v>3.6110960376251269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25.66851200154548</v>
      </c>
      <c r="AO745">
        <v>3.9470008209740661</v>
      </c>
      <c r="AP745">
        <v>30.989882639664515</v>
      </c>
      <c r="AQ745">
        <v>26.355403768491716</v>
      </c>
      <c r="AR745">
        <v>3.6843890254530796</v>
      </c>
      <c r="AS745">
        <v>20.148445541809728</v>
      </c>
      <c r="AT745">
        <v>2.4686809540972585</v>
      </c>
      <c r="AU745">
        <v>3.6231069577347581</v>
      </c>
      <c r="AV745"/>
      <c r="AW745"/>
      <c r="FY745" s="210">
        <v>740</v>
      </c>
      <c r="FZ745">
        <v>0.70012078380289477</v>
      </c>
      <c r="GA745">
        <v>1.2120508076255949</v>
      </c>
      <c r="GB745">
        <v>1.2637173620154984</v>
      </c>
      <c r="GC745">
        <v>0.80111292011973068</v>
      </c>
      <c r="GD745">
        <v>1.1263185378847873</v>
      </c>
      <c r="GE745">
        <v>2.5035025297118843</v>
      </c>
      <c r="GF745">
        <v>5.099759586191519</v>
      </c>
      <c r="GG745">
        <v>7.2180898559852258</v>
      </c>
      <c r="GH745">
        <v>6.1781996308527747</v>
      </c>
      <c r="GI745">
        <v>3.0168626399306793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22.88951491387153</v>
      </c>
      <c r="AO746">
        <v>4.5610104365331043</v>
      </c>
      <c r="AP746">
        <v>31.849575042027258</v>
      </c>
      <c r="AQ746">
        <v>27.630616225129366</v>
      </c>
      <c r="AR746">
        <v>4.3281411284640043</v>
      </c>
      <c r="AS746">
        <v>20.369298234866918</v>
      </c>
      <c r="AT746">
        <v>2.7567627398220562</v>
      </c>
      <c r="AU746">
        <v>6.9484975566341003</v>
      </c>
      <c r="AV746"/>
      <c r="AW746"/>
      <c r="FY746" s="210">
        <v>741</v>
      </c>
      <c r="FZ746">
        <v>0.86450352537337694</v>
      </c>
      <c r="GA746">
        <v>3.1379620625592142</v>
      </c>
      <c r="GB746">
        <v>1.6405102485225305</v>
      </c>
      <c r="GC746">
        <v>0.51439851829903416</v>
      </c>
      <c r="GD746">
        <v>1.2009247677443855</v>
      </c>
      <c r="GE746">
        <v>2.7244263910662663</v>
      </c>
      <c r="GF746">
        <v>6.9196997558381064</v>
      </c>
      <c r="GG746">
        <v>7.310007571041667</v>
      </c>
      <c r="GH746">
        <v>3.9555681744504714</v>
      </c>
      <c r="GI746">
        <v>3.1870536855087592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21.931507771434632</v>
      </c>
      <c r="AO747">
        <v>5.1420896352125016</v>
      </c>
      <c r="AP747">
        <v>40.63546460328498</v>
      </c>
      <c r="AQ747">
        <v>34.217753974446538</v>
      </c>
      <c r="AR747">
        <v>4.7287377636457304</v>
      </c>
      <c r="AS747">
        <v>22.828578065634574</v>
      </c>
      <c r="AT747">
        <v>3.1451696594670842</v>
      </c>
      <c r="AU747">
        <v>0.5218596231956214</v>
      </c>
      <c r="AV747"/>
      <c r="AW747"/>
      <c r="FY747" s="210">
        <v>742</v>
      </c>
      <c r="FZ747">
        <v>1.2969808174379289</v>
      </c>
      <c r="GA747">
        <v>3.8594393141485197</v>
      </c>
      <c r="GB747">
        <v>2.2027967589676112</v>
      </c>
      <c r="GC747">
        <v>0.72116541656284039</v>
      </c>
      <c r="GD747">
        <v>2.2583180430398113</v>
      </c>
      <c r="GE747">
        <v>4.411448358543443</v>
      </c>
      <c r="GF747">
        <v>4.809458843586806</v>
      </c>
      <c r="GG747">
        <v>7.53631069047956</v>
      </c>
      <c r="GH747">
        <v>6.6795203744372964</v>
      </c>
      <c r="GI747">
        <v>4.0526696069513957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20.319008452740071</v>
      </c>
      <c r="AO748">
        <v>5.1825957035815522</v>
      </c>
      <c r="AP748">
        <v>39.066595320844584</v>
      </c>
      <c r="AQ748">
        <v>33.280446535227306</v>
      </c>
      <c r="AR748">
        <v>5.0841508076614668</v>
      </c>
      <c r="AS748">
        <v>22.000459536137068</v>
      </c>
      <c r="AT748">
        <v>3.3802810132586774</v>
      </c>
      <c r="AU748">
        <v>11.955915684367231</v>
      </c>
      <c r="AV748"/>
      <c r="AW748"/>
      <c r="FY748" s="210">
        <v>743</v>
      </c>
      <c r="FZ748">
        <v>1.3512509733819191</v>
      </c>
      <c r="GA748">
        <v>2.6109546212376564</v>
      </c>
      <c r="GB748">
        <v>1.3514885904498812</v>
      </c>
      <c r="GC748">
        <v>0.71241710008342074</v>
      </c>
      <c r="GD748">
        <v>1.8967001818853677</v>
      </c>
      <c r="GE748">
        <v>5.7768450089765793</v>
      </c>
      <c r="GF748">
        <v>5.4990358756633437</v>
      </c>
      <c r="GG748">
        <v>2.833597239109503</v>
      </c>
      <c r="GH748">
        <v>2.9806430806914253</v>
      </c>
      <c r="GI748">
        <v>3.1429109263714201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17.87599206349206</v>
      </c>
      <c r="AO749">
        <v>4.1359813741885398</v>
      </c>
      <c r="AP749">
        <v>35.888470325943089</v>
      </c>
      <c r="AQ749">
        <v>28.27729015470188</v>
      </c>
      <c r="AR749">
        <v>3.9715874682038446</v>
      </c>
      <c r="AS749">
        <v>16.639845560033368</v>
      </c>
      <c r="AT749">
        <v>2.8412664460467609</v>
      </c>
      <c r="AU749">
        <v>19.508577691163065</v>
      </c>
      <c r="AV749"/>
      <c r="AW749"/>
      <c r="FY749" s="210">
        <v>744</v>
      </c>
      <c r="FZ749">
        <v>0.95343718288158397</v>
      </c>
      <c r="GA749">
        <v>3.1425920391060189</v>
      </c>
      <c r="GB749">
        <v>2.2190549168584912</v>
      </c>
      <c r="GC749">
        <v>0.85721307136567659</v>
      </c>
      <c r="GD749">
        <v>1.2470963230536567</v>
      </c>
      <c r="GE749">
        <v>3.2614677015835509</v>
      </c>
      <c r="GF749">
        <v>7.0165680518489788</v>
      </c>
      <c r="GG749">
        <v>6.7440552743070921</v>
      </c>
      <c r="GH749">
        <v>4.1820098463702893</v>
      </c>
      <c r="GI749">
        <v>3.4035267743062732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21.901801409780131</v>
      </c>
      <c r="AO750">
        <v>4.159232799430451</v>
      </c>
      <c r="AP750">
        <v>31.9163370070419</v>
      </c>
      <c r="AQ750">
        <v>26.830311428322521</v>
      </c>
      <c r="AR750">
        <v>3.9190584115812159</v>
      </c>
      <c r="AS750">
        <v>18.94409173206834</v>
      </c>
      <c r="AT750">
        <v>2.6503146249902749</v>
      </c>
      <c r="AU750">
        <v>-3.5980823395481618</v>
      </c>
      <c r="AV750"/>
      <c r="AW750"/>
      <c r="FY750" s="210">
        <v>745</v>
      </c>
      <c r="FZ750">
        <v>0.90551463724929859</v>
      </c>
      <c r="GA750">
        <v>2.5724670436319741</v>
      </c>
      <c r="GB750">
        <v>1.6055698468475277</v>
      </c>
      <c r="GC750">
        <v>0.86507648558395156</v>
      </c>
      <c r="GD750">
        <v>1.913511407799672</v>
      </c>
      <c r="GE750">
        <v>3.5762254005083642</v>
      </c>
      <c r="GF750">
        <v>5.9769778471288078</v>
      </c>
      <c r="GG750">
        <v>6.514120501797847</v>
      </c>
      <c r="GH750">
        <v>3.1609924146412096</v>
      </c>
      <c r="GI750">
        <v>3.2857001108765727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26.252117096952436</v>
      </c>
      <c r="AO751">
        <v>5.3856598080128872</v>
      </c>
      <c r="AP751">
        <v>44.229514966484587</v>
      </c>
      <c r="AQ751">
        <v>35.769509610863679</v>
      </c>
      <c r="AR751">
        <v>5.0982182778974652</v>
      </c>
      <c r="AS751">
        <v>23.496709629805842</v>
      </c>
      <c r="AT751">
        <v>3.0997189604330071</v>
      </c>
      <c r="AU751">
        <v>-6.1051056288155277</v>
      </c>
      <c r="AV751"/>
      <c r="AW751"/>
      <c r="FY751" s="210">
        <v>746</v>
      </c>
      <c r="FZ751">
        <v>0.8236051781863869</v>
      </c>
      <c r="GA751">
        <v>1.6898895933093976</v>
      </c>
      <c r="GB751">
        <v>1.1423876617225817</v>
      </c>
      <c r="GC751">
        <v>0.96924378342120976</v>
      </c>
      <c r="GD751">
        <v>3.3430233444792212</v>
      </c>
      <c r="GE751">
        <v>7.1602186147476852</v>
      </c>
      <c r="GF751">
        <v>5.2784513712187788</v>
      </c>
      <c r="GG751">
        <v>6.1963526342013937</v>
      </c>
      <c r="GH751">
        <v>6.3680771672524532</v>
      </c>
      <c r="GI751">
        <v>4.3723879852722716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22.161890771265767</v>
      </c>
      <c r="AO752">
        <v>4.9911423357644944</v>
      </c>
      <c r="AP752">
        <v>37.788374193183301</v>
      </c>
      <c r="AQ752">
        <v>31.962586027978453</v>
      </c>
      <c r="AR752">
        <v>4.6822289794227094</v>
      </c>
      <c r="AS752">
        <v>23.923241812562765</v>
      </c>
      <c r="AT752">
        <v>3.1515993278964056</v>
      </c>
      <c r="AU752">
        <v>-1.1869608482605365</v>
      </c>
      <c r="AV752"/>
      <c r="AW752"/>
      <c r="FY752" s="210">
        <v>747</v>
      </c>
      <c r="FZ752">
        <v>1.3511382086929873</v>
      </c>
      <c r="GA752">
        <v>2.277373753770191</v>
      </c>
      <c r="GB752">
        <v>1.3999389224286665</v>
      </c>
      <c r="GC752">
        <v>0.56753628645795506</v>
      </c>
      <c r="GD752">
        <v>1.7362950492296894</v>
      </c>
      <c r="GE752">
        <v>5.0084701738291759</v>
      </c>
      <c r="GF752">
        <v>7.4216569943241186</v>
      </c>
      <c r="GG752">
        <v>10.443797727284871</v>
      </c>
      <c r="GH752">
        <v>10.480575452455733</v>
      </c>
      <c r="GI752">
        <v>4.628062388697753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19.986702533577535</v>
      </c>
      <c r="AO753">
        <v>5.0048335591142799</v>
      </c>
      <c r="AP753">
        <v>40.946133236316967</v>
      </c>
      <c r="AQ753">
        <v>33.321228175002616</v>
      </c>
      <c r="AR753">
        <v>4.7168768780017913</v>
      </c>
      <c r="AS753">
        <v>24.08548696633579</v>
      </c>
      <c r="AT753">
        <v>3.3317961033609897</v>
      </c>
      <c r="AU753">
        <v>3.6832208143740188</v>
      </c>
      <c r="AV753"/>
      <c r="AW753"/>
      <c r="FY753" s="210">
        <v>748</v>
      </c>
      <c r="FZ753">
        <v>0.57641086004153907</v>
      </c>
      <c r="GA753">
        <v>1.2328843699127576</v>
      </c>
      <c r="GB753">
        <v>1.5711094673340686</v>
      </c>
      <c r="GC753">
        <v>0.73982302926722776</v>
      </c>
      <c r="GD753">
        <v>1.9329594675220128</v>
      </c>
      <c r="GE753">
        <v>5.8408499551370872</v>
      </c>
      <c r="GF753">
        <v>7.4900537371915927</v>
      </c>
      <c r="GG753">
        <v>5.5293762292420299</v>
      </c>
      <c r="GH753">
        <v>3.5252693388287826</v>
      </c>
      <c r="GI753">
        <v>3.5706644790325872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16.600473354462714</v>
      </c>
      <c r="AO754">
        <v>3.7085520196805235</v>
      </c>
      <c r="AP754">
        <v>29.222327177918338</v>
      </c>
      <c r="AQ754">
        <v>24.398586302434353</v>
      </c>
      <c r="AR754">
        <v>3.5608538507865446</v>
      </c>
      <c r="AS754">
        <v>15.874528095035663</v>
      </c>
      <c r="AT754">
        <v>2.2478550686740579</v>
      </c>
      <c r="AU754">
        <v>-1.1291153774081646</v>
      </c>
      <c r="AV754"/>
      <c r="AW754"/>
      <c r="FY754" s="210">
        <v>749</v>
      </c>
      <c r="FZ754">
        <v>0.51483780988319072</v>
      </c>
      <c r="GA754">
        <v>1.6284517414058581</v>
      </c>
      <c r="GB754">
        <v>2.4413992777117626</v>
      </c>
      <c r="GC754">
        <v>1.3314989667588355</v>
      </c>
      <c r="GD754">
        <v>1.463748798220939</v>
      </c>
      <c r="GE754">
        <v>4.5883460249172181</v>
      </c>
      <c r="GF754">
        <v>5.0733002899965847</v>
      </c>
      <c r="GG754">
        <v>4.4616153575906274</v>
      </c>
      <c r="GH754">
        <v>4.691693088201589</v>
      </c>
      <c r="GI754">
        <v>3.2369231222680828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27.049250766182087</v>
      </c>
      <c r="AO755">
        <v>5.2818763766624155</v>
      </c>
      <c r="AP755">
        <v>37.965205875093154</v>
      </c>
      <c r="AQ755">
        <v>32.375389036169878</v>
      </c>
      <c r="AR755">
        <v>5.0319672267641966</v>
      </c>
      <c r="AS755">
        <v>23.88119180083687</v>
      </c>
      <c r="AT755">
        <v>3.4075241263012934</v>
      </c>
      <c r="AU755">
        <v>11.924455699154441</v>
      </c>
      <c r="AV755"/>
      <c r="AW755"/>
      <c r="FY755" s="210">
        <v>750</v>
      </c>
      <c r="FZ755">
        <v>0.98034673147571527</v>
      </c>
      <c r="GA755">
        <v>1.6839273043185514</v>
      </c>
      <c r="GB755">
        <v>1.6721963009952234</v>
      </c>
      <c r="GC755">
        <v>1.216537470435465</v>
      </c>
      <c r="GD755">
        <v>1.1632505266130544</v>
      </c>
      <c r="GE755">
        <v>2.501210616864916</v>
      </c>
      <c r="GF755">
        <v>5.5246535455915993</v>
      </c>
      <c r="GG755">
        <v>7.367519079294067</v>
      </c>
      <c r="GH755">
        <v>5.6820791158047506</v>
      </c>
      <c r="GI755">
        <v>3.1758849615401532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22.28897177733614</v>
      </c>
      <c r="AO756">
        <v>4.41815466212514</v>
      </c>
      <c r="AP756">
        <v>35.495059549348227</v>
      </c>
      <c r="AQ756">
        <v>29.119734654120588</v>
      </c>
      <c r="AR756">
        <v>4.184366465132797</v>
      </c>
      <c r="AS756">
        <v>20.810154499112357</v>
      </c>
      <c r="AT756">
        <v>2.5359390636993586</v>
      </c>
      <c r="AU756">
        <v>-4.783487390440702</v>
      </c>
      <c r="AV756"/>
      <c r="AW756"/>
      <c r="FY756" s="210">
        <v>751</v>
      </c>
      <c r="FZ756">
        <v>0.54163459378839052</v>
      </c>
      <c r="GA756">
        <v>2.6906770248194576</v>
      </c>
      <c r="GB756">
        <v>1.8650096441416246</v>
      </c>
      <c r="GC756">
        <v>0.80598153131875916</v>
      </c>
      <c r="GD756">
        <v>1.0671512257031632</v>
      </c>
      <c r="GE756">
        <v>4.4078262150165868</v>
      </c>
      <c r="GF756">
        <v>10.204030607604444</v>
      </c>
      <c r="GG756">
        <v>8.8052828151267946</v>
      </c>
      <c r="GH756">
        <v>5.6794107277950596</v>
      </c>
      <c r="GI756">
        <v>3.9853840244919909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18.422351750642974</v>
      </c>
      <c r="AO757">
        <v>4.7230677945185695</v>
      </c>
      <c r="AP757">
        <v>39.172497913376908</v>
      </c>
      <c r="AQ757">
        <v>31.455054700403807</v>
      </c>
      <c r="AR757">
        <v>4.4408651547405089</v>
      </c>
      <c r="AS757">
        <v>19.607843341909071</v>
      </c>
      <c r="AT757">
        <v>3.0339633811345212</v>
      </c>
      <c r="AU757">
        <v>2.3279084001455645</v>
      </c>
      <c r="AV757"/>
      <c r="AW757"/>
      <c r="FY757" s="210">
        <v>752</v>
      </c>
      <c r="FZ757">
        <v>0.98832621382366437</v>
      </c>
      <c r="GA757">
        <v>3.2728411765508927</v>
      </c>
      <c r="GB757">
        <v>2.1434011495177634</v>
      </c>
      <c r="GC757">
        <v>0.6644032937591301</v>
      </c>
      <c r="GD757">
        <v>1.0698000374813366</v>
      </c>
      <c r="GE757">
        <v>4.0895610182341509</v>
      </c>
      <c r="GF757">
        <v>6.3769522247789432</v>
      </c>
      <c r="GG757">
        <v>4.0808815331116737</v>
      </c>
      <c r="GH757">
        <v>2.2650090515082337</v>
      </c>
      <c r="GI757">
        <v>2.8551792765505719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22.12310957241143</v>
      </c>
      <c r="AO758">
        <v>5.9386896537706004</v>
      </c>
      <c r="AP758">
        <v>44.683491523764225</v>
      </c>
      <c r="AQ758">
        <v>37.828108224155216</v>
      </c>
      <c r="AR758">
        <v>5.6817037132617951</v>
      </c>
      <c r="AS758">
        <v>26.228924370877948</v>
      </c>
      <c r="AT758">
        <v>3.839625186216638</v>
      </c>
      <c r="AU758">
        <v>-2.9559020734880637</v>
      </c>
      <c r="AV758"/>
      <c r="AW758"/>
      <c r="FY758" s="210">
        <v>753</v>
      </c>
      <c r="FZ758">
        <v>1.4742843090096842</v>
      </c>
      <c r="GA758">
        <v>2.0313822679363991</v>
      </c>
      <c r="GB758">
        <v>0.82018509723283872</v>
      </c>
      <c r="GC758">
        <v>0.78029510320919682</v>
      </c>
      <c r="GD758">
        <v>2.4986590865990315</v>
      </c>
      <c r="GE758">
        <v>5.6744965651639774</v>
      </c>
      <c r="GF758">
        <v>8.2575115457237551</v>
      </c>
      <c r="GG758">
        <v>6.449407176297461</v>
      </c>
      <c r="GH758">
        <v>3.4463276082027123</v>
      </c>
      <c r="GI758">
        <v>3.9877664725086088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21.788183214047571</v>
      </c>
      <c r="AO759">
        <v>4.6012170765208769</v>
      </c>
      <c r="AP759">
        <v>30.911859816448711</v>
      </c>
      <c r="AQ759">
        <v>28.155843597850517</v>
      </c>
      <c r="AR759">
        <v>4.1879449392200252</v>
      </c>
      <c r="AS759">
        <v>19.190258956864785</v>
      </c>
      <c r="AT759">
        <v>2.9999729304607463</v>
      </c>
      <c r="AU759">
        <v>3.1814982761867308</v>
      </c>
      <c r="AV759"/>
      <c r="AW759"/>
      <c r="FY759" s="210">
        <v>754</v>
      </c>
      <c r="FZ759">
        <v>1.0274799242854784</v>
      </c>
      <c r="GA759">
        <v>1.9119524306293212</v>
      </c>
      <c r="GB759">
        <v>1.8880859926422358</v>
      </c>
      <c r="GC759">
        <v>0.83013499439877536</v>
      </c>
      <c r="GD759">
        <v>2.0759849538010715</v>
      </c>
      <c r="GE759">
        <v>4.1471502078561118</v>
      </c>
      <c r="GF759">
        <v>4.1031342415785304</v>
      </c>
      <c r="GG759">
        <v>5.2980716280719173</v>
      </c>
      <c r="GH759">
        <v>2.7689981831024459</v>
      </c>
      <c r="GI759">
        <v>3.0578042497752631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24.410616829587809</v>
      </c>
      <c r="AO760">
        <v>4.9994595802906687</v>
      </c>
      <c r="AP760">
        <v>40.727677456697712</v>
      </c>
      <c r="AQ760">
        <v>33.027021181681611</v>
      </c>
      <c r="AR760">
        <v>4.6838812719551699</v>
      </c>
      <c r="AS760">
        <v>22.486679548420934</v>
      </c>
      <c r="AT760">
        <v>3.2017622346920582</v>
      </c>
      <c r="AU760">
        <v>7.9291078538948492</v>
      </c>
      <c r="AV760"/>
      <c r="AW760"/>
      <c r="FY760" s="210">
        <v>755</v>
      </c>
      <c r="FZ760">
        <v>0.87742427537465006</v>
      </c>
      <c r="GA760">
        <v>2.0333646416351234</v>
      </c>
      <c r="GB760">
        <v>2.0364811862930559</v>
      </c>
      <c r="GC760">
        <v>0.95292213574028062</v>
      </c>
      <c r="GD760">
        <v>1.7197215250335385</v>
      </c>
      <c r="GE760">
        <v>5.3309162565519124</v>
      </c>
      <c r="GF760">
        <v>7.961244408823724</v>
      </c>
      <c r="GG760">
        <v>7.9900884671732193</v>
      </c>
      <c r="GH760">
        <v>7.300624665905568</v>
      </c>
      <c r="GI760">
        <v>4.2763272872074989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23.664785404068883</v>
      </c>
      <c r="AO761">
        <v>4.8869451215671429</v>
      </c>
      <c r="AP761">
        <v>35.700887385743876</v>
      </c>
      <c r="AQ761">
        <v>30.376155696065226</v>
      </c>
      <c r="AR761">
        <v>4.5919649691430529</v>
      </c>
      <c r="AS761">
        <v>21.891553136264886</v>
      </c>
      <c r="AT761">
        <v>3.0078132949716907</v>
      </c>
      <c r="AU761">
        <v>9.8817240924744461</v>
      </c>
      <c r="AV761"/>
      <c r="AW761"/>
      <c r="FY761" s="210">
        <v>756</v>
      </c>
      <c r="FZ761">
        <v>0.94534493584470325</v>
      </c>
      <c r="GA761">
        <v>2.0839406716177851</v>
      </c>
      <c r="GB761">
        <v>1.3320440410085768</v>
      </c>
      <c r="GC761">
        <v>0.8278507073648208</v>
      </c>
      <c r="GD761">
        <v>1.3607431542803505</v>
      </c>
      <c r="GE761">
        <v>3.2055239785455578</v>
      </c>
      <c r="GF761">
        <v>4.8831509635216737</v>
      </c>
      <c r="GG761">
        <v>4.5147032446909865</v>
      </c>
      <c r="GH761">
        <v>4.1896021636682166</v>
      </c>
      <c r="GI761">
        <v>2.8560950747589202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32.91078778472199</v>
      </c>
      <c r="AO762">
        <v>6.4103199385434166</v>
      </c>
      <c r="AP762">
        <v>40.394363950824939</v>
      </c>
      <c r="AQ762">
        <v>37.343637333811373</v>
      </c>
      <c r="AR762">
        <v>6.0346633421843476</v>
      </c>
      <c r="AS762">
        <v>27.860990097362141</v>
      </c>
      <c r="AT762">
        <v>3.7283132581667426</v>
      </c>
      <c r="AU762">
        <v>4.5701622323114908</v>
      </c>
      <c r="AV762"/>
      <c r="AW762"/>
      <c r="FY762" s="210">
        <v>757</v>
      </c>
      <c r="FZ762">
        <v>1.0357977007002228</v>
      </c>
      <c r="GA762">
        <v>3.2860361794666511</v>
      </c>
      <c r="GB762">
        <v>2.2495336970619144</v>
      </c>
      <c r="GC762">
        <v>1.0026037651493125</v>
      </c>
      <c r="GD762">
        <v>1.5384951784254493</v>
      </c>
      <c r="GE762">
        <v>2.7067747363484091</v>
      </c>
      <c r="GF762">
        <v>5.9390885988251689</v>
      </c>
      <c r="GG762">
        <v>6.8201934346302391</v>
      </c>
      <c r="GH762">
        <v>4.1524334349360092</v>
      </c>
      <c r="GI762">
        <v>3.3943944787155611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25.757866180660294</v>
      </c>
      <c r="AO763">
        <v>6.7796986738399365</v>
      </c>
      <c r="AP763">
        <v>54.682634653800378</v>
      </c>
      <c r="AQ763">
        <v>45.314844957171147</v>
      </c>
      <c r="AR763">
        <v>6.378816516027241</v>
      </c>
      <c r="AS763">
        <v>27.789225952551515</v>
      </c>
      <c r="AT763">
        <v>4.025136436156548</v>
      </c>
      <c r="AU763">
        <v>6.3335907300432872</v>
      </c>
      <c r="AV763"/>
      <c r="AW763"/>
      <c r="FY763" s="210">
        <v>758</v>
      </c>
      <c r="FZ763">
        <v>0.80293047521502847</v>
      </c>
      <c r="GA763">
        <v>3.4457161007500985</v>
      </c>
      <c r="GB763">
        <v>2.38163375958458</v>
      </c>
      <c r="GC763">
        <v>0.60680490986480196</v>
      </c>
      <c r="GD763">
        <v>1.321789772872259</v>
      </c>
      <c r="GE763">
        <v>3.5273272176620676</v>
      </c>
      <c r="GF763">
        <v>6.3903165428732951</v>
      </c>
      <c r="GG763">
        <v>7.4779483295543532</v>
      </c>
      <c r="GH763">
        <v>5.2271568382909184</v>
      </c>
      <c r="GI763">
        <v>3.5114796932520544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26.352873272763372</v>
      </c>
      <c r="AO764">
        <v>5.2616735647815851</v>
      </c>
      <c r="AP764">
        <v>36.892324523440678</v>
      </c>
      <c r="AQ764">
        <v>32.009400933509681</v>
      </c>
      <c r="AR764">
        <v>4.8444083464655634</v>
      </c>
      <c r="AS764">
        <v>23.720792226180819</v>
      </c>
      <c r="AT764">
        <v>3.3025047633077613</v>
      </c>
      <c r="AU764">
        <v>4.4840042934133253</v>
      </c>
      <c r="AV764"/>
      <c r="AW764"/>
      <c r="FY764" s="210">
        <v>759</v>
      </c>
      <c r="FZ764">
        <v>0.87731151068571822</v>
      </c>
      <c r="GA764">
        <v>2.4649977497910864</v>
      </c>
      <c r="GB764">
        <v>2.57884120744747</v>
      </c>
      <c r="GC764">
        <v>1.1850335101143203</v>
      </c>
      <c r="GD764">
        <v>1.9153756192118634</v>
      </c>
      <c r="GE764">
        <v>3.6997475009896794</v>
      </c>
      <c r="GF764">
        <v>4.1124474702198643</v>
      </c>
      <c r="GG764">
        <v>3.9987982586641482</v>
      </c>
      <c r="GH764">
        <v>1.6112430600770742</v>
      </c>
      <c r="GI764">
        <v>2.9239620674444371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20.996974422838782</v>
      </c>
      <c r="AO765">
        <v>4.8083654574216599</v>
      </c>
      <c r="AP765">
        <v>34.469351638717548</v>
      </c>
      <c r="AQ765">
        <v>29.431814476954685</v>
      </c>
      <c r="AR765">
        <v>4.3796476252309091</v>
      </c>
      <c r="AS765">
        <v>22.278094345659291</v>
      </c>
      <c r="AT765">
        <v>3.0437104913441124</v>
      </c>
      <c r="AU765">
        <v>1.6774818983094382</v>
      </c>
      <c r="AV765"/>
      <c r="AW765"/>
      <c r="FY765" s="210">
        <v>760</v>
      </c>
      <c r="FZ765">
        <v>1.2007442657153633</v>
      </c>
      <c r="GA765">
        <v>1.7718722725310438</v>
      </c>
      <c r="GB765">
        <v>0.78085603113051083</v>
      </c>
      <c r="GC765">
        <v>0.56386035056666151</v>
      </c>
      <c r="GD765">
        <v>1.6325744086419898</v>
      </c>
      <c r="GE765">
        <v>3.2344648877361823</v>
      </c>
      <c r="GF765">
        <v>5.1893938359911154</v>
      </c>
      <c r="GG765">
        <v>4.9953812155736603</v>
      </c>
      <c r="GH765">
        <v>3.571923701731059</v>
      </c>
      <c r="GI765">
        <v>2.9022971867189957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30.571639545298023</v>
      </c>
      <c r="AO766">
        <v>4.7264644377478353</v>
      </c>
      <c r="AP766">
        <v>37.629772002256814</v>
      </c>
      <c r="AQ766">
        <v>30.967605652933496</v>
      </c>
      <c r="AR766">
        <v>4.3681759510464087</v>
      </c>
      <c r="AS766">
        <v>21.210694539905518</v>
      </c>
      <c r="AT766">
        <v>2.7026509307997042</v>
      </c>
      <c r="AU766">
        <v>-8.2468091494289943</v>
      </c>
      <c r="AV766"/>
      <c r="AW766"/>
      <c r="FY766" s="210">
        <v>761</v>
      </c>
      <c r="FZ766">
        <v>1.0418070169451321</v>
      </c>
      <c r="GA766">
        <v>1.2592635156934786</v>
      </c>
      <c r="GB766">
        <v>1.2138203895185531</v>
      </c>
      <c r="GC766">
        <v>0.83324780660787701</v>
      </c>
      <c r="GD766">
        <v>3.3413080052458657</v>
      </c>
      <c r="GE766">
        <v>7.6936170238285673</v>
      </c>
      <c r="GF766">
        <v>4.6867072925463233</v>
      </c>
      <c r="GG766">
        <v>4.8284474514472731</v>
      </c>
      <c r="GH766">
        <v>5.8255871010449392</v>
      </c>
      <c r="GI766">
        <v>4.1932950194668113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25.10607745780618</v>
      </c>
      <c r="AO767">
        <v>5.9738017884008165</v>
      </c>
      <c r="AP767">
        <v>49.782400475328053</v>
      </c>
      <c r="AQ767">
        <v>40.052388409806277</v>
      </c>
      <c r="AR767">
        <v>5.3855443406370682</v>
      </c>
      <c r="AS767">
        <v>26.180800857968229</v>
      </c>
      <c r="AT767">
        <v>3.6412890692421516</v>
      </c>
      <c r="AU767">
        <v>0.86623921023288197</v>
      </c>
      <c r="AV767"/>
      <c r="AW767"/>
      <c r="FY767" s="210">
        <v>762</v>
      </c>
      <c r="FZ767">
        <v>1.2829920188450705</v>
      </c>
      <c r="GA767">
        <v>3.1039827934758826</v>
      </c>
      <c r="GB767">
        <v>1.336906670003529</v>
      </c>
      <c r="GC767">
        <v>0.49434759445979004</v>
      </c>
      <c r="GD767">
        <v>1.5282444575707528</v>
      </c>
      <c r="GE767">
        <v>4.3207546999082913</v>
      </c>
      <c r="GF767">
        <v>4.0751051712405015</v>
      </c>
      <c r="GG767">
        <v>2.8394504402586276</v>
      </c>
      <c r="GH767">
        <v>2.8156951142845461</v>
      </c>
      <c r="GI767">
        <v>2.6289178346539108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18.752440311117176</v>
      </c>
      <c r="AO768">
        <v>4.2567883440279122</v>
      </c>
      <c r="AP768">
        <v>33.259656352480178</v>
      </c>
      <c r="AQ768">
        <v>27.806354975316363</v>
      </c>
      <c r="AR768">
        <v>3.8205787530972688</v>
      </c>
      <c r="AS768">
        <v>20.000746855053091</v>
      </c>
      <c r="AT768">
        <v>2.817790878920539</v>
      </c>
      <c r="AU768">
        <v>-0.905648760940991</v>
      </c>
      <c r="AV768"/>
      <c r="AW768"/>
      <c r="FY768" s="210">
        <v>763</v>
      </c>
      <c r="FZ768">
        <v>0.77427628989572106</v>
      </c>
      <c r="GA768">
        <v>1.5918183611761316</v>
      </c>
      <c r="GB768">
        <v>1.2721037098578094</v>
      </c>
      <c r="GC768">
        <v>0.78021182640050568</v>
      </c>
      <c r="GD768">
        <v>1.2387391631913265</v>
      </c>
      <c r="GE768">
        <v>2.9694409218704045</v>
      </c>
      <c r="GF768">
        <v>6.5147773287723334</v>
      </c>
      <c r="GG768">
        <v>8.649037908402974</v>
      </c>
      <c r="GH768">
        <v>6.2134189464070921</v>
      </c>
      <c r="GI768">
        <v>3.3824358284820737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30.455938278089015</v>
      </c>
      <c r="AO769">
        <v>5.7969914026322762</v>
      </c>
      <c r="AP769">
        <v>40.24368370819947</v>
      </c>
      <c r="AQ769">
        <v>35.420315231883663</v>
      </c>
      <c r="AR769">
        <v>5.4712368130914646</v>
      </c>
      <c r="AS769">
        <v>25.913480571806556</v>
      </c>
      <c r="AT769">
        <v>3.5513030287820988</v>
      </c>
      <c r="AU769">
        <v>5.172244051859936</v>
      </c>
      <c r="AV769"/>
      <c r="AW769"/>
      <c r="FY769" s="210">
        <v>764</v>
      </c>
      <c r="FZ769">
        <v>1.1040566552370712</v>
      </c>
      <c r="GA769">
        <v>2.3549789118911244</v>
      </c>
      <c r="GB769">
        <v>1.7360639993244786</v>
      </c>
      <c r="GC769">
        <v>0.75154920315755447</v>
      </c>
      <c r="GD769">
        <v>1.1786698920805068</v>
      </c>
      <c r="GE769">
        <v>2.9634924014961883</v>
      </c>
      <c r="GF769">
        <v>7.283333136728082</v>
      </c>
      <c r="GG769">
        <v>8.4766293842328366</v>
      </c>
      <c r="GH769">
        <v>4.782525220279803</v>
      </c>
      <c r="GI769">
        <v>3.408164810914116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23.656402251071363</v>
      </c>
      <c r="AO770">
        <v>4.5594008281565674</v>
      </c>
      <c r="AP770">
        <v>30.710363450832212</v>
      </c>
      <c r="AQ770">
        <v>27.10879680614115</v>
      </c>
      <c r="AR770">
        <v>4.2746148058671407</v>
      </c>
      <c r="AS770">
        <v>20.31519119143492</v>
      </c>
      <c r="AT770" t="e">
        <v>#DIV/0!</v>
      </c>
      <c r="AU770" t="e">
        <v>#DIV/0!</v>
      </c>
      <c r="AV770"/>
      <c r="AW770"/>
      <c r="FY770" s="210">
        <v>765</v>
      </c>
      <c r="FZ770">
        <v>1.3034411924385654</v>
      </c>
      <c r="GA770">
        <v>2.5619797997346843</v>
      </c>
      <c r="GB770">
        <v>1.9594911496124916</v>
      </c>
      <c r="GC770">
        <v>0.84655852677425347</v>
      </c>
      <c r="GD770">
        <v>1.2672802874918006</v>
      </c>
      <c r="GE770">
        <v>2.3995926470311835</v>
      </c>
      <c r="GF770">
        <v>3.5122879357077057</v>
      </c>
      <c r="GG770">
        <v>4.9435043645569667</v>
      </c>
      <c r="GH770">
        <v>3.8062765584768883</v>
      </c>
      <c r="GI770">
        <v>2.6838769259271422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36.423947410160643</v>
      </c>
      <c r="AO771">
        <v>6.2307037484540171</v>
      </c>
      <c r="AP771">
        <v>48.273485262652173</v>
      </c>
      <c r="AQ771">
        <v>40.479114849738572</v>
      </c>
      <c r="AR771">
        <v>5.8234843520370863</v>
      </c>
      <c r="AS771">
        <v>29.816153642884593</v>
      </c>
      <c r="AT771">
        <v>3.6545376466878818</v>
      </c>
      <c r="AU771">
        <v>9.4993979830175341</v>
      </c>
      <c r="AV771"/>
      <c r="AW771"/>
      <c r="FY771" s="210">
        <v>766</v>
      </c>
      <c r="FZ771">
        <v>1.0278182183522737</v>
      </c>
      <c r="GA771">
        <v>2.7679804313747076</v>
      </c>
      <c r="GB771">
        <v>2.2818669556819255</v>
      </c>
      <c r="GC771">
        <v>1.0450385410322822</v>
      </c>
      <c r="GD771">
        <v>0.86615181243330608</v>
      </c>
      <c r="GE771">
        <v>1.9950212296565448</v>
      </c>
      <c r="GF771">
        <v>5.3677927061077693</v>
      </c>
      <c r="GG771">
        <v>6.6203186926097848</v>
      </c>
      <c r="GH771">
        <v>5.912363517774601</v>
      </c>
      <c r="GI771">
        <v>3.1698136738774885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20.877815514617375</v>
      </c>
      <c r="AO772">
        <v>4.1090735985253808</v>
      </c>
      <c r="AP772">
        <v>30.953972699409896</v>
      </c>
      <c r="AQ772">
        <v>26.198998935301589</v>
      </c>
      <c r="AR772">
        <v>3.9027500501496935</v>
      </c>
      <c r="AS772">
        <v>17.069294649118415</v>
      </c>
      <c r="AT772">
        <v>2.581066219187039</v>
      </c>
      <c r="AU772">
        <v>-2.6602702557377347</v>
      </c>
      <c r="AV772"/>
      <c r="AW772"/>
      <c r="FY772" s="210">
        <v>767</v>
      </c>
      <c r="FZ772">
        <v>0.96765151085230583</v>
      </c>
      <c r="GA772">
        <v>2.4026673667260674</v>
      </c>
      <c r="GB772">
        <v>1.8165161258552622</v>
      </c>
      <c r="GC772">
        <v>0.73085187882742708</v>
      </c>
      <c r="GD772">
        <v>1.2231259991415235</v>
      </c>
      <c r="GE772">
        <v>3.5076063160600195</v>
      </c>
      <c r="GF772">
        <v>5.6901806341970271</v>
      </c>
      <c r="GG772">
        <v>4.0755163503607879</v>
      </c>
      <c r="GH772">
        <v>3.3769566483063587</v>
      </c>
      <c r="GI772">
        <v>2.915573996919353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26.479366613098229</v>
      </c>
      <c r="AO773">
        <v>4.9497120353987176</v>
      </c>
      <c r="AP773">
        <v>39.397499066421759</v>
      </c>
      <c r="AQ773">
        <v>32.125351204258941</v>
      </c>
      <c r="AR773">
        <v>4.7558574124608199</v>
      </c>
      <c r="AS773">
        <v>22.691643349836355</v>
      </c>
      <c r="AT773">
        <v>2.9208316002146453</v>
      </c>
      <c r="AU773">
        <v>3.3738059531236746</v>
      </c>
      <c r="AV773"/>
      <c r="AW773"/>
      <c r="FY773" s="210">
        <v>768</v>
      </c>
      <c r="FZ773">
        <v>0.72691756770809457</v>
      </c>
      <c r="GA773">
        <v>2.8287127639147709</v>
      </c>
      <c r="GB773">
        <v>2.9820936775111395</v>
      </c>
      <c r="GC773">
        <v>1.2273818756266226</v>
      </c>
      <c r="GD773">
        <v>2.2385402140972555</v>
      </c>
      <c r="GE773">
        <v>4.6638846570082082</v>
      </c>
      <c r="GF773">
        <v>2.9138975421093845</v>
      </c>
      <c r="GG773">
        <v>6.6888492317712194</v>
      </c>
      <c r="GH773">
        <v>6.6650682426991654</v>
      </c>
      <c r="GI773">
        <v>3.7759897464516663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26.01358326450238</v>
      </c>
      <c r="AO774">
        <v>5.1960265710270379</v>
      </c>
      <c r="AP774">
        <v>42.684280008347187</v>
      </c>
      <c r="AQ774">
        <v>34.693103639919457</v>
      </c>
      <c r="AR774">
        <v>4.8460794178685411</v>
      </c>
      <c r="AS774">
        <v>24.089565975180619</v>
      </c>
      <c r="AT774">
        <v>3.0636768306242459</v>
      </c>
      <c r="AU774">
        <v>1.9605416371376896</v>
      </c>
      <c r="AV774"/>
      <c r="AW774"/>
      <c r="FY774" s="210">
        <v>769</v>
      </c>
      <c r="FZ774">
        <v>1.5093988693296281</v>
      </c>
      <c r="GA774">
        <v>3.0771258232794043</v>
      </c>
      <c r="GB774">
        <v>1.9709188355560046</v>
      </c>
      <c r="GC774">
        <v>0.80854973098852678</v>
      </c>
      <c r="GD774">
        <v>1.7036285180308621</v>
      </c>
      <c r="GE774">
        <v>3.1655007474327812</v>
      </c>
      <c r="GF774">
        <v>4.2328862029097269</v>
      </c>
      <c r="GG774">
        <v>7.4707394609116653</v>
      </c>
      <c r="GH774">
        <v>6.826271512046846</v>
      </c>
      <c r="GI774">
        <v>3.5960417035320162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22.105212036737768</v>
      </c>
      <c r="AO775">
        <v>4.3154959498154266</v>
      </c>
      <c r="AP775">
        <v>29.22455311488471</v>
      </c>
      <c r="AQ775">
        <v>25.367757954645661</v>
      </c>
      <c r="AR775">
        <v>4.0659945320150248</v>
      </c>
      <c r="AS775">
        <v>19.548732713853411</v>
      </c>
      <c r="AT775">
        <v>2.844204257382374</v>
      </c>
      <c r="AU775">
        <v>12.847770576859599</v>
      </c>
      <c r="AV775"/>
      <c r="AW775"/>
      <c r="FY775" s="210">
        <v>770</v>
      </c>
      <c r="FZ775">
        <v>0.56219653207081721</v>
      </c>
      <c r="GA775">
        <v>2.4835372545225987</v>
      </c>
      <c r="GB775">
        <v>1.3985114088313984</v>
      </c>
      <c r="GC775">
        <v>0.58833549548263131</v>
      </c>
      <c r="GD775">
        <v>2.8126122939463607</v>
      </c>
      <c r="GE775">
        <v>5.8072077236623292</v>
      </c>
      <c r="GF775">
        <v>6.7068216497066055</v>
      </c>
      <c r="GG775">
        <v>7.9666453153672148</v>
      </c>
      <c r="GH775">
        <v>5.1178303262451621</v>
      </c>
      <c r="GI775">
        <v>4.1431504931604017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13.638955662393162</v>
      </c>
      <c r="AO776">
        <v>4.1537764054076165</v>
      </c>
      <c r="AP776">
        <v>30.472490785859634</v>
      </c>
      <c r="AQ776">
        <v>25.843368156336581</v>
      </c>
      <c r="AR776">
        <v>4.0670963748415545</v>
      </c>
      <c r="AS776">
        <v>18.277019351005872</v>
      </c>
      <c r="AT776">
        <v>2.9574325734526354</v>
      </c>
      <c r="AU776">
        <v>4.0648223173320392</v>
      </c>
      <c r="AV776"/>
      <c r="AW776"/>
      <c r="FY776" s="210">
        <v>771</v>
      </c>
      <c r="FZ776">
        <v>1.007256280069847</v>
      </c>
      <c r="GA776">
        <v>2.3138988755076881</v>
      </c>
      <c r="GB776">
        <v>1.0278364703761282</v>
      </c>
      <c r="GC776">
        <v>0.33057546219916939</v>
      </c>
      <c r="GD776">
        <v>0.90976650632708012</v>
      </c>
      <c r="GE776">
        <v>2.997672617474846</v>
      </c>
      <c r="GF776">
        <v>4.6980654464494034</v>
      </c>
      <c r="GG776">
        <v>5.61383827152929</v>
      </c>
      <c r="GH776">
        <v>5.9832325774280744</v>
      </c>
      <c r="GI776">
        <v>2.7614679370243294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42.311100554060502</v>
      </c>
      <c r="AO777">
        <v>6.0359654744858942</v>
      </c>
      <c r="AP777">
        <v>36.58152058695854</v>
      </c>
      <c r="AQ777">
        <v>34.917100622344819</v>
      </c>
      <c r="AR777">
        <v>5.7376642065730774</v>
      </c>
      <c r="AS777">
        <v>29.709949098585398</v>
      </c>
      <c r="AT777">
        <v>3.6274056567192314</v>
      </c>
      <c r="AU777">
        <v>11.96914410027753</v>
      </c>
      <c r="AV777"/>
      <c r="AW777"/>
      <c r="FY777" s="210">
        <v>772</v>
      </c>
      <c r="FZ777">
        <v>0.99489935351323266</v>
      </c>
      <c r="GA777">
        <v>3.3572261718204168</v>
      </c>
      <c r="GB777">
        <v>2.5454820600583155</v>
      </c>
      <c r="GC777">
        <v>1.0525269331475824</v>
      </c>
      <c r="GD777">
        <v>2.6869951289379008</v>
      </c>
      <c r="GE777">
        <v>5.7926262899940326</v>
      </c>
      <c r="GF777">
        <v>6.2450274242011448</v>
      </c>
      <c r="GG777">
        <v>5.6671591200741558</v>
      </c>
      <c r="GH777">
        <v>3.5938701177762837</v>
      </c>
      <c r="GI777">
        <v>4.1053396101685209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17.489762884377249</v>
      </c>
      <c r="AO778">
        <v>3.8715318269436616</v>
      </c>
      <c r="AP778">
        <v>27.443603894962571</v>
      </c>
      <c r="AQ778">
        <v>24.426396794700906</v>
      </c>
      <c r="AR778">
        <v>3.5374095775073968</v>
      </c>
      <c r="AS778">
        <v>18.972121297903247</v>
      </c>
      <c r="AT778">
        <v>2.5914521767360301</v>
      </c>
      <c r="AU778">
        <v>1.0902421913318319</v>
      </c>
      <c r="AV778"/>
      <c r="AW778"/>
      <c r="FY778" s="210">
        <v>773</v>
      </c>
      <c r="FZ778">
        <v>0.65877137786017781</v>
      </c>
      <c r="GA778">
        <v>1.5577404998536193</v>
      </c>
      <c r="GB778">
        <v>0.91430027745123232</v>
      </c>
      <c r="GC778">
        <v>0.70860464385941391</v>
      </c>
      <c r="GD778">
        <v>1.9682752957928216</v>
      </c>
      <c r="GE778">
        <v>4.2835043288084513</v>
      </c>
      <c r="GF778">
        <v>6.6356735909888016</v>
      </c>
      <c r="GG778">
        <v>4.9575451182412964</v>
      </c>
      <c r="GH778">
        <v>1.6492713649117383</v>
      </c>
      <c r="GI778">
        <v>2.9794338890565828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20.228257275132275</v>
      </c>
      <c r="AO779">
        <v>5.0777328376021726</v>
      </c>
      <c r="AP779">
        <v>41.030034008667243</v>
      </c>
      <c r="AQ779">
        <v>33.386260284456377</v>
      </c>
      <c r="AR779">
        <v>4.694655586597114</v>
      </c>
      <c r="AS779">
        <v>20.341654453238622</v>
      </c>
      <c r="AT779">
        <v>3.0223476801850189</v>
      </c>
      <c r="AU779">
        <v>-6.8187094025677091</v>
      </c>
      <c r="AV779"/>
      <c r="AW779"/>
      <c r="FY779" s="210">
        <v>774</v>
      </c>
      <c r="FZ779">
        <v>0.85062749146945027</v>
      </c>
      <c r="GA779">
        <v>2.6353717657032329</v>
      </c>
      <c r="GB779">
        <v>1.3779322731042498</v>
      </c>
      <c r="GC779">
        <v>0.38398636776651618</v>
      </c>
      <c r="GD779">
        <v>1.2270904713596249</v>
      </c>
      <c r="GE779">
        <v>3.2701016710212834</v>
      </c>
      <c r="GF779">
        <v>7.208723957062908</v>
      </c>
      <c r="GG779">
        <v>7.7570229893916753</v>
      </c>
      <c r="GH779">
        <v>4.3645848927462243</v>
      </c>
      <c r="GI779">
        <v>3.2320345279793261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21.634647181522183</v>
      </c>
      <c r="AO780">
        <v>5.1002060169446155</v>
      </c>
      <c r="AP780">
        <v>41.73266021792179</v>
      </c>
      <c r="AQ780">
        <v>34.039463615341759</v>
      </c>
      <c r="AR780">
        <v>4.7092518278913484</v>
      </c>
      <c r="AS780">
        <v>23.873664551487543</v>
      </c>
      <c r="AT780" t="e">
        <v>#DIV/0!</v>
      </c>
      <c r="AU780" t="e">
        <v>#DIV/0!</v>
      </c>
      <c r="AV780"/>
      <c r="AW780"/>
      <c r="FY780" s="210">
        <v>775</v>
      </c>
      <c r="FZ780">
        <v>0.76815420896187969</v>
      </c>
      <c r="GA780">
        <v>2.3622308044018676</v>
      </c>
      <c r="GB780">
        <v>2.8367016073200206</v>
      </c>
      <c r="GC780">
        <v>1.3872396669686879</v>
      </c>
      <c r="GD780">
        <v>2.6398716168675236</v>
      </c>
      <c r="GE780">
        <v>5.8814119562968212</v>
      </c>
      <c r="GF780">
        <v>6.2363670452399713</v>
      </c>
      <c r="GG780">
        <v>6.1815644511471408</v>
      </c>
      <c r="GH780">
        <v>4.2923836272116542</v>
      </c>
      <c r="GI780">
        <v>4.2038238980468403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20.957528871591371</v>
      </c>
      <c r="AO781">
        <v>3.8986587037112543</v>
      </c>
      <c r="AP781">
        <v>30.125320678663002</v>
      </c>
      <c r="AQ781">
        <v>25.284289387751681</v>
      </c>
      <c r="AR781">
        <v>3.7326469311292385</v>
      </c>
      <c r="AS781">
        <v>19.809010319868285</v>
      </c>
      <c r="AT781">
        <v>2.3593043503594897</v>
      </c>
      <c r="AU781">
        <v>1.0459928402489904</v>
      </c>
      <c r="AV781"/>
      <c r="AW781"/>
      <c r="FY781" s="210">
        <v>776</v>
      </c>
      <c r="FZ781">
        <v>1.1595076244615783</v>
      </c>
      <c r="GA781">
        <v>2.8966873227125296</v>
      </c>
      <c r="GB781">
        <v>2.2854549443341803</v>
      </c>
      <c r="GC781">
        <v>0.91792730428808311</v>
      </c>
      <c r="GD781">
        <v>1.7031365418422268</v>
      </c>
      <c r="GE781">
        <v>3.527235920995957</v>
      </c>
      <c r="GF781">
        <v>4.4914172868424034</v>
      </c>
      <c r="GG781">
        <v>7.1921094345303267</v>
      </c>
      <c r="GH781">
        <v>5.8526104200304587</v>
      </c>
      <c r="GI781">
        <v>3.5189460929874268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20.715970950345948</v>
      </c>
      <c r="AO782">
        <v>4.5647456749217472</v>
      </c>
      <c r="AP782">
        <v>39.067444222116499</v>
      </c>
      <c r="AQ782">
        <v>31.054165778900682</v>
      </c>
      <c r="AR782">
        <v>4.399169645201499</v>
      </c>
      <c r="AS782">
        <v>19.755724274819169</v>
      </c>
      <c r="AT782">
        <v>2.8338936920714239</v>
      </c>
      <c r="AU782">
        <v>24.807737766839164</v>
      </c>
      <c r="AV782"/>
      <c r="AW782"/>
      <c r="FY782" s="210">
        <v>777</v>
      </c>
      <c r="FZ782">
        <v>0.95354994757051581</v>
      </c>
      <c r="GA782">
        <v>1.6249537348699972</v>
      </c>
      <c r="GB782">
        <v>1.1457583518389833</v>
      </c>
      <c r="GC782">
        <v>0.89261589828149523</v>
      </c>
      <c r="GD782">
        <v>1.4763625660747364</v>
      </c>
      <c r="GE782">
        <v>2.6281135955173807</v>
      </c>
      <c r="GF782">
        <v>5.7271127220323121</v>
      </c>
      <c r="GG782">
        <v>8.1535569985028875</v>
      </c>
      <c r="GH782">
        <v>6.1288343116609845</v>
      </c>
      <c r="GI782">
        <v>3.339723741404327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18.494414771841633</v>
      </c>
      <c r="AO783">
        <v>4.1487703662810436</v>
      </c>
      <c r="AP783">
        <v>32.050436887198778</v>
      </c>
      <c r="AQ783">
        <v>26.706646827246132</v>
      </c>
      <c r="AR783">
        <v>3.9810032103370938</v>
      </c>
      <c r="AS783">
        <v>20.645296076210421</v>
      </c>
      <c r="AT783">
        <v>2.8018785396788495</v>
      </c>
      <c r="AU783">
        <v>3.9793873300980644</v>
      </c>
      <c r="AV783"/>
      <c r="AW783"/>
      <c r="FY783" s="210">
        <v>778</v>
      </c>
      <c r="FZ783">
        <v>0.74736674130158953</v>
      </c>
      <c r="GA783">
        <v>2.7995080882905699</v>
      </c>
      <c r="GB783">
        <v>2.3229900161103809</v>
      </c>
      <c r="GC783">
        <v>1.113426327573229</v>
      </c>
      <c r="GD783">
        <v>1.8787763355510743</v>
      </c>
      <c r="GE783">
        <v>5.0323855238077426</v>
      </c>
      <c r="GF783">
        <v>6.8133131924729025</v>
      </c>
      <c r="GG783">
        <v>6.4304297950756295</v>
      </c>
      <c r="GH783">
        <v>4.594111853194649</v>
      </c>
      <c r="GI783">
        <v>3.7945224971393565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26.68500356873518</v>
      </c>
      <c r="AO784">
        <v>5.6773700382336241</v>
      </c>
      <c r="AP784">
        <v>40.162581246520617</v>
      </c>
      <c r="AQ784">
        <v>34.711335518897528</v>
      </c>
      <c r="AR784">
        <v>5.2687420777770262</v>
      </c>
      <c r="AS784">
        <v>23.332886730792193</v>
      </c>
      <c r="AT784" t="e">
        <v>#DIV/0!</v>
      </c>
      <c r="AU784" t="e">
        <v>#DIV/0!</v>
      </c>
      <c r="AV784"/>
      <c r="AW784"/>
      <c r="FY784" s="210">
        <v>779</v>
      </c>
      <c r="FZ784">
        <v>0.9675387461633741</v>
      </c>
      <c r="GA784">
        <v>3.213707048456051</v>
      </c>
      <c r="GB784">
        <v>1.8034936034163001</v>
      </c>
      <c r="GC784">
        <v>0.78053350823645884</v>
      </c>
      <c r="GD784">
        <v>1.9158133621554267</v>
      </c>
      <c r="GE784">
        <v>5.8575482527817559</v>
      </c>
      <c r="GF784">
        <v>7.3100953551291923</v>
      </c>
      <c r="GG784">
        <v>4.0510011389960638</v>
      </c>
      <c r="GH784">
        <v>3.5115111954563254</v>
      </c>
      <c r="GI784">
        <v>3.6244148381975001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27.119847209774072</v>
      </c>
      <c r="AO785">
        <v>5.2322265914426653</v>
      </c>
      <c r="AP785">
        <v>41.105063572298988</v>
      </c>
      <c r="AQ785">
        <v>34.361061404017462</v>
      </c>
      <c r="AR785">
        <v>5.0316373363569822</v>
      </c>
      <c r="AS785">
        <v>23.100599185697408</v>
      </c>
      <c r="AT785">
        <v>2.9110049105095546</v>
      </c>
      <c r="AU785">
        <v>-2.153008084392154</v>
      </c>
      <c r="AV785"/>
      <c r="AW785"/>
      <c r="FY785" s="210">
        <v>780</v>
      </c>
      <c r="FZ785">
        <v>0.80281771052609674</v>
      </c>
      <c r="GA785">
        <v>1.3205047165688291</v>
      </c>
      <c r="GB785">
        <v>1.4373875938634189</v>
      </c>
      <c r="GC785">
        <v>1.1947671422649759</v>
      </c>
      <c r="GD785">
        <v>1.8891314163023938</v>
      </c>
      <c r="GE785">
        <v>4.1070779938987041</v>
      </c>
      <c r="GF785">
        <v>6.1664440046957552</v>
      </c>
      <c r="GG785">
        <v>8.5260982595112935</v>
      </c>
      <c r="GH785">
        <v>8.8471010392479457</v>
      </c>
      <c r="GI785">
        <v>4.1476463783516833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36.09628102582186</v>
      </c>
      <c r="AO786">
        <v>6.1357466193511048</v>
      </c>
      <c r="AP786">
        <v>42.781392015133996</v>
      </c>
      <c r="AQ786">
        <v>37.586848492995514</v>
      </c>
      <c r="AR786">
        <v>5.7591769782747297</v>
      </c>
      <c r="AS786">
        <v>29.062055673659625</v>
      </c>
      <c r="AT786">
        <v>3.6294417201138347</v>
      </c>
      <c r="AU786">
        <v>5.6604582080327486</v>
      </c>
      <c r="AV786"/>
      <c r="AW786"/>
      <c r="FY786" s="210">
        <v>781</v>
      </c>
      <c r="FZ786">
        <v>1.1454060611797883</v>
      </c>
      <c r="GA786">
        <v>2.3146698655421174</v>
      </c>
      <c r="GB786">
        <v>1.0710818189443634</v>
      </c>
      <c r="GC786">
        <v>0.53594601250914242</v>
      </c>
      <c r="GD786">
        <v>1.427246529764691</v>
      </c>
      <c r="GE786">
        <v>3.9846975688972552</v>
      </c>
      <c r="GF786">
        <v>7.5192687444623427</v>
      </c>
      <c r="GG786">
        <v>7.2352860147777163</v>
      </c>
      <c r="GH786">
        <v>4.9228632728204627</v>
      </c>
      <c r="GI786">
        <v>3.4648042410401119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22.431337556503781</v>
      </c>
      <c r="AO787">
        <v>4.0099955101701701</v>
      </c>
      <c r="AP787">
        <v>33.273165053725492</v>
      </c>
      <c r="AQ787">
        <v>27.643610444385857</v>
      </c>
      <c r="AR787">
        <v>3.7438875678547037</v>
      </c>
      <c r="AS787">
        <v>17.552875498254785</v>
      </c>
      <c r="AT787" t="e">
        <v>#DIV/0!</v>
      </c>
      <c r="AU787" t="e">
        <v>#DIV/0!</v>
      </c>
      <c r="AV787"/>
      <c r="AW787"/>
      <c r="FY787" s="210">
        <v>782</v>
      </c>
      <c r="FZ787">
        <v>1.1592820950837148</v>
      </c>
      <c r="GA787">
        <v>2.9870538644558637</v>
      </c>
      <c r="GB787">
        <v>1.5952926646561074</v>
      </c>
      <c r="GC787">
        <v>0.71888416634786234</v>
      </c>
      <c r="GD787">
        <v>2.4092651682040671</v>
      </c>
      <c r="GE787">
        <v>4.4503085753959608</v>
      </c>
      <c r="GF787">
        <v>3.9076557463849486</v>
      </c>
      <c r="GG787">
        <v>6.6546824592136522</v>
      </c>
      <c r="GH787">
        <v>6.4083311845132664</v>
      </c>
      <c r="GI787">
        <v>3.7303743308540338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26.237061464543082</v>
      </c>
      <c r="AO788">
        <v>5.9979022237628303</v>
      </c>
      <c r="AP788">
        <v>41.087638541059121</v>
      </c>
      <c r="AQ788">
        <v>36.041152209691589</v>
      </c>
      <c r="AR788">
        <v>5.6845153906893016</v>
      </c>
      <c r="AS788">
        <v>29.436837598372151</v>
      </c>
      <c r="AT788">
        <v>3.7958530959125292</v>
      </c>
      <c r="AU788">
        <v>0.56429373612183609</v>
      </c>
      <c r="AV788"/>
      <c r="AW788"/>
      <c r="FY788" s="210">
        <v>783</v>
      </c>
      <c r="FZ788">
        <v>0.85051472678051843</v>
      </c>
      <c r="GA788">
        <v>1.9218230022521343</v>
      </c>
      <c r="GB788">
        <v>1.9735458016171936</v>
      </c>
      <c r="GC788">
        <v>0.90410670396353654</v>
      </c>
      <c r="GD788">
        <v>2.0641018875599348</v>
      </c>
      <c r="GE788">
        <v>5.5622105675341871</v>
      </c>
      <c r="GF788">
        <v>6.2940405210377754</v>
      </c>
      <c r="GG788">
        <v>6.6407536258904107</v>
      </c>
      <c r="GH788">
        <v>6.3248486338812917</v>
      </c>
      <c r="GI788">
        <v>4.0255261356496082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19.899742661544522</v>
      </c>
      <c r="AO789">
        <v>4.3808918213029626</v>
      </c>
      <c r="AP789">
        <v>29.493012042942119</v>
      </c>
      <c r="AQ789">
        <v>26.313120386824135</v>
      </c>
      <c r="AR789">
        <v>4.0787713976085049</v>
      </c>
      <c r="AS789">
        <v>22.768520129845335</v>
      </c>
      <c r="AT789">
        <v>3.0074856337363802</v>
      </c>
      <c r="AU789">
        <v>-3.8951859288714958</v>
      </c>
      <c r="AV789"/>
      <c r="AW789"/>
      <c r="FY789" s="210">
        <v>784</v>
      </c>
      <c r="FZ789">
        <v>0.99422276537964205</v>
      </c>
      <c r="GA789">
        <v>2.9501408820599568</v>
      </c>
      <c r="GB789">
        <v>1.538679368691076</v>
      </c>
      <c r="GC789">
        <v>0.80133271726113497</v>
      </c>
      <c r="GD789">
        <v>1.5956019761995452</v>
      </c>
      <c r="GE789">
        <v>3.9832410015908115</v>
      </c>
      <c r="GF789">
        <v>7.2501519371256071</v>
      </c>
      <c r="GG789">
        <v>8.7377218096259153</v>
      </c>
      <c r="GH789">
        <v>6.5215900863113729</v>
      </c>
      <c r="GI789">
        <v>3.8700319091465611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21.798174916447756</v>
      </c>
      <c r="AO790">
        <v>4.8222002249620264</v>
      </c>
      <c r="AP790">
        <v>39.616505302967553</v>
      </c>
      <c r="AQ790">
        <v>32.30747640760449</v>
      </c>
      <c r="AR790">
        <v>4.4571578753231922</v>
      </c>
      <c r="AS790">
        <v>21.6582880852344</v>
      </c>
      <c r="AT790">
        <v>3.0671526545880301</v>
      </c>
      <c r="AU790">
        <v>4.2059304217965447</v>
      </c>
      <c r="AV790"/>
      <c r="AW790"/>
      <c r="FY790" s="210">
        <v>785</v>
      </c>
      <c r="FZ790">
        <v>0.74147018974561174</v>
      </c>
      <c r="GA790">
        <v>2.3491087068411449</v>
      </c>
      <c r="GB790">
        <v>2.6630213766873609</v>
      </c>
      <c r="GC790">
        <v>1.1232493101705285</v>
      </c>
      <c r="GD790">
        <v>2.7858982401690002</v>
      </c>
      <c r="GE790">
        <v>6.3933397799777918</v>
      </c>
      <c r="GF790">
        <v>5.9110883098292026</v>
      </c>
      <c r="GG790">
        <v>5.8462016219584632</v>
      </c>
      <c r="GH790">
        <v>2.8357007549891078</v>
      </c>
      <c r="GI790">
        <v>3.9794006194115559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34.146385477267827</v>
      </c>
      <c r="AO791">
        <v>6.1684442780800861</v>
      </c>
      <c r="AP791">
        <v>41.980153853096603</v>
      </c>
      <c r="AQ791">
        <v>36.789748882462412</v>
      </c>
      <c r="AR791">
        <v>5.8009884110235665</v>
      </c>
      <c r="AS791">
        <v>27.648073072911341</v>
      </c>
      <c r="AT791">
        <v>3.8664797014293</v>
      </c>
      <c r="AU791">
        <v>13.280072737840861</v>
      </c>
      <c r="AV791"/>
      <c r="AW791"/>
      <c r="FY791" s="210">
        <v>786</v>
      </c>
      <c r="FZ791">
        <v>1.3096760380613386</v>
      </c>
      <c r="GA791">
        <v>2.8015096405751243</v>
      </c>
      <c r="GB791">
        <v>1.7913331114914541</v>
      </c>
      <c r="GC791">
        <v>0.67618114563896015</v>
      </c>
      <c r="GD791">
        <v>2.1017733018589011</v>
      </c>
      <c r="GE791">
        <v>5.816921391710598</v>
      </c>
      <c r="GF791">
        <v>6.0660933184903811</v>
      </c>
      <c r="GG791">
        <v>5.4540294118697599</v>
      </c>
      <c r="GH791">
        <v>5.0321984227034466</v>
      </c>
      <c r="GI791">
        <v>3.7994120726227427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22.218285391079512</v>
      </c>
      <c r="AO792">
        <v>5.2288848583579774</v>
      </c>
      <c r="AP792">
        <v>40.166166810902254</v>
      </c>
      <c r="AQ792">
        <v>33.545032893025166</v>
      </c>
      <c r="AR792">
        <v>4.9249693009362305</v>
      </c>
      <c r="AS792">
        <v>21.810925841330299</v>
      </c>
      <c r="AT792">
        <v>3.3051833276455316</v>
      </c>
      <c r="AU792">
        <v>20.766465032533763</v>
      </c>
      <c r="AV792"/>
      <c r="AW792"/>
      <c r="FY792" s="210">
        <v>787</v>
      </c>
      <c r="FZ792">
        <v>1.0912486699247299</v>
      </c>
      <c r="GA792">
        <v>2.3451083402683111</v>
      </c>
      <c r="GB792">
        <v>1.2043858557318461</v>
      </c>
      <c r="GC792">
        <v>0.65914281159178656</v>
      </c>
      <c r="GD792">
        <v>3.0229529548619913</v>
      </c>
      <c r="GE792">
        <v>6.8930952379692361</v>
      </c>
      <c r="GF792">
        <v>8.4596054946167616</v>
      </c>
      <c r="GG792">
        <v>8.6565406447218489</v>
      </c>
      <c r="GH792">
        <v>4.8414187419214869</v>
      </c>
      <c r="GI792">
        <v>4.6151852640771338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22.714592078875558</v>
      </c>
      <c r="AO793">
        <v>4.9139750336230543</v>
      </c>
      <c r="AP793">
        <v>38.779198941317972</v>
      </c>
      <c r="AQ793">
        <v>32.070581867753617</v>
      </c>
      <c r="AR793">
        <v>4.6684374556470827</v>
      </c>
      <c r="AS793">
        <v>21.670893104124428</v>
      </c>
      <c r="AT793">
        <v>2.8499921718325179</v>
      </c>
      <c r="AU793">
        <v>-0.76802429485834456</v>
      </c>
      <c r="AV793"/>
      <c r="AW793"/>
      <c r="FY793" s="210">
        <v>788</v>
      </c>
      <c r="FZ793">
        <v>1.2350694732127852</v>
      </c>
      <c r="GA793">
        <v>2.5495300999692097</v>
      </c>
      <c r="GB793">
        <v>1.8730104512607602</v>
      </c>
      <c r="GC793">
        <v>0.91583287785386291</v>
      </c>
      <c r="GD793">
        <v>2.6694855537563349</v>
      </c>
      <c r="GE793">
        <v>6.8524504872796133</v>
      </c>
      <c r="GF793">
        <v>4.5026928282095797</v>
      </c>
      <c r="GG793">
        <v>1.5250118923547338</v>
      </c>
      <c r="GH793">
        <v>1.9245931121599829</v>
      </c>
      <c r="GI793">
        <v>3.3394079649815449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28.149762853973197</v>
      </c>
      <c r="AO794">
        <v>5.6749669996133063</v>
      </c>
      <c r="AP794">
        <v>41.69766043525884</v>
      </c>
      <c r="AQ794">
        <v>35.526830370517125</v>
      </c>
      <c r="AR794">
        <v>5.1704867132898453</v>
      </c>
      <c r="AS794">
        <v>24.078827386038142</v>
      </c>
      <c r="AT794">
        <v>3.2515806172183548</v>
      </c>
      <c r="AU794">
        <v>-0.89806302636011748</v>
      </c>
      <c r="AV794"/>
      <c r="AW794"/>
      <c r="FY794" s="210">
        <v>789</v>
      </c>
      <c r="FZ794">
        <v>1.1782121613298975</v>
      </c>
      <c r="GA794">
        <v>3.1817529408927201</v>
      </c>
      <c r="GB794">
        <v>1.9000308294609536</v>
      </c>
      <c r="GC794">
        <v>0.64923655218579546</v>
      </c>
      <c r="GD794">
        <v>1.2976249259932724</v>
      </c>
      <c r="GE794">
        <v>2.7445107258739676</v>
      </c>
      <c r="GF794">
        <v>8.2959518441267033</v>
      </c>
      <c r="GG794">
        <v>9.2005592040895916</v>
      </c>
      <c r="GH794">
        <v>5.7943001752429719</v>
      </c>
      <c r="GI794">
        <v>3.8715117288007854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29.918525834592799</v>
      </c>
      <c r="AO795">
        <v>5.2551033817281319</v>
      </c>
      <c r="AP795">
        <v>37.813045101513715</v>
      </c>
      <c r="AQ795">
        <v>33.035657048988448</v>
      </c>
      <c r="AR795">
        <v>4.8470035412377133</v>
      </c>
      <c r="AS795">
        <v>24.99504515578969</v>
      </c>
      <c r="AT795">
        <v>3.2079967399836335</v>
      </c>
      <c r="AU795">
        <v>2.8531703173978951</v>
      </c>
      <c r="AV795"/>
      <c r="AW795"/>
      <c r="FY795" s="210">
        <v>790</v>
      </c>
      <c r="FZ795">
        <v>1.1243930641416344</v>
      </c>
      <c r="GA795">
        <v>2.9770064807382681</v>
      </c>
      <c r="GB795">
        <v>2.191835241915213</v>
      </c>
      <c r="GC795">
        <v>0.89996943234160043</v>
      </c>
      <c r="GD795">
        <v>2.8045465685709026</v>
      </c>
      <c r="GE795">
        <v>5.6133482312208915</v>
      </c>
      <c r="GF795">
        <v>3.4313455995023308</v>
      </c>
      <c r="GG795">
        <v>3.1629760810378205</v>
      </c>
      <c r="GH795">
        <v>1.5869180832963423</v>
      </c>
      <c r="GI795">
        <v>3.2542952807617276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25.363892966374582</v>
      </c>
      <c r="AO796">
        <v>6.0138556394900426</v>
      </c>
      <c r="AP796">
        <v>45.88447228960392</v>
      </c>
      <c r="AQ796">
        <v>38.438976255231097</v>
      </c>
      <c r="AR796">
        <v>5.7544936053793743</v>
      </c>
      <c r="AS796">
        <v>24.803583855762621</v>
      </c>
      <c r="AT796">
        <v>3.6430278373211085</v>
      </c>
      <c r="AU796">
        <v>4.689336420993004</v>
      </c>
      <c r="AV796"/>
      <c r="AW796"/>
      <c r="FY796" s="210">
        <v>791</v>
      </c>
      <c r="FZ796">
        <v>0.8709639003740135</v>
      </c>
      <c r="GA796">
        <v>2.6569506311406794</v>
      </c>
      <c r="GB796">
        <v>1.8602870692035252</v>
      </c>
      <c r="GC796">
        <v>0.79519046639462276</v>
      </c>
      <c r="GD796">
        <v>2.1262921925773437</v>
      </c>
      <c r="GE796">
        <v>4.8639503147294985</v>
      </c>
      <c r="GF796">
        <v>6.9859680004044655</v>
      </c>
      <c r="GG796">
        <v>7.457944797428036</v>
      </c>
      <c r="GH796">
        <v>5.3722868566863866</v>
      </c>
      <c r="GI796">
        <v>3.9936942084791758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27.313710885108719</v>
      </c>
      <c r="AO797">
        <v>5.0942378633301217</v>
      </c>
      <c r="AP797">
        <v>40.280365585107319</v>
      </c>
      <c r="AQ797">
        <v>33.62127012993799</v>
      </c>
      <c r="AR797">
        <v>4.7307793146771573</v>
      </c>
      <c r="AS797">
        <v>24.007295350416456</v>
      </c>
      <c r="AT797">
        <v>2.9791809057977172</v>
      </c>
      <c r="AU797">
        <v>-2.2933251585795111</v>
      </c>
      <c r="AV797"/>
      <c r="AW797"/>
      <c r="FY797" s="210">
        <v>792</v>
      </c>
      <c r="FZ797">
        <v>1.4743970736986161</v>
      </c>
      <c r="GA797">
        <v>2.652155665297971</v>
      </c>
      <c r="GB797">
        <v>1.2546443095652817</v>
      </c>
      <c r="GC797">
        <v>0.58768909499174815</v>
      </c>
      <c r="GD797">
        <v>0.58692141595660319</v>
      </c>
      <c r="GE797">
        <v>3.1931067546837681</v>
      </c>
      <c r="GF797">
        <v>4.4004953634800374</v>
      </c>
      <c r="GG797">
        <v>3.7475276363741692</v>
      </c>
      <c r="GH797">
        <v>6.3561355596832598</v>
      </c>
      <c r="GI797">
        <v>2.697889556303922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33.895073550423987</v>
      </c>
      <c r="AO798">
        <v>5.4266588954180568</v>
      </c>
      <c r="AP798">
        <v>38.953449378126123</v>
      </c>
      <c r="AQ798">
        <v>34.021130255109476</v>
      </c>
      <c r="AR798">
        <v>5.2085986100105606</v>
      </c>
      <c r="AS798">
        <v>26.055872159633822</v>
      </c>
      <c r="AT798">
        <v>3.0868609562230809</v>
      </c>
      <c r="AU798">
        <v>-6.0266800111502352</v>
      </c>
      <c r="AV798"/>
      <c r="AW798"/>
      <c r="FY798" s="210">
        <v>793</v>
      </c>
      <c r="FZ798">
        <v>0.87674768724105945</v>
      </c>
      <c r="GA798">
        <v>2.977580286294335</v>
      </c>
      <c r="GB798">
        <v>1.8701732703826059</v>
      </c>
      <c r="GC798">
        <v>0.82087209866469124</v>
      </c>
      <c r="GD798">
        <v>0.83300918772352661</v>
      </c>
      <c r="GE798">
        <v>3.1062674428897488</v>
      </c>
      <c r="GF798">
        <v>5.1817429737571956</v>
      </c>
      <c r="GG798">
        <v>2.7081262447854422</v>
      </c>
      <c r="GH798">
        <v>3.0644661723259086</v>
      </c>
      <c r="GI798">
        <v>2.532544568499195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22.650160518267132</v>
      </c>
      <c r="AO799">
        <v>5.8903407948314186</v>
      </c>
      <c r="AP799">
        <v>42.801917872975359</v>
      </c>
      <c r="AQ799">
        <v>36.561471606166592</v>
      </c>
      <c r="AR799">
        <v>5.5461257487812468</v>
      </c>
      <c r="AS799">
        <v>24.319058389848461</v>
      </c>
      <c r="AT799">
        <v>3.7669939799422973</v>
      </c>
      <c r="AU799">
        <v>20.956212794690192</v>
      </c>
      <c r="AV799"/>
      <c r="AW799"/>
      <c r="FY799" s="210">
        <v>794</v>
      </c>
      <c r="FZ799">
        <v>1.453947900105121</v>
      </c>
      <c r="GA799">
        <v>2.6886946511207341</v>
      </c>
      <c r="GB799">
        <v>1.9441361242167847</v>
      </c>
      <c r="GC799">
        <v>0.92318474963645003</v>
      </c>
      <c r="GD799">
        <v>2.4309653420478647</v>
      </c>
      <c r="GE799">
        <v>6.1855584427211792</v>
      </c>
      <c r="GF799">
        <v>5.6453799004139142</v>
      </c>
      <c r="GG799">
        <v>4.0779920421111182</v>
      </c>
      <c r="GH799">
        <v>3.3511675022111027</v>
      </c>
      <c r="GI799">
        <v>3.7188794560664804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22.081834007698372</v>
      </c>
      <c r="AO800">
        <v>5.8161622914220192</v>
      </c>
      <c r="AP800">
        <v>46.141701447635022</v>
      </c>
      <c r="AQ800">
        <v>38.242714453391621</v>
      </c>
      <c r="AR800">
        <v>5.3219832921806614</v>
      </c>
      <c r="AS800">
        <v>21.520177308539527</v>
      </c>
      <c r="AT800">
        <v>3.5459291208990558</v>
      </c>
      <c r="AU800">
        <v>-2.9724406493088082</v>
      </c>
      <c r="AV800"/>
      <c r="AW800"/>
      <c r="FY800" s="210">
        <v>795</v>
      </c>
      <c r="FZ800">
        <v>0.64455704988945584</v>
      </c>
      <c r="GA800">
        <v>2.9044577498116082</v>
      </c>
      <c r="GB800">
        <v>2.0672838782225145</v>
      </c>
      <c r="GC800">
        <v>0.90490519585401397</v>
      </c>
      <c r="GD800">
        <v>1.596569033060266</v>
      </c>
      <c r="GE800">
        <v>4.0121513052874</v>
      </c>
      <c r="GF800">
        <v>5.3604597222833084</v>
      </c>
      <c r="GG800">
        <v>3.9551831793306724</v>
      </c>
      <c r="GH800">
        <v>2.8319560579299088</v>
      </c>
      <c r="GI800">
        <v>2.9861381688121869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23.630659475328592</v>
      </c>
      <c r="AO801">
        <v>5.9926772721979962</v>
      </c>
      <c r="AP801">
        <v>38.833394493172278</v>
      </c>
      <c r="AQ801">
        <v>34.628478909779766</v>
      </c>
      <c r="AR801">
        <v>5.5130714188433272</v>
      </c>
      <c r="AS801">
        <v>25.529462277818318</v>
      </c>
      <c r="AT801" t="e">
        <v>#DIV/0!</v>
      </c>
      <c r="AU801" t="e">
        <v>#DIV/0!</v>
      </c>
      <c r="AV801"/>
      <c r="AW801"/>
      <c r="FY801" s="210">
        <v>796</v>
      </c>
      <c r="FZ801">
        <v>0.65899690723804139</v>
      </c>
      <c r="GA801">
        <v>2.9148003767965736</v>
      </c>
      <c r="GB801">
        <v>2.3330594576538921</v>
      </c>
      <c r="GC801">
        <v>1.3174176665307684</v>
      </c>
      <c r="GD801">
        <v>2.7016823164011168</v>
      </c>
      <c r="GE801">
        <v>4.8608101357942202</v>
      </c>
      <c r="GF801">
        <v>4.902689020294047</v>
      </c>
      <c r="GG801">
        <v>5.8966356768795229</v>
      </c>
      <c r="GH801">
        <v>4.0659419552918354</v>
      </c>
      <c r="GI801">
        <v>3.8323237761120783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27.826289741437581</v>
      </c>
      <c r="AO802">
        <v>5.5467214120103625</v>
      </c>
      <c r="AP802">
        <v>39.734668970500067</v>
      </c>
      <c r="AQ802">
        <v>34.849127855022708</v>
      </c>
      <c r="AR802">
        <v>5.1712757893164625</v>
      </c>
      <c r="AS802">
        <v>26.283415040744607</v>
      </c>
      <c r="AT802">
        <v>3.3401104742872243</v>
      </c>
      <c r="AU802">
        <v>3.742815881325849</v>
      </c>
      <c r="AV802"/>
      <c r="AW802"/>
      <c r="FY802" s="210">
        <v>797</v>
      </c>
      <c r="FZ802">
        <v>0.55607445113697596</v>
      </c>
      <c r="GA802">
        <v>1.7918427608429104</v>
      </c>
      <c r="GB802">
        <v>1.3673372367807111</v>
      </c>
      <c r="GC802">
        <v>0.64830144321960526</v>
      </c>
      <c r="GD802">
        <v>1.3431986443420918</v>
      </c>
      <c r="GE802">
        <v>5.0772288132627885</v>
      </c>
      <c r="GF802">
        <v>8.1594745377202145</v>
      </c>
      <c r="GG802">
        <v>4.8454654195300844</v>
      </c>
      <c r="GH802">
        <v>2.8004814394347903</v>
      </c>
      <c r="GI802">
        <v>3.1658902267561237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32.951839656802889</v>
      </c>
      <c r="AO803">
        <v>6.9070933339417664</v>
      </c>
      <c r="AP803">
        <v>47.609117576914855</v>
      </c>
      <c r="AQ803">
        <v>41.788684015685135</v>
      </c>
      <c r="AR803">
        <v>6.3945831547501628</v>
      </c>
      <c r="AS803">
        <v>30.016276503580556</v>
      </c>
      <c r="AT803">
        <v>3.9734775972621317</v>
      </c>
      <c r="AU803">
        <v>29.045423954460698</v>
      </c>
      <c r="AV803"/>
      <c r="AW803"/>
      <c r="FY803" s="210">
        <v>798</v>
      </c>
      <c r="FZ803">
        <v>1.0090009167950227</v>
      </c>
      <c r="GA803">
        <v>2.2080603742300782</v>
      </c>
      <c r="GB803">
        <v>1.1286463053544229</v>
      </c>
      <c r="GC803">
        <v>0.48141179965338876</v>
      </c>
      <c r="GD803">
        <v>1.5200653259212538</v>
      </c>
      <c r="GE803">
        <v>4.6307096492384527</v>
      </c>
      <c r="GF803">
        <v>7.8602046867385216</v>
      </c>
      <c r="GG803">
        <v>5.264628532733842</v>
      </c>
      <c r="GH803">
        <v>2.4429449803387184</v>
      </c>
      <c r="GI803">
        <v>3.192144667456104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32.281719471976814</v>
      </c>
      <c r="AO804">
        <v>4.8079995246605041</v>
      </c>
      <c r="AP804">
        <v>28.345580663338175</v>
      </c>
      <c r="AQ804">
        <v>27.387084741038407</v>
      </c>
      <c r="AR804">
        <v>4.4823466581978701</v>
      </c>
      <c r="AS804">
        <v>23.234539529934889</v>
      </c>
      <c r="AT804">
        <v>3.0678134685951739</v>
      </c>
      <c r="AU804">
        <v>12.458517099607636</v>
      </c>
      <c r="AV804"/>
      <c r="AW804"/>
      <c r="FY804" s="210">
        <v>799</v>
      </c>
      <c r="FZ804">
        <v>1.4602955104168256</v>
      </c>
      <c r="GA804">
        <v>1.279205080269334</v>
      </c>
      <c r="GB804">
        <v>0.65355432779790101</v>
      </c>
      <c r="GC804">
        <v>0.56399687089937467</v>
      </c>
      <c r="GD804">
        <v>1.5248126072421924</v>
      </c>
      <c r="GE804">
        <v>4.2095450153638065</v>
      </c>
      <c r="GF804">
        <v>8.2958651542178909</v>
      </c>
      <c r="GG804">
        <v>8.115780364355377</v>
      </c>
      <c r="GH804">
        <v>4.9733049010617627</v>
      </c>
      <c r="GI804">
        <v>3.602637386283956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27.305066997475478</v>
      </c>
      <c r="AO805">
        <v>5.5710494135856283</v>
      </c>
      <c r="AP805">
        <v>47.541622880886209</v>
      </c>
      <c r="AQ805">
        <v>38.113691087996656</v>
      </c>
      <c r="AR805">
        <v>5.3869125502034727</v>
      </c>
      <c r="AS805">
        <v>29.833562357074047</v>
      </c>
      <c r="AT805">
        <v>3.6010999079101977</v>
      </c>
      <c r="AU805">
        <v>5.4613329448229706</v>
      </c>
      <c r="AV805"/>
      <c r="AW805"/>
      <c r="FY805" s="210">
        <v>800</v>
      </c>
      <c r="FZ805">
        <v>1.0501247933598763</v>
      </c>
      <c r="GA805">
        <v>2.1848737920146273</v>
      </c>
      <c r="GB805">
        <v>1.8666771223609633</v>
      </c>
      <c r="GC805">
        <v>0.78616901250677729</v>
      </c>
      <c r="GD805">
        <v>2.0134977858998893</v>
      </c>
      <c r="GE805">
        <v>5.9799816073621122</v>
      </c>
      <c r="GF805">
        <v>6.5497293668203511</v>
      </c>
      <c r="GG805">
        <v>4.8677016450394124</v>
      </c>
      <c r="GH805">
        <v>4.2889238672379424</v>
      </c>
      <c r="GI805">
        <v>3.7185519489463537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25.705858582863044</v>
      </c>
      <c r="AO806">
        <v>4.8010949253506592</v>
      </c>
      <c r="AP806">
        <v>28.769527244644379</v>
      </c>
      <c r="AQ806">
        <v>27.046634063526731</v>
      </c>
      <c r="AR806">
        <v>4.5126994351681891</v>
      </c>
      <c r="AS806">
        <v>22.485095920608579</v>
      </c>
      <c r="AT806">
        <v>2.8778984902140947</v>
      </c>
      <c r="AU806">
        <v>14.889429229276201</v>
      </c>
      <c r="AV806"/>
      <c r="AW806"/>
      <c r="FY806" s="210">
        <v>801</v>
      </c>
      <c r="FZ806">
        <v>0.49393757753396861</v>
      </c>
      <c r="GA806">
        <v>1.1168539469023591</v>
      </c>
      <c r="GB806">
        <v>1.1782575530405408</v>
      </c>
      <c r="GC806">
        <v>0.99674846373758996</v>
      </c>
      <c r="GD806">
        <v>1.342951586421482</v>
      </c>
      <c r="GE806">
        <v>2.878607425190066</v>
      </c>
      <c r="GF806">
        <v>7.1457330639780521</v>
      </c>
      <c r="GG806">
        <v>5.7680259782030294</v>
      </c>
      <c r="GH806">
        <v>2.2327642520642641</v>
      </c>
      <c r="GI806">
        <v>2.8603889650892991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33.261425368815466</v>
      </c>
      <c r="AO807">
        <v>5.8355722394499789</v>
      </c>
      <c r="AP807">
        <v>43.455847833872113</v>
      </c>
      <c r="AQ807">
        <v>36.983528437417746</v>
      </c>
      <c r="AR807">
        <v>5.5101610781232804</v>
      </c>
      <c r="AS807">
        <v>26.125758376311875</v>
      </c>
      <c r="AT807">
        <v>3.3175472177659686</v>
      </c>
      <c r="AU807">
        <v>4.4246225676539428</v>
      </c>
      <c r="AV807"/>
      <c r="AW807"/>
      <c r="FY807" s="210">
        <v>802</v>
      </c>
      <c r="FZ807">
        <v>1.0768088125761444</v>
      </c>
      <c r="GA807">
        <v>2.1466916573795358</v>
      </c>
      <c r="GB807">
        <v>1.0295064947503532</v>
      </c>
      <c r="GC807">
        <v>0.66077590229536409</v>
      </c>
      <c r="GD807">
        <v>1.7134414959419948</v>
      </c>
      <c r="GE807">
        <v>3.3297417911944245</v>
      </c>
      <c r="GF807">
        <v>3.8015926413042109</v>
      </c>
      <c r="GG807">
        <v>8.145954932791664</v>
      </c>
      <c r="GH807">
        <v>9.0627804611703091</v>
      </c>
      <c r="GI807">
        <v>3.5741950001376859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20.812782992470495</v>
      </c>
      <c r="AO808">
        <v>3.8316803559567596</v>
      </c>
      <c r="AP808">
        <v>32.550383132362128</v>
      </c>
      <c r="AQ808">
        <v>26.950962430035375</v>
      </c>
      <c r="AR808">
        <v>3.5863556386100028</v>
      </c>
      <c r="AS808">
        <v>18.682067051025211</v>
      </c>
      <c r="AT808">
        <v>2.2911427064868763</v>
      </c>
      <c r="AU808">
        <v>-0.91198875745554697</v>
      </c>
      <c r="AV808"/>
      <c r="AW808"/>
      <c r="FY808" s="210">
        <v>803</v>
      </c>
      <c r="FZ808">
        <v>1.1446167083572658</v>
      </c>
      <c r="GA808">
        <v>1.7851882831236812</v>
      </c>
      <c r="GB808">
        <v>1.718006664512421</v>
      </c>
      <c r="GC808">
        <v>1.0916559026597401</v>
      </c>
      <c r="GD808">
        <v>1.9004468180589846</v>
      </c>
      <c r="GE808">
        <v>3.8295976689109947</v>
      </c>
      <c r="GF808">
        <v>6.4403062347714073</v>
      </c>
      <c r="GG808">
        <v>8.193685585940564</v>
      </c>
      <c r="GH808">
        <v>5.2110835873387069</v>
      </c>
      <c r="GI808">
        <v>3.7583389742118514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19.26761379504066</v>
      </c>
      <c r="AO809">
        <v>3.6203459583430209</v>
      </c>
      <c r="AP809">
        <v>29.170347467074144</v>
      </c>
      <c r="AQ809">
        <v>23.971529932563708</v>
      </c>
      <c r="AR809">
        <v>3.3864743938284541</v>
      </c>
      <c r="AS809">
        <v>17.579050085173936</v>
      </c>
      <c r="AT809">
        <v>2.416015855316151</v>
      </c>
      <c r="AU809">
        <v>7.1172029336374418</v>
      </c>
      <c r="AV809"/>
      <c r="AW809"/>
      <c r="FY809" s="210">
        <v>804</v>
      </c>
      <c r="FZ809">
        <v>1.1590565657058514</v>
      </c>
      <c r="GA809">
        <v>2.9489499496763734</v>
      </c>
      <c r="GB809">
        <v>1.2778361171863959</v>
      </c>
      <c r="GC809">
        <v>0.67840905558691678</v>
      </c>
      <c r="GD809">
        <v>1.6878180114458037</v>
      </c>
      <c r="GE809">
        <v>4.7700641110808855</v>
      </c>
      <c r="GF809">
        <v>7.8108378123896216</v>
      </c>
      <c r="GG809">
        <v>4.8622068776098279</v>
      </c>
      <c r="GH809">
        <v>2.4429449803387184</v>
      </c>
      <c r="GI809">
        <v>3.3357827199372569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24.651519734553212</v>
      </c>
      <c r="AO810">
        <v>5.4257451651552469</v>
      </c>
      <c r="AP810">
        <v>35.968780304175567</v>
      </c>
      <c r="AQ810">
        <v>32.419906110650743</v>
      </c>
      <c r="AR810">
        <v>5.0671173790898152</v>
      </c>
      <c r="AS810">
        <v>23.558654298339309</v>
      </c>
      <c r="AT810">
        <v>3.4555299654959941</v>
      </c>
      <c r="AU810">
        <v>1.0974838851572284</v>
      </c>
      <c r="AV810"/>
      <c r="AW810"/>
      <c r="FY810" s="210">
        <v>805</v>
      </c>
      <c r="FZ810">
        <v>1.0496737346041494</v>
      </c>
      <c r="GA810">
        <v>2.6591386617730652</v>
      </c>
      <c r="GB810">
        <v>1.6376841246306628</v>
      </c>
      <c r="GC810">
        <v>0.85525350298665193</v>
      </c>
      <c r="GD810">
        <v>1.8328549250207575</v>
      </c>
      <c r="GE810">
        <v>4.3450508702278352</v>
      </c>
      <c r="GF810">
        <v>4.2049382701726605</v>
      </c>
      <c r="GG810">
        <v>4.6883734658926306</v>
      </c>
      <c r="GH810">
        <v>4.7507656646991965</v>
      </c>
      <c r="GI810">
        <v>3.1770655108929491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23.007269887178364</v>
      </c>
      <c r="AO811">
        <v>4.3627451191053392</v>
      </c>
      <c r="AP811">
        <v>31.79091198438314</v>
      </c>
      <c r="AQ811">
        <v>27.263661340481331</v>
      </c>
      <c r="AR811">
        <v>4.0462215360571614</v>
      </c>
      <c r="AS811">
        <v>20.334668839260793</v>
      </c>
      <c r="AT811" t="e">
        <v>#DIV/0!</v>
      </c>
      <c r="AU811" t="e">
        <v>#DIV/0!</v>
      </c>
      <c r="AV811"/>
      <c r="AW811"/>
      <c r="FY811" s="210">
        <v>806</v>
      </c>
      <c r="FZ811">
        <v>0.63646480285257523</v>
      </c>
      <c r="GA811">
        <v>1.7027495691709786</v>
      </c>
      <c r="GB811">
        <v>0.92062860695866022</v>
      </c>
      <c r="GC811">
        <v>0.58734880526993694</v>
      </c>
      <c r="GD811">
        <v>2.3467937052684342</v>
      </c>
      <c r="GE811">
        <v>4.6088462373964578</v>
      </c>
      <c r="GF811">
        <v>5.774730989996371</v>
      </c>
      <c r="GG811">
        <v>5.6906022718801612</v>
      </c>
      <c r="GH811">
        <v>2.3753828323495987</v>
      </c>
      <c r="GI811">
        <v>3.1519388327698841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27.127213804916401</v>
      </c>
      <c r="AO812">
        <v>5.6684645743164896</v>
      </c>
      <c r="AP812">
        <v>38.032640871818963</v>
      </c>
      <c r="AQ812">
        <v>33.484357288992094</v>
      </c>
      <c r="AR812">
        <v>5.348605201068394</v>
      </c>
      <c r="AS812">
        <v>25.005387750051309</v>
      </c>
      <c r="AT812">
        <v>3.4884382900876187</v>
      </c>
      <c r="AU812">
        <v>11.189218958213226</v>
      </c>
      <c r="AV812"/>
      <c r="AW812"/>
      <c r="FY812" s="210">
        <v>807</v>
      </c>
      <c r="FZ812">
        <v>0.89776068427921329</v>
      </c>
      <c r="GA812">
        <v>2.5488084060543712</v>
      </c>
      <c r="GB812">
        <v>1.5638193522236929</v>
      </c>
      <c r="GC812">
        <v>0.64811158261987067</v>
      </c>
      <c r="GD812">
        <v>1.5004677354777038</v>
      </c>
      <c r="GE812">
        <v>5.9231011288431947</v>
      </c>
      <c r="GF812">
        <v>8.3438809986410689</v>
      </c>
      <c r="GG812">
        <v>7.1384563720196335</v>
      </c>
      <c r="GH812">
        <v>7.9824055158581348</v>
      </c>
      <c r="GI812">
        <v>4.2288984536985081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24.319388324296803</v>
      </c>
      <c r="AO813">
        <v>4.678480222432789</v>
      </c>
      <c r="AP813">
        <v>34.845244288289642</v>
      </c>
      <c r="AQ813">
        <v>29.755294973026292</v>
      </c>
      <c r="AR813">
        <v>4.2094345927630394</v>
      </c>
      <c r="AS813">
        <v>20.052446015422071</v>
      </c>
      <c r="AT813">
        <v>2.875443524726284</v>
      </c>
      <c r="AU813">
        <v>-0.21212814115367007</v>
      </c>
      <c r="AV813"/>
      <c r="AW813"/>
      <c r="FY813" s="210">
        <v>808</v>
      </c>
      <c r="FZ813">
        <v>1.3034411924385654</v>
      </c>
      <c r="GA813">
        <v>3.8852543206262218</v>
      </c>
      <c r="GB813">
        <v>2.3260363536039526</v>
      </c>
      <c r="GC813">
        <v>0.98827162238907795</v>
      </c>
      <c r="GD813">
        <v>2.2756674324092456</v>
      </c>
      <c r="GE813">
        <v>4.7484235088562956</v>
      </c>
      <c r="GF813">
        <v>5.1777509219232449</v>
      </c>
      <c r="GG813">
        <v>4.9106467560428744</v>
      </c>
      <c r="GH813">
        <v>3.1281855902649962</v>
      </c>
      <c r="GI813">
        <v>3.5603484980379352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19.146103232959849</v>
      </c>
      <c r="AO814">
        <v>4.6953752443833112</v>
      </c>
      <c r="AP814">
        <v>35.196039588981087</v>
      </c>
      <c r="AQ814">
        <v>29.737817238459805</v>
      </c>
      <c r="AR814">
        <v>4.3329227923169515</v>
      </c>
      <c r="AS814">
        <v>19.892113887729362</v>
      </c>
      <c r="AT814">
        <v>2.9662624923304288</v>
      </c>
      <c r="AU814">
        <v>4.3407703103017088</v>
      </c>
      <c r="AV814"/>
      <c r="AW814"/>
      <c r="FY814" s="210">
        <v>809</v>
      </c>
      <c r="FZ814">
        <v>1.2274282849316316</v>
      </c>
      <c r="GA814">
        <v>3.0213373827120371</v>
      </c>
      <c r="GB814">
        <v>2.3540777878196204</v>
      </c>
      <c r="GC814">
        <v>0.8489260906168995</v>
      </c>
      <c r="GD814">
        <v>0.9041250063019346</v>
      </c>
      <c r="GE814">
        <v>2.5292677001535249</v>
      </c>
      <c r="GF814">
        <v>3.7963129159074893</v>
      </c>
      <c r="GG814">
        <v>1.8983509994499372</v>
      </c>
      <c r="GH814">
        <v>0.57264111665876327</v>
      </c>
      <c r="GI814">
        <v>2.0906660034952491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27.990027538906997</v>
      </c>
      <c r="AO815">
        <v>5.2881199851137852</v>
      </c>
      <c r="AP815">
        <v>41.123845457757398</v>
      </c>
      <c r="AQ815">
        <v>34.678997217908424</v>
      </c>
      <c r="AR815">
        <v>4.9187167224783153</v>
      </c>
      <c r="AS815">
        <v>24.993377054962746</v>
      </c>
      <c r="AT815">
        <v>3.4460482260880982</v>
      </c>
      <c r="AU815">
        <v>3.9070514963834797</v>
      </c>
      <c r="AV815"/>
      <c r="AW815"/>
      <c r="FY815" s="210">
        <v>810</v>
      </c>
      <c r="FZ815">
        <v>0.8647290547512404</v>
      </c>
      <c r="GA815">
        <v>1.4433177936212249</v>
      </c>
      <c r="GB815">
        <v>0.71880148177456948</v>
      </c>
      <c r="GC815">
        <v>0.57400501499991452</v>
      </c>
      <c r="GD815">
        <v>1.5734880968743172</v>
      </c>
      <c r="GE815">
        <v>3.4720045117177776</v>
      </c>
      <c r="GF815">
        <v>6.3015774910045224</v>
      </c>
      <c r="GG815">
        <v>6.0889867116333862</v>
      </c>
      <c r="GH815">
        <v>3.8005910860770262</v>
      </c>
      <c r="GI815">
        <v>3.0168686105728093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19.83314721994908</v>
      </c>
      <c r="AO816">
        <v>5.4384913494155249</v>
      </c>
      <c r="AP816">
        <v>38.336129674112598</v>
      </c>
      <c r="AQ816">
        <v>33.306230941548307</v>
      </c>
      <c r="AR816">
        <v>5.0569468120197456</v>
      </c>
      <c r="AS816">
        <v>23.551085259294247</v>
      </c>
      <c r="AT816">
        <v>3.7579015951042916</v>
      </c>
      <c r="AU816">
        <v>8.9747717451629914</v>
      </c>
      <c r="AV816"/>
      <c r="AW816"/>
      <c r="FY816" s="210">
        <v>811</v>
      </c>
      <c r="FZ816">
        <v>1.365465301352641</v>
      </c>
      <c r="GA816">
        <v>1.7940447344576931</v>
      </c>
      <c r="GB816">
        <v>2.0058085496357116</v>
      </c>
      <c r="GC816">
        <v>1.1576307144924893</v>
      </c>
      <c r="GD816">
        <v>2.2136777972358095</v>
      </c>
      <c r="GE816">
        <v>4.757927802777413</v>
      </c>
      <c r="GF816">
        <v>4.3302912136146814</v>
      </c>
      <c r="GG816">
        <v>3.8404496484401611</v>
      </c>
      <c r="GH816">
        <v>1.5949821164317111</v>
      </c>
      <c r="GI816">
        <v>3.0635697789447076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17.733664237653603</v>
      </c>
      <c r="AO817">
        <v>4.2110726960205538</v>
      </c>
      <c r="AP817">
        <v>31.50873828633129</v>
      </c>
      <c r="AQ817">
        <v>26.014268812160651</v>
      </c>
      <c r="AR817">
        <v>3.9477705323329397</v>
      </c>
      <c r="AS817">
        <v>17.700876150979372</v>
      </c>
      <c r="AT817">
        <v>2.8562219387939849</v>
      </c>
      <c r="AU817">
        <v>5.3512956092094033</v>
      </c>
      <c r="AV817"/>
      <c r="AW817"/>
      <c r="FY817" s="210">
        <v>812</v>
      </c>
      <c r="FZ817">
        <v>1.0911359052357981</v>
      </c>
      <c r="GA817">
        <v>3.2093295273553388</v>
      </c>
      <c r="GB817">
        <v>1.2548516093163966</v>
      </c>
      <c r="GC817">
        <v>0.62196861461915975</v>
      </c>
      <c r="GD817">
        <v>1.7558836673234326</v>
      </c>
      <c r="GE817">
        <v>3.0525589708979686</v>
      </c>
      <c r="GF817">
        <v>3.1268694559104482</v>
      </c>
      <c r="GG817">
        <v>5.7003215956221744</v>
      </c>
      <c r="GH817">
        <v>5.2043508461432371</v>
      </c>
      <c r="GI817">
        <v>2.9100883196738616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26.750408114691588</v>
      </c>
      <c r="AO818">
        <v>5.2309555555182055</v>
      </c>
      <c r="AP818">
        <v>41.038665800697487</v>
      </c>
      <c r="AQ818">
        <v>34.541489189541686</v>
      </c>
      <c r="AR818">
        <v>4.990637385811973</v>
      </c>
      <c r="AS818">
        <v>22.465289577632397</v>
      </c>
      <c r="AT818">
        <v>2.8144252726850092</v>
      </c>
      <c r="AU818">
        <v>-7.8361598074730656</v>
      </c>
      <c r="AV818"/>
      <c r="AW818"/>
      <c r="FY818" s="210">
        <v>813</v>
      </c>
      <c r="FZ818">
        <v>1.0769215772650764</v>
      </c>
      <c r="GA818">
        <v>2.6716214831067675</v>
      </c>
      <c r="GB818">
        <v>1.27897070347224</v>
      </c>
      <c r="GC818">
        <v>0.43981338160403627</v>
      </c>
      <c r="GD818">
        <v>2.042148109515558</v>
      </c>
      <c r="GE818">
        <v>4.2221500699001426</v>
      </c>
      <c r="GF818">
        <v>2.2892396063396903</v>
      </c>
      <c r="GG818">
        <v>1.7236087186895752</v>
      </c>
      <c r="GH818">
        <v>2.720216140764852</v>
      </c>
      <c r="GI818">
        <v>2.5476787440652022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26.335666852210966</v>
      </c>
      <c r="AO819">
        <v>5.5905424052571089</v>
      </c>
      <c r="AP819">
        <v>41.642016219086841</v>
      </c>
      <c r="AQ819">
        <v>35.072926427885619</v>
      </c>
      <c r="AR819">
        <v>5.2298676547377774</v>
      </c>
      <c r="AS819">
        <v>23.859609650936402</v>
      </c>
      <c r="AT819">
        <v>3.2733071879800231</v>
      </c>
      <c r="AU819">
        <v>3.7472350329059267</v>
      </c>
      <c r="AV819"/>
      <c r="AW819"/>
      <c r="FY819" s="210">
        <v>814</v>
      </c>
      <c r="FZ819">
        <v>1.303328427749634</v>
      </c>
      <c r="GA819">
        <v>1.9798873595605373</v>
      </c>
      <c r="GB819">
        <v>1.2351453336274334</v>
      </c>
      <c r="GC819">
        <v>0.82505957699167265</v>
      </c>
      <c r="GD819">
        <v>1.0636114016512539</v>
      </c>
      <c r="GE819">
        <v>1.8948417328385776</v>
      </c>
      <c r="GF819">
        <v>2.5391047314361854</v>
      </c>
      <c r="GG819">
        <v>4.7478231747220452</v>
      </c>
      <c r="GH819">
        <v>5.7665068006513014</v>
      </c>
      <c r="GI819">
        <v>2.5199241992845947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20.962950244200247</v>
      </c>
      <c r="AO820">
        <v>4.9006213612665581</v>
      </c>
      <c r="AP820">
        <v>36.157764806586819</v>
      </c>
      <c r="AQ820">
        <v>30.973906200957654</v>
      </c>
      <c r="AR820">
        <v>4.5061580604655722</v>
      </c>
      <c r="AS820">
        <v>21.743521450613777</v>
      </c>
      <c r="AT820">
        <v>3.2219347473724329</v>
      </c>
      <c r="AU820">
        <v>6.2462353483281294</v>
      </c>
      <c r="AV820"/>
      <c r="AW820"/>
      <c r="FY820" s="210">
        <v>815</v>
      </c>
      <c r="FZ820">
        <v>0.82995278849809173</v>
      </c>
      <c r="GA820">
        <v>3.1563386981783421</v>
      </c>
      <c r="GB820">
        <v>2.5674294389702057</v>
      </c>
      <c r="GC820">
        <v>1.1801479533069521</v>
      </c>
      <c r="GD820">
        <v>3.6070625990500904</v>
      </c>
      <c r="GE820">
        <v>7.8867463276427348</v>
      </c>
      <c r="GF820">
        <v>5.4172795025302358</v>
      </c>
      <c r="GG820">
        <v>5.4943017451534351</v>
      </c>
      <c r="GH820">
        <v>4.9043766167489498</v>
      </c>
      <c r="GI820">
        <v>4.6788842532251742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25.509516814204311</v>
      </c>
      <c r="AO821">
        <v>4.6713996367851633</v>
      </c>
      <c r="AP821">
        <v>33.127256657834621</v>
      </c>
      <c r="AQ821">
        <v>29.200798730900555</v>
      </c>
      <c r="AR821">
        <v>4.332364711700051</v>
      </c>
      <c r="AS821">
        <v>23.789486677737006</v>
      </c>
      <c r="AT821">
        <v>2.8154556467072349</v>
      </c>
      <c r="AU821">
        <v>1.7822651096847513</v>
      </c>
      <c r="AV821"/>
      <c r="AW821"/>
      <c r="FY821" s="210">
        <v>816</v>
      </c>
      <c r="FZ821">
        <v>1.3790030411897722</v>
      </c>
      <c r="GA821">
        <v>2.3055144795358284</v>
      </c>
      <c r="GB821">
        <v>1.1285970337266349</v>
      </c>
      <c r="GC821">
        <v>0.70809310142372606</v>
      </c>
      <c r="GD821">
        <v>1.4770423181401142</v>
      </c>
      <c r="GE821">
        <v>3.1262949722420661</v>
      </c>
      <c r="GF821">
        <v>3.888733420156762</v>
      </c>
      <c r="GG821">
        <v>3.8747391958960145</v>
      </c>
      <c r="GH821">
        <v>2.5032046383040951</v>
      </c>
      <c r="GI821">
        <v>2.4740426226499483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25.523284126684864</v>
      </c>
      <c r="AO822">
        <v>4.6729148585088893</v>
      </c>
      <c r="AP822">
        <v>30.90981220457352</v>
      </c>
      <c r="AQ822">
        <v>27.795486653913052</v>
      </c>
      <c r="AR822">
        <v>4.3632743276897514</v>
      </c>
      <c r="AS822">
        <v>22.357290657677481</v>
      </c>
      <c r="AT822">
        <v>2.8197526523368244</v>
      </c>
      <c r="AU822">
        <v>5.188536717085257</v>
      </c>
      <c r="AV822"/>
      <c r="AW822"/>
      <c r="FY822" s="210">
        <v>817</v>
      </c>
      <c r="FZ822">
        <v>1.4619273824530699</v>
      </c>
      <c r="GA822">
        <v>2.8540777105095585</v>
      </c>
      <c r="GB822">
        <v>1.3835517674672198</v>
      </c>
      <c r="GC822">
        <v>0.39171326165207798</v>
      </c>
      <c r="GD822">
        <v>1.9918615315318022</v>
      </c>
      <c r="GE822">
        <v>4.2666133245572722</v>
      </c>
      <c r="GF822">
        <v>1.6208053759730472</v>
      </c>
      <c r="GG822">
        <v>4.1196008863701712</v>
      </c>
      <c r="GH822">
        <v>5.31799760820636</v>
      </c>
      <c r="GI822">
        <v>2.8914188682615793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29.591596772369609</v>
      </c>
      <c r="AO823">
        <v>6.1665701136218258</v>
      </c>
      <c r="AP823">
        <v>48.715211146562602</v>
      </c>
      <c r="AQ823">
        <v>40.775710229715386</v>
      </c>
      <c r="AR823">
        <v>5.6745789778032067</v>
      </c>
      <c r="AS823">
        <v>25.823023051391591</v>
      </c>
      <c r="AT823">
        <v>3.6359067418009361</v>
      </c>
      <c r="AU823">
        <v>-7.7960317693923482</v>
      </c>
      <c r="AV823"/>
      <c r="AW823"/>
      <c r="FY823" s="210">
        <v>818</v>
      </c>
      <c r="FZ823">
        <v>1.3240031307209921</v>
      </c>
      <c r="GA823">
        <v>2.0457157491614169</v>
      </c>
      <c r="GB823">
        <v>1.1565253883379851</v>
      </c>
      <c r="GC823">
        <v>0.61131407002773674</v>
      </c>
      <c r="GD823">
        <v>1.0558089436090048</v>
      </c>
      <c r="GE823">
        <v>2.6222350989572618</v>
      </c>
      <c r="GF823">
        <v>5.9896773092096014</v>
      </c>
      <c r="GG823">
        <v>5.3073023386198344</v>
      </c>
      <c r="GH823">
        <v>2.8319560579299088</v>
      </c>
      <c r="GI823">
        <v>2.6729741550263872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31.027629072519165</v>
      </c>
      <c r="AO824">
        <v>5.2277131783139463</v>
      </c>
      <c r="AP824">
        <v>36.745091596852696</v>
      </c>
      <c r="AQ824">
        <v>32.30402619659241</v>
      </c>
      <c r="AR824">
        <v>4.9010368577358285</v>
      </c>
      <c r="AS824">
        <v>24.913654126108305</v>
      </c>
      <c r="AT824">
        <v>3.0750578626742198</v>
      </c>
      <c r="AU824">
        <v>4.1297343005723928</v>
      </c>
      <c r="AV824"/>
      <c r="AW824"/>
      <c r="FY824" s="210">
        <v>819</v>
      </c>
      <c r="FZ824">
        <v>1.1656297053954197</v>
      </c>
      <c r="GA824">
        <v>2.9081945348493581</v>
      </c>
      <c r="GB824">
        <v>2.4459898962539088</v>
      </c>
      <c r="GC824">
        <v>0.97767041806467625</v>
      </c>
      <c r="GD824">
        <v>1.3558844633580425</v>
      </c>
      <c r="GE824">
        <v>2.6972704424272926</v>
      </c>
      <c r="GF824">
        <v>6.1799751486984551</v>
      </c>
      <c r="GG824">
        <v>5.9823608788892368</v>
      </c>
      <c r="GH824">
        <v>2.1884884498974948</v>
      </c>
      <c r="GI824">
        <v>3.0866866899655143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17.08137575815924</v>
      </c>
      <c r="AO825">
        <v>3.0134123961690182</v>
      </c>
      <c r="AP825">
        <v>23.041237868236998</v>
      </c>
      <c r="AQ825">
        <v>19.243133288047083</v>
      </c>
      <c r="AR825">
        <v>2.8283356374284465</v>
      </c>
      <c r="AS825">
        <v>14.375058298188836</v>
      </c>
      <c r="AT825">
        <v>2.062144202237493</v>
      </c>
      <c r="AU825">
        <v>8.1616290354622603</v>
      </c>
      <c r="AV825"/>
      <c r="AW825"/>
      <c r="FY825" s="210">
        <v>820</v>
      </c>
      <c r="FZ825">
        <v>1.6123213254306932</v>
      </c>
      <c r="GA825">
        <v>2.7041601023566968</v>
      </c>
      <c r="GB825">
        <v>2.267597089467889</v>
      </c>
      <c r="GC825">
        <v>1.2338991485961099</v>
      </c>
      <c r="GD825">
        <v>2.8482251746764242</v>
      </c>
      <c r="GE825">
        <v>6.0068409805075218</v>
      </c>
      <c r="GF825">
        <v>7.982988601507544</v>
      </c>
      <c r="GG825">
        <v>9.0396229817541851</v>
      </c>
      <c r="GH825">
        <v>5.6594050870904979</v>
      </c>
      <c r="GI825">
        <v>4.8600525177448093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21.235802307033925</v>
      </c>
      <c r="AO826">
        <v>4.390184275247452</v>
      </c>
      <c r="AP826">
        <v>32.754451911459874</v>
      </c>
      <c r="AQ826">
        <v>27.854369853026789</v>
      </c>
      <c r="AR826">
        <v>4.175933329581845</v>
      </c>
      <c r="AS826">
        <v>20.069012322868847</v>
      </c>
      <c r="AT826">
        <v>2.6458826650083802</v>
      </c>
      <c r="AU826">
        <v>1.9412450986445218</v>
      </c>
      <c r="AV826"/>
      <c r="AW826"/>
      <c r="FY826" s="210">
        <v>821</v>
      </c>
      <c r="FZ826">
        <v>1.4127112588513357</v>
      </c>
      <c r="GA826">
        <v>2.9320931447265992</v>
      </c>
      <c r="GB826">
        <v>1.5418719733118031</v>
      </c>
      <c r="GC826">
        <v>0.42851243652172999</v>
      </c>
      <c r="GD826">
        <v>1.2011653616988727</v>
      </c>
      <c r="GE826">
        <v>3.3533419662864969</v>
      </c>
      <c r="GF826">
        <v>7.6063983635648764</v>
      </c>
      <c r="GG826">
        <v>7.2567683077811997</v>
      </c>
      <c r="GH826">
        <v>3.913190579344541</v>
      </c>
      <c r="GI826">
        <v>3.3443601467202932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26.450221194246932</v>
      </c>
      <c r="AO827">
        <v>4.5471659728824125</v>
      </c>
      <c r="AP827">
        <v>28.73068685962442</v>
      </c>
      <c r="AQ827">
        <v>26.123847657383021</v>
      </c>
      <c r="AR827">
        <v>4.2255711293105662</v>
      </c>
      <c r="AS827">
        <v>19.923105302229626</v>
      </c>
      <c r="AT827" t="e">
        <v>#DIV/0!</v>
      </c>
      <c r="AU827" t="e">
        <v>#DIV/0!</v>
      </c>
      <c r="AV827"/>
      <c r="AW827"/>
      <c r="FY827" s="210">
        <v>822</v>
      </c>
      <c r="FZ827">
        <v>1.1590565657058514</v>
      </c>
      <c r="GA827">
        <v>2.6298064701736714</v>
      </c>
      <c r="GB827">
        <v>1.4994742725406502</v>
      </c>
      <c r="GC827">
        <v>0.66292063217762909</v>
      </c>
      <c r="GD827">
        <v>1.0358511056149919</v>
      </c>
      <c r="GE827">
        <v>3.8949751471135396</v>
      </c>
      <c r="GF827">
        <v>8.7591920393583909</v>
      </c>
      <c r="GG827">
        <v>6.1561757288841017</v>
      </c>
      <c r="GH827">
        <v>3.3511675022111027</v>
      </c>
      <c r="GI827">
        <v>3.3137075146665036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23.324045082776699</v>
      </c>
      <c r="AO828">
        <v>4.3235075925848863</v>
      </c>
      <c r="AP828">
        <v>32.350978005322119</v>
      </c>
      <c r="AQ828">
        <v>27.927358512097818</v>
      </c>
      <c r="AR828">
        <v>4.0666528182054495</v>
      </c>
      <c r="AS828">
        <v>20.045650279496492</v>
      </c>
      <c r="AT828">
        <v>2.7283663471077944</v>
      </c>
      <c r="AU828">
        <v>20.162796850724572</v>
      </c>
      <c r="AV828"/>
      <c r="AW828"/>
      <c r="FY828" s="210">
        <v>823</v>
      </c>
      <c r="FZ828">
        <v>0.98832621382366437</v>
      </c>
      <c r="GA828">
        <v>2.6876547650506555</v>
      </c>
      <c r="GB828">
        <v>1.9871932330282212</v>
      </c>
      <c r="GC828">
        <v>0.80111292011973068</v>
      </c>
      <c r="GD828">
        <v>1.4895172026067922</v>
      </c>
      <c r="GE828">
        <v>3.9731514550619096</v>
      </c>
      <c r="GF828">
        <v>6.5016705684844105</v>
      </c>
      <c r="GG828">
        <v>5.3513112098177018</v>
      </c>
      <c r="GH828">
        <v>4.0398339416684959</v>
      </c>
      <c r="GI828">
        <v>3.3825584973603298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18.93800668510266</v>
      </c>
      <c r="AO829">
        <v>3.5743554104944861</v>
      </c>
      <c r="AP829">
        <v>22.515452501087207</v>
      </c>
      <c r="AQ829">
        <v>21.012368534723141</v>
      </c>
      <c r="AR829">
        <v>3.5245594879286157</v>
      </c>
      <c r="AS829">
        <v>16.703169988621841</v>
      </c>
      <c r="AT829">
        <v>2.2151853328152491</v>
      </c>
      <c r="AU829">
        <v>4.5905770338049843</v>
      </c>
      <c r="AV829"/>
      <c r="AW829"/>
      <c r="FY829" s="210">
        <v>824</v>
      </c>
      <c r="FZ829">
        <v>1.1511898480468343</v>
      </c>
      <c r="GA829">
        <v>2.241923950137096</v>
      </c>
      <c r="GB829">
        <v>1.9430125949172274</v>
      </c>
      <c r="GC829">
        <v>0.91499965358222168</v>
      </c>
      <c r="GD829">
        <v>1.6761089282572508</v>
      </c>
      <c r="GE829">
        <v>3.8721539998387406</v>
      </c>
      <c r="GF829">
        <v>7.9882724042771747</v>
      </c>
      <c r="GG829">
        <v>8.1050228935359936</v>
      </c>
      <c r="GH829">
        <v>3.6587340489033164</v>
      </c>
      <c r="GI829">
        <v>3.7024376051192243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19.698410804128887</v>
      </c>
      <c r="AO830">
        <v>3.6010326186704029</v>
      </c>
      <c r="AP830">
        <v>28.59877089067967</v>
      </c>
      <c r="AQ830">
        <v>23.875232738513237</v>
      </c>
      <c r="AR830">
        <v>3.5036062117836755</v>
      </c>
      <c r="AS830">
        <v>15.58565934451474</v>
      </c>
      <c r="AT830">
        <v>2.1624970779222816</v>
      </c>
      <c r="AU830">
        <v>-1.3332095261460253</v>
      </c>
      <c r="AV830"/>
      <c r="AW830"/>
      <c r="FY830" s="210">
        <v>825</v>
      </c>
      <c r="FZ830">
        <v>1.5090605752628328</v>
      </c>
      <c r="GA830">
        <v>2.6143410189377092</v>
      </c>
      <c r="GB830">
        <v>1.4163692636976903</v>
      </c>
      <c r="GC830">
        <v>0.67371169710176526</v>
      </c>
      <c r="GD830">
        <v>0.8310296737299494</v>
      </c>
      <c r="GE830">
        <v>3.3988454864830944</v>
      </c>
      <c r="GF830">
        <v>8.0010942004678132</v>
      </c>
      <c r="GG830">
        <v>3.8410118357057046</v>
      </c>
      <c r="GH830">
        <v>1.866567804457983</v>
      </c>
      <c r="GI830">
        <v>2.8631821993293074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33.221523056394759</v>
      </c>
      <c r="AO831">
        <v>6.8918883504401665</v>
      </c>
      <c r="AP831">
        <v>43.343912710241668</v>
      </c>
      <c r="AQ831">
        <v>39.722519923304205</v>
      </c>
      <c r="AR831">
        <v>6.4628086941654743</v>
      </c>
      <c r="AS831">
        <v>31.403361840693261</v>
      </c>
      <c r="AT831">
        <v>4.0820563122611908</v>
      </c>
      <c r="AU831">
        <v>2.7172356436487597</v>
      </c>
      <c r="AV831"/>
      <c r="AW831"/>
      <c r="FY831" s="210">
        <v>826</v>
      </c>
      <c r="FZ831">
        <v>0.67955884552046808</v>
      </c>
      <c r="GA831">
        <v>3.2653932933595371</v>
      </c>
      <c r="GB831">
        <v>2.766430440262428</v>
      </c>
      <c r="GC831">
        <v>0.84599843991103807</v>
      </c>
      <c r="GD831">
        <v>2.3304835402007362</v>
      </c>
      <c r="GE831">
        <v>5.8665851009555361</v>
      </c>
      <c r="GF831">
        <v>9.3148857484073382</v>
      </c>
      <c r="GG831">
        <v>6.4209920388091035</v>
      </c>
      <c r="GH831">
        <v>0.73758908306564275</v>
      </c>
      <c r="GI831">
        <v>4.0298319207698405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22.55105142222828</v>
      </c>
      <c r="AO832">
        <v>3.6472854262281951</v>
      </c>
      <c r="AP832">
        <v>25.936875026955342</v>
      </c>
      <c r="AQ832">
        <v>22.865264823264965</v>
      </c>
      <c r="AR832">
        <v>3.3897701714135584</v>
      </c>
      <c r="AS832">
        <v>18.176364038633711</v>
      </c>
      <c r="AT832">
        <v>2.2357098434021618</v>
      </c>
      <c r="AU832">
        <v>3.6171166820656149</v>
      </c>
      <c r="AV832"/>
      <c r="AW832"/>
      <c r="FY832" s="210">
        <v>827</v>
      </c>
      <c r="FZ832">
        <v>0.76191936333910659</v>
      </c>
      <c r="GA832">
        <v>2.0175220358712824</v>
      </c>
      <c r="GB832">
        <v>1.7628579231263706</v>
      </c>
      <c r="GC832">
        <v>0.87103367169022328</v>
      </c>
      <c r="GD832">
        <v>2.6097146419346302</v>
      </c>
      <c r="GE832">
        <v>6.9579878832891229</v>
      </c>
      <c r="GF832">
        <v>10.601584182498666</v>
      </c>
      <c r="GG832">
        <v>7.9680499073770745</v>
      </c>
      <c r="GH832">
        <v>3.6056240326523268</v>
      </c>
      <c r="GI832">
        <v>4.6419816254732247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17.404001958689456</v>
      </c>
      <c r="AO833">
        <v>4.2407479522077978</v>
      </c>
      <c r="AP833">
        <v>29.097191921026727</v>
      </c>
      <c r="AQ833">
        <v>26.299567716982157</v>
      </c>
      <c r="AR833">
        <v>4.0276049320343912</v>
      </c>
      <c r="AS833">
        <v>18.498443924481837</v>
      </c>
      <c r="AT833">
        <v>2.6609483675352315</v>
      </c>
      <c r="AU833">
        <v>23.791755012740754</v>
      </c>
      <c r="AV833"/>
      <c r="AW833"/>
      <c r="FY833" s="210">
        <v>828</v>
      </c>
      <c r="FZ833">
        <v>0.37056594783940822</v>
      </c>
      <c r="GA833">
        <v>2.1934645052677246</v>
      </c>
      <c r="GB833">
        <v>2.2734806078396144</v>
      </c>
      <c r="GC833">
        <v>0.85260202650819295</v>
      </c>
      <c r="GD833">
        <v>1.5249356766488638</v>
      </c>
      <c r="GE833">
        <v>3.9706541197328589</v>
      </c>
      <c r="GF833">
        <v>5.0999648506898474</v>
      </c>
      <c r="GG833">
        <v>6.0500193528158599</v>
      </c>
      <c r="GH833">
        <v>5.0506850787749595</v>
      </c>
      <c r="GI833">
        <v>3.27418132714938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24.318129166787646</v>
      </c>
      <c r="AO834">
        <v>3.8725110209007361</v>
      </c>
      <c r="AP834">
        <v>30.990530256521978</v>
      </c>
      <c r="AQ834">
        <v>25.617512241600128</v>
      </c>
      <c r="AR834">
        <v>3.6612409857583801</v>
      </c>
      <c r="AS834">
        <v>18.607396001044602</v>
      </c>
      <c r="AT834">
        <v>2.3711295532325192</v>
      </c>
      <c r="AU834">
        <v>1.86611985082562</v>
      </c>
      <c r="AV834"/>
      <c r="AW834"/>
      <c r="FY834" s="210">
        <v>829</v>
      </c>
      <c r="FZ834">
        <v>0.97354806240828373</v>
      </c>
      <c r="GA834">
        <v>3.6065474034477192</v>
      </c>
      <c r="GB834">
        <v>1.799404079370702</v>
      </c>
      <c r="GC834">
        <v>0.47429667062054609</v>
      </c>
      <c r="GD834">
        <v>1.4963272634670233</v>
      </c>
      <c r="GE834">
        <v>3.080318549495324</v>
      </c>
      <c r="GF834">
        <v>4.6581544743510728</v>
      </c>
      <c r="GG834">
        <v>5.8170763617812353</v>
      </c>
      <c r="GH834">
        <v>3.3896597989871777</v>
      </c>
      <c r="GI834">
        <v>2.894240732998667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19.783494487538608</v>
      </c>
      <c r="AO835">
        <v>4.5265740885586165</v>
      </c>
      <c r="AP835">
        <v>35.676552434985155</v>
      </c>
      <c r="AQ835">
        <v>28.988150627799399</v>
      </c>
      <c r="AR835">
        <v>4.3027482740064853</v>
      </c>
      <c r="AS835">
        <v>20.651819430866759</v>
      </c>
      <c r="AT835">
        <v>3.0479218469634457</v>
      </c>
      <c r="AU835">
        <v>14.203838885419568</v>
      </c>
      <c r="AV835"/>
      <c r="AW835"/>
      <c r="FY835" s="210">
        <v>830</v>
      </c>
      <c r="FZ835">
        <v>1.2479902232140583</v>
      </c>
      <c r="GA835">
        <v>4.0068014033941672</v>
      </c>
      <c r="GB835">
        <v>2.1976269196563263</v>
      </c>
      <c r="GC835">
        <v>0.83874365698350606</v>
      </c>
      <c r="GD835">
        <v>1.6195950580216807</v>
      </c>
      <c r="GE835">
        <v>2.9308561637733939</v>
      </c>
      <c r="GF835">
        <v>7.1466817826037339</v>
      </c>
      <c r="GG835">
        <v>6.0930239270041762</v>
      </c>
      <c r="GH835">
        <v>1.5332034738332856</v>
      </c>
      <c r="GI835">
        <v>3.2791971542870999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38.426050471106791</v>
      </c>
      <c r="AO836">
        <v>7.141697975375445</v>
      </c>
      <c r="AP836">
        <v>50.887328572300412</v>
      </c>
      <c r="AQ836">
        <v>44.215113009132374</v>
      </c>
      <c r="AR836">
        <v>6.7337632737446711</v>
      </c>
      <c r="AS836">
        <v>33.42724574775464</v>
      </c>
      <c r="AT836">
        <v>4.2282922343638658</v>
      </c>
      <c r="AU836">
        <v>-1.7474329788424363</v>
      </c>
      <c r="AV836"/>
      <c r="AW836"/>
      <c r="FY836" s="210">
        <v>831</v>
      </c>
      <c r="FZ836">
        <v>0.84450541053560912</v>
      </c>
      <c r="GA836">
        <v>1.6523996474026892</v>
      </c>
      <c r="GB836">
        <v>1.377522578341519</v>
      </c>
      <c r="GC836">
        <v>0.95440176050280501</v>
      </c>
      <c r="GD836">
        <v>1.6570995189054845</v>
      </c>
      <c r="GE836">
        <v>3.4825495736615024</v>
      </c>
      <c r="GF836">
        <v>6.0124421508035333</v>
      </c>
      <c r="GG836">
        <v>6.7969255651794622</v>
      </c>
      <c r="GH836">
        <v>4.5756251971231361</v>
      </c>
      <c r="GI836">
        <v>3.294368748107201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22.175677910052908</v>
      </c>
      <c r="AO837">
        <v>4.8897068236194139</v>
      </c>
      <c r="AP837">
        <v>40.345539333956573</v>
      </c>
      <c r="AQ837">
        <v>32.990413538807751</v>
      </c>
      <c r="AR837">
        <v>4.603525074313402</v>
      </c>
      <c r="AS837">
        <v>24.96935737165008</v>
      </c>
      <c r="AT837">
        <v>3.0545688297048676</v>
      </c>
      <c r="AU837">
        <v>-0.59597454201158317</v>
      </c>
      <c r="AV837"/>
      <c r="AW837"/>
      <c r="FY837" s="210">
        <v>832</v>
      </c>
      <c r="FZ837">
        <v>0.99444829475750562</v>
      </c>
      <c r="GA837">
        <v>2.1804962709139151</v>
      </c>
      <c r="GB837">
        <v>1.628656811437631</v>
      </c>
      <c r="GC837">
        <v>0.93258112888427092</v>
      </c>
      <c r="GD837">
        <v>1.9100467643033583</v>
      </c>
      <c r="GE837">
        <v>4.5236463692637603</v>
      </c>
      <c r="GF837">
        <v>9.2327414680445408</v>
      </c>
      <c r="GG837">
        <v>10.49651108654664</v>
      </c>
      <c r="GH837">
        <v>5.8428945248874147</v>
      </c>
      <c r="GI837">
        <v>4.3053767012014186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26.71571768937617</v>
      </c>
      <c r="AO838">
        <v>4.8440197074225981</v>
      </c>
      <c r="AP838">
        <v>39.60307597504341</v>
      </c>
      <c r="AQ838">
        <v>32.462326978446427</v>
      </c>
      <c r="AR838">
        <v>4.4590019931501965</v>
      </c>
      <c r="AS838">
        <v>22.129354214728096</v>
      </c>
      <c r="AT838">
        <v>2.9144587508639153</v>
      </c>
      <c r="AU838">
        <v>2.1385036858960551</v>
      </c>
      <c r="AV838"/>
      <c r="AW838"/>
      <c r="FY838" s="210">
        <v>833</v>
      </c>
      <c r="FZ838">
        <v>1.268664926185417</v>
      </c>
      <c r="GA838">
        <v>1.6611606644522554</v>
      </c>
      <c r="GB838">
        <v>0.84231571650915837</v>
      </c>
      <c r="GC838">
        <v>0.2956825154415208</v>
      </c>
      <c r="GD838">
        <v>1.5758560605593073</v>
      </c>
      <c r="GE838">
        <v>4.3018695705613164</v>
      </c>
      <c r="GF838">
        <v>5.2355182053906093</v>
      </c>
      <c r="GG838">
        <v>6.9738472142515091</v>
      </c>
      <c r="GH838">
        <v>6.6282191700935389</v>
      </c>
      <c r="GI838">
        <v>3.3425428537278488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19.302859177859176</v>
      </c>
      <c r="AO839">
        <v>4.8713689251235239</v>
      </c>
      <c r="AP839">
        <v>37.618835172380543</v>
      </c>
      <c r="AQ839">
        <v>31.202330007021914</v>
      </c>
      <c r="AR839">
        <v>4.6582262132496277</v>
      </c>
      <c r="AS839">
        <v>25.033215768649224</v>
      </c>
      <c r="AT839">
        <v>3.1895100332981419</v>
      </c>
      <c r="AU839">
        <v>3.4894248156412626</v>
      </c>
      <c r="AV839"/>
      <c r="AW839"/>
      <c r="FY839" s="210">
        <v>834</v>
      </c>
      <c r="FZ839">
        <v>0.84416711646881371</v>
      </c>
      <c r="GA839">
        <v>2.4959286522630117</v>
      </c>
      <c r="GB839">
        <v>1.7405440634856215</v>
      </c>
      <c r="GC839">
        <v>0.72084373472688734</v>
      </c>
      <c r="GD839">
        <v>0.6735632400590823</v>
      </c>
      <c r="GE839">
        <v>2.2245829461653499</v>
      </c>
      <c r="GF839">
        <v>5.2324087168025226</v>
      </c>
      <c r="GG839">
        <v>4.2386679560701186</v>
      </c>
      <c r="GH839">
        <v>2.4614316364102313</v>
      </c>
      <c r="GI839">
        <v>2.3185680154594821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32.631565313091045</v>
      </c>
      <c r="AO840">
        <v>5.4817011870703922</v>
      </c>
      <c r="AP840">
        <v>42.296000088456353</v>
      </c>
      <c r="AQ840">
        <v>35.253855926615081</v>
      </c>
      <c r="AR840">
        <v>5.1226416645288602</v>
      </c>
      <c r="AS840">
        <v>25.753249389641613</v>
      </c>
      <c r="AT840">
        <v>3.2506317383632481</v>
      </c>
      <c r="AU840">
        <v>27.31269141173507</v>
      </c>
      <c r="AV840"/>
      <c r="AW840"/>
      <c r="FY840" s="210">
        <v>835</v>
      </c>
      <c r="FZ840">
        <v>1.076921577265076</v>
      </c>
      <c r="GA840">
        <v>2.1520169806094587</v>
      </c>
      <c r="GB840">
        <v>2.1029435547235082</v>
      </c>
      <c r="GC840">
        <v>0.90131557359038827</v>
      </c>
      <c r="GD840">
        <v>1.5134332932738541</v>
      </c>
      <c r="GE840">
        <v>3.5635503221579321</v>
      </c>
      <c r="GF840">
        <v>3.5476528518378605</v>
      </c>
      <c r="GG840">
        <v>5.9196028688737004</v>
      </c>
      <c r="GH840">
        <v>6.4830977895352984</v>
      </c>
      <c r="GI840">
        <v>3.2480316479768225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18.527915992842857</v>
      </c>
      <c r="AO841">
        <v>4.0541590176426308</v>
      </c>
      <c r="AP841">
        <v>33.316684245465773</v>
      </c>
      <c r="AQ841">
        <v>27.015213755173853</v>
      </c>
      <c r="AR841">
        <v>3.8432730608955215</v>
      </c>
      <c r="AS841">
        <v>18.713614588995718</v>
      </c>
      <c r="AT841">
        <v>2.7538254849777011</v>
      </c>
      <c r="AU841">
        <v>7.86165780192486</v>
      </c>
      <c r="AV841"/>
      <c r="AW841"/>
      <c r="FY841" s="210">
        <v>836</v>
      </c>
      <c r="FZ841">
        <v>0.59719832770182935</v>
      </c>
      <c r="GA841">
        <v>2.3819751844993617</v>
      </c>
      <c r="GB841">
        <v>1.7752098250623769</v>
      </c>
      <c r="GC841">
        <v>0.73646877521188769</v>
      </c>
      <c r="GD841">
        <v>1.7099464864235967</v>
      </c>
      <c r="GE841">
        <v>4.6600178773514216</v>
      </c>
      <c r="GF841">
        <v>7.4355612303349226</v>
      </c>
      <c r="GG841">
        <v>5.9323827763941699</v>
      </c>
      <c r="GH841">
        <v>3.1281855902649962</v>
      </c>
      <c r="GI841">
        <v>3.4285824561508895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25.845484045705025</v>
      </c>
      <c r="AO842">
        <v>5.9958838737207838</v>
      </c>
      <c r="AP842">
        <v>42.712559226235292</v>
      </c>
      <c r="AQ842">
        <v>36.257748451261662</v>
      </c>
      <c r="AR842">
        <v>5.5608786212872099</v>
      </c>
      <c r="AS842">
        <v>26.741494394573554</v>
      </c>
      <c r="AT842">
        <v>3.6080526381277083</v>
      </c>
      <c r="AU842">
        <v>4.616597016109071</v>
      </c>
      <c r="AV842"/>
      <c r="AW842"/>
      <c r="FY842" s="210">
        <v>837</v>
      </c>
      <c r="FZ842">
        <v>1.5642860151094766</v>
      </c>
      <c r="GA842">
        <v>2.874615496079179</v>
      </c>
      <c r="GB842">
        <v>2.9600548988654327</v>
      </c>
      <c r="GC842">
        <v>1.4019984130784011</v>
      </c>
      <c r="GD842">
        <v>0.91036787537708874</v>
      </c>
      <c r="GE842">
        <v>2.4696148641048112</v>
      </c>
      <c r="GF842">
        <v>4.2747412611924211</v>
      </c>
      <c r="GG842">
        <v>3.8031892929039612</v>
      </c>
      <c r="GH842">
        <v>3.2813796417958327</v>
      </c>
      <c r="GI842">
        <v>2.812432839413233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32.486064530035506</v>
      </c>
      <c r="AO843">
        <v>6.8389957884120491</v>
      </c>
      <c r="AP843">
        <v>48.304071295414367</v>
      </c>
      <c r="AQ843">
        <v>41.798275267252023</v>
      </c>
      <c r="AR843">
        <v>6.3411720301603482</v>
      </c>
      <c r="AS843">
        <v>31.721510381923885</v>
      </c>
      <c r="AT843">
        <v>4.1700139603882915</v>
      </c>
      <c r="AU843">
        <v>2.0272662935820929</v>
      </c>
      <c r="AV843"/>
      <c r="AW843"/>
      <c r="FY843" s="210">
        <v>838</v>
      </c>
      <c r="FZ843">
        <v>0.80927808552673319</v>
      </c>
      <c r="GA843">
        <v>2.941888733345678</v>
      </c>
      <c r="GB843">
        <v>2.0060024338159272</v>
      </c>
      <c r="GC843">
        <v>0.73442593002417156</v>
      </c>
      <c r="GD843">
        <v>1.0226298145701036</v>
      </c>
      <c r="GE843">
        <v>3.336830713773316</v>
      </c>
      <c r="GF843">
        <v>7.5982911564538735</v>
      </c>
      <c r="GG843">
        <v>6.7035956000817771</v>
      </c>
      <c r="GH843">
        <v>5.0647203099941729</v>
      </c>
      <c r="GI843">
        <v>3.4629048780628238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21.569750980156563</v>
      </c>
      <c r="AO844">
        <v>4.8486533261079598</v>
      </c>
      <c r="AP844">
        <v>36.515046197632067</v>
      </c>
      <c r="AQ844">
        <v>30.660553493266704</v>
      </c>
      <c r="AR844">
        <v>4.5070356073765092</v>
      </c>
      <c r="AS844">
        <v>21.564431203502146</v>
      </c>
      <c r="AT844" t="e">
        <v>#DIV/0!</v>
      </c>
      <c r="AU844" t="e">
        <v>#DIV/0!</v>
      </c>
      <c r="AV844"/>
      <c r="AW844"/>
      <c r="FY844" s="210">
        <v>839</v>
      </c>
      <c r="FZ844">
        <v>1.0829308935099855</v>
      </c>
      <c r="GA844">
        <v>2.4677242328423459</v>
      </c>
      <c r="GB844">
        <v>1.9489282426102434</v>
      </c>
      <c r="GC844">
        <v>0.81292540763772503</v>
      </c>
      <c r="GD844">
        <v>1.7300733907843038</v>
      </c>
      <c r="GE844">
        <v>3.8816582937598576</v>
      </c>
      <c r="GF844">
        <v>5.1276042444127956</v>
      </c>
      <c r="GG844">
        <v>4.6076600201059712</v>
      </c>
      <c r="GH844">
        <v>2.7869100748142879</v>
      </c>
      <c r="GI844">
        <v>3.0508530117655659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22.209679456775437</v>
      </c>
      <c r="AO845">
        <v>4.3401516911697389</v>
      </c>
      <c r="AP845">
        <v>33.853766703602517</v>
      </c>
      <c r="AQ845">
        <v>28.189573396927752</v>
      </c>
      <c r="AR845">
        <v>4.0378421515673173</v>
      </c>
      <c r="AS845">
        <v>19.366689739282851</v>
      </c>
      <c r="AT845">
        <v>2.4802970735279097</v>
      </c>
      <c r="AU845">
        <v>1.0573160442499012</v>
      </c>
      <c r="AV845"/>
      <c r="AW845"/>
      <c r="FY845" s="210">
        <v>840</v>
      </c>
      <c r="FZ845">
        <v>0.70613010004780441</v>
      </c>
      <c r="GA845">
        <v>2.1052934288408598</v>
      </c>
      <c r="GB845">
        <v>1.2501883047908242</v>
      </c>
      <c r="GC845">
        <v>0.47504661808349602</v>
      </c>
      <c r="GD845">
        <v>1.6886504236258326</v>
      </c>
      <c r="GE845">
        <v>4.202538559254883</v>
      </c>
      <c r="GF845">
        <v>6.7456610270707742</v>
      </c>
      <c r="GG845">
        <v>4.8863565573232339</v>
      </c>
      <c r="GH845">
        <v>1.5877776593988</v>
      </c>
      <c r="GI845">
        <v>2.9328638224645047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23.968827426860905</v>
      </c>
      <c r="AO846">
        <v>4.8085928999873433</v>
      </c>
      <c r="AP846">
        <v>37.826269798613659</v>
      </c>
      <c r="AQ846">
        <v>30.893719762771426</v>
      </c>
      <c r="AR846">
        <v>4.5673012758132945</v>
      </c>
      <c r="AS846">
        <v>22.746098884527466</v>
      </c>
      <c r="AT846">
        <v>2.9069834383670154</v>
      </c>
      <c r="AU846">
        <v>0.86446223321807147</v>
      </c>
      <c r="AV846"/>
      <c r="AW846"/>
      <c r="FY846" s="210">
        <v>841</v>
      </c>
      <c r="FZ846">
        <v>1.0090009167950231</v>
      </c>
      <c r="GA846">
        <v>2.5584883014971371</v>
      </c>
      <c r="GB846">
        <v>1.5232379429539211</v>
      </c>
      <c r="GC846">
        <v>0.51700448716894221</v>
      </c>
      <c r="GD846">
        <v>1.0524664620923505</v>
      </c>
      <c r="GE846">
        <v>3.1379284970268309</v>
      </c>
      <c r="GF846">
        <v>7.5069398349024841</v>
      </c>
      <c r="GG846">
        <v>5.4222367649826078</v>
      </c>
      <c r="GH846">
        <v>1.4565386617504148</v>
      </c>
      <c r="GI846">
        <v>2.7734573604278117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22.593738769603128</v>
      </c>
      <c r="AO847">
        <v>4.8649807094908608</v>
      </c>
      <c r="AP847">
        <v>36.148700878571326</v>
      </c>
      <c r="AQ847">
        <v>30.647840150562939</v>
      </c>
      <c r="AR847">
        <v>4.5561032130751693</v>
      </c>
      <c r="AS847">
        <v>20.996313842056839</v>
      </c>
      <c r="AT847">
        <v>2.9654969263852418</v>
      </c>
      <c r="AU847">
        <v>-0.13521913790476159</v>
      </c>
      <c r="AV847"/>
      <c r="AW847"/>
      <c r="FY847" s="210">
        <v>842</v>
      </c>
      <c r="FZ847">
        <v>0.912087776938867</v>
      </c>
      <c r="GA847">
        <v>1.543197163862724</v>
      </c>
      <c r="GB847">
        <v>1.0480866949848719</v>
      </c>
      <c r="GC847">
        <v>0.82082355423716391</v>
      </c>
      <c r="GD847">
        <v>2.0775637725593104</v>
      </c>
      <c r="GE847">
        <v>4.4026392743067371</v>
      </c>
      <c r="GF847">
        <v>3.6396666803173279</v>
      </c>
      <c r="GG847">
        <v>3.5267402050328682</v>
      </c>
      <c r="GH847">
        <v>2.9806430806914253</v>
      </c>
      <c r="GI847">
        <v>2.7644309411991772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36.807780590868823</v>
      </c>
      <c r="AO848">
        <v>6.4558936410020582</v>
      </c>
      <c r="AP848">
        <v>50.150955738074629</v>
      </c>
      <c r="AQ848">
        <v>42.047399420240453</v>
      </c>
      <c r="AR848">
        <v>5.9246786809491141</v>
      </c>
      <c r="AS848">
        <v>28.705336208983351</v>
      </c>
      <c r="AT848" t="e">
        <v>#DIV/0!</v>
      </c>
      <c r="AU848" t="e">
        <v>#DIV/0!</v>
      </c>
      <c r="AV848"/>
      <c r="AW848"/>
      <c r="FY848" s="210">
        <v>843</v>
      </c>
      <c r="FZ848">
        <v>1.1658552347732829</v>
      </c>
      <c r="GA848">
        <v>2.3913272215338401</v>
      </c>
      <c r="GB848">
        <v>1.6619783892163307</v>
      </c>
      <c r="GC848">
        <v>0.83045667623472896</v>
      </c>
      <c r="GD848">
        <v>2.42202604292667</v>
      </c>
      <c r="GE848">
        <v>4.6589778948718736</v>
      </c>
      <c r="GF848">
        <v>4.7990967266919338</v>
      </c>
      <c r="GG848">
        <v>8.2901709561464081</v>
      </c>
      <c r="GH848">
        <v>6.283394499515512</v>
      </c>
      <c r="GI848">
        <v>3.9105565573132699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30.096561586764189</v>
      </c>
      <c r="AO849">
        <v>4.8709180194164396</v>
      </c>
      <c r="AP849">
        <v>37.386142917051281</v>
      </c>
      <c r="AQ849">
        <v>32.125676897172482</v>
      </c>
      <c r="AR849">
        <v>4.5879808238573379</v>
      </c>
      <c r="AS849">
        <v>22.830301338655644</v>
      </c>
      <c r="AT849">
        <v>2.7837442723307544</v>
      </c>
      <c r="AU849">
        <v>0.22081999555394316</v>
      </c>
      <c r="AV849"/>
      <c r="AW849"/>
      <c r="FY849" s="210">
        <v>844</v>
      </c>
      <c r="FZ849">
        <v>1.2831047835340024</v>
      </c>
      <c r="GA849">
        <v>2.6571413073207273</v>
      </c>
      <c r="GB849">
        <v>1.9783811340445236</v>
      </c>
      <c r="GC849">
        <v>0.7552251390488478</v>
      </c>
      <c r="GD849">
        <v>1.474012598018962</v>
      </c>
      <c r="GE849">
        <v>3.2835422757703574</v>
      </c>
      <c r="GF849">
        <v>4.1280387766072364</v>
      </c>
      <c r="GG849">
        <v>4.6997149778724943</v>
      </c>
      <c r="GH849">
        <v>4.1810954549493076</v>
      </c>
      <c r="GI849">
        <v>2.996593407761774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17.806832099883959</v>
      </c>
      <c r="AO850">
        <v>3.4164512665855526</v>
      </c>
      <c r="AP850">
        <v>28.379546607739798</v>
      </c>
      <c r="AQ850">
        <v>22.950706077911121</v>
      </c>
      <c r="AR850">
        <v>3.1431484717396088</v>
      </c>
      <c r="AS850">
        <v>15.658471499680561</v>
      </c>
      <c r="AT850">
        <v>2.113290130242071</v>
      </c>
      <c r="AU850">
        <v>0.46611706552818649</v>
      </c>
      <c r="AV850"/>
      <c r="AW850"/>
      <c r="FY850" s="210">
        <v>845</v>
      </c>
      <c r="FZ850">
        <v>0.61787303067318788</v>
      </c>
      <c r="GA850">
        <v>3.6516343147023038</v>
      </c>
      <c r="GB850">
        <v>1.8164242852246502</v>
      </c>
      <c r="GC850">
        <v>0.52947894624470082</v>
      </c>
      <c r="GD850">
        <v>1.3281640874615972</v>
      </c>
      <c r="GE850">
        <v>3.7064257832766181</v>
      </c>
      <c r="GF850">
        <v>7.8631089108282808</v>
      </c>
      <c r="GG850">
        <v>5.8688383840823901</v>
      </c>
      <c r="GH850">
        <v>3.5704047170980093</v>
      </c>
      <c r="GI850">
        <v>3.3656638182016381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26.648651279478873</v>
      </c>
      <c r="AO851">
        <v>4.720759386025752</v>
      </c>
      <c r="AP851">
        <v>35.992654716088055</v>
      </c>
      <c r="AQ851">
        <v>30.508566459843898</v>
      </c>
      <c r="AR851">
        <v>4.4874039810582298</v>
      </c>
      <c r="AS851">
        <v>22.285310821894097</v>
      </c>
      <c r="AT851">
        <v>2.7894713481933597</v>
      </c>
      <c r="AU851">
        <v>7.1175138547194114</v>
      </c>
      <c r="AV851"/>
      <c r="AW851"/>
      <c r="FY851" s="210">
        <v>846</v>
      </c>
      <c r="FZ851">
        <v>0.74101913098988481</v>
      </c>
      <c r="GA851">
        <v>2.701045758647028</v>
      </c>
      <c r="GB851">
        <v>2.3653927162739032</v>
      </c>
      <c r="GC851">
        <v>1.2250490441651407</v>
      </c>
      <c r="GD851">
        <v>2.2703303295354358</v>
      </c>
      <c r="GE851">
        <v>4.5583999075176891</v>
      </c>
      <c r="GF851">
        <v>3.3775441260140218</v>
      </c>
      <c r="GG851">
        <v>5.0421841498056974</v>
      </c>
      <c r="GH851">
        <v>5.1136977689209475</v>
      </c>
      <c r="GI851">
        <v>3.4808527581586257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23.677399236995218</v>
      </c>
      <c r="AO852">
        <v>5.0792887614416271</v>
      </c>
      <c r="AP852">
        <v>37.706111701645106</v>
      </c>
      <c r="AQ852">
        <v>31.785528529395453</v>
      </c>
      <c r="AR852">
        <v>4.6824428343901658</v>
      </c>
      <c r="AS852">
        <v>22.430774591323775</v>
      </c>
      <c r="AT852">
        <v>3.0331823595277054</v>
      </c>
      <c r="AU852">
        <v>2.3385040210720072</v>
      </c>
      <c r="AV852"/>
      <c r="AW852"/>
      <c r="FY852" s="210">
        <v>847</v>
      </c>
      <c r="FZ852">
        <v>1.2622045511847801</v>
      </c>
      <c r="GA852">
        <v>2.790575573646787</v>
      </c>
      <c r="GB852">
        <v>1.4142139435114585</v>
      </c>
      <c r="GC852">
        <v>0.401857926085331</v>
      </c>
      <c r="GD852">
        <v>1.6457512108124528</v>
      </c>
      <c r="GE852">
        <v>5.4190067131702921</v>
      </c>
      <c r="GF852">
        <v>8.9621893409280382</v>
      </c>
      <c r="GG852">
        <v>11.474895244295318</v>
      </c>
      <c r="GH852">
        <v>10.608397258410228</v>
      </c>
      <c r="GI852">
        <v>4.8663296749881431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21.016114672364669</v>
      </c>
      <c r="AO853">
        <v>4.0380485023941519</v>
      </c>
      <c r="AP853">
        <v>32.13328202964496</v>
      </c>
      <c r="AQ853">
        <v>26.352680597919839</v>
      </c>
      <c r="AR853">
        <v>3.848260577190568</v>
      </c>
      <c r="AS853">
        <v>20.257125944269269</v>
      </c>
      <c r="AT853">
        <v>2.6909033451561499</v>
      </c>
      <c r="AU853">
        <v>2.5931670853137176</v>
      </c>
      <c r="AV853"/>
      <c r="AW853"/>
      <c r="FY853" s="210">
        <v>848</v>
      </c>
      <c r="FZ853">
        <v>0.84995090333585965</v>
      </c>
      <c r="GA853">
        <v>1.8898581885582728</v>
      </c>
      <c r="GB853">
        <v>1.4003911861942209</v>
      </c>
      <c r="GC853">
        <v>1.1411680383754121</v>
      </c>
      <c r="GD853">
        <v>1.6051839268147032</v>
      </c>
      <c r="GE853">
        <v>2.6877661485061761</v>
      </c>
      <c r="GF853">
        <v>5.1853191716212592</v>
      </c>
      <c r="GG853">
        <v>6.5438362597344009</v>
      </c>
      <c r="GH853">
        <v>4.3526432851770309</v>
      </c>
      <c r="GI853">
        <v>3.0765863274227674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18.441356761835486</v>
      </c>
      <c r="AO854">
        <v>5.0299364863247913</v>
      </c>
      <c r="AP854">
        <v>42.218071694970625</v>
      </c>
      <c r="AQ854">
        <v>33.680567655648574</v>
      </c>
      <c r="AR854">
        <v>4.745712309602375</v>
      </c>
      <c r="AS854">
        <v>21.595838433528453</v>
      </c>
      <c r="AT854">
        <v>3.3180841829333203</v>
      </c>
      <c r="AU854">
        <v>-3.3750779497383894</v>
      </c>
      <c r="AV854"/>
      <c r="AW854"/>
      <c r="FY854" s="210">
        <v>849</v>
      </c>
      <c r="FZ854">
        <v>0.95989755788222053</v>
      </c>
      <c r="GA854">
        <v>1.6504665698235554</v>
      </c>
      <c r="GB854">
        <v>1.3137333050719773</v>
      </c>
      <c r="GC854">
        <v>0.98976985503745996</v>
      </c>
      <c r="GD854">
        <v>1.7701908498999839</v>
      </c>
      <c r="GE854">
        <v>5.9398349079138626</v>
      </c>
      <c r="GF854">
        <v>10.681613536346646</v>
      </c>
      <c r="GG854">
        <v>6.0847621553209574</v>
      </c>
      <c r="GH854">
        <v>1.5282795445450486</v>
      </c>
      <c r="GI854">
        <v>3.7440214948190231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29.028603749191983</v>
      </c>
      <c r="AO855">
        <v>4.4119646759249642</v>
      </c>
      <c r="AP855">
        <v>31.899301114307534</v>
      </c>
      <c r="AQ855">
        <v>27.497267812243081</v>
      </c>
      <c r="AR855">
        <v>4.2045648413132231</v>
      </c>
      <c r="AS855">
        <v>22.066755725656769</v>
      </c>
      <c r="AT855">
        <v>2.9031415326415568</v>
      </c>
      <c r="AU855">
        <v>13.231860882525337</v>
      </c>
      <c r="AV855"/>
      <c r="AW855"/>
      <c r="FY855" s="210">
        <v>850</v>
      </c>
      <c r="FZ855">
        <v>0.88562928710046251</v>
      </c>
      <c r="GA855">
        <v>1.3449283693327192</v>
      </c>
      <c r="GB855">
        <v>1.1267659106868475</v>
      </c>
      <c r="GC855">
        <v>0.65769616018990851</v>
      </c>
      <c r="GD855">
        <v>1.1940309959166995</v>
      </c>
      <c r="GE855">
        <v>2.5284020469298909</v>
      </c>
      <c r="GF855">
        <v>3.9555922106110435</v>
      </c>
      <c r="GG855">
        <v>5.0448592410840778</v>
      </c>
      <c r="GH855">
        <v>3.9218592056919768</v>
      </c>
      <c r="GI855">
        <v>2.4877185747341062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19.348179106157829</v>
      </c>
      <c r="AO856">
        <v>4.3202311924481132</v>
      </c>
      <c r="AP856">
        <v>31.055612481762701</v>
      </c>
      <c r="AQ856">
        <v>26.580506500901013</v>
      </c>
      <c r="AR856">
        <v>4.0339017202998004</v>
      </c>
      <c r="AS856">
        <v>18.49505128088499</v>
      </c>
      <c r="AT856">
        <v>2.7600734250488581</v>
      </c>
      <c r="AU856">
        <v>0.19742305127610399</v>
      </c>
      <c r="AV856"/>
      <c r="AW856"/>
      <c r="FY856" s="210">
        <v>851</v>
      </c>
      <c r="FZ856">
        <v>1.7898503463803128</v>
      </c>
      <c r="GA856">
        <v>2.6181710817140744</v>
      </c>
      <c r="GB856">
        <v>1.1083096804042312</v>
      </c>
      <c r="GC856">
        <v>0.5360825328418557</v>
      </c>
      <c r="GD856">
        <v>2.1358665613433123</v>
      </c>
      <c r="GE856">
        <v>5.5059383902334016</v>
      </c>
      <c r="GF856">
        <v>7.9079167623721407</v>
      </c>
      <c r="GG856">
        <v>5.8585889390470793</v>
      </c>
      <c r="GH856">
        <v>2.0628923563691477</v>
      </c>
      <c r="GI856">
        <v>3.5977972455235321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23.101348680725245</v>
      </c>
      <c r="AO857">
        <v>4.0763796806296488</v>
      </c>
      <c r="AP857">
        <v>32.833300850346362</v>
      </c>
      <c r="AQ857">
        <v>26.957299229597524</v>
      </c>
      <c r="AR857">
        <v>3.7746212361461025</v>
      </c>
      <c r="AS857">
        <v>19.538719545601957</v>
      </c>
      <c r="AT857">
        <v>2.5936464635428949</v>
      </c>
      <c r="AU857">
        <v>-0.90814822195807088</v>
      </c>
      <c r="AV857"/>
      <c r="AW857"/>
      <c r="FY857" s="210">
        <v>852</v>
      </c>
      <c r="FZ857">
        <v>1.0831564228878494</v>
      </c>
      <c r="GA857">
        <v>2.1933659130285443</v>
      </c>
      <c r="GB857">
        <v>1.4851672776129541</v>
      </c>
      <c r="GC857">
        <v>1.0175476727622663</v>
      </c>
      <c r="GD857">
        <v>1.6595559439753691</v>
      </c>
      <c r="GE857">
        <v>4.3092213019485195</v>
      </c>
      <c r="GF857">
        <v>7.0562171016711144</v>
      </c>
      <c r="GG857">
        <v>5.066417198899078</v>
      </c>
      <c r="GH857">
        <v>3.1653117507173798</v>
      </c>
      <c r="GI857">
        <v>3.3376016067481662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25.28374361769621</v>
      </c>
      <c r="AO858">
        <v>4.0584547641654449</v>
      </c>
      <c r="AP858">
        <v>25.671648630583672</v>
      </c>
      <c r="AQ858">
        <v>23.715879144130472</v>
      </c>
      <c r="AR858">
        <v>3.7969975699633753</v>
      </c>
      <c r="AS858">
        <v>18.581825365725916</v>
      </c>
      <c r="AT858">
        <v>2.4338811441281667</v>
      </c>
      <c r="AU858">
        <v>7.4873361741718494</v>
      </c>
      <c r="AV858"/>
      <c r="AW858"/>
      <c r="FY858" s="210">
        <v>853</v>
      </c>
      <c r="FZ858">
        <v>0.95955926381542522</v>
      </c>
      <c r="GA858">
        <v>2.4053149695741491</v>
      </c>
      <c r="GB858">
        <v>1.4272393810162707</v>
      </c>
      <c r="GC858">
        <v>0.85372220023462397</v>
      </c>
      <c r="GD858">
        <v>1.8562987492537597</v>
      </c>
      <c r="GE858">
        <v>4.1738031509340452</v>
      </c>
      <c r="GF858">
        <v>8.4089632433239085</v>
      </c>
      <c r="GG858">
        <v>5.4785793865834771</v>
      </c>
      <c r="GH858">
        <v>1.4729438158679091</v>
      </c>
      <c r="GI858">
        <v>3.4068852864684556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26.724579487300467</v>
      </c>
      <c r="AO859">
        <v>5.8586857614243941</v>
      </c>
      <c r="AP859">
        <v>41.834343238558269</v>
      </c>
      <c r="AQ859">
        <v>36.413840199223856</v>
      </c>
      <c r="AR859">
        <v>5.4770549359293943</v>
      </c>
      <c r="AS859">
        <v>25.391197773877476</v>
      </c>
      <c r="AT859">
        <v>3.3418254530327687</v>
      </c>
      <c r="AU859">
        <v>2.1238373193363396</v>
      </c>
      <c r="AV859"/>
      <c r="AW859"/>
      <c r="FY859" s="210">
        <v>854</v>
      </c>
      <c r="FZ859">
        <v>1.132598075867447</v>
      </c>
      <c r="GA859">
        <v>3.0734693357459539</v>
      </c>
      <c r="GB859">
        <v>1.465041022956113</v>
      </c>
      <c r="GC859">
        <v>0.58047208126435623</v>
      </c>
      <c r="GD859">
        <v>1.8323442393220744</v>
      </c>
      <c r="GE859">
        <v>4.9235854805829717</v>
      </c>
      <c r="GF859">
        <v>6.7143381480951545</v>
      </c>
      <c r="GG859">
        <v>6.1066856447872739</v>
      </c>
      <c r="GH859">
        <v>5.6234704059058531</v>
      </c>
      <c r="GI859">
        <v>3.7425008650499998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17.535308367755174</v>
      </c>
      <c r="AO860">
        <v>4.3058301478890364</v>
      </c>
      <c r="AP860">
        <v>32.684321670948847</v>
      </c>
      <c r="AQ860">
        <v>27.436849854928237</v>
      </c>
      <c r="AR860">
        <v>4.1565528858079457</v>
      </c>
      <c r="AS860">
        <v>19.238339251462389</v>
      </c>
      <c r="AT860">
        <v>3.0184054390256669</v>
      </c>
      <c r="AU860">
        <v>-4.8445420623994071</v>
      </c>
      <c r="AV860"/>
      <c r="AW860"/>
      <c r="FY860" s="210">
        <v>855</v>
      </c>
      <c r="FZ860">
        <v>0.88529099303366721</v>
      </c>
      <c r="GA860">
        <v>2.5948366111398529</v>
      </c>
      <c r="GB860">
        <v>1.1026094023969355</v>
      </c>
      <c r="GC860">
        <v>0.58173190888547655</v>
      </c>
      <c r="GD860">
        <v>2.405820153224314</v>
      </c>
      <c r="GE860">
        <v>4.6706288067919619</v>
      </c>
      <c r="GF860">
        <v>4.6698323270182893</v>
      </c>
      <c r="GG860">
        <v>7.7188334692751113</v>
      </c>
      <c r="GH860">
        <v>6.6385175534922842</v>
      </c>
      <c r="GI860">
        <v>3.7522680375556243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27.041895027355366</v>
      </c>
      <c r="AO861">
        <v>4.8684712625483133</v>
      </c>
      <c r="AP861">
        <v>39.777123775292424</v>
      </c>
      <c r="AQ861">
        <v>32.318016277793376</v>
      </c>
      <c r="AR861">
        <v>4.6061534097195764</v>
      </c>
      <c r="AS861">
        <v>22.903408266843652</v>
      </c>
      <c r="AT861">
        <v>2.9205250122603079</v>
      </c>
      <c r="AU861">
        <v>-1.1458321425032638</v>
      </c>
      <c r="AV861"/>
      <c r="AW861"/>
      <c r="FY861" s="210">
        <v>856</v>
      </c>
      <c r="FZ861">
        <v>1.5769812357328861</v>
      </c>
      <c r="GA861">
        <v>2.3161040070772061</v>
      </c>
      <c r="GB861">
        <v>1.7101459114501378</v>
      </c>
      <c r="GC861">
        <v>0.77173498505199356</v>
      </c>
      <c r="GD861">
        <v>1.3657228978693337</v>
      </c>
      <c r="GE861">
        <v>4.1656200256513856</v>
      </c>
      <c r="GF861">
        <v>5.974366825046511</v>
      </c>
      <c r="GG861">
        <v>5.0846435559695156</v>
      </c>
      <c r="GH861">
        <v>4.7765548107944538</v>
      </c>
      <c r="GI861">
        <v>3.3498356950734691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19.017981150793652</v>
      </c>
      <c r="AO862">
        <v>5.1530579901814191</v>
      </c>
      <c r="AP862">
        <v>35.053466977274631</v>
      </c>
      <c r="AQ862">
        <v>30.875515690028376</v>
      </c>
      <c r="AR862">
        <v>4.8201181020484469</v>
      </c>
      <c r="AS862">
        <v>24.152929419872855</v>
      </c>
      <c r="AT862">
        <v>3.6086000666323685</v>
      </c>
      <c r="AU862">
        <v>5.0503023919074348</v>
      </c>
      <c r="AV862"/>
      <c r="AW862"/>
      <c r="FY862" s="210">
        <v>857</v>
      </c>
      <c r="FZ862">
        <v>1.0624817199164907</v>
      </c>
      <c r="GA862">
        <v>1.5639032101746944</v>
      </c>
      <c r="GB862">
        <v>1.567822475927843</v>
      </c>
      <c r="GC862">
        <v>0.92267486947827981</v>
      </c>
      <c r="GD862">
        <v>2.1617883397246485</v>
      </c>
      <c r="GE862">
        <v>5.0134127004514291</v>
      </c>
      <c r="GF862">
        <v>5.4135189570495079</v>
      </c>
      <c r="GG862">
        <v>6.413137613520898</v>
      </c>
      <c r="GH862">
        <v>6.1179399728873989</v>
      </c>
      <c r="GI862">
        <v>3.7937863483328975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32.053050699503295</v>
      </c>
      <c r="AO863">
        <v>7.192426198236423</v>
      </c>
      <c r="AP863">
        <v>59.42752216714004</v>
      </c>
      <c r="AQ863">
        <v>48.845421437032826</v>
      </c>
      <c r="AR863">
        <v>6.6764995207967255</v>
      </c>
      <c r="AS863">
        <v>29.315716013765936</v>
      </c>
      <c r="AT863">
        <v>4.2828002917734089</v>
      </c>
      <c r="AU863">
        <v>4.8920895325676357</v>
      </c>
      <c r="AV863"/>
      <c r="AW863"/>
      <c r="FY863" s="210">
        <v>858</v>
      </c>
      <c r="FZ863">
        <v>1.0833819522657129</v>
      </c>
      <c r="GA863">
        <v>3.0801244738127602</v>
      </c>
      <c r="GB863">
        <v>3.0307111657494055</v>
      </c>
      <c r="GC863">
        <v>1.4273067822660122</v>
      </c>
      <c r="GD863">
        <v>0.82686644380926655</v>
      </c>
      <c r="GE863">
        <v>2.7027149670251944</v>
      </c>
      <c r="GF863">
        <v>9.0409241307871167</v>
      </c>
      <c r="GG863">
        <v>6.3931411793263573</v>
      </c>
      <c r="GH863">
        <v>2.6650125008638423</v>
      </c>
      <c r="GI863">
        <v>3.5151480627065679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23.509482951891428</v>
      </c>
      <c r="AO864">
        <v>4.5575772036980755</v>
      </c>
      <c r="AP864">
        <v>34.092646771391365</v>
      </c>
      <c r="AQ864">
        <v>28.732703435740103</v>
      </c>
      <c r="AR864">
        <v>4.269226867953714</v>
      </c>
      <c r="AS864">
        <v>20.500550919238247</v>
      </c>
      <c r="AT864">
        <v>2.7274092045576723</v>
      </c>
      <c r="AU864">
        <v>1.0895094356481403</v>
      </c>
      <c r="AV864"/>
      <c r="AW864"/>
      <c r="FY864" s="210">
        <v>859</v>
      </c>
      <c r="FZ864">
        <v>1.1386073921123565</v>
      </c>
      <c r="GA864">
        <v>2.2354569906431796</v>
      </c>
      <c r="GB864">
        <v>1.5655590755296629</v>
      </c>
      <c r="GC864">
        <v>0.56906925148750109</v>
      </c>
      <c r="GD864">
        <v>0.94942378627758206</v>
      </c>
      <c r="GE864">
        <v>2.0481400096633386</v>
      </c>
      <c r="GF864">
        <v>6.0112767483998102</v>
      </c>
      <c r="GG864">
        <v>6.5404787577214414</v>
      </c>
      <c r="GH864">
        <v>3.6664882838297701</v>
      </c>
      <c r="GI864">
        <v>2.8271139433828671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27.38827801419713</v>
      </c>
      <c r="AO865">
        <v>5.6098896709044794</v>
      </c>
      <c r="AP865">
        <v>40.351570270459938</v>
      </c>
      <c r="AQ865">
        <v>34.662569776660739</v>
      </c>
      <c r="AR865">
        <v>4.9898266936227831</v>
      </c>
      <c r="AS865">
        <v>24.962021879229528</v>
      </c>
      <c r="AT865" t="e">
        <v>#DIV/0!</v>
      </c>
      <c r="AU865" t="e">
        <v>#DIV/0!</v>
      </c>
      <c r="AV865"/>
      <c r="AW865"/>
      <c r="FY865" s="210">
        <v>860</v>
      </c>
      <c r="FZ865">
        <v>1.0973707508585711</v>
      </c>
      <c r="GA865">
        <v>2.2991979060078407</v>
      </c>
      <c r="GB865">
        <v>1.6518788306922176</v>
      </c>
      <c r="GC865">
        <v>0.63471924792232082</v>
      </c>
      <c r="GD865">
        <v>1.578132321157796</v>
      </c>
      <c r="GE865">
        <v>4.0383893782791871</v>
      </c>
      <c r="GF865">
        <v>4.8622592697576943</v>
      </c>
      <c r="GG865">
        <v>5.7213420157267834</v>
      </c>
      <c r="GH865">
        <v>5.2160075166269433</v>
      </c>
      <c r="GI865">
        <v>3.2369854233188646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12.545386904761903</v>
      </c>
      <c r="AO866">
        <v>3.6475445476493724</v>
      </c>
      <c r="AP866">
        <v>27.621700586498232</v>
      </c>
      <c r="AQ866">
        <v>23.147482002277734</v>
      </c>
      <c r="AR866">
        <v>3.4731287254981167</v>
      </c>
      <c r="AS866">
        <v>14.751707524169795</v>
      </c>
      <c r="AT866">
        <v>2.463307835452369</v>
      </c>
      <c r="AU866">
        <v>2.3756863029923037</v>
      </c>
      <c r="AV866"/>
      <c r="AW866"/>
      <c r="FY866" s="210">
        <v>861</v>
      </c>
      <c r="FZ866">
        <v>0.78248130162153351</v>
      </c>
      <c r="GA866">
        <v>2.6850071622025742</v>
      </c>
      <c r="GB866">
        <v>1.7207409477736766</v>
      </c>
      <c r="GC866">
        <v>0.83888017731621922</v>
      </c>
      <c r="GD866">
        <v>2.5657377419439631</v>
      </c>
      <c r="GE866">
        <v>4.96865731951815</v>
      </c>
      <c r="GF866">
        <v>6.2036472575074058</v>
      </c>
      <c r="GG866">
        <v>6.9805474623142683</v>
      </c>
      <c r="GH866">
        <v>4.506696912810324</v>
      </c>
      <c r="GI866">
        <v>3.9313624275981836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27.220971855622587</v>
      </c>
      <c r="AO867">
        <v>5.3143941045871257</v>
      </c>
      <c r="AP867">
        <v>37.66003013305383</v>
      </c>
      <c r="AQ867">
        <v>33.121413896229086</v>
      </c>
      <c r="AR867">
        <v>4.8921875133649309</v>
      </c>
      <c r="AS867">
        <v>25.124962507105408</v>
      </c>
      <c r="AT867" t="e">
        <v>#DIV/0!</v>
      </c>
      <c r="AU867" t="e">
        <v>#DIV/0!</v>
      </c>
      <c r="AV867"/>
      <c r="AW867"/>
      <c r="FY867" s="210">
        <v>862</v>
      </c>
      <c r="FZ867">
        <v>1.2825409600893434</v>
      </c>
      <c r="GA867">
        <v>3.4585820514598216</v>
      </c>
      <c r="GB867">
        <v>2.1458231953440237</v>
      </c>
      <c r="GC867">
        <v>0.73149827931831035</v>
      </c>
      <c r="GD867">
        <v>2.0264710259900447</v>
      </c>
      <c r="GE867">
        <v>4.8945050164070762</v>
      </c>
      <c r="GF867">
        <v>4.4317673886988578</v>
      </c>
      <c r="GG867">
        <v>2.2107253775453564</v>
      </c>
      <c r="GH867">
        <v>0.73758908306564275</v>
      </c>
      <c r="GI867">
        <v>2.8450299871394824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19.5629228988604</v>
      </c>
      <c r="AO868">
        <v>4.8817844357638451</v>
      </c>
      <c r="AP868">
        <v>35.617049637122129</v>
      </c>
      <c r="AQ868">
        <v>30.373562190251238</v>
      </c>
      <c r="AR868">
        <v>4.5429181244511909</v>
      </c>
      <c r="AS868">
        <v>22.62166233021356</v>
      </c>
      <c r="AT868">
        <v>3.1724008357186566</v>
      </c>
      <c r="AU868">
        <v>0.2074019389968953</v>
      </c>
      <c r="AV868"/>
      <c r="AW868"/>
      <c r="FY868" s="210">
        <v>863</v>
      </c>
      <c r="FZ868">
        <v>1.3303507410326971</v>
      </c>
      <c r="GA868">
        <v>1.9703317432410963</v>
      </c>
      <c r="GB868">
        <v>1.3470006118305191</v>
      </c>
      <c r="GC868">
        <v>0.68707409525764551</v>
      </c>
      <c r="GD868">
        <v>2.0273802357789688</v>
      </c>
      <c r="GE868">
        <v>5.7026410594020058</v>
      </c>
      <c r="GF868">
        <v>7.3971741204749284</v>
      </c>
      <c r="GG868">
        <v>7.3741516113447325</v>
      </c>
      <c r="GH868">
        <v>5.0787547526148904</v>
      </c>
      <c r="GI868">
        <v>3.8898857118737165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19.430660485347982</v>
      </c>
      <c r="AO869">
        <v>4.9339879601724776</v>
      </c>
      <c r="AP869">
        <v>35.884207172220599</v>
      </c>
      <c r="AQ869">
        <v>30.443309447072021</v>
      </c>
      <c r="AR869">
        <v>4.6745990255802603</v>
      </c>
      <c r="AS869">
        <v>24.962484514861057</v>
      </c>
      <c r="AT869" t="e">
        <v>#DIV/0!</v>
      </c>
      <c r="AU869" t="e">
        <v>#DIV/0!</v>
      </c>
      <c r="AV869"/>
      <c r="AW869"/>
      <c r="FY869" s="210">
        <v>864</v>
      </c>
      <c r="FZ869">
        <v>0.41191535378212524</v>
      </c>
      <c r="GA869">
        <v>2.5620783919738654</v>
      </c>
      <c r="GB869">
        <v>2.2693910837940168</v>
      </c>
      <c r="GC869">
        <v>1.0974280240057712</v>
      </c>
      <c r="GD869">
        <v>3.5192551499597888</v>
      </c>
      <c r="GE869">
        <v>7.5278895928095046</v>
      </c>
      <c r="GF869">
        <v>4.5105530323147356</v>
      </c>
      <c r="GG869">
        <v>4.6140365977981848</v>
      </c>
      <c r="GH869">
        <v>4.4573315936185338</v>
      </c>
      <c r="GI869">
        <v>4.2370959619739539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29.494046870885107</v>
      </c>
      <c r="AO870">
        <v>5.4042327041519584</v>
      </c>
      <c r="AP870">
        <v>41.147212856017006</v>
      </c>
      <c r="AQ870">
        <v>35.194505299577195</v>
      </c>
      <c r="AR870">
        <v>5.0958975082360674</v>
      </c>
      <c r="AS870">
        <v>26.186366620663943</v>
      </c>
      <c r="AT870">
        <v>3.2983687728172519</v>
      </c>
      <c r="AU870">
        <v>2.7990222764311041</v>
      </c>
      <c r="AV870"/>
      <c r="AW870"/>
      <c r="FY870" s="210">
        <v>865</v>
      </c>
      <c r="FZ870">
        <v>1.1242802994527026</v>
      </c>
      <c r="GA870">
        <v>1.8050076462249098</v>
      </c>
      <c r="GB870">
        <v>1.5351882200618023</v>
      </c>
      <c r="GC870">
        <v>0.97836536298308707</v>
      </c>
      <c r="GD870">
        <v>1.7002023215760553</v>
      </c>
      <c r="GE870">
        <v>4.6731479686335362</v>
      </c>
      <c r="GF870">
        <v>7.4085029156536697</v>
      </c>
      <c r="GG870">
        <v>6.8131565443293498</v>
      </c>
      <c r="GH870">
        <v>4.7559745310729209</v>
      </c>
      <c r="GI870">
        <v>3.6940711626585698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28.154101269303862</v>
      </c>
      <c r="AO871">
        <v>5.5886389474491631</v>
      </c>
      <c r="AP871">
        <v>40.06343368642225</v>
      </c>
      <c r="AQ871">
        <v>35.020369262813517</v>
      </c>
      <c r="AR871">
        <v>5.2405093482342151</v>
      </c>
      <c r="AS871">
        <v>24.958306630355839</v>
      </c>
      <c r="AT871">
        <v>3.0000704249289831</v>
      </c>
      <c r="AU871">
        <v>2.1657691061858477</v>
      </c>
      <c r="AV871"/>
      <c r="AW871"/>
      <c r="FY871" s="210">
        <v>866</v>
      </c>
      <c r="FZ871">
        <v>1.2624300805626438</v>
      </c>
      <c r="GA871">
        <v>1.7838955216490502</v>
      </c>
      <c r="GB871">
        <v>1.2768262847959089</v>
      </c>
      <c r="GC871">
        <v>0.73847688801843991</v>
      </c>
      <c r="GD871">
        <v>2.1853627993794662</v>
      </c>
      <c r="GE871">
        <v>5.9115331884953246</v>
      </c>
      <c r="GF871">
        <v>6.067790979051173</v>
      </c>
      <c r="GG871">
        <v>4.3453394093171358</v>
      </c>
      <c r="GH871">
        <v>2.6835539722538799</v>
      </c>
      <c r="GI871">
        <v>3.3511164064020482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21.634790267602767</v>
      </c>
      <c r="AO872">
        <v>4.8092388725272439</v>
      </c>
      <c r="AP872">
        <v>37.074992342117064</v>
      </c>
      <c r="AQ872">
        <v>31.091709949716893</v>
      </c>
      <c r="AR872">
        <v>4.5657226476194648</v>
      </c>
      <c r="AS872">
        <v>21.911275793540131</v>
      </c>
      <c r="AT872">
        <v>3.1163231591179787</v>
      </c>
      <c r="AU872">
        <v>2.1073977015632477</v>
      </c>
      <c r="AV872"/>
      <c r="AW872"/>
      <c r="FY872" s="210">
        <v>867</v>
      </c>
      <c r="FZ872">
        <v>1.2207423805531314</v>
      </c>
      <c r="GA872">
        <v>2.7916980313249495</v>
      </c>
      <c r="GB872">
        <v>1.3708333848023544</v>
      </c>
      <c r="GC872">
        <v>0.77457632213018734</v>
      </c>
      <c r="GD872">
        <v>1.7993986512932074</v>
      </c>
      <c r="GE872">
        <v>4.4027090150609158</v>
      </c>
      <c r="GF872">
        <v>5.0782001234770302</v>
      </c>
      <c r="GG872">
        <v>5.5678069636303373</v>
      </c>
      <c r="GH872">
        <v>6.7014328600399242</v>
      </c>
      <c r="GI872">
        <v>3.5800441793446316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29.704472440685681</v>
      </c>
      <c r="AO873">
        <v>5.4921957124672627</v>
      </c>
      <c r="AP873">
        <v>38.954466465188162</v>
      </c>
      <c r="AQ873">
        <v>34.030466207464087</v>
      </c>
      <c r="AR873">
        <v>5.2376610566945754</v>
      </c>
      <c r="AS873">
        <v>25.258806988449571</v>
      </c>
      <c r="AT873">
        <v>3.1824092839444318</v>
      </c>
      <c r="AU873">
        <v>1.8440349202330055</v>
      </c>
      <c r="AV873"/>
      <c r="AW873"/>
      <c r="FY873" s="210">
        <v>868</v>
      </c>
      <c r="FZ873">
        <v>1.1941711260257952</v>
      </c>
      <c r="GA873">
        <v>2.3624011081983363</v>
      </c>
      <c r="GB873">
        <v>1.8631242500816794</v>
      </c>
      <c r="GC873">
        <v>1.1155709607124942</v>
      </c>
      <c r="GD873">
        <v>1.348937761144448</v>
      </c>
      <c r="GE873">
        <v>2.2827098982488785</v>
      </c>
      <c r="GF873">
        <v>4.1126003784592928</v>
      </c>
      <c r="GG873">
        <v>6.0920057873126403</v>
      </c>
      <c r="GH873">
        <v>6.3658514548263039</v>
      </c>
      <c r="GI873">
        <v>3.2203647222626861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23.677645732665674</v>
      </c>
      <c r="AO874">
        <v>5.0926980298076518</v>
      </c>
      <c r="AP874">
        <v>42.94140649601934</v>
      </c>
      <c r="AQ874">
        <v>33.765331658612233</v>
      </c>
      <c r="AR874">
        <v>4.7928196133731724</v>
      </c>
      <c r="AS874">
        <v>25.486189930621268</v>
      </c>
      <c r="AT874">
        <v>3.3918697472903312</v>
      </c>
      <c r="AU874">
        <v>2.8777408019871809</v>
      </c>
      <c r="AV874"/>
      <c r="AW874"/>
      <c r="FY874" s="210">
        <v>869</v>
      </c>
      <c r="FZ874">
        <v>1.0909103758579344</v>
      </c>
      <c r="GA874">
        <v>4.130883632685749</v>
      </c>
      <c r="GB874">
        <v>2.3269926989177363</v>
      </c>
      <c r="GC874">
        <v>0.64448898699559876</v>
      </c>
      <c r="GD874">
        <v>0.99813630778388696</v>
      </c>
      <c r="GE874">
        <v>3.5657018820172448</v>
      </c>
      <c r="GF874">
        <v>9.2509918204984221</v>
      </c>
      <c r="GG874">
        <v>7.8857416202844659</v>
      </c>
      <c r="GH874">
        <v>4.7450801922993362</v>
      </c>
      <c r="GI874">
        <v>3.8100659811488509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21.226256843776788</v>
      </c>
      <c r="AO875">
        <v>4.0857729869445993</v>
      </c>
      <c r="AP875">
        <v>34.441203854448069</v>
      </c>
      <c r="AQ875">
        <v>27.55161423904751</v>
      </c>
      <c r="AR875">
        <v>3.9295185748793382</v>
      </c>
      <c r="AS875">
        <v>20.631638388148769</v>
      </c>
      <c r="AT875">
        <v>2.7355691887459925</v>
      </c>
      <c r="AU875">
        <v>2.0331934620284446</v>
      </c>
      <c r="AV875"/>
      <c r="AW875"/>
      <c r="FY875" s="210">
        <v>870</v>
      </c>
      <c r="FZ875">
        <v>0.89787344896814492</v>
      </c>
      <c r="GA875">
        <v>2.2952961316741876</v>
      </c>
      <c r="GB875">
        <v>1.246788555895368</v>
      </c>
      <c r="GC875">
        <v>0.45921790495239717</v>
      </c>
      <c r="GD875">
        <v>1.7862592026853124</v>
      </c>
      <c r="GE875">
        <v>4.4585132441312254</v>
      </c>
      <c r="GF875">
        <v>6.8782701812060569</v>
      </c>
      <c r="GG875">
        <v>7.5584794415910821</v>
      </c>
      <c r="GH875">
        <v>5.8334643554283545</v>
      </c>
      <c r="GI875">
        <v>3.7131146845537217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21.263285861944343</v>
      </c>
      <c r="AO876">
        <v>4.7215166575783076</v>
      </c>
      <c r="AP876">
        <v>35.685115565402363</v>
      </c>
      <c r="AQ876">
        <v>30.336282660348218</v>
      </c>
      <c r="AR876">
        <v>4.4537224775417297</v>
      </c>
      <c r="AS876">
        <v>21.592366512744199</v>
      </c>
      <c r="AT876">
        <v>3.220400585850804</v>
      </c>
      <c r="AU876">
        <v>2.5431017894779195E-2</v>
      </c>
      <c r="AV876"/>
      <c r="AW876"/>
      <c r="FY876" s="210">
        <v>871</v>
      </c>
      <c r="FZ876">
        <v>1.056585168360513</v>
      </c>
      <c r="GA876">
        <v>2.9955031976485045</v>
      </c>
      <c r="GB876">
        <v>1.8782122644169497</v>
      </c>
      <c r="GC876">
        <v>0.53618441753640467</v>
      </c>
      <c r="GD876">
        <v>1.8449951235813318</v>
      </c>
      <c r="GE876">
        <v>4.493472487927157</v>
      </c>
      <c r="GF876">
        <v>5.9485132842952684</v>
      </c>
      <c r="GG876">
        <v>6.3134037237990999</v>
      </c>
      <c r="GH876">
        <v>5.2714412782949154</v>
      </c>
      <c r="GI876">
        <v>3.6710516515865641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30.311462672675908</v>
      </c>
      <c r="AO877">
        <v>5.7620120843910412</v>
      </c>
      <c r="AP877">
        <v>40.617946059206155</v>
      </c>
      <c r="AQ877">
        <v>35.183758710606298</v>
      </c>
      <c r="AR877">
        <v>5.4891690538154396</v>
      </c>
      <c r="AS877">
        <v>27.053349867635966</v>
      </c>
      <c r="AT877">
        <v>3.3519935327760764</v>
      </c>
      <c r="AU877">
        <v>3.2404908663224008</v>
      </c>
      <c r="AV877"/>
      <c r="AW877"/>
      <c r="FY877" s="210">
        <v>872</v>
      </c>
      <c r="FZ877">
        <v>1.4748481324543428</v>
      </c>
      <c r="GA877">
        <v>2.1335031627620902</v>
      </c>
      <c r="GB877">
        <v>2.8980053489018602</v>
      </c>
      <c r="GC877">
        <v>1.7864946610030872</v>
      </c>
      <c r="GD877">
        <v>2.5461247765630453</v>
      </c>
      <c r="GE877">
        <v>5.2244390147280644</v>
      </c>
      <c r="GF877">
        <v>3.5731879092302115</v>
      </c>
      <c r="GG877">
        <v>4.1755161541901922</v>
      </c>
      <c r="GH877">
        <v>3.3896597989871777</v>
      </c>
      <c r="GI877">
        <v>3.6374020581170168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28.209786818096028</v>
      </c>
      <c r="AO878">
        <v>4.1435194127147783</v>
      </c>
      <c r="AP878">
        <v>27.352953648586819</v>
      </c>
      <c r="AQ878">
        <v>24.76453236505796</v>
      </c>
      <c r="AR878">
        <v>3.8729893948214409</v>
      </c>
      <c r="AS878">
        <v>20.141056829296225</v>
      </c>
      <c r="AT878">
        <v>2.686441072294119</v>
      </c>
      <c r="AU878">
        <v>10.809949953158426</v>
      </c>
      <c r="AV878"/>
      <c r="AW878"/>
      <c r="FY878" s="210">
        <v>873</v>
      </c>
      <c r="FZ878">
        <v>1.3444523043144874</v>
      </c>
      <c r="GA878">
        <v>3.8209672507466239</v>
      </c>
      <c r="GB878">
        <v>2.1441228985128098</v>
      </c>
      <c r="GC878">
        <v>0.65022324239848994</v>
      </c>
      <c r="GD878">
        <v>1.3547689491877264</v>
      </c>
      <c r="GE878">
        <v>4.4270749996115493</v>
      </c>
      <c r="GF878">
        <v>4.5118422713304049</v>
      </c>
      <c r="GG878">
        <v>5.1026867616756411</v>
      </c>
      <c r="GH878">
        <v>7.2512593467137778</v>
      </c>
      <c r="GI878">
        <v>3.51128426351098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31.873997649273385</v>
      </c>
      <c r="AO879">
        <v>5.796340594715562</v>
      </c>
      <c r="AP879">
        <v>42.128396553029894</v>
      </c>
      <c r="AQ879">
        <v>36.804744682851201</v>
      </c>
      <c r="AR879">
        <v>5.282818764272994</v>
      </c>
      <c r="AS879">
        <v>25.862636950696512</v>
      </c>
      <c r="AT879" t="e">
        <v>#DIV/0!</v>
      </c>
      <c r="AU879" t="e">
        <v>#DIV/0!</v>
      </c>
      <c r="AV879"/>
      <c r="AW879"/>
      <c r="FY879" s="210">
        <v>874</v>
      </c>
      <c r="FZ879">
        <v>0.6796716102093997</v>
      </c>
      <c r="GA879">
        <v>1.7099586738604451</v>
      </c>
      <c r="GB879">
        <v>1.7530309923598164</v>
      </c>
      <c r="GC879">
        <v>0.65798790548419195</v>
      </c>
      <c r="GD879">
        <v>1.1385619837892935</v>
      </c>
      <c r="GE879">
        <v>3.3004335630814556</v>
      </c>
      <c r="GF879">
        <v>7.9131800306127751</v>
      </c>
      <c r="GG879">
        <v>6.9879486325532287</v>
      </c>
      <c r="GH879">
        <v>3.3674284458564658</v>
      </c>
      <c r="GI879">
        <v>3.2092701608091336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31.202837705595055</v>
      </c>
      <c r="AO880">
        <v>6.23313582534532</v>
      </c>
      <c r="AP880">
        <v>37.615963129265715</v>
      </c>
      <c r="AQ880">
        <v>35.206974782030485</v>
      </c>
      <c r="AR880">
        <v>5.8566614523716396</v>
      </c>
      <c r="AS880">
        <v>27.032171269537741</v>
      </c>
      <c r="AT880">
        <v>3.932944970652867</v>
      </c>
      <c r="AU880">
        <v>13.38983261232444</v>
      </c>
      <c r="AV880"/>
      <c r="AW880"/>
      <c r="FY880" s="210">
        <v>875</v>
      </c>
      <c r="FZ880">
        <v>1.1387201568012881</v>
      </c>
      <c r="GA880">
        <v>2.6465089919580733</v>
      </c>
      <c r="GB880">
        <v>1.4024899375991984</v>
      </c>
      <c r="GC880">
        <v>0.82873551288296621</v>
      </c>
      <c r="GD880">
        <v>2.4056883122779782</v>
      </c>
      <c r="GE880">
        <v>4.6796474822873595</v>
      </c>
      <c r="GF880">
        <v>5.1858987481608541</v>
      </c>
      <c r="GG880">
        <v>7.8893511937230452</v>
      </c>
      <c r="GH880">
        <v>7.8921693391547612</v>
      </c>
      <c r="GI880">
        <v>4.1583990744550414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23.202331191614672</v>
      </c>
      <c r="AO881">
        <v>5.4640469654864559</v>
      </c>
      <c r="AP881">
        <v>40.839397468399305</v>
      </c>
      <c r="AQ881">
        <v>34.487896972646602</v>
      </c>
      <c r="AR881">
        <v>5.0456773543243285</v>
      </c>
      <c r="AS881">
        <v>23.05744216029899</v>
      </c>
      <c r="AT881">
        <v>3.6297925148040555</v>
      </c>
      <c r="AU881">
        <v>5.3451318309156308</v>
      </c>
      <c r="AV881"/>
      <c r="AW881"/>
      <c r="FY881" s="210">
        <v>876</v>
      </c>
      <c r="FZ881">
        <v>0.74113189567881643</v>
      </c>
      <c r="GA881">
        <v>2.0438747555231505</v>
      </c>
      <c r="GB881">
        <v>1.2554981981589615</v>
      </c>
      <c r="GC881">
        <v>0.401857926085331</v>
      </c>
      <c r="GD881">
        <v>1.6778224801981603</v>
      </c>
      <c r="GE881">
        <v>4.4959698232562086</v>
      </c>
      <c r="GF881">
        <v>6.5699452643388963</v>
      </c>
      <c r="GG881">
        <v>8.5608758253653843</v>
      </c>
      <c r="GH881">
        <v>7.6820434261988311</v>
      </c>
      <c r="GI881">
        <v>3.8529568665983964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22.093471301504778</v>
      </c>
      <c r="AO882">
        <v>4.9721113373315031</v>
      </c>
      <c r="AP882">
        <v>32.653317610954268</v>
      </c>
      <c r="AQ882">
        <v>29.606325529925069</v>
      </c>
      <c r="AR882">
        <v>4.5356193059553522</v>
      </c>
      <c r="AS882">
        <v>20.20333478947197</v>
      </c>
      <c r="AT882">
        <v>3.2948203423697602</v>
      </c>
      <c r="AU882">
        <v>10.357672550252035</v>
      </c>
      <c r="AV882"/>
      <c r="AW882"/>
      <c r="FY882" s="210">
        <v>877</v>
      </c>
      <c r="FZ882">
        <v>1.1040566552370712</v>
      </c>
      <c r="GA882">
        <v>1.9947553960049864</v>
      </c>
      <c r="GB882">
        <v>1.3162411339349318</v>
      </c>
      <c r="GC882">
        <v>0.45964450830187603</v>
      </c>
      <c r="GD882">
        <v>1.8210549721451044</v>
      </c>
      <c r="GE882">
        <v>5.2625381543993566</v>
      </c>
      <c r="GF882">
        <v>6.0782983914382926</v>
      </c>
      <c r="GG882">
        <v>4.9229386451651056</v>
      </c>
      <c r="GH882">
        <v>2.971114878241532</v>
      </c>
      <c r="GI882">
        <v>3.1561234806673695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27.220644721563836</v>
      </c>
      <c r="AO883">
        <v>5.1342777575351599</v>
      </c>
      <c r="AP883">
        <v>38.703804392600212</v>
      </c>
      <c r="AQ883">
        <v>33.287441911656671</v>
      </c>
      <c r="AR883">
        <v>4.896695911449517</v>
      </c>
      <c r="AS883">
        <v>22.310827939308624</v>
      </c>
      <c r="AT883">
        <v>3.0699202847615434</v>
      </c>
      <c r="AU883">
        <v>6.9928500276271182</v>
      </c>
      <c r="AV883"/>
      <c r="AW883"/>
      <c r="FY883" s="210">
        <v>878</v>
      </c>
      <c r="FZ883">
        <v>1.5236131973003499</v>
      </c>
      <c r="GA883">
        <v>3.1545594838061217</v>
      </c>
      <c r="GB883">
        <v>1.4571852692861995</v>
      </c>
      <c r="GC883">
        <v>0.54735050456351575</v>
      </c>
      <c r="GD883">
        <v>1.2384264017958244</v>
      </c>
      <c r="GE883">
        <v>3.9561242665996845</v>
      </c>
      <c r="GF883">
        <v>7.2705725571438435</v>
      </c>
      <c r="GG883">
        <v>7.0344329073500607</v>
      </c>
      <c r="GH883">
        <v>4.6602098318692438</v>
      </c>
      <c r="GI883">
        <v>3.4210063977934793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18.116996718559218</v>
      </c>
      <c r="AO884">
        <v>4.584315606859847</v>
      </c>
      <c r="AP884">
        <v>36.47599010763124</v>
      </c>
      <c r="AQ884">
        <v>29.957737447272557</v>
      </c>
      <c r="AR884">
        <v>4.5144730372776847</v>
      </c>
      <c r="AS884">
        <v>20.381024098757084</v>
      </c>
      <c r="AT884">
        <v>3.1479769154765278</v>
      </c>
      <c r="AU884">
        <v>4.1304055791503851</v>
      </c>
      <c r="AV884"/>
      <c r="AW884"/>
      <c r="FY884" s="210">
        <v>879</v>
      </c>
      <c r="FZ884">
        <v>1.2273155202427</v>
      </c>
      <c r="GA884">
        <v>1.7879344782109436</v>
      </c>
      <c r="GB884">
        <v>1.4400786630908033</v>
      </c>
      <c r="GC884">
        <v>0.67910879634482146</v>
      </c>
      <c r="GD884">
        <v>2.0926740177357157</v>
      </c>
      <c r="GE884">
        <v>3.9173259655989137</v>
      </c>
      <c r="GF884">
        <v>2.6968428091926491</v>
      </c>
      <c r="GG884">
        <v>6.0185845330115679</v>
      </c>
      <c r="GH884">
        <v>6.4413247876414355</v>
      </c>
      <c r="GI884">
        <v>3.2884587759687807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25.252903057590554</v>
      </c>
      <c r="AO885">
        <v>5.5843302988578287</v>
      </c>
      <c r="AP885">
        <v>48.184096389120072</v>
      </c>
      <c r="AQ885">
        <v>38.44899349848923</v>
      </c>
      <c r="AR885">
        <v>5.2057299144467004</v>
      </c>
      <c r="AS885">
        <v>26.949652728945455</v>
      </c>
      <c r="AT885">
        <v>3.401476339142242</v>
      </c>
      <c r="AU885">
        <v>3.0422713338469083</v>
      </c>
      <c r="AV885"/>
      <c r="AW885"/>
      <c r="FY885" s="210">
        <v>880</v>
      </c>
      <c r="FZ885">
        <v>1.0150102330399322</v>
      </c>
      <c r="GA885">
        <v>1.8486078483783683</v>
      </c>
      <c r="GB885">
        <v>1.4957141005102521</v>
      </c>
      <c r="GC885">
        <v>0.82473789515571938</v>
      </c>
      <c r="GD885">
        <v>1.1477575818305259</v>
      </c>
      <c r="GE885">
        <v>4.576799408598732</v>
      </c>
      <c r="GF885">
        <v>6.7232243260836517</v>
      </c>
      <c r="GG885">
        <v>5.6152810676249247</v>
      </c>
      <c r="GH885">
        <v>6.9035495551790103</v>
      </c>
      <c r="GI885">
        <v>3.5381792712337043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26.29477115905464</v>
      </c>
      <c r="AO886">
        <v>5.4276051026731995</v>
      </c>
      <c r="AP886">
        <v>41.788242087454229</v>
      </c>
      <c r="AQ886">
        <v>35.127277151085849</v>
      </c>
      <c r="AR886">
        <v>5.1361681539223216</v>
      </c>
      <c r="AS886">
        <v>23.770746368412667</v>
      </c>
      <c r="AT886">
        <v>3.1036855193788497</v>
      </c>
      <c r="AU886">
        <v>0.39682331383157177</v>
      </c>
      <c r="AV886"/>
      <c r="AW886"/>
      <c r="FY886" s="210">
        <v>881</v>
      </c>
      <c r="FZ886">
        <v>0.91854815193950357</v>
      </c>
      <c r="GA886">
        <v>1.539578149649985</v>
      </c>
      <c r="GB886">
        <v>0.84245577056601118</v>
      </c>
      <c r="GC886">
        <v>0.65291248807708901</v>
      </c>
      <c r="GD886">
        <v>1.5427455668718641</v>
      </c>
      <c r="GE886">
        <v>3.5437463879660793</v>
      </c>
      <c r="GF886">
        <v>6.2239443280105524</v>
      </c>
      <c r="GG886">
        <v>6.4615627359907846</v>
      </c>
      <c r="GH886">
        <v>3.9623009156459408</v>
      </c>
      <c r="GI886">
        <v>3.0338742812752959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25.274034704807541</v>
      </c>
      <c r="AO887">
        <v>5.3079704484623491</v>
      </c>
      <c r="AP887">
        <v>40.511818151483787</v>
      </c>
      <c r="AQ887">
        <v>34.00936259744671</v>
      </c>
      <c r="AR887">
        <v>5.0847015967226028</v>
      </c>
      <c r="AS887">
        <v>23.598608363811604</v>
      </c>
      <c r="AT887">
        <v>3.2001426395192034</v>
      </c>
      <c r="AU887">
        <v>2.2250580647942435</v>
      </c>
      <c r="AV887"/>
      <c r="AW887"/>
      <c r="FY887" s="210">
        <v>882</v>
      </c>
      <c r="FZ887">
        <v>1.4062508838506991</v>
      </c>
      <c r="GA887">
        <v>2.4134299360601879</v>
      </c>
      <c r="GB887">
        <v>1.2449945615692402</v>
      </c>
      <c r="GC887">
        <v>0.4636421260291228</v>
      </c>
      <c r="GD887">
        <v>1.6537137701355529</v>
      </c>
      <c r="GE887">
        <v>4.8492108703376324</v>
      </c>
      <c r="GF887">
        <v>7.1455748937161934</v>
      </c>
      <c r="GG887">
        <v>8.3181661562710119</v>
      </c>
      <c r="GH887">
        <v>7.1311696707293697</v>
      </c>
      <c r="GI887">
        <v>3.974518822498867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27.911500409515504</v>
      </c>
      <c r="AO888">
        <v>5.3854241018230908</v>
      </c>
      <c r="AP888">
        <v>33.89553391472208</v>
      </c>
      <c r="AQ888">
        <v>30.83918101693709</v>
      </c>
      <c r="AR888">
        <v>5.0148333241637877</v>
      </c>
      <c r="AS888">
        <v>24.826791928409939</v>
      </c>
      <c r="AT888">
        <v>3.3038259885153551</v>
      </c>
      <c r="AU888">
        <v>8.2609386734309211</v>
      </c>
      <c r="AV888"/>
      <c r="AW888"/>
      <c r="FY888" s="210">
        <v>883</v>
      </c>
      <c r="FZ888">
        <v>1.4001288029168579</v>
      </c>
      <c r="GA888">
        <v>2.8226282734492982</v>
      </c>
      <c r="GB888">
        <v>2.3829890003689225</v>
      </c>
      <c r="GC888">
        <v>1.140932670167127</v>
      </c>
      <c r="GD888">
        <v>1.1520904796905727</v>
      </c>
      <c r="GE888">
        <v>2.9875830709459441</v>
      </c>
      <c r="GF888">
        <v>5.7381130210502143</v>
      </c>
      <c r="GG888">
        <v>5.3395842053377622</v>
      </c>
      <c r="GH888">
        <v>4.045519414068357</v>
      </c>
      <c r="GI888">
        <v>3.1770528779156946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23.634398791567911</v>
      </c>
      <c r="AO889">
        <v>5.0710891089449266</v>
      </c>
      <c r="AP889">
        <v>40.663871884777095</v>
      </c>
      <c r="AQ889">
        <v>34.118682288002489</v>
      </c>
      <c r="AR889">
        <v>4.7675333923410665</v>
      </c>
      <c r="AS889">
        <v>24.25321405208182</v>
      </c>
      <c r="AT889">
        <v>3.5063390212463461</v>
      </c>
      <c r="AU889">
        <v>6.5431569899351079</v>
      </c>
      <c r="AV889"/>
      <c r="AW889"/>
      <c r="FY889" s="210">
        <v>884</v>
      </c>
      <c r="FZ889">
        <v>1.3505743852483285</v>
      </c>
      <c r="GA889">
        <v>1.9303933431216533</v>
      </c>
      <c r="GB889">
        <v>2.435480642967065</v>
      </c>
      <c r="GC889">
        <v>1.5290563095555791</v>
      </c>
      <c r="GD889">
        <v>2.4870955248728097</v>
      </c>
      <c r="GE889">
        <v>5.3987353332311052</v>
      </c>
      <c r="GF889">
        <v>4.1571670939691741</v>
      </c>
      <c r="GG889">
        <v>5.2758675188155442</v>
      </c>
      <c r="GH889">
        <v>4.9813689341971319</v>
      </c>
      <c r="GI889">
        <v>3.8374775311655913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26.053114667398148</v>
      </c>
      <c r="AO890">
        <v>4.6717742577779244</v>
      </c>
      <c r="AP890">
        <v>37.715838791930025</v>
      </c>
      <c r="AQ890">
        <v>30.717471998616201</v>
      </c>
      <c r="AR890">
        <v>4.4140241818742965</v>
      </c>
      <c r="AS890">
        <v>23.632213495468324</v>
      </c>
      <c r="AT890">
        <v>2.8767153928389586</v>
      </c>
      <c r="AU890">
        <v>2.8348082621814221</v>
      </c>
      <c r="AV890"/>
      <c r="AW890"/>
      <c r="FY890" s="210">
        <v>885</v>
      </c>
      <c r="FZ890">
        <v>1.0563596389826493</v>
      </c>
      <c r="GA890">
        <v>2.9428858315944795</v>
      </c>
      <c r="GB890">
        <v>3.2063265029665926</v>
      </c>
      <c r="GC890">
        <v>1.8230554308454776</v>
      </c>
      <c r="GD890">
        <v>2.1880784592166513</v>
      </c>
      <c r="GE890">
        <v>5.4154686098186327</v>
      </c>
      <c r="GF890">
        <v>7.9733324726350201</v>
      </c>
      <c r="GG890">
        <v>6.8851350025347866</v>
      </c>
      <c r="GH890">
        <v>4.7568341071753792</v>
      </c>
      <c r="GI890">
        <v>4.4651948768465681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34.131755688613865</v>
      </c>
      <c r="AO891">
        <v>6.026391407836635</v>
      </c>
      <c r="AP891">
        <v>44.318970556283929</v>
      </c>
      <c r="AQ891">
        <v>38.227608749300565</v>
      </c>
      <c r="AR891">
        <v>5.7907321940383536</v>
      </c>
      <c r="AS891">
        <v>28.359491733050483</v>
      </c>
      <c r="AT891">
        <v>3.578131374369768</v>
      </c>
      <c r="AU891">
        <v>-6.3637545359939942</v>
      </c>
      <c r="AV891"/>
      <c r="AW891"/>
      <c r="FY891" s="210">
        <v>886</v>
      </c>
      <c r="FZ891">
        <v>0.65899690723804139</v>
      </c>
      <c r="GA891">
        <v>2.4065263532384438</v>
      </c>
      <c r="GB891">
        <v>1.4097126403766105</v>
      </c>
      <c r="GC891">
        <v>0.54180131392086517</v>
      </c>
      <c r="GD891">
        <v>1.1427409226462242</v>
      </c>
      <c r="GE891">
        <v>2.7544082729517139</v>
      </c>
      <c r="GF891">
        <v>6.8486146435634261</v>
      </c>
      <c r="GG891">
        <v>7.2592292435683712</v>
      </c>
      <c r="GH891">
        <v>5.0575706682797872</v>
      </c>
      <c r="GI891">
        <v>3.2143065663394776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24.851706700365177</v>
      </c>
      <c r="AO892">
        <v>5.6554409567987012</v>
      </c>
      <c r="AP892">
        <v>44.551393509023356</v>
      </c>
      <c r="AQ892">
        <v>37.281976461402138</v>
      </c>
      <c r="AR892">
        <v>5.3152165972425385</v>
      </c>
      <c r="AS892">
        <v>26.397184557835082</v>
      </c>
      <c r="AT892">
        <v>3.3835200145504261</v>
      </c>
      <c r="AU892">
        <v>1.2051473973656242</v>
      </c>
      <c r="AV892"/>
      <c r="AW892"/>
      <c r="FY892" s="210">
        <v>887</v>
      </c>
      <c r="FZ892">
        <v>0.88540375772259883</v>
      </c>
      <c r="GA892">
        <v>2.7972140307349207</v>
      </c>
      <c r="GB892">
        <v>2.2720850680872511</v>
      </c>
      <c r="GC892">
        <v>1.2916826939936781</v>
      </c>
      <c r="GD892">
        <v>1.867095923963233</v>
      </c>
      <c r="GE892">
        <v>3.3950627470015049</v>
      </c>
      <c r="GF892">
        <v>5.6964090782194292</v>
      </c>
      <c r="GG892">
        <v>7.9181183083320983</v>
      </c>
      <c r="GH892">
        <v>6.297242038041575</v>
      </c>
      <c r="GI892">
        <v>3.8623130604296114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26.556561452094932</v>
      </c>
      <c r="AO893">
        <v>4.675136062734194</v>
      </c>
      <c r="AP893">
        <v>32.735900779502465</v>
      </c>
      <c r="AQ893">
        <v>29.086766215535622</v>
      </c>
      <c r="AR893">
        <v>4.2686270541637077</v>
      </c>
      <c r="AS893">
        <v>22.331289673800271</v>
      </c>
      <c r="AT893">
        <v>2.7753812943036826</v>
      </c>
      <c r="AU893">
        <v>2.986244782695719</v>
      </c>
      <c r="AV893"/>
      <c r="AW893"/>
      <c r="FY893" s="210">
        <v>888</v>
      </c>
      <c r="FZ893">
        <v>1.4414782088595748</v>
      </c>
      <c r="GA893">
        <v>1.9970066657393595</v>
      </c>
      <c r="GB893">
        <v>2.1546134380492621</v>
      </c>
      <c r="GC893">
        <v>1.011030399792779</v>
      </c>
      <c r="GD893">
        <v>1.902683464371999</v>
      </c>
      <c r="GE893">
        <v>4.7256366209096745</v>
      </c>
      <c r="GF893">
        <v>4.5574388154997711</v>
      </c>
      <c r="GG893">
        <v>3.8610774781129162</v>
      </c>
      <c r="GH893">
        <v>3.5695451409955519</v>
      </c>
      <c r="GI893">
        <v>3.2787897050113513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23.105642043142048</v>
      </c>
      <c r="AO894">
        <v>5.1088388735747721</v>
      </c>
      <c r="AP894">
        <v>41.444995723211484</v>
      </c>
      <c r="AQ894">
        <v>34.263480817508324</v>
      </c>
      <c r="AR894">
        <v>4.6507803378268022</v>
      </c>
      <c r="AS894">
        <v>22.753386367474345</v>
      </c>
      <c r="AT894" t="e">
        <v>#DIV/0!</v>
      </c>
      <c r="AU894" t="e">
        <v>#DIV/0!</v>
      </c>
      <c r="AV894"/>
      <c r="AW894"/>
      <c r="FY894" s="210">
        <v>889</v>
      </c>
      <c r="FZ894">
        <v>0.47983601425217848</v>
      </c>
      <c r="GA894">
        <v>2.7235927985972648</v>
      </c>
      <c r="GB894">
        <v>1.4666567763101803</v>
      </c>
      <c r="GC894">
        <v>0.48076539916250549</v>
      </c>
      <c r="GD894">
        <v>1.4199168181199333</v>
      </c>
      <c r="GE894">
        <v>2.8823520196267869</v>
      </c>
      <c r="GF894">
        <v>3.3404800468209745</v>
      </c>
      <c r="GG894">
        <v>5.4506866658199602</v>
      </c>
      <c r="GH894">
        <v>4.9889612514950583</v>
      </c>
      <c r="GI894">
        <v>2.6867478938806384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29.456432244428953</v>
      </c>
      <c r="AO895">
        <v>4.7414950096441082</v>
      </c>
      <c r="AP895">
        <v>33.608904881510739</v>
      </c>
      <c r="AQ895">
        <v>29.589648347038331</v>
      </c>
      <c r="AR895">
        <v>4.6103884841252309</v>
      </c>
      <c r="AS895">
        <v>23.143595609093097</v>
      </c>
      <c r="AT895">
        <v>2.7834666686749041</v>
      </c>
      <c r="AU895">
        <v>12.38122972779629</v>
      </c>
      <c r="AV895"/>
      <c r="AW895"/>
      <c r="FY895" s="210">
        <v>890</v>
      </c>
      <c r="FZ895">
        <v>0.76169383396124324</v>
      </c>
      <c r="GA895">
        <v>2.5167129184305836</v>
      </c>
      <c r="GB895">
        <v>2.2904415432810357</v>
      </c>
      <c r="GC895">
        <v>0.80651001936278688</v>
      </c>
      <c r="GD895">
        <v>1.3414918355205954</v>
      </c>
      <c r="GE895">
        <v>3.0029959644380755</v>
      </c>
      <c r="GF895">
        <v>5.9766596508667709</v>
      </c>
      <c r="GG895">
        <v>6.713301369293168</v>
      </c>
      <c r="GH895">
        <v>4.1087622259813079</v>
      </c>
      <c r="GI895">
        <v>3.2468286770120471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25.16599050683649</v>
      </c>
      <c r="AO896">
        <v>5.0812193490356536</v>
      </c>
      <c r="AP896">
        <v>40.414403521777622</v>
      </c>
      <c r="AQ896">
        <v>33.688861287634815</v>
      </c>
      <c r="AR896">
        <v>4.7566596190482917</v>
      </c>
      <c r="AS896">
        <v>21.576306089882465</v>
      </c>
      <c r="AT896">
        <v>3.1921307392240803</v>
      </c>
      <c r="AU896">
        <v>5.5134723872502986</v>
      </c>
      <c r="AV896"/>
      <c r="AW896"/>
      <c r="FY896" s="210">
        <v>891</v>
      </c>
      <c r="FZ896">
        <v>1.4063636485396309</v>
      </c>
      <c r="GA896">
        <v>1.8513776527010768</v>
      </c>
      <c r="GB896">
        <v>1.4909915255721526</v>
      </c>
      <c r="GC896">
        <v>0.84856663958080603</v>
      </c>
      <c r="GD896">
        <v>2.5157066677613957</v>
      </c>
      <c r="GE896">
        <v>6.7314260051872683</v>
      </c>
      <c r="GF896">
        <v>8.268758560650646</v>
      </c>
      <c r="GG896">
        <v>7.5519197125345583</v>
      </c>
      <c r="GH896">
        <v>5.3922924973909492</v>
      </c>
      <c r="GI896">
        <v>4.438100186668823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26.116680978060437</v>
      </c>
      <c r="AO897">
        <v>4.4846236530340677</v>
      </c>
      <c r="AP897">
        <v>33.6314668632969</v>
      </c>
      <c r="AQ897">
        <v>28.721668775993106</v>
      </c>
      <c r="AR897">
        <v>4.1671163100271471</v>
      </c>
      <c r="AS897">
        <v>20.424751785589468</v>
      </c>
      <c r="AT897">
        <v>2.6605874535413654</v>
      </c>
      <c r="AU897">
        <v>-1.1394839462730302</v>
      </c>
      <c r="AV897"/>
      <c r="AW897"/>
      <c r="FY897" s="210">
        <v>892</v>
      </c>
      <c r="FZ897">
        <v>0.97343529771935189</v>
      </c>
      <c r="GA897">
        <v>1.3078643406233068</v>
      </c>
      <c r="GB897">
        <v>0.45109685335258132</v>
      </c>
      <c r="GC897">
        <v>0.57880425817961512</v>
      </c>
      <c r="GD897">
        <v>2.3517305928703376</v>
      </c>
      <c r="GE897">
        <v>5.8107808718852256</v>
      </c>
      <c r="GF897">
        <v>6.3228797137651584</v>
      </c>
      <c r="GG897">
        <v>3.9530794758305046</v>
      </c>
      <c r="GH897">
        <v>1.7553258096769337</v>
      </c>
      <c r="GI897">
        <v>3.0898444875640738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24.069245612297472</v>
      </c>
      <c r="AO898">
        <v>5.8640308230621869</v>
      </c>
      <c r="AP898">
        <v>45.95498302086596</v>
      </c>
      <c r="AQ898">
        <v>38.600671691197874</v>
      </c>
      <c r="AR898">
        <v>5.4616773268586494</v>
      </c>
      <c r="AS898">
        <v>24.370515534212203</v>
      </c>
      <c r="AT898">
        <v>3.5128908939645207</v>
      </c>
      <c r="AU898">
        <v>-5.2793557618268894</v>
      </c>
      <c r="AV898"/>
      <c r="AW898"/>
      <c r="FY898" s="210">
        <v>893</v>
      </c>
      <c r="FZ898">
        <v>1.1591693303947832</v>
      </c>
      <c r="GA898">
        <v>1.7257947713259723</v>
      </c>
      <c r="GB898">
        <v>1.2295851096769903</v>
      </c>
      <c r="GC898">
        <v>0.41138916338834719</v>
      </c>
      <c r="GD898">
        <v>2.2722996951025745</v>
      </c>
      <c r="GE898">
        <v>5.1616115085333441</v>
      </c>
      <c r="GF898">
        <v>4.742452852218995</v>
      </c>
      <c r="GG898">
        <v>6.132808241889613</v>
      </c>
      <c r="GH898">
        <v>5.2282041070865271</v>
      </c>
      <c r="GI898">
        <v>3.5360799480107601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25.848869301994302</v>
      </c>
      <c r="AO899">
        <v>4.5780933429140633</v>
      </c>
      <c r="AP899">
        <v>36.529191871528013</v>
      </c>
      <c r="AQ899">
        <v>30.186621815910751</v>
      </c>
      <c r="AR899">
        <v>4.3391691294996244</v>
      </c>
      <c r="AS899">
        <v>24.727186455378078</v>
      </c>
      <c r="AT899">
        <v>2.9036661786846545</v>
      </c>
      <c r="AU899">
        <v>2.799351291318656</v>
      </c>
      <c r="AV899"/>
      <c r="AW899"/>
      <c r="FY899" s="210">
        <v>894</v>
      </c>
      <c r="FZ899">
        <v>1.0211323139737736</v>
      </c>
      <c r="GA899">
        <v>0.98418947681298008</v>
      </c>
      <c r="GB899">
        <v>1.8094339180314973</v>
      </c>
      <c r="GC899">
        <v>1.3476493617258878</v>
      </c>
      <c r="GD899">
        <v>1.0985204928538055</v>
      </c>
      <c r="GE899">
        <v>1.9258817698819559</v>
      </c>
      <c r="GF899">
        <v>6.3716986782863181</v>
      </c>
      <c r="GG899">
        <v>8.656702084395091</v>
      </c>
      <c r="GH899">
        <v>6.5945188391722711</v>
      </c>
      <c r="GI899">
        <v>3.4897290270159269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24.914475485707108</v>
      </c>
      <c r="AO900">
        <v>5.6717833314356323</v>
      </c>
      <c r="AP900">
        <v>37.296148824888647</v>
      </c>
      <c r="AQ900">
        <v>33.383216617143979</v>
      </c>
      <c r="AR900">
        <v>5.2834800336530261</v>
      </c>
      <c r="AS900">
        <v>25.484751554987106</v>
      </c>
      <c r="AT900">
        <v>3.7451222462997156</v>
      </c>
      <c r="AU900">
        <v>8.1822278498732395</v>
      </c>
      <c r="AV900"/>
      <c r="AW900"/>
      <c r="FY900" s="210">
        <v>895</v>
      </c>
      <c r="FZ900">
        <v>1.1032673024145487</v>
      </c>
      <c r="GA900">
        <v>2.1513440493640386</v>
      </c>
      <c r="GB900">
        <v>0.83908008105724008</v>
      </c>
      <c r="GC900">
        <v>0.42255525041545844</v>
      </c>
      <c r="GD900">
        <v>1.0460551156288322</v>
      </c>
      <c r="GE900">
        <v>3.1687283373174808</v>
      </c>
      <c r="GF900">
        <v>6.6751599478727019</v>
      </c>
      <c r="GG900">
        <v>5.4057203195479486</v>
      </c>
      <c r="GH900">
        <v>4.5905200044448078</v>
      </c>
      <c r="GI900">
        <v>2.960644096163636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36.632447201693914</v>
      </c>
      <c r="AO901">
        <v>6.5746417934635728</v>
      </c>
      <c r="AP901">
        <v>47.941161277342296</v>
      </c>
      <c r="AQ901">
        <v>40.712670932616234</v>
      </c>
      <c r="AR901">
        <v>6.1043829829421021</v>
      </c>
      <c r="AS901">
        <v>29.86170635448175</v>
      </c>
      <c r="AT901">
        <v>3.9691319368985787</v>
      </c>
      <c r="AU901">
        <v>5.8826776006671295</v>
      </c>
      <c r="AV901"/>
      <c r="AW901"/>
      <c r="FY901" s="210">
        <v>896</v>
      </c>
      <c r="FZ901">
        <v>1.0564724036715811</v>
      </c>
      <c r="GA901">
        <v>3.5736027059339013</v>
      </c>
      <c r="GB901">
        <v>2.7867670652126204</v>
      </c>
      <c r="GC901">
        <v>1.2175588930293231</v>
      </c>
      <c r="GD901">
        <v>2.0084397716037001</v>
      </c>
      <c r="GE901">
        <v>4.3655461283874066</v>
      </c>
      <c r="GF901">
        <v>4.6363897471382565</v>
      </c>
      <c r="GG901">
        <v>5.8184114270931087</v>
      </c>
      <c r="GH901">
        <v>5.5876764513345654</v>
      </c>
      <c r="GI901">
        <v>3.7852307492389419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22.365218897388015</v>
      </c>
      <c r="AO902">
        <v>4.6704051203345696</v>
      </c>
      <c r="AP902">
        <v>38.925799801320814</v>
      </c>
      <c r="AQ902">
        <v>31.293907532122962</v>
      </c>
      <c r="AR902">
        <v>4.4651545205644405</v>
      </c>
      <c r="AS902">
        <v>20.081838178741403</v>
      </c>
      <c r="AT902">
        <v>2.7703122204273893</v>
      </c>
      <c r="AU902">
        <v>0.28064178978653775</v>
      </c>
      <c r="AV902"/>
      <c r="AW902"/>
      <c r="FY902" s="210">
        <v>897</v>
      </c>
      <c r="FZ902">
        <v>0.96765151085230583</v>
      </c>
      <c r="GA902">
        <v>1.7149100005172251</v>
      </c>
      <c r="GB902">
        <v>1.4334813101822506</v>
      </c>
      <c r="GC902">
        <v>0.88294804390276671</v>
      </c>
      <c r="GD902">
        <v>1.9608549357840264</v>
      </c>
      <c r="GE902">
        <v>4.5808015869235037</v>
      </c>
      <c r="GF902">
        <v>4.0241421488148026</v>
      </c>
      <c r="GG902">
        <v>4.3472393592713008</v>
      </c>
      <c r="GH902">
        <v>4.4478033911686392</v>
      </c>
      <c r="GI902">
        <v>3.0974328514337413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25.889925093969214</v>
      </c>
      <c r="AO903">
        <v>5.688479901900422</v>
      </c>
      <c r="AP903">
        <v>43.595656991822352</v>
      </c>
      <c r="AQ903">
        <v>36.282626706525903</v>
      </c>
      <c r="AR903">
        <v>5.3865039883360453</v>
      </c>
      <c r="AS903">
        <v>26.753839845561973</v>
      </c>
      <c r="AT903">
        <v>3.3771273391273606</v>
      </c>
      <c r="AU903">
        <v>3.4771799831766677</v>
      </c>
      <c r="AV903"/>
      <c r="AW903"/>
      <c r="FY903" s="210">
        <v>898</v>
      </c>
      <c r="FZ903">
        <v>1.0911359052357981</v>
      </c>
      <c r="GA903">
        <v>2.7986713615469951</v>
      </c>
      <c r="GB903">
        <v>2.4516710196140186</v>
      </c>
      <c r="GC903">
        <v>1.0816508921211763</v>
      </c>
      <c r="GD903">
        <v>1.0825018712878771</v>
      </c>
      <c r="GE903">
        <v>2.3449648677113863</v>
      </c>
      <c r="GF903">
        <v>4.5012992147422519</v>
      </c>
      <c r="GG903">
        <v>5.8075579335114833</v>
      </c>
      <c r="GH903">
        <v>4.7359688903683583</v>
      </c>
      <c r="GI903">
        <v>3.0011366442373935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29.905753017132476</v>
      </c>
      <c r="AO904">
        <v>4.6865130027008552</v>
      </c>
      <c r="AP904">
        <v>32.317477794524834</v>
      </c>
      <c r="AQ904">
        <v>28.49929993734224</v>
      </c>
      <c r="AR904">
        <v>4.490265326256881</v>
      </c>
      <c r="AS904">
        <v>22.804948118643122</v>
      </c>
      <c r="AT904">
        <v>2.930570598689108</v>
      </c>
      <c r="AU904">
        <v>7.9602600124151035</v>
      </c>
      <c r="AV904"/>
      <c r="AW904"/>
      <c r="FY904" s="210">
        <v>899</v>
      </c>
      <c r="FZ904">
        <v>0.97422465054187424</v>
      </c>
      <c r="GA904">
        <v>3.4933263357294395</v>
      </c>
      <c r="GB904">
        <v>2.0524723608497943</v>
      </c>
      <c r="GC904">
        <v>0.7379136675932485</v>
      </c>
      <c r="GD904">
        <v>2.1238920978700171</v>
      </c>
      <c r="GE904">
        <v>4.8148428236844278</v>
      </c>
      <c r="GF904">
        <v>6.5379251026703802</v>
      </c>
      <c r="GG904">
        <v>8.5819295631554819</v>
      </c>
      <c r="GH904">
        <v>6.6471861798397196</v>
      </c>
      <c r="GI904">
        <v>4.1942500405404601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19.900351673789174</v>
      </c>
      <c r="AO905">
        <v>3.9852806256037936</v>
      </c>
      <c r="AP905">
        <v>30.572336528366627</v>
      </c>
      <c r="AQ905">
        <v>25.919995684085485</v>
      </c>
      <c r="AR905">
        <v>3.7334038774304323</v>
      </c>
      <c r="AS905">
        <v>18.592519311711584</v>
      </c>
      <c r="AT905">
        <v>2.2949013758693364</v>
      </c>
      <c r="AU905">
        <v>0.76722210503789956</v>
      </c>
      <c r="AV905"/>
      <c r="AW905"/>
      <c r="FY905" s="210">
        <v>900</v>
      </c>
      <c r="FZ905">
        <v>1.3028773689939066</v>
      </c>
      <c r="GA905">
        <v>2.6431909554717294</v>
      </c>
      <c r="GB905">
        <v>1.8947426159633158</v>
      </c>
      <c r="GC905">
        <v>1.0488493349787711</v>
      </c>
      <c r="GD905">
        <v>1.3979672787819837</v>
      </c>
      <c r="GE905">
        <v>3.2715232593848662</v>
      </c>
      <c r="GF905">
        <v>7.1002138703221602</v>
      </c>
      <c r="GG905">
        <v>6.8865048311956532</v>
      </c>
      <c r="GH905">
        <v>3.0738963417849692</v>
      </c>
      <c r="GI905">
        <v>3.3037641925530266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21.949479009074985</v>
      </c>
      <c r="AO906">
        <v>4.749562435550799</v>
      </c>
      <c r="AP906">
        <v>37.891718193774153</v>
      </c>
      <c r="AQ906">
        <v>30.765398038147616</v>
      </c>
      <c r="AR906">
        <v>4.5382444834881248</v>
      </c>
      <c r="AS906">
        <v>21.645202202121354</v>
      </c>
      <c r="AT906">
        <v>2.9933523157640192</v>
      </c>
      <c r="AU906">
        <v>10.720676429571983</v>
      </c>
      <c r="AV906"/>
      <c r="AW906"/>
      <c r="FY906" s="210">
        <v>901</v>
      </c>
      <c r="FZ906">
        <v>1.5157464796413331</v>
      </c>
      <c r="GA906">
        <v>1.7742938460618851</v>
      </c>
      <c r="GB906">
        <v>1.8107244481141485</v>
      </c>
      <c r="GC906">
        <v>1.3619281642191006</v>
      </c>
      <c r="GD906">
        <v>1.3649550798512129</v>
      </c>
      <c r="GE906">
        <v>1.9532789054889319</v>
      </c>
      <c r="GF906">
        <v>3.4894048373768358</v>
      </c>
      <c r="GG906">
        <v>4.5713556939804141</v>
      </c>
      <c r="GH906">
        <v>3.5776091741309206</v>
      </c>
      <c r="GI906">
        <v>2.6938803328712178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36.859987558057405</v>
      </c>
      <c r="AO907">
        <v>6.5191636421048713</v>
      </c>
      <c r="AP907">
        <v>45.980095329148135</v>
      </c>
      <c r="AQ907">
        <v>40.495503096587314</v>
      </c>
      <c r="AR907">
        <v>6.0439021158151256</v>
      </c>
      <c r="AS907">
        <v>30.414102420624573</v>
      </c>
      <c r="AT907">
        <v>3.9056017348764858</v>
      </c>
      <c r="AU907">
        <v>9.7763891655299648</v>
      </c>
      <c r="AV907"/>
      <c r="AW907"/>
      <c r="FY907" s="210">
        <v>902</v>
      </c>
      <c r="FZ907">
        <v>0.97422465054187424</v>
      </c>
      <c r="GA907">
        <v>2.26153114800635</v>
      </c>
      <c r="GB907">
        <v>1.7139283806557897</v>
      </c>
      <c r="GC907">
        <v>0.95538845071549938</v>
      </c>
      <c r="GD907">
        <v>2.0507079240311841</v>
      </c>
      <c r="GE907">
        <v>4.4973384820408837</v>
      </c>
      <c r="GF907">
        <v>7.2917536304441573</v>
      </c>
      <c r="GG907">
        <v>7.8085838280692048</v>
      </c>
      <c r="GH907">
        <v>5.2247443471128161</v>
      </c>
      <c r="GI907">
        <v>3.9780529838835448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25.141691310662289</v>
      </c>
      <c r="AO908">
        <v>4.5664458153263663</v>
      </c>
      <c r="AP908">
        <v>28.181654548150551</v>
      </c>
      <c r="AQ908">
        <v>26.594841701467082</v>
      </c>
      <c r="AR908">
        <v>4.1734763472862433</v>
      </c>
      <c r="AS908">
        <v>20.708650207977602</v>
      </c>
      <c r="AT908">
        <v>2.9137576623701946</v>
      </c>
      <c r="AU908">
        <v>6.6139448428755463</v>
      </c>
      <c r="AV908"/>
      <c r="AW908"/>
      <c r="FY908" s="210">
        <v>903</v>
      </c>
      <c r="FZ908">
        <v>1.6324322049573932</v>
      </c>
      <c r="GA908">
        <v>2.4315173032600876</v>
      </c>
      <c r="GB908">
        <v>1.2918179000049919</v>
      </c>
      <c r="GC908">
        <v>0.57400501499991452</v>
      </c>
      <c r="GD908">
        <v>1.3747282221538093</v>
      </c>
      <c r="GE908">
        <v>4.0612245245449667</v>
      </c>
      <c r="GF908">
        <v>8.1338357283135281</v>
      </c>
      <c r="GG908">
        <v>6.5814833092032128</v>
      </c>
      <c r="GH908">
        <v>3.3796676045958733</v>
      </c>
      <c r="GI908">
        <v>3.4290879528201814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28.26237460796284</v>
      </c>
      <c r="AO909">
        <v>5.1376280489115569</v>
      </c>
      <c r="AP909">
        <v>35.76830949148227</v>
      </c>
      <c r="AQ909">
        <v>31.599394727627903</v>
      </c>
      <c r="AR909">
        <v>4.9133601645669822</v>
      </c>
      <c r="AS909">
        <v>23.176434153137617</v>
      </c>
      <c r="AT909">
        <v>2.9854429553672506</v>
      </c>
      <c r="AU909">
        <v>-6.5782234126364436</v>
      </c>
      <c r="AV909"/>
      <c r="AW909"/>
      <c r="FY909" s="210">
        <v>904</v>
      </c>
      <c r="FZ909">
        <v>1.173834717121232</v>
      </c>
      <c r="GA909">
        <v>1.9677334365126049</v>
      </c>
      <c r="GB909">
        <v>1.5941691353565495</v>
      </c>
      <c r="GC909">
        <v>0.85292370834414621</v>
      </c>
      <c r="GD909">
        <v>2.4858948805970145</v>
      </c>
      <c r="GE909">
        <v>6.4484873711231083</v>
      </c>
      <c r="GF909">
        <v>6.5399796851800458</v>
      </c>
      <c r="GG909">
        <v>4.1400788823641044</v>
      </c>
      <c r="GH909">
        <v>2.920383422726049</v>
      </c>
      <c r="GI909">
        <v>3.699678475300153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22.22175798738299</v>
      </c>
      <c r="AO910">
        <v>5.0588162196970758</v>
      </c>
      <c r="AP910">
        <v>41.424136927671405</v>
      </c>
      <c r="AQ910">
        <v>33.299455962149509</v>
      </c>
      <c r="AR910">
        <v>4.8885062194874438</v>
      </c>
      <c r="AS910">
        <v>24.256586269454395</v>
      </c>
      <c r="AT910">
        <v>3.1456448591352602</v>
      </c>
      <c r="AU910">
        <v>-2.018235124942461</v>
      </c>
      <c r="AV910"/>
      <c r="AW910"/>
      <c r="FY910" s="210">
        <v>905</v>
      </c>
      <c r="FZ910">
        <v>1.4682749927647745</v>
      </c>
      <c r="GA910">
        <v>1.812308834855243</v>
      </c>
      <c r="GB910">
        <v>1.0730219249212607</v>
      </c>
      <c r="GC910">
        <v>0.65476850948404719</v>
      </c>
      <c r="GD910">
        <v>2.0177894449269109</v>
      </c>
      <c r="GE910">
        <v>4.4895535642345212</v>
      </c>
      <c r="GF910">
        <v>5.6805160634818304</v>
      </c>
      <c r="GG910">
        <v>7.2029496958102772</v>
      </c>
      <c r="GH910">
        <v>4.9640316815022594</v>
      </c>
      <c r="GI910">
        <v>3.5291930054760083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20.866933124745621</v>
      </c>
      <c r="AO911">
        <v>4.1928768647761574</v>
      </c>
      <c r="AP911">
        <v>34.442531302829167</v>
      </c>
      <c r="AQ911">
        <v>28.363074504226695</v>
      </c>
      <c r="AR911">
        <v>4.0427582546059551</v>
      </c>
      <c r="AS911">
        <v>20.437732737635219</v>
      </c>
      <c r="AT911">
        <v>2.6741923331361259</v>
      </c>
      <c r="AU911">
        <v>2.0299532155577529</v>
      </c>
      <c r="AV911"/>
      <c r="AW911"/>
      <c r="FY911" s="210">
        <v>906</v>
      </c>
      <c r="FZ911">
        <v>1.2973191115047242</v>
      </c>
      <c r="GA911">
        <v>2.0388741327467801</v>
      </c>
      <c r="GB911">
        <v>1.1347130640905785</v>
      </c>
      <c r="GC911">
        <v>0.4077132274970538</v>
      </c>
      <c r="GD911">
        <v>0.41502742502197137</v>
      </c>
      <c r="GE911">
        <v>1.1810237941769015</v>
      </c>
      <c r="GF911">
        <v>5.8577606633776202</v>
      </c>
      <c r="GG911">
        <v>8.2025926261179336</v>
      </c>
      <c r="GH911">
        <v>6.0862017336646632</v>
      </c>
      <c r="GI911">
        <v>2.7928360035437323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26.155106051558654</v>
      </c>
      <c r="AO912">
        <v>5.5538641332596388</v>
      </c>
      <c r="AP912">
        <v>41.165983735900227</v>
      </c>
      <c r="AQ912">
        <v>34.836095342643404</v>
      </c>
      <c r="AR912">
        <v>5.2478508326641879</v>
      </c>
      <c r="AS912">
        <v>22.81621382399755</v>
      </c>
      <c r="AT912">
        <v>3.5011133117551303</v>
      </c>
      <c r="AU912">
        <v>6.1162925983578527</v>
      </c>
      <c r="AV912"/>
      <c r="AW912"/>
      <c r="FY912" s="210">
        <v>907</v>
      </c>
      <c r="FZ912">
        <v>1.1322597818006515</v>
      </c>
      <c r="GA912">
        <v>3.3230568869046149</v>
      </c>
      <c r="GB912">
        <v>1.6618322775655605</v>
      </c>
      <c r="GC912">
        <v>0.72242524418396048</v>
      </c>
      <c r="GD912">
        <v>1.2178287318762508</v>
      </c>
      <c r="GE912">
        <v>4.9760474790101412</v>
      </c>
      <c r="GF912">
        <v>7.9761581615617807</v>
      </c>
      <c r="GG912">
        <v>6.3489676719494357</v>
      </c>
      <c r="GH912">
        <v>6.288130736110598</v>
      </c>
      <c r="GI912">
        <v>3.7738578687077284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25.932882340970576</v>
      </c>
      <c r="AO913">
        <v>4.5192529708468552</v>
      </c>
      <c r="AP913">
        <v>30.596491827479433</v>
      </c>
      <c r="AQ913">
        <v>27.457265138850563</v>
      </c>
      <c r="AR913">
        <v>4.2345944601254191</v>
      </c>
      <c r="AS913">
        <v>21.855633854992757</v>
      </c>
      <c r="AT913">
        <v>2.6606880649368265</v>
      </c>
      <c r="AU913">
        <v>7.3581995767685386</v>
      </c>
      <c r="AV913"/>
      <c r="AW913"/>
      <c r="FY913" s="210">
        <v>908</v>
      </c>
      <c r="FZ913">
        <v>0.74759227067945289</v>
      </c>
      <c r="GA913">
        <v>2.1434262673563609</v>
      </c>
      <c r="GB913">
        <v>1.5788141099608433</v>
      </c>
      <c r="GC913">
        <v>0.86027733914725069</v>
      </c>
      <c r="GD913">
        <v>1.3551622351875376</v>
      </c>
      <c r="GE913">
        <v>2.9283113382981245</v>
      </c>
      <c r="GF913">
        <v>7.6040187848850049</v>
      </c>
      <c r="GG913">
        <v>6.5503703756738929</v>
      </c>
      <c r="GH913">
        <v>3.5366957483395147</v>
      </c>
      <c r="GI913">
        <v>3.283579912765298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25.81593030920315</v>
      </c>
      <c r="AO914">
        <v>4.3809876371392553</v>
      </c>
      <c r="AP914">
        <v>35.586607667778615</v>
      </c>
      <c r="AQ914">
        <v>28.896558600376743</v>
      </c>
      <c r="AR914">
        <v>4.1729826481864558</v>
      </c>
      <c r="AS914">
        <v>21.202592304784936</v>
      </c>
      <c r="AT914">
        <v>2.5414028659445962</v>
      </c>
      <c r="AU914">
        <v>3.8387208107373048</v>
      </c>
      <c r="AV914"/>
      <c r="AW914"/>
      <c r="FY914" s="210">
        <v>909</v>
      </c>
      <c r="FZ914">
        <v>0.60944248956951197</v>
      </c>
      <c r="GA914">
        <v>2.6383875171737214</v>
      </c>
      <c r="GB914">
        <v>2.340279245365454</v>
      </c>
      <c r="GC914">
        <v>0.88698343083015352</v>
      </c>
      <c r="GD914">
        <v>1.1549472045636437</v>
      </c>
      <c r="GE914">
        <v>4.0519698210734489</v>
      </c>
      <c r="GF914">
        <v>7.2986792650922032</v>
      </c>
      <c r="GG914">
        <v>5.0444059860348336</v>
      </c>
      <c r="GH914">
        <v>3.844866888243796</v>
      </c>
      <c r="GI914">
        <v>3.3146130399812685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24.049085999306975</v>
      </c>
      <c r="AO915">
        <v>6.255668538070422</v>
      </c>
      <c r="AP915">
        <v>47.91104603120656</v>
      </c>
      <c r="AQ915">
        <v>40.157962822474843</v>
      </c>
      <c r="AR915">
        <v>5.8304511477201482</v>
      </c>
      <c r="AS915">
        <v>26.843086571286385</v>
      </c>
      <c r="AT915">
        <v>3.920444612575126</v>
      </c>
      <c r="AU915">
        <v>2.2486387901300811</v>
      </c>
      <c r="AV915"/>
      <c r="AW915"/>
      <c r="FY915" s="210">
        <v>910</v>
      </c>
      <c r="FZ915">
        <v>1.132034252422788</v>
      </c>
      <c r="GA915">
        <v>2.4071922427353782</v>
      </c>
      <c r="GB915">
        <v>1.1306235400449804</v>
      </c>
      <c r="GC915">
        <v>0.48151368434793784</v>
      </c>
      <c r="GD915">
        <v>2.1015699333247722</v>
      </c>
      <c r="GE915">
        <v>5.0260745604431474</v>
      </c>
      <c r="GF915">
        <v>5.8614089465441648</v>
      </c>
      <c r="GG915">
        <v>7.5465197664346775</v>
      </c>
      <c r="GH915">
        <v>7.0039524579869408</v>
      </c>
      <c r="GI915">
        <v>3.8820839778214982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20.698918269230766</v>
      </c>
      <c r="AO916">
        <v>4.9546629128410649</v>
      </c>
      <c r="AP916">
        <v>38.41714887386042</v>
      </c>
      <c r="AQ916">
        <v>31.923530049430379</v>
      </c>
      <c r="AR916">
        <v>4.5497734624734631</v>
      </c>
      <c r="AS916">
        <v>21.890020939930203</v>
      </c>
      <c r="AT916" t="e">
        <v>#DIV/0!</v>
      </c>
      <c r="AU916" t="e">
        <v>#DIV/0!</v>
      </c>
      <c r="AV916"/>
      <c r="AW916"/>
      <c r="FY916" s="210">
        <v>911</v>
      </c>
      <c r="FZ916">
        <v>1.1119233728960882</v>
      </c>
      <c r="GA916">
        <v>3.1987768127870955</v>
      </c>
      <c r="GB916">
        <v>2.5579629313385936</v>
      </c>
      <c r="GC916">
        <v>1.0634198827662678</v>
      </c>
      <c r="GD916">
        <v>1.4764367143543766</v>
      </c>
      <c r="GE916">
        <v>4.1566013501559862</v>
      </c>
      <c r="GF916">
        <v>5.2960506667800189</v>
      </c>
      <c r="GG916">
        <v>3.1464596356031604</v>
      </c>
      <c r="GH916">
        <v>2.6241538903909611</v>
      </c>
      <c r="GI916">
        <v>3.0858417257618833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22.847857786276901</v>
      </c>
      <c r="AO917">
        <v>3.8507365603081825</v>
      </c>
      <c r="AP917">
        <v>28.461841949964633</v>
      </c>
      <c r="AQ917">
        <v>24.113176961735999</v>
      </c>
      <c r="AR917">
        <v>3.7611386428948128</v>
      </c>
      <c r="AS917">
        <v>19.028070826270575</v>
      </c>
      <c r="AT917">
        <v>2.4137314291276839</v>
      </c>
      <c r="AU917">
        <v>2.7451213545042945</v>
      </c>
      <c r="AV917"/>
      <c r="AW917"/>
      <c r="FY917" s="210">
        <v>912</v>
      </c>
      <c r="FZ917">
        <v>1.4477130544823478</v>
      </c>
      <c r="GA917">
        <v>2.0108176016848858</v>
      </c>
      <c r="GB917">
        <v>0.8903594242674493</v>
      </c>
      <c r="GC917">
        <v>0.25115644668630699</v>
      </c>
      <c r="GD917">
        <v>1.3495666072734713</v>
      </c>
      <c r="GE917">
        <v>2.635120554109446</v>
      </c>
      <c r="GF917">
        <v>3.0505649034584357</v>
      </c>
      <c r="GG917">
        <v>2.6502639608448852</v>
      </c>
      <c r="GH917">
        <v>0.79908278857858139</v>
      </c>
      <c r="GI917">
        <v>1.9319290200360109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27.478353406056005</v>
      </c>
      <c r="AO918">
        <v>5.8416823977273937</v>
      </c>
      <c r="AP918">
        <v>43.701536503562409</v>
      </c>
      <c r="AQ918">
        <v>36.756253825501304</v>
      </c>
      <c r="AR918">
        <v>5.5175092312001395</v>
      </c>
      <c r="AS918">
        <v>24.639795804249189</v>
      </c>
      <c r="AT918">
        <v>3.4122372033319102</v>
      </c>
      <c r="AU918">
        <v>-1.644974282940596</v>
      </c>
      <c r="AV918"/>
      <c r="AW918"/>
      <c r="FY918" s="210">
        <v>913</v>
      </c>
      <c r="FZ918">
        <v>0.49416310691183218</v>
      </c>
      <c r="GA918">
        <v>2.6052354625011827</v>
      </c>
      <c r="GB918">
        <v>2.2600433912455524</v>
      </c>
      <c r="GC918">
        <v>1.198802529192363</v>
      </c>
      <c r="GD918">
        <v>2.4809151370080311</v>
      </c>
      <c r="GE918">
        <v>5.9990552771581003</v>
      </c>
      <c r="GF918">
        <v>5.9486664796315525</v>
      </c>
      <c r="GG918">
        <v>7.4491873493151965</v>
      </c>
      <c r="GH918">
        <v>7.6394108482025107</v>
      </c>
      <c r="GI918">
        <v>4.3945058046129235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28.352897767126489</v>
      </c>
      <c r="AO919">
        <v>4.9898616956451978</v>
      </c>
      <c r="AP919">
        <v>39.27584657727305</v>
      </c>
      <c r="AQ919">
        <v>32.889799764853962</v>
      </c>
      <c r="AR919">
        <v>4.6660196396471276</v>
      </c>
      <c r="AS919">
        <v>22.646366109973243</v>
      </c>
      <c r="AT919">
        <v>3.156100277620228</v>
      </c>
      <c r="AU919">
        <v>-5.0234778597738057</v>
      </c>
      <c r="AV919"/>
      <c r="AW919"/>
      <c r="FY919" s="210">
        <v>914</v>
      </c>
      <c r="FZ919">
        <v>1.7356929551252536</v>
      </c>
      <c r="GA919">
        <v>2.0236053325390069</v>
      </c>
      <c r="GB919">
        <v>1.3058775514020637</v>
      </c>
      <c r="GC919">
        <v>0.87219161461679451</v>
      </c>
      <c r="GD919">
        <v>2.446271188933113</v>
      </c>
      <c r="GE919">
        <v>5.9726596959258851</v>
      </c>
      <c r="GF919">
        <v>5.5298976897380854</v>
      </c>
      <c r="GG919">
        <v>3.6426780151240181</v>
      </c>
      <c r="GH919">
        <v>2.2745372539581274</v>
      </c>
      <c r="GI919">
        <v>3.4021150543461038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32.004129295949149</v>
      </c>
      <c r="AO920">
        <v>5.3605839837093772</v>
      </c>
      <c r="AP920">
        <v>35.049587299098953</v>
      </c>
      <c r="AQ920">
        <v>31.823163714625011</v>
      </c>
      <c r="AR920">
        <v>5.0254671624949889</v>
      </c>
      <c r="AS920">
        <v>25.540512081105835</v>
      </c>
      <c r="AT920">
        <v>3.4607882682360809</v>
      </c>
      <c r="AU920">
        <v>12.011571792837172</v>
      </c>
      <c r="AV920"/>
      <c r="AW920"/>
      <c r="FY920" s="210">
        <v>915</v>
      </c>
      <c r="FZ920">
        <v>0.78248130162153351</v>
      </c>
      <c r="GA920">
        <v>1.2305056631003248</v>
      </c>
      <c r="GB920">
        <v>1.1430130115914414</v>
      </c>
      <c r="GC920">
        <v>0.77895199877938548</v>
      </c>
      <c r="GD920">
        <v>0.88214374720784527</v>
      </c>
      <c r="GE920">
        <v>2.5250208856988223</v>
      </c>
      <c r="GF920">
        <v>6.4935171623717931</v>
      </c>
      <c r="GG920">
        <v>6.873407998054847</v>
      </c>
      <c r="GH920">
        <v>5.0597963807059365</v>
      </c>
      <c r="GI920">
        <v>2.9255669162604589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31.099424999700734</v>
      </c>
      <c r="AO921">
        <v>5.2360228214958031</v>
      </c>
      <c r="AP921">
        <v>37.886963092589802</v>
      </c>
      <c r="AQ921">
        <v>32.892407717457132</v>
      </c>
      <c r="AR921">
        <v>4.8880461577101295</v>
      </c>
      <c r="AS921">
        <v>23.484833500478864</v>
      </c>
      <c r="AT921">
        <v>3.0418225827887575</v>
      </c>
      <c r="AU921">
        <v>-15.125712882366843</v>
      </c>
      <c r="AV921"/>
      <c r="AW921"/>
      <c r="FY921" s="210">
        <v>916</v>
      </c>
      <c r="FZ921">
        <v>0.83006555318702357</v>
      </c>
      <c r="GA921">
        <v>1.4731685198089539</v>
      </c>
      <c r="GB921">
        <v>1.3341292004346963</v>
      </c>
      <c r="GC921">
        <v>0.9822814629221599</v>
      </c>
      <c r="GD921">
        <v>1.8080542946161651</v>
      </c>
      <c r="GE921">
        <v>4.14854119072566</v>
      </c>
      <c r="GF921">
        <v>3.419144603927327</v>
      </c>
      <c r="GG921">
        <v>3.8278408336975929</v>
      </c>
      <c r="GH921">
        <v>6.2878118685825148</v>
      </c>
      <c r="GI921">
        <v>3.1460106640561287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14.149291145468007</v>
      </c>
      <c r="AO922">
        <v>4.0874638095317053</v>
      </c>
      <c r="AP922">
        <v>37.904930568005028</v>
      </c>
      <c r="AQ922">
        <v>29.41406178174196</v>
      </c>
      <c r="AR922">
        <v>3.8959596837489419</v>
      </c>
      <c r="AS922">
        <v>18.305565287905484</v>
      </c>
      <c r="AT922">
        <v>2.8003449772931721</v>
      </c>
      <c r="AU922">
        <v>-1.9537591690834324</v>
      </c>
      <c r="AV922"/>
      <c r="AW922"/>
      <c r="FY922" s="210">
        <v>917</v>
      </c>
      <c r="FZ922">
        <v>0.97411188585294228</v>
      </c>
      <c r="GA922">
        <v>1.9116900428919852</v>
      </c>
      <c r="GB922">
        <v>2.3456672859377541</v>
      </c>
      <c r="GC922">
        <v>1.0853268280124695</v>
      </c>
      <c r="GD922">
        <v>1.7268135349601437</v>
      </c>
      <c r="GE922">
        <v>3.7467080909758606</v>
      </c>
      <c r="GF922">
        <v>4.2725707065312077</v>
      </c>
      <c r="GG922">
        <v>5.3494952240393667</v>
      </c>
      <c r="GH922">
        <v>4.7730950508207428</v>
      </c>
      <c r="GI922">
        <v>3.302469700876872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27.757023733752458</v>
      </c>
      <c r="AO923">
        <v>5.5581704200720363</v>
      </c>
      <c r="AP923">
        <v>44.893068133041986</v>
      </c>
      <c r="AQ923">
        <v>37.420564839670725</v>
      </c>
      <c r="AR923">
        <v>5.0274127970158844</v>
      </c>
      <c r="AS923">
        <v>27.263289763195178</v>
      </c>
      <c r="AT923">
        <v>3.3917042989533743</v>
      </c>
      <c r="AU923">
        <v>1.4670887948463314</v>
      </c>
      <c r="AV923"/>
      <c r="AW923"/>
      <c r="FY923" s="210">
        <v>918</v>
      </c>
      <c r="FZ923">
        <v>1.1530472494609418</v>
      </c>
      <c r="GA923">
        <v>2.8080988015436672</v>
      </c>
      <c r="GB923">
        <v>2.1971881661145414</v>
      </c>
      <c r="GC923">
        <v>0.72387327012729741</v>
      </c>
      <c r="GD923">
        <v>0.54311627705208798</v>
      </c>
      <c r="GE923">
        <v>0.98477692348303791</v>
      </c>
      <c r="GF923">
        <v>4.1912346163378427</v>
      </c>
      <c r="GG923">
        <v>6.2154608015344595</v>
      </c>
      <c r="GH923">
        <v>3.5998405272616325</v>
      </c>
      <c r="GI923">
        <v>2.3998787947624498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24.341772232397233</v>
      </c>
      <c r="AO924">
        <v>4.7073572996837774</v>
      </c>
      <c r="AP924">
        <v>37.488462605157025</v>
      </c>
      <c r="AQ924">
        <v>30.588248382293283</v>
      </c>
      <c r="AR924">
        <v>4.5424262712170256</v>
      </c>
      <c r="AS924">
        <v>21.039091875666113</v>
      </c>
      <c r="AT924">
        <v>2.9926996810891766</v>
      </c>
      <c r="AU924">
        <v>-0.86133301180130972</v>
      </c>
      <c r="AV924"/>
      <c r="AW924"/>
      <c r="FY924" s="210">
        <v>919</v>
      </c>
      <c r="FZ924">
        <v>1.0092264461728864</v>
      </c>
      <c r="GA924">
        <v>2.740022492551994</v>
      </c>
      <c r="GB924">
        <v>1.8770407048938313</v>
      </c>
      <c r="GC924">
        <v>0.87917022331692418</v>
      </c>
      <c r="GD924">
        <v>1.2828343016106429</v>
      </c>
      <c r="GE924">
        <v>2.7870618978098309</v>
      </c>
      <c r="GF924">
        <v>7.4014013752316323</v>
      </c>
      <c r="GG924">
        <v>7.9088870029883225</v>
      </c>
      <c r="GH924">
        <v>4.3897694456294136</v>
      </c>
      <c r="GI924">
        <v>3.4664461893983152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24.320692371556731</v>
      </c>
      <c r="AO925">
        <v>4.7790973788173989</v>
      </c>
      <c r="AP925">
        <v>37.953191350999333</v>
      </c>
      <c r="AQ925">
        <v>31.184574887928033</v>
      </c>
      <c r="AR925">
        <v>4.4858184098824507</v>
      </c>
      <c r="AS925">
        <v>24.448054169083576</v>
      </c>
      <c r="AT925">
        <v>3.034233463593603</v>
      </c>
      <c r="AU925">
        <v>1.008137695133011</v>
      </c>
      <c r="AV925"/>
      <c r="AW925"/>
      <c r="FY925" s="210">
        <v>920</v>
      </c>
      <c r="FZ925">
        <v>1.1657424700843513</v>
      </c>
      <c r="GA925">
        <v>1.9157686293204215</v>
      </c>
      <c r="GB925">
        <v>1.772685912094472</v>
      </c>
      <c r="GC925">
        <v>0.87801228039035284</v>
      </c>
      <c r="GD925">
        <v>2.073730617713184</v>
      </c>
      <c r="GE925">
        <v>5.6003273774007214</v>
      </c>
      <c r="GF925">
        <v>7.7594572061573164</v>
      </c>
      <c r="GG925">
        <v>8.6731124556871926</v>
      </c>
      <c r="GH925">
        <v>7.0152894723440671</v>
      </c>
      <c r="GI925">
        <v>4.4000969181032916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30.071262276391735</v>
      </c>
      <c r="AO926">
        <v>5.6783437677722874</v>
      </c>
      <c r="AP926">
        <v>42.322905899488248</v>
      </c>
      <c r="AQ926">
        <v>36.572973362106282</v>
      </c>
      <c r="AR926">
        <v>5.3587427887831476</v>
      </c>
      <c r="AS926">
        <v>25.523223561529537</v>
      </c>
      <c r="AT926">
        <v>3.6169746358597625</v>
      </c>
      <c r="AU926">
        <v>5.0289864564408955</v>
      </c>
      <c r="AV926"/>
      <c r="AW926"/>
      <c r="FY926" s="210">
        <v>921</v>
      </c>
      <c r="FZ926">
        <v>0.91231330631673047</v>
      </c>
      <c r="GA926">
        <v>2.1080889200477122</v>
      </c>
      <c r="GB926">
        <v>1.5232379429539211</v>
      </c>
      <c r="GC926">
        <v>0.71781419932647694</v>
      </c>
      <c r="GD926">
        <v>1.6855802558198052</v>
      </c>
      <c r="GE926">
        <v>3.2072041410124656</v>
      </c>
      <c r="GF926">
        <v>4.8292174986756011</v>
      </c>
      <c r="GG926">
        <v>9.2937766421895063</v>
      </c>
      <c r="GH926">
        <v>9.2535601419522688</v>
      </c>
      <c r="GI926">
        <v>3.8834927009217552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15.744324252136753</v>
      </c>
      <c r="AO927">
        <v>4.4631587494401597</v>
      </c>
      <c r="AP927">
        <v>32.819548299530638</v>
      </c>
      <c r="AQ927">
        <v>27.717626982834435</v>
      </c>
      <c r="AR927">
        <v>4.2043730003767426</v>
      </c>
      <c r="AS927">
        <v>19.600401034744696</v>
      </c>
      <c r="AT927">
        <v>3.2230259493420932</v>
      </c>
      <c r="AU927">
        <v>6.4559652872285511</v>
      </c>
      <c r="AV927"/>
      <c r="AW927"/>
      <c r="FY927" s="210">
        <v>922</v>
      </c>
      <c r="FZ927">
        <v>1.3031028983717703</v>
      </c>
      <c r="GA927">
        <v>2.8013617522163532</v>
      </c>
      <c r="GB927">
        <v>1.6916577073226171</v>
      </c>
      <c r="GC927">
        <v>0.97445102206453149</v>
      </c>
      <c r="GD927">
        <v>2.117688998500276</v>
      </c>
      <c r="GE927">
        <v>4.6035361087919426</v>
      </c>
      <c r="GF927">
        <v>6.1356910450118134</v>
      </c>
      <c r="GG927">
        <v>8.1133723886171385</v>
      </c>
      <c r="GH927">
        <v>6.7037011407458964</v>
      </c>
      <c r="GI927">
        <v>4.0854759157188854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17.072308971665588</v>
      </c>
      <c r="AO928">
        <v>2.7563951642198075</v>
      </c>
      <c r="AP928">
        <v>19.119819291109039</v>
      </c>
      <c r="AQ928">
        <v>17.016574361421821</v>
      </c>
      <c r="AR928">
        <v>2.6945729278023398</v>
      </c>
      <c r="AS928">
        <v>15.095453328034308</v>
      </c>
      <c r="AT928">
        <v>1.8441877357575711</v>
      </c>
      <c r="AU928">
        <v>11.321672686614288</v>
      </c>
      <c r="AV928"/>
      <c r="AW928"/>
      <c r="FY928" s="210">
        <v>923</v>
      </c>
      <c r="FZ928">
        <v>1.3442267749366237</v>
      </c>
      <c r="GA928">
        <v>2.5200072321897689</v>
      </c>
      <c r="GB928">
        <v>2.1178464718300463</v>
      </c>
      <c r="GC928">
        <v>1.2891144943239108</v>
      </c>
      <c r="GD928">
        <v>0.90042107171029695</v>
      </c>
      <c r="GE928">
        <v>1.7727761996637057</v>
      </c>
      <c r="GF928">
        <v>7.3059501079589584</v>
      </c>
      <c r="GG928">
        <v>7.18263782819598</v>
      </c>
      <c r="GH928">
        <v>4.8660720126660255</v>
      </c>
      <c r="GI928">
        <v>3.3989094510495579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33.716550020171731</v>
      </c>
      <c r="AO929">
        <v>6.5037983120169329</v>
      </c>
      <c r="AP929">
        <v>46.555985942530654</v>
      </c>
      <c r="AQ929">
        <v>40.469985385779246</v>
      </c>
      <c r="AR929">
        <v>6.0127550018865099</v>
      </c>
      <c r="AS929">
        <v>30.815420456187951</v>
      </c>
      <c r="AT929">
        <v>4.2291765367669276</v>
      </c>
      <c r="AU929">
        <v>4.3160383492254706</v>
      </c>
      <c r="AV929"/>
      <c r="AW929"/>
      <c r="FY929" s="210">
        <v>924</v>
      </c>
      <c r="FZ929">
        <v>1.4210290352660797</v>
      </c>
      <c r="GA929">
        <v>3.5727160227231596</v>
      </c>
      <c r="GB929">
        <v>2.3830754007103705</v>
      </c>
      <c r="GC929">
        <v>1.2153279462623898</v>
      </c>
      <c r="GD929">
        <v>1.2302562711335394</v>
      </c>
      <c r="GE929">
        <v>2.2270979516896428</v>
      </c>
      <c r="GF929">
        <v>6.4008707316443054</v>
      </c>
      <c r="GG929">
        <v>7.5769164391615984</v>
      </c>
      <c r="GH929">
        <v>5.7788901698628399</v>
      </c>
      <c r="GI929">
        <v>3.6308942385866239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26.787536988677083</v>
      </c>
      <c r="AO930">
        <v>4.960154342704695</v>
      </c>
      <c r="AP930">
        <v>31.353264610118327</v>
      </c>
      <c r="AQ930">
        <v>29.205526351708453</v>
      </c>
      <c r="AR930">
        <v>4.6218597004750608</v>
      </c>
      <c r="AS930">
        <v>22.091074767680908</v>
      </c>
      <c r="AT930">
        <v>3.1910032202979313</v>
      </c>
      <c r="AU930">
        <v>7.3168746864200909</v>
      </c>
      <c r="AV930"/>
      <c r="AW930"/>
      <c r="FY930" s="210">
        <v>925</v>
      </c>
      <c r="FZ930">
        <v>1.0914741993025934</v>
      </c>
      <c r="GA930">
        <v>1.7706320440278698</v>
      </c>
      <c r="GB930">
        <v>1.6724338123798108</v>
      </c>
      <c r="GC930">
        <v>0.97069180936454669</v>
      </c>
      <c r="GD930">
        <v>1.5710639805389031</v>
      </c>
      <c r="GE930">
        <v>4.6284050205159124</v>
      </c>
      <c r="GF930">
        <v>8.1092040235978171</v>
      </c>
      <c r="GG930">
        <v>7.3887681068252276</v>
      </c>
      <c r="GH930">
        <v>5.2125477566532314</v>
      </c>
      <c r="GI930">
        <v>3.829027622527009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21.426293078719937</v>
      </c>
      <c r="AO931">
        <v>4.2737341453880919</v>
      </c>
      <c r="AP931">
        <v>35.169345720594315</v>
      </c>
      <c r="AQ931">
        <v>28.694405065392388</v>
      </c>
      <c r="AR931">
        <v>4.0037854872850387</v>
      </c>
      <c r="AS931">
        <v>17.850083888857981</v>
      </c>
      <c r="AT931">
        <v>2.5544763307394338</v>
      </c>
      <c r="AU931">
        <v>-3.8115562250298147</v>
      </c>
      <c r="AV931"/>
      <c r="AW931"/>
      <c r="FY931" s="210">
        <v>926</v>
      </c>
      <c r="FZ931">
        <v>1.6118702666749667</v>
      </c>
      <c r="GA931">
        <v>3.0694624608748065</v>
      </c>
      <c r="GB931">
        <v>1.7048603275979421</v>
      </c>
      <c r="GC931">
        <v>1.0594677726475719</v>
      </c>
      <c r="GD931">
        <v>1.9934499011145079</v>
      </c>
      <c r="GE931">
        <v>4.1991750682190556</v>
      </c>
      <c r="GF931">
        <v>5.6254010261728045</v>
      </c>
      <c r="GG931">
        <v>7.0362833379920744</v>
      </c>
      <c r="GH931">
        <v>6.2205772259587055</v>
      </c>
      <c r="GI931">
        <v>3.8827350674373986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22.103929304150281</v>
      </c>
      <c r="AO932">
        <v>4.4177383614528436</v>
      </c>
      <c r="AP932">
        <v>30.969026950810914</v>
      </c>
      <c r="AQ932">
        <v>27.257048191958219</v>
      </c>
      <c r="AR932">
        <v>4.3171425683474975</v>
      </c>
      <c r="AS932">
        <v>22.805757059593962</v>
      </c>
      <c r="AT932">
        <v>2.8073565016210189</v>
      </c>
      <c r="AU932">
        <v>1.8271819464400525</v>
      </c>
      <c r="AV932"/>
      <c r="AW932"/>
      <c r="FY932" s="210">
        <v>927</v>
      </c>
      <c r="FZ932">
        <v>0.8647290547512404</v>
      </c>
      <c r="GA932">
        <v>2.53434005306721</v>
      </c>
      <c r="GB932">
        <v>1.195097589072295</v>
      </c>
      <c r="GC932">
        <v>0.71520823045656889</v>
      </c>
      <c r="GD932">
        <v>2.1705029434030854</v>
      </c>
      <c r="GE932">
        <v>5.8777330073145837</v>
      </c>
      <c r="GF932">
        <v>8.2206732655580304</v>
      </c>
      <c r="GG932">
        <v>6.0870867616792212</v>
      </c>
      <c r="GH932">
        <v>3.0378174501281938</v>
      </c>
      <c r="GI932">
        <v>3.7153834140178055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25.338828953112433</v>
      </c>
      <c r="AO933">
        <v>4.7692318102961035</v>
      </c>
      <c r="AP933">
        <v>34.768881864939843</v>
      </c>
      <c r="AQ933">
        <v>29.487948350899345</v>
      </c>
      <c r="AR933">
        <v>4.6001803272831037</v>
      </c>
      <c r="AS933">
        <v>21.677127498973309</v>
      </c>
      <c r="AT933">
        <v>2.9320608277451217</v>
      </c>
      <c r="AU933">
        <v>2.0919589695924161</v>
      </c>
      <c r="AV933"/>
      <c r="AW933"/>
      <c r="FY933" s="210">
        <v>928</v>
      </c>
      <c r="FZ933">
        <v>1.3305762704105606</v>
      </c>
      <c r="GA933">
        <v>3.3267127140904886</v>
      </c>
      <c r="GB933">
        <v>2.2025221188693638</v>
      </c>
      <c r="GC933">
        <v>0.68203644705068289</v>
      </c>
      <c r="GD933">
        <v>2.1867972944903356</v>
      </c>
      <c r="GE933">
        <v>5.2979827335610876</v>
      </c>
      <c r="GF933">
        <v>7.7840809189617399</v>
      </c>
      <c r="GG933">
        <v>6.8504528646470799</v>
      </c>
      <c r="GH933">
        <v>2.9260688951259102</v>
      </c>
      <c r="GI933">
        <v>3.964061846265595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16.735532407407405</v>
      </c>
      <c r="AO934">
        <v>3.5756029067468602</v>
      </c>
      <c r="AP934">
        <v>31.992925137818251</v>
      </c>
      <c r="AQ934">
        <v>24.81651542767796</v>
      </c>
      <c r="AR934">
        <v>3.3768037405867339</v>
      </c>
      <c r="AS934">
        <v>16.942076027867664</v>
      </c>
      <c r="AT934" t="e">
        <v>#DIV/0!</v>
      </c>
      <c r="AU934" t="e">
        <v>#DIV/0!</v>
      </c>
      <c r="AV934"/>
      <c r="AW934"/>
      <c r="FY934" s="210">
        <v>929</v>
      </c>
      <c r="FZ934">
        <v>1.4804063899435254</v>
      </c>
      <c r="GA934">
        <v>2.1514919377228097</v>
      </c>
      <c r="GB934">
        <v>1.105747580521119</v>
      </c>
      <c r="GC934">
        <v>0.58353625230293082</v>
      </c>
      <c r="GD934">
        <v>0.87251501705459589</v>
      </c>
      <c r="GE934">
        <v>2.3485903820124654</v>
      </c>
      <c r="GF934">
        <v>3.8078378603352778</v>
      </c>
      <c r="GG934">
        <v>3.4225296875730224</v>
      </c>
      <c r="GH934">
        <v>3.8286059445984324</v>
      </c>
      <c r="GI934">
        <v>2.3313770554887014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20.142192587505086</v>
      </c>
      <c r="AO935">
        <v>5.1199660617836242</v>
      </c>
      <c r="AP935">
        <v>41.768399209542352</v>
      </c>
      <c r="AQ935">
        <v>33.741860079603796</v>
      </c>
      <c r="AR935">
        <v>4.8181936372433452</v>
      </c>
      <c r="AS935">
        <v>20.919153927474866</v>
      </c>
      <c r="AT935">
        <v>3.2016384992145106</v>
      </c>
      <c r="AU935">
        <v>-0.88484415294405538</v>
      </c>
      <c r="AV935"/>
      <c r="AW935"/>
      <c r="FY935" s="210">
        <v>930</v>
      </c>
      <c r="FZ935">
        <v>0.54140906441052694</v>
      </c>
      <c r="GA935">
        <v>2.7373683814055987</v>
      </c>
      <c r="GB935">
        <v>2.3726444778303697</v>
      </c>
      <c r="GC935">
        <v>0.71902382024255151</v>
      </c>
      <c r="GD935">
        <v>1.2055470675172626</v>
      </c>
      <c r="GE935">
        <v>5.0117151508491968</v>
      </c>
      <c r="GF935">
        <v>10.248371524087002</v>
      </c>
      <c r="GG935">
        <v>10.384084099421127</v>
      </c>
      <c r="GH935">
        <v>7.4547421781765557</v>
      </c>
      <c r="GI935">
        <v>4.4918854403963433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30.35279415457763</v>
      </c>
      <c r="AO936">
        <v>6.4841350167057241</v>
      </c>
      <c r="AP936">
        <v>48.555103992933482</v>
      </c>
      <c r="AQ936">
        <v>41.254223339295372</v>
      </c>
      <c r="AR936">
        <v>6.0431866556791691</v>
      </c>
      <c r="AS936">
        <v>28.910019807171572</v>
      </c>
      <c r="AT936">
        <v>3.8649874984721078</v>
      </c>
      <c r="AU936">
        <v>3.7348328168072404</v>
      </c>
      <c r="AV936"/>
      <c r="AW936"/>
      <c r="FY936" s="210">
        <v>931</v>
      </c>
      <c r="FZ936">
        <v>0.87742427537465006</v>
      </c>
      <c r="GA936">
        <v>2.0010594863865183</v>
      </c>
      <c r="GB936">
        <v>1.1227627869826975</v>
      </c>
      <c r="GC936">
        <v>0.3787774668456767</v>
      </c>
      <c r="GD936">
        <v>1.04620919091081</v>
      </c>
      <c r="GE936">
        <v>2.0938671250204011</v>
      </c>
      <c r="GF936">
        <v>3.964405497811645</v>
      </c>
      <c r="GG936">
        <v>6.1826031930203671</v>
      </c>
      <c r="GH936">
        <v>5.8421329817757899</v>
      </c>
      <c r="GI936">
        <v>2.6979475255626979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25.783238218000424</v>
      </c>
      <c r="AO937">
        <v>5.6488578514953813</v>
      </c>
      <c r="AP937">
        <v>45.314254298721465</v>
      </c>
      <c r="AQ937">
        <v>37.414285749216241</v>
      </c>
      <c r="AR937">
        <v>5.4583515855199183</v>
      </c>
      <c r="AS937">
        <v>24.934878770654077</v>
      </c>
      <c r="AT937">
        <v>3.1509155470889989</v>
      </c>
      <c r="AU937">
        <v>-4.7919410947473811</v>
      </c>
      <c r="AV937"/>
      <c r="AW937"/>
      <c r="FY937" s="210">
        <v>932</v>
      </c>
      <c r="FZ937">
        <v>1.3918110265021137</v>
      </c>
      <c r="GA937">
        <v>2.0506016051472447</v>
      </c>
      <c r="GB937">
        <v>1.6307691007926717</v>
      </c>
      <c r="GC937">
        <v>0.67505783835055322</v>
      </c>
      <c r="GD937">
        <v>1.4979514465960264</v>
      </c>
      <c r="GE937">
        <v>5.5518227307709722</v>
      </c>
      <c r="GF937">
        <v>8.0418824108387792</v>
      </c>
      <c r="GG937">
        <v>6.2735104264166548</v>
      </c>
      <c r="GH937">
        <v>5.0404501485319662</v>
      </c>
      <c r="GI937">
        <v>3.7747542278595887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26.086024637055221</v>
      </c>
      <c r="AO938">
        <v>6.0594074037322132</v>
      </c>
      <c r="AP938">
        <v>45.106029301576719</v>
      </c>
      <c r="AQ938">
        <v>38.53003897736123</v>
      </c>
      <c r="AR938">
        <v>5.6536761033047975</v>
      </c>
      <c r="AS938">
        <v>25.259545243374088</v>
      </c>
      <c r="AT938">
        <v>3.7365249974537278</v>
      </c>
      <c r="AU938">
        <v>-5.4105170915148388</v>
      </c>
      <c r="AV938"/>
      <c r="AW938"/>
      <c r="FY938" s="210">
        <v>933</v>
      </c>
      <c r="FZ938">
        <v>1.1589438010169195</v>
      </c>
      <c r="GA938">
        <v>1.6936006914630035</v>
      </c>
      <c r="GB938">
        <v>2.3152311024634491</v>
      </c>
      <c r="GC938">
        <v>1.2432453211388854</v>
      </c>
      <c r="GD938">
        <v>1.058797397120248</v>
      </c>
      <c r="GE938">
        <v>3.1007476570981627</v>
      </c>
      <c r="GF938">
        <v>9.870289787634535</v>
      </c>
      <c r="GG938">
        <v>7.6817624497538288</v>
      </c>
      <c r="GH938">
        <v>1.6112430600770742</v>
      </c>
      <c r="GI938">
        <v>3.4989417274279897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22.706058163172521</v>
      </c>
      <c r="AO939">
        <v>4.8448217311475057</v>
      </c>
      <c r="AP939">
        <v>41.367735720841779</v>
      </c>
      <c r="AQ939">
        <v>32.697961644524867</v>
      </c>
      <c r="AR939">
        <v>4.7132702749505491</v>
      </c>
      <c r="AS939">
        <v>23.138375996245802</v>
      </c>
      <c r="AT939">
        <v>3.2023794961870098</v>
      </c>
      <c r="AU939">
        <v>1.4874156742273283</v>
      </c>
      <c r="AV939"/>
      <c r="AW939"/>
      <c r="FY939" s="210">
        <v>934</v>
      </c>
      <c r="FZ939">
        <v>1.2148458289971538</v>
      </c>
      <c r="GA939">
        <v>1.9533506591679968</v>
      </c>
      <c r="GB939">
        <v>2.162032550230204</v>
      </c>
      <c r="GC939">
        <v>1.230071121305222</v>
      </c>
      <c r="GD939">
        <v>1.4957594827036162</v>
      </c>
      <c r="GE939">
        <v>2.9352607058917473</v>
      </c>
      <c r="GF939">
        <v>4.36574586004149</v>
      </c>
      <c r="GG939">
        <v>5.985340790664468</v>
      </c>
      <c r="GH939">
        <v>5.8923578770700384</v>
      </c>
      <c r="GI939">
        <v>3.363227583649917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27.80981914667576</v>
      </c>
      <c r="AO940">
        <v>5.2340729636973915</v>
      </c>
      <c r="AP940">
        <v>43.873492520886472</v>
      </c>
      <c r="AQ940">
        <v>35.437074207040553</v>
      </c>
      <c r="AR940">
        <v>5.0240613422139067</v>
      </c>
      <c r="AS940">
        <v>27.126360950654345</v>
      </c>
      <c r="AT940">
        <v>3.2095970612549762</v>
      </c>
      <c r="AU940">
        <v>0.11418912315239282</v>
      </c>
      <c r="AV940"/>
      <c r="AW940"/>
      <c r="FY940" s="210">
        <v>935</v>
      </c>
      <c r="FZ940">
        <v>1.3029901336828384</v>
      </c>
      <c r="GA940">
        <v>3.3237457252894189</v>
      </c>
      <c r="GB940">
        <v>2.0637008889626287</v>
      </c>
      <c r="GC940">
        <v>0.76816093385524908</v>
      </c>
      <c r="GD940">
        <v>1.5721925736525446</v>
      </c>
      <c r="GE940">
        <v>4.1619942282903875</v>
      </c>
      <c r="GF940">
        <v>7.6548165192880955</v>
      </c>
      <c r="GG940">
        <v>8.0382505838899512</v>
      </c>
      <c r="GH940">
        <v>5.1658508254711322</v>
      </c>
      <c r="GI940">
        <v>3.8963060922520865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27.824063957961794</v>
      </c>
      <c r="AO941">
        <v>5.6149818840560517</v>
      </c>
      <c r="AP941">
        <v>43.086571309948567</v>
      </c>
      <c r="AQ941">
        <v>36.244248375732923</v>
      </c>
      <c r="AR941">
        <v>5.2143252847628645</v>
      </c>
      <c r="AS941">
        <v>27.629615450061955</v>
      </c>
      <c r="AT941">
        <v>3.6777363417760429</v>
      </c>
      <c r="AU941">
        <v>6.1862409130752409</v>
      </c>
      <c r="AV941"/>
      <c r="AW941"/>
      <c r="FY941" s="210">
        <v>936</v>
      </c>
      <c r="FZ941">
        <v>1.2151841230639491</v>
      </c>
      <c r="GA941">
        <v>2.8104678421030518</v>
      </c>
      <c r="GB941">
        <v>1.4796391829838014</v>
      </c>
      <c r="GC941">
        <v>0.80766492547038138</v>
      </c>
      <c r="GD941">
        <v>1.9011025484962736</v>
      </c>
      <c r="GE941">
        <v>4.6600178773514216</v>
      </c>
      <c r="GF941">
        <v>6.5305812415648408</v>
      </c>
      <c r="GG941">
        <v>6.0698785443003196</v>
      </c>
      <c r="GH941">
        <v>3.8019572224007185</v>
      </c>
      <c r="GI941">
        <v>3.4817490519775367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27.516398576160775</v>
      </c>
      <c r="AO942">
        <v>5.6940742958748878</v>
      </c>
      <c r="AP942">
        <v>42.789632381298802</v>
      </c>
      <c r="AQ942">
        <v>36.403282454689837</v>
      </c>
      <c r="AR942">
        <v>5.3632997459425678</v>
      </c>
      <c r="AS942">
        <v>25.52578802523945</v>
      </c>
      <c r="AT942">
        <v>3.4432412219487798</v>
      </c>
      <c r="AU942">
        <v>-1.8004111299649384</v>
      </c>
      <c r="AV942"/>
      <c r="AW942"/>
      <c r="FY942" s="210">
        <v>937</v>
      </c>
      <c r="FZ942">
        <v>0.74135742505668001</v>
      </c>
      <c r="GA942">
        <v>2.2999990135760293</v>
      </c>
      <c r="GB942">
        <v>1.75198780580779</v>
      </c>
      <c r="GC942">
        <v>0.74075813823341807</v>
      </c>
      <c r="GD942">
        <v>1.1396774979596098</v>
      </c>
      <c r="GE942">
        <v>3.4089707974979153</v>
      </c>
      <c r="GF942">
        <v>5.2197712682285458</v>
      </c>
      <c r="GG942">
        <v>8.8075888597627259</v>
      </c>
      <c r="GH942">
        <v>10.604652561351029</v>
      </c>
      <c r="GI942">
        <v>3.8639137780523551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27.546093536296134</v>
      </c>
      <c r="AO943">
        <v>5.5743629468888729</v>
      </c>
      <c r="AP943">
        <v>39.268106008596199</v>
      </c>
      <c r="AQ943">
        <v>34.418571769448235</v>
      </c>
      <c r="AR943">
        <v>5.0224509340459873</v>
      </c>
      <c r="AS943">
        <v>24.753654427276206</v>
      </c>
      <c r="AT943">
        <v>3.5131754259837531</v>
      </c>
      <c r="AU943">
        <v>6.7207689403922215</v>
      </c>
      <c r="AV943"/>
      <c r="AW943"/>
      <c r="FY943" s="210">
        <v>938</v>
      </c>
      <c r="FZ943">
        <v>0.65877137786017781</v>
      </c>
      <c r="GA943">
        <v>1.7304247478727777</v>
      </c>
      <c r="GB943">
        <v>1.7818182349572158</v>
      </c>
      <c r="GC943">
        <v>1.0825860010873662</v>
      </c>
      <c r="GD943">
        <v>1.4220874551037133</v>
      </c>
      <c r="GE943">
        <v>3.4576808666097465</v>
      </c>
      <c r="GF943">
        <v>6.932480645805283</v>
      </c>
      <c r="GG943">
        <v>6.1550415590444896</v>
      </c>
      <c r="GH943">
        <v>4.0887565852767453</v>
      </c>
      <c r="GI943">
        <v>3.3183619182289887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22.766152828652825</v>
      </c>
      <c r="AO944">
        <v>5.8535891969244505</v>
      </c>
      <c r="AP944">
        <v>42.881110144124989</v>
      </c>
      <c r="AQ944">
        <v>36.551292103472846</v>
      </c>
      <c r="AR944">
        <v>5.47469823885009</v>
      </c>
      <c r="AS944">
        <v>22.646617462353081</v>
      </c>
      <c r="AT944">
        <v>3.7512686816481686</v>
      </c>
      <c r="AU944">
        <v>-0.35004045406809481</v>
      </c>
      <c r="AV944"/>
      <c r="AW944"/>
      <c r="FY944" s="210">
        <v>939</v>
      </c>
      <c r="FZ944">
        <v>1.0703484375755077</v>
      </c>
      <c r="GA944">
        <v>2.2576517891103944</v>
      </c>
      <c r="GB944">
        <v>1.0855891965429874</v>
      </c>
      <c r="GC944">
        <v>0.5351977273237104</v>
      </c>
      <c r="GD944">
        <v>1.9763314703438133</v>
      </c>
      <c r="GE944">
        <v>3.7891765133818387</v>
      </c>
      <c r="GF944">
        <v>5.6883257009270434</v>
      </c>
      <c r="GG944">
        <v>8.1923370163787759</v>
      </c>
      <c r="GH944">
        <v>6.6714563413019272</v>
      </c>
      <c r="GI944">
        <v>3.7221256014953528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16.812040433217298</v>
      </c>
      <c r="AO945">
        <v>3.2760657417712187</v>
      </c>
      <c r="AP945">
        <v>26.383391162784324</v>
      </c>
      <c r="AQ945">
        <v>21.932638107552879</v>
      </c>
      <c r="AR945">
        <v>3.1905760840341082</v>
      </c>
      <c r="AS945">
        <v>15.596751346051363</v>
      </c>
      <c r="AT945">
        <v>2.0674812648210708</v>
      </c>
      <c r="AU945">
        <v>0.956964071526201</v>
      </c>
      <c r="AV945"/>
      <c r="AW945"/>
      <c r="FY945" s="210">
        <v>940</v>
      </c>
      <c r="FZ945">
        <v>1.2619790218069169</v>
      </c>
      <c r="GA945">
        <v>3.91764505151738</v>
      </c>
      <c r="GB945">
        <v>1.8162410448602202</v>
      </c>
      <c r="GC945">
        <v>0.71949759347809927</v>
      </c>
      <c r="GD945">
        <v>2.7927134968684104</v>
      </c>
      <c r="GE945">
        <v>6.6875184026101699</v>
      </c>
      <c r="GF945">
        <v>4.9225231410415464</v>
      </c>
      <c r="GG945">
        <v>4.0926232935547731</v>
      </c>
      <c r="GH945">
        <v>4.461506719222573</v>
      </c>
      <c r="GI945">
        <v>3.9127088183435457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26.462752526337862</v>
      </c>
      <c r="AO946">
        <v>6.744581567986744</v>
      </c>
      <c r="AP946">
        <v>56.374180873969088</v>
      </c>
      <c r="AQ946">
        <v>45.166791204336533</v>
      </c>
      <c r="AR946">
        <v>6.1285289527794928</v>
      </c>
      <c r="AS946">
        <v>26.218174685253356</v>
      </c>
      <c r="AT946">
        <v>4.3011802970652315</v>
      </c>
      <c r="AU946">
        <v>2.7920199062379822</v>
      </c>
      <c r="AV946"/>
      <c r="AW946"/>
      <c r="FY946" s="210">
        <v>941</v>
      </c>
      <c r="FZ946">
        <v>0.85040196209158669</v>
      </c>
      <c r="GA946">
        <v>1.5208051809171477</v>
      </c>
      <c r="GB946">
        <v>1.1799922769541409</v>
      </c>
      <c r="GC946">
        <v>0.81101917952572178</v>
      </c>
      <c r="GD946">
        <v>1.1117824251297481</v>
      </c>
      <c r="GE946">
        <v>2.3031566760469588</v>
      </c>
      <c r="GF946">
        <v>4.660919652273118</v>
      </c>
      <c r="GG946">
        <v>6.3525775335393782</v>
      </c>
      <c r="GH946">
        <v>6.4269706888941371</v>
      </c>
      <c r="GI946">
        <v>2.9776310289761461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14.808765351817211</v>
      </c>
      <c r="AO947">
        <v>3.8710399992311766</v>
      </c>
      <c r="AP947">
        <v>32.233832513433988</v>
      </c>
      <c r="AQ947">
        <v>26.207189529691252</v>
      </c>
      <c r="AR947">
        <v>3.7871917266774595</v>
      </c>
      <c r="AS947">
        <v>18.795672985270475</v>
      </c>
      <c r="AT947">
        <v>2.5452610511157889</v>
      </c>
      <c r="AU947">
        <v>1.7334253793817938</v>
      </c>
      <c r="AV947"/>
      <c r="AW947"/>
      <c r="FY947" s="210">
        <v>942</v>
      </c>
      <c r="FZ947">
        <v>1.1325980758674468</v>
      </c>
      <c r="GA947">
        <v>2.3222399502080995</v>
      </c>
      <c r="GB947">
        <v>2.0415485688842363</v>
      </c>
      <c r="GC947">
        <v>0.98706513503497917</v>
      </c>
      <c r="GD947">
        <v>1.328431484486335</v>
      </c>
      <c r="GE947">
        <v>3.5991521265001727</v>
      </c>
      <c r="GF947">
        <v>7.1271757103957931</v>
      </c>
      <c r="GG947">
        <v>6.0969029590511212</v>
      </c>
      <c r="GH947">
        <v>3.3631091097802956</v>
      </c>
      <c r="GI947">
        <v>3.3133080586248953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28.478065745528976</v>
      </c>
      <c r="AO948">
        <v>5.5184706409337139</v>
      </c>
      <c r="AP948">
        <v>42.191644210120685</v>
      </c>
      <c r="AQ948">
        <v>35.928610961806577</v>
      </c>
      <c r="AR948">
        <v>5.0677046063288067</v>
      </c>
      <c r="AS948">
        <v>25.845078602525628</v>
      </c>
      <c r="AT948">
        <v>3.6218491470875169</v>
      </c>
      <c r="AU948">
        <v>6.7142491923953358</v>
      </c>
      <c r="AV948"/>
      <c r="AW948"/>
      <c r="FY948" s="210">
        <v>943</v>
      </c>
      <c r="FZ948">
        <v>1.2474263997693993</v>
      </c>
      <c r="GA948">
        <v>2.7993109038122088</v>
      </c>
      <c r="GB948">
        <v>2.019687434837409</v>
      </c>
      <c r="GC948">
        <v>0.99600017855215739</v>
      </c>
      <c r="GD948">
        <v>2.6929336166957643</v>
      </c>
      <c r="GE948">
        <v>5.9892889599717316</v>
      </c>
      <c r="GF948">
        <v>8.5493669881831664</v>
      </c>
      <c r="GG948">
        <v>6.646181878740439</v>
      </c>
      <c r="GH948">
        <v>2.6032886735839416</v>
      </c>
      <c r="GI948">
        <v>4.2645655456641052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20.655219780219777</v>
      </c>
      <c r="AO949">
        <v>5.2037314245113686</v>
      </c>
      <c r="AP949">
        <v>42.007196222048854</v>
      </c>
      <c r="AQ949">
        <v>33.232802995194099</v>
      </c>
      <c r="AR949">
        <v>4.8188077366255015</v>
      </c>
      <c r="AS949">
        <v>21.985477126212391</v>
      </c>
      <c r="AT949">
        <v>3.5765145136705567</v>
      </c>
      <c r="AU949">
        <v>10.005102212689724</v>
      </c>
      <c r="AV949"/>
      <c r="AW949"/>
      <c r="FY949" s="210">
        <v>944</v>
      </c>
      <c r="FZ949">
        <v>0.82371794287531863</v>
      </c>
      <c r="GA949">
        <v>2.3200872727129078</v>
      </c>
      <c r="GB949">
        <v>2.3613950328589173</v>
      </c>
      <c r="GC949">
        <v>1.2867499673002412</v>
      </c>
      <c r="GD949">
        <v>1.9077977403335113</v>
      </c>
      <c r="GE949">
        <v>4.6681005829089548</v>
      </c>
      <c r="GF949">
        <v>7.0277171817334008</v>
      </c>
      <c r="GG949">
        <v>7.0343577749208759</v>
      </c>
      <c r="GH949">
        <v>4.6770753687266744</v>
      </c>
      <c r="GI949">
        <v>3.866938723563822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22.407046411035772</v>
      </c>
      <c r="AO950">
        <v>4.817017987585297</v>
      </c>
      <c r="AP950">
        <v>36.817153283205741</v>
      </c>
      <c r="AQ950">
        <v>30.597992459721851</v>
      </c>
      <c r="AR950">
        <v>4.7066514462601861</v>
      </c>
      <c r="AS950">
        <v>20.569987682990586</v>
      </c>
      <c r="AT950">
        <v>2.9258736463872519</v>
      </c>
      <c r="AU950">
        <v>-1.7081152801566521</v>
      </c>
      <c r="AV950"/>
      <c r="AW950"/>
      <c r="FY950" s="210">
        <v>945</v>
      </c>
      <c r="FZ950">
        <v>1.344565069003419</v>
      </c>
      <c r="GA950">
        <v>2.6993459579281565</v>
      </c>
      <c r="GB950">
        <v>1.7628579231263704</v>
      </c>
      <c r="GC950">
        <v>0.93435083666356122</v>
      </c>
      <c r="GD950">
        <v>2.0807652577373128</v>
      </c>
      <c r="GE950">
        <v>4.0465725035618467</v>
      </c>
      <c r="GF950">
        <v>5.5551519249061529</v>
      </c>
      <c r="GG950">
        <v>6.0827397186198713</v>
      </c>
      <c r="GH950">
        <v>3.8034213917152431</v>
      </c>
      <c r="GI950">
        <v>3.5113947121454347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22.818145439322301</v>
      </c>
      <c r="AO951">
        <v>5.7867029967360191</v>
      </c>
      <c r="AP951">
        <v>46.095768239569054</v>
      </c>
      <c r="AQ951">
        <v>37.948008504634331</v>
      </c>
      <c r="AR951">
        <v>5.3776407215770368</v>
      </c>
      <c r="AS951">
        <v>23.640428089357897</v>
      </c>
      <c r="AT951">
        <v>3.5834821984569394</v>
      </c>
      <c r="AU951">
        <v>0.11212958945599416</v>
      </c>
      <c r="AV951"/>
      <c r="AW951"/>
      <c r="FY951" s="210">
        <v>946</v>
      </c>
      <c r="FZ951">
        <v>1.3655780660415724</v>
      </c>
      <c r="GA951">
        <v>3.7304207389537725</v>
      </c>
      <c r="GB951">
        <v>2.0539110869097348</v>
      </c>
      <c r="GC951">
        <v>1.0619718568229308</v>
      </c>
      <c r="GD951">
        <v>2.9888582643762076</v>
      </c>
      <c r="GE951">
        <v>6.1647485147773633</v>
      </c>
      <c r="GF951">
        <v>6.1406634821832995</v>
      </c>
      <c r="GG951">
        <v>5.6858128309254408</v>
      </c>
      <c r="GH951">
        <v>3.6999245625414785</v>
      </c>
      <c r="GI951">
        <v>4.2168547833613674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24.792144734553212</v>
      </c>
      <c r="AO952">
        <v>5.1840994710608017</v>
      </c>
      <c r="AP952">
        <v>37.826391502370811</v>
      </c>
      <c r="AQ952">
        <v>32.758242559712293</v>
      </c>
      <c r="AR952">
        <v>4.744621813001892</v>
      </c>
      <c r="AS952">
        <v>24.815127690190764</v>
      </c>
      <c r="AT952">
        <v>3.1606112257887822</v>
      </c>
      <c r="AU952">
        <v>1.4615338502027289</v>
      </c>
      <c r="AV952"/>
      <c r="AW952"/>
      <c r="FY952" s="210">
        <v>947</v>
      </c>
      <c r="FZ952">
        <v>1.3590049263520045</v>
      </c>
      <c r="GA952">
        <v>3.1599084162714903</v>
      </c>
      <c r="GB952">
        <v>2.9708977196163908</v>
      </c>
      <c r="GC952">
        <v>1.2189050342781109</v>
      </c>
      <c r="GD952">
        <v>1.3764127768349206</v>
      </c>
      <c r="GE952">
        <v>3.5125006453806997</v>
      </c>
      <c r="GF952">
        <v>4.1419432997148968</v>
      </c>
      <c r="GG952">
        <v>4.160327676135628</v>
      </c>
      <c r="GH952">
        <v>4.7459397684017937</v>
      </c>
      <c r="GI952">
        <v>3.2875302780026101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29.768953559101401</v>
      </c>
      <c r="AO953">
        <v>5.6125998423852597</v>
      </c>
      <c r="AP953">
        <v>47.325163313521415</v>
      </c>
      <c r="AQ953">
        <v>38.5786771455261</v>
      </c>
      <c r="AR953">
        <v>5.3232432427749963</v>
      </c>
      <c r="AS953">
        <v>24.962592973506549</v>
      </c>
      <c r="AT953">
        <v>3.1017199519100593</v>
      </c>
      <c r="AU953">
        <v>0.97155214617047847</v>
      </c>
      <c r="AV953"/>
      <c r="AW953"/>
      <c r="FY953" s="210">
        <v>948</v>
      </c>
      <c r="FZ953">
        <v>1.5217557958862422</v>
      </c>
      <c r="GA953">
        <v>2.6566324389854397</v>
      </c>
      <c r="GB953">
        <v>2.4733192581441812</v>
      </c>
      <c r="GC953">
        <v>1.3839872008648972</v>
      </c>
      <c r="GD953">
        <v>1.6375506241121138</v>
      </c>
      <c r="GE953">
        <v>3.9848023669819983</v>
      </c>
      <c r="GF953">
        <v>5.7262754602353985</v>
      </c>
      <c r="GG953">
        <v>8.0062464788883396</v>
      </c>
      <c r="GH953">
        <v>8.0756587769516788</v>
      </c>
      <c r="GI953">
        <v>4.1528029326264821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25.650494182829522</v>
      </c>
      <c r="AO954">
        <v>4.8172680654067097</v>
      </c>
      <c r="AP954">
        <v>36.931711021368592</v>
      </c>
      <c r="AQ954">
        <v>30.628009391846501</v>
      </c>
      <c r="AR954">
        <v>4.5646224814587235</v>
      </c>
      <c r="AS954">
        <v>22.13457188081868</v>
      </c>
      <c r="AT954">
        <v>2.8769084233535431</v>
      </c>
      <c r="AU954">
        <v>1.4948602172388057</v>
      </c>
      <c r="AV954"/>
      <c r="AW954"/>
      <c r="FY954" s="210">
        <v>949</v>
      </c>
      <c r="FZ954">
        <v>0.80304323990396009</v>
      </c>
      <c r="GA954">
        <v>2.879432990851297</v>
      </c>
      <c r="GB954">
        <v>1.2483944659410824</v>
      </c>
      <c r="GC954">
        <v>0.40161952105806892</v>
      </c>
      <c r="GD954">
        <v>2.0599738982502873</v>
      </c>
      <c r="GE954">
        <v>5.6294604907147168</v>
      </c>
      <c r="GF954">
        <v>7.4176452763973852</v>
      </c>
      <c r="GG954">
        <v>5.1829923286849571</v>
      </c>
      <c r="GH954">
        <v>2.9825924938693147</v>
      </c>
      <c r="GI954">
        <v>3.4909514415889999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28.524080334761656</v>
      </c>
      <c r="AO955">
        <v>5.417796007656035</v>
      </c>
      <c r="AP955">
        <v>41.497612853664052</v>
      </c>
      <c r="AQ955">
        <v>34.988539794381353</v>
      </c>
      <c r="AR955">
        <v>5.21358860398652</v>
      </c>
      <c r="AS955">
        <v>25.589443687709124</v>
      </c>
      <c r="AT955">
        <v>3.1542573746740152</v>
      </c>
      <c r="AU955">
        <v>0.89394089413018185</v>
      </c>
      <c r="AV955"/>
      <c r="AW955"/>
      <c r="FY955" s="210">
        <v>950</v>
      </c>
      <c r="FZ955">
        <v>1.7149054874649639</v>
      </c>
      <c r="GA955">
        <v>2.5805885184163273</v>
      </c>
      <c r="GB955">
        <v>1.392425495448057</v>
      </c>
      <c r="GC955">
        <v>0.77806719326124008</v>
      </c>
      <c r="GD955">
        <v>2.5539865166491622</v>
      </c>
      <c r="GE955">
        <v>5.1092756420605161</v>
      </c>
      <c r="GF955">
        <v>6.3534177517028549</v>
      </c>
      <c r="GG955">
        <v>8.8033372446697609</v>
      </c>
      <c r="GH955">
        <v>5.8348304917520464</v>
      </c>
      <c r="GI955">
        <v>4.2130455357408829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30.704970131919833</v>
      </c>
      <c r="AO956">
        <v>5.7344217919433422</v>
      </c>
      <c r="AP956">
        <v>37.938729859239693</v>
      </c>
      <c r="AQ956">
        <v>34.584956583303629</v>
      </c>
      <c r="AR956">
        <v>5.3427303072010561</v>
      </c>
      <c r="AS956">
        <v>25.179454124796177</v>
      </c>
      <c r="AT956">
        <v>3.3646872916116091</v>
      </c>
      <c r="AU956">
        <v>0.54781005544047434</v>
      </c>
      <c r="AV956"/>
      <c r="AW956"/>
      <c r="FY956" s="210">
        <v>951</v>
      </c>
      <c r="FZ956">
        <v>0.90562740193823044</v>
      </c>
      <c r="GA956">
        <v>2.1323936081888424</v>
      </c>
      <c r="GB956">
        <v>1.083027096659875</v>
      </c>
      <c r="GC956">
        <v>0.4117641854913221</v>
      </c>
      <c r="GD956">
        <v>2.3959187139282863</v>
      </c>
      <c r="GE956">
        <v>6.4288712676058033</v>
      </c>
      <c r="GF956">
        <v>7.5371862362856179</v>
      </c>
      <c r="GG956">
        <v>8.6926273746194145</v>
      </c>
      <c r="GH956">
        <v>8.238381030932409</v>
      </c>
      <c r="GI956">
        <v>4.531073500067512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23.355723023774885</v>
      </c>
      <c r="AO957">
        <v>4.2659228749843603</v>
      </c>
      <c r="AP957">
        <v>34.628537732306285</v>
      </c>
      <c r="AQ957">
        <v>28.195256604348081</v>
      </c>
      <c r="AR957">
        <v>4.1546090470325776</v>
      </c>
      <c r="AS957">
        <v>18.062659988533781</v>
      </c>
      <c r="AT957">
        <v>2.5620550960653397</v>
      </c>
      <c r="AU957">
        <v>-1.0678531246340426</v>
      </c>
      <c r="AV957"/>
      <c r="AW957"/>
      <c r="FY957" s="210">
        <v>952</v>
      </c>
      <c r="FZ957">
        <v>0.84439264584667728</v>
      </c>
      <c r="GA957">
        <v>2.3189487944036489</v>
      </c>
      <c r="GB957">
        <v>1.891553081884825</v>
      </c>
      <c r="GC957">
        <v>0.71069907029363422</v>
      </c>
      <c r="GD957">
        <v>1.5184300446875501</v>
      </c>
      <c r="GE957">
        <v>3.7830749241443948</v>
      </c>
      <c r="GF957">
        <v>8.379001889202419</v>
      </c>
      <c r="GG957">
        <v>12.035378386717342</v>
      </c>
      <c r="GH957">
        <v>9.5697953149919179</v>
      </c>
      <c r="GI957">
        <v>4.6077359970142329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25.513204678352519</v>
      </c>
      <c r="AO958">
        <v>4.8474913138241433</v>
      </c>
      <c r="AP958">
        <v>37.755989232040378</v>
      </c>
      <c r="AQ958">
        <v>31.311531178833373</v>
      </c>
      <c r="AR958">
        <v>4.5295180219415219</v>
      </c>
      <c r="AS958">
        <v>22.502438352792389</v>
      </c>
      <c r="AT958">
        <v>3.149159727688712</v>
      </c>
      <c r="AU958">
        <v>8.0959107346814161</v>
      </c>
      <c r="AV958"/>
      <c r="AW958"/>
      <c r="FY958" s="210">
        <v>953</v>
      </c>
      <c r="FZ958">
        <v>1.145067767112993</v>
      </c>
      <c r="GA958">
        <v>2.4730699284558479</v>
      </c>
      <c r="GB958">
        <v>1.7963627412695</v>
      </c>
      <c r="GC958">
        <v>1.0514191969260569</v>
      </c>
      <c r="GD958">
        <v>1.5080721529379109</v>
      </c>
      <c r="GE958">
        <v>2.7353872522938265</v>
      </c>
      <c r="GF958">
        <v>3.3316667596203722</v>
      </c>
      <c r="GG958">
        <v>4.1791687279285519</v>
      </c>
      <c r="GH958">
        <v>4.7372029379159208</v>
      </c>
      <c r="GI958">
        <v>2.8645736151383123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35.955513313822522</v>
      </c>
      <c r="AO959">
        <v>6.2127873961761404</v>
      </c>
      <c r="AP959">
        <v>43.150546945774408</v>
      </c>
      <c r="AQ959">
        <v>37.80805057981032</v>
      </c>
      <c r="AR959">
        <v>5.8651920250914689</v>
      </c>
      <c r="AS959">
        <v>29.498539257177754</v>
      </c>
      <c r="AT959">
        <v>3.8900982815204537</v>
      </c>
      <c r="AU959">
        <v>10.672854480776435</v>
      </c>
      <c r="AV959"/>
      <c r="AW959"/>
      <c r="FY959" s="210">
        <v>954</v>
      </c>
      <c r="FZ959">
        <v>1.0691676242949908</v>
      </c>
      <c r="GA959">
        <v>3.4446269185604304</v>
      </c>
      <c r="GB959">
        <v>2.6598850554274804</v>
      </c>
      <c r="GC959">
        <v>1.1025488522784253</v>
      </c>
      <c r="GD959">
        <v>1.0098875330786878</v>
      </c>
      <c r="GE959">
        <v>2.021346504014744</v>
      </c>
      <c r="GF959">
        <v>7.7120909161246791</v>
      </c>
      <c r="GG959">
        <v>8.2553177254808006</v>
      </c>
      <c r="GH959">
        <v>3.5024547088438731</v>
      </c>
      <c r="GI959">
        <v>3.4185846168843987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29.555503729383183</v>
      </c>
      <c r="AO960">
        <v>5.7363817256082754</v>
      </c>
      <c r="AP960">
        <v>42.345292524508665</v>
      </c>
      <c r="AQ960">
        <v>35.973937587934621</v>
      </c>
      <c r="AR960">
        <v>5.2917125387942452</v>
      </c>
      <c r="AS960">
        <v>26.158232270431508</v>
      </c>
      <c r="AT960">
        <v>3.8166220110061269</v>
      </c>
      <c r="AU960">
        <v>6.3707751424626027</v>
      </c>
      <c r="AV960"/>
      <c r="AW960"/>
      <c r="FY960" s="210">
        <v>955</v>
      </c>
      <c r="FZ960">
        <v>1.2206296158641998</v>
      </c>
      <c r="GA960">
        <v>1.6160737531976714</v>
      </c>
      <c r="GB960">
        <v>1.5184671545895809</v>
      </c>
      <c r="GC960">
        <v>1.0824493840116538</v>
      </c>
      <c r="GD960">
        <v>1.5186644190969851</v>
      </c>
      <c r="GE960">
        <v>4.2624534185688487</v>
      </c>
      <c r="GF960">
        <v>6.8227808318557646</v>
      </c>
      <c r="GG960">
        <v>5.9818608019045874</v>
      </c>
      <c r="GH960">
        <v>3.8299720809221247</v>
      </c>
      <c r="GI960">
        <v>3.3242949303212628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26.194470793295494</v>
      </c>
      <c r="AO961">
        <v>5.1358066737326267</v>
      </c>
      <c r="AP961">
        <v>36.968406853005426</v>
      </c>
      <c r="AQ961">
        <v>31.821165295407368</v>
      </c>
      <c r="AR961">
        <v>4.8856086515356996</v>
      </c>
      <c r="AS961">
        <v>23.532869961377788</v>
      </c>
      <c r="AT961">
        <v>3.2368276526804425</v>
      </c>
      <c r="AU961">
        <v>7.6771083547979213</v>
      </c>
      <c r="AV961"/>
      <c r="AW961"/>
      <c r="FY961" s="210">
        <v>956</v>
      </c>
      <c r="FZ961">
        <v>1.4478258191712794</v>
      </c>
      <c r="GA961">
        <v>3.3507688785795491</v>
      </c>
      <c r="GB961">
        <v>2.0095904224681824</v>
      </c>
      <c r="GC961">
        <v>0.69292939666936804</v>
      </c>
      <c r="GD961">
        <v>2.6612858004553974</v>
      </c>
      <c r="GE961">
        <v>5.5600590076748748</v>
      </c>
      <c r="GF961">
        <v>5.473172932565963</v>
      </c>
      <c r="GG961">
        <v>6.5892770698740275</v>
      </c>
      <c r="GH961">
        <v>4.7940028359075857</v>
      </c>
      <c r="GI961">
        <v>4.0480841262795684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28.296346423184655</v>
      </c>
      <c r="AO962">
        <v>6.2110005948399403</v>
      </c>
      <c r="AP962">
        <v>41.554383332823193</v>
      </c>
      <c r="AQ962">
        <v>37.108744186893169</v>
      </c>
      <c r="AR962">
        <v>5.8347596414325</v>
      </c>
      <c r="AS962">
        <v>27.20446393506629</v>
      </c>
      <c r="AT962">
        <v>3.9888307736438033</v>
      </c>
      <c r="AU962">
        <v>6.2602743258428273</v>
      </c>
      <c r="AV962"/>
      <c r="AW962"/>
      <c r="FY962" s="210">
        <v>957</v>
      </c>
      <c r="FZ962">
        <v>1.2766444085333657</v>
      </c>
      <c r="GA962">
        <v>3.0197199996809845</v>
      </c>
      <c r="GB962">
        <v>2.3290567748465367</v>
      </c>
      <c r="GC962">
        <v>1.0734280268668077</v>
      </c>
      <c r="GD962">
        <v>1.5017557318254096</v>
      </c>
      <c r="GE962">
        <v>5.0470549319261861</v>
      </c>
      <c r="GF962">
        <v>7.7065756699526258</v>
      </c>
      <c r="GG962">
        <v>9.6996982934592371</v>
      </c>
      <c r="GH962">
        <v>10.206113281309946</v>
      </c>
      <c r="GI962">
        <v>4.7252435167771729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22.915919439356941</v>
      </c>
      <c r="AO963">
        <v>4.6963362802165021</v>
      </c>
      <c r="AP963">
        <v>36.096834602337331</v>
      </c>
      <c r="AQ963">
        <v>29.933370540988541</v>
      </c>
      <c r="AR963">
        <v>4.5420184071282543</v>
      </c>
      <c r="AS963">
        <v>19.535519076037215</v>
      </c>
      <c r="AT963">
        <v>2.982978530674115</v>
      </c>
      <c r="AU963">
        <v>6.2430966349541892</v>
      </c>
      <c r="AV963"/>
      <c r="AW963"/>
      <c r="FY963" s="210">
        <v>958</v>
      </c>
      <c r="FZ963">
        <v>1.5301863369899185</v>
      </c>
      <c r="GA963">
        <v>2.3570822932667266</v>
      </c>
      <c r="GB963">
        <v>1.4146961687812292</v>
      </c>
      <c r="GC963">
        <v>0.94650361390336635</v>
      </c>
      <c r="GD963">
        <v>1.6473174147567515</v>
      </c>
      <c r="GE963">
        <v>5.2297307535226576</v>
      </c>
      <c r="GF963">
        <v>7.4770528538574279</v>
      </c>
      <c r="GG963">
        <v>3.8268226940060561</v>
      </c>
      <c r="GH963">
        <v>2.137604146072654</v>
      </c>
      <c r="GI963">
        <v>3.2844546195137982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30.485504904475885</v>
      </c>
      <c r="AO964">
        <v>6.0760040021787542</v>
      </c>
      <c r="AP964">
        <v>47.598984649891051</v>
      </c>
      <c r="AQ964">
        <v>39.619031333676773</v>
      </c>
      <c r="AR964">
        <v>5.7139623725138566</v>
      </c>
      <c r="AS964">
        <v>25.343275665396231</v>
      </c>
      <c r="AT964">
        <v>3.4259772545480085</v>
      </c>
      <c r="AU964">
        <v>1.5542959388207875</v>
      </c>
      <c r="AV964"/>
      <c r="AW964"/>
      <c r="FY964" s="210">
        <v>959</v>
      </c>
      <c r="FZ964">
        <v>1.2128756628941144</v>
      </c>
      <c r="GA964">
        <v>2.2659639400747942</v>
      </c>
      <c r="GB964">
        <v>2.0500534575516012</v>
      </c>
      <c r="GC964">
        <v>1.1995508143777951</v>
      </c>
      <c r="GD964">
        <v>0.85364532448934993</v>
      </c>
      <c r="GE964">
        <v>1.7978503291975447</v>
      </c>
      <c r="GF964">
        <v>5.7539092740833375</v>
      </c>
      <c r="GG964">
        <v>8.8634893716195879</v>
      </c>
      <c r="GH964">
        <v>7.5651159590179216</v>
      </c>
      <c r="GI964">
        <v>3.4756518984470506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33.176043737644179</v>
      </c>
      <c r="AO965">
        <v>5.1192791002671516</v>
      </c>
      <c r="AP965">
        <v>36.725401683849981</v>
      </c>
      <c r="AQ965">
        <v>32.096106147260066</v>
      </c>
      <c r="AR965">
        <v>4.7373573988963367</v>
      </c>
      <c r="AS965">
        <v>26.178536070965968</v>
      </c>
      <c r="AT965">
        <v>3.3279528630217108</v>
      </c>
      <c r="AU965">
        <v>3.1130217119151462</v>
      </c>
      <c r="AV965"/>
      <c r="AW965"/>
      <c r="FY965" s="210">
        <v>960</v>
      </c>
      <c r="FZ965">
        <v>1.4948462472921109</v>
      </c>
      <c r="GA965">
        <v>2.1773326310846555</v>
      </c>
      <c r="GB965">
        <v>1.860621420611094</v>
      </c>
      <c r="GC965">
        <v>0.87340123553286919</v>
      </c>
      <c r="GD965">
        <v>2.6093846791682376</v>
      </c>
      <c r="GE965">
        <v>5.8282231524759318</v>
      </c>
      <c r="GF965">
        <v>5.5198625665019518</v>
      </c>
      <c r="GG965">
        <v>6.0489110842446445</v>
      </c>
      <c r="GH965">
        <v>3.3834123016550723</v>
      </c>
      <c r="GI965">
        <v>3.7961534668571133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37.684583272525231</v>
      </c>
      <c r="AO966">
        <v>6.2547032333676036</v>
      </c>
      <c r="AP966">
        <v>45.042710109624622</v>
      </c>
      <c r="AQ966">
        <v>39.333879877165813</v>
      </c>
      <c r="AR966">
        <v>5.8631527462269606</v>
      </c>
      <c r="AS966">
        <v>28.282667863544592</v>
      </c>
      <c r="AT966">
        <v>3.5117669345284988</v>
      </c>
      <c r="AU966">
        <v>6.9017459878866081</v>
      </c>
      <c r="AV966"/>
      <c r="AW966"/>
      <c r="FY966" s="210">
        <v>961</v>
      </c>
      <c r="FZ966">
        <v>1.1447294730461977</v>
      </c>
      <c r="GA966">
        <v>1.9671681034118371</v>
      </c>
      <c r="GB966">
        <v>1.0045472054272793</v>
      </c>
      <c r="GC966">
        <v>0.55027815526937707</v>
      </c>
      <c r="GD966">
        <v>2.5384342898227663</v>
      </c>
      <c r="GE966">
        <v>5.8757085745356772</v>
      </c>
      <c r="GF966">
        <v>6.6676628914308775</v>
      </c>
      <c r="GG966">
        <v>4.5273468227825484</v>
      </c>
      <c r="GH966">
        <v>1.5017288553381671</v>
      </c>
      <c r="GI966">
        <v>3.4017208863419612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31.602792292130523</v>
      </c>
      <c r="AO967">
        <v>6.6400950263337624</v>
      </c>
      <c r="AP967">
        <v>49.105675166955251</v>
      </c>
      <c r="AQ967">
        <v>42.356870415717317</v>
      </c>
      <c r="AR967">
        <v>6.2401467416783749</v>
      </c>
      <c r="AS967">
        <v>28.597348109192197</v>
      </c>
      <c r="AT967">
        <v>3.8493878476369798</v>
      </c>
      <c r="AU967">
        <v>10.037978814346546</v>
      </c>
      <c r="AV967"/>
      <c r="AW967"/>
      <c r="FY967" s="210">
        <v>962</v>
      </c>
      <c r="FZ967">
        <v>1.1736091877433685</v>
      </c>
      <c r="GA967">
        <v>2.9525657270372454</v>
      </c>
      <c r="GB967">
        <v>1.8115889527973204</v>
      </c>
      <c r="GC967">
        <v>0.78593060747951515</v>
      </c>
      <c r="GD967">
        <v>1.4790272763646382</v>
      </c>
      <c r="GE967">
        <v>3.1096968014223898</v>
      </c>
      <c r="GF967">
        <v>4.27490247184212</v>
      </c>
      <c r="GG967">
        <v>5.3029552955604862</v>
      </c>
      <c r="GH967">
        <v>4.3654444688486809</v>
      </c>
      <c r="GI967">
        <v>2.9794953382089062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22.311405983447205</v>
      </c>
      <c r="AO968">
        <v>6.8285629198767648</v>
      </c>
      <c r="AP968">
        <v>57.060109092863271</v>
      </c>
      <c r="AQ968">
        <v>45.659010149186642</v>
      </c>
      <c r="AR968">
        <v>6.4515800814616862</v>
      </c>
      <c r="AS968">
        <v>27.850249416452289</v>
      </c>
      <c r="AT968">
        <v>4.225806318438468</v>
      </c>
      <c r="AU968">
        <v>-5.876307384450592</v>
      </c>
      <c r="AV968"/>
      <c r="AW968"/>
      <c r="FY968" s="210">
        <v>963</v>
      </c>
      <c r="FZ968">
        <v>0.68568092645430934</v>
      </c>
      <c r="GA968">
        <v>2.2768059230622653</v>
      </c>
      <c r="GB968">
        <v>1.9940089426741752</v>
      </c>
      <c r="GC968">
        <v>1.0358805668117237</v>
      </c>
      <c r="GD968">
        <v>2.4333944142102459</v>
      </c>
      <c r="GE968">
        <v>5.3873072309284229</v>
      </c>
      <c r="GF968">
        <v>3.9490950136485554</v>
      </c>
      <c r="GG968">
        <v>3.3657409088546868</v>
      </c>
      <c r="GH968">
        <v>2.5194655819494578</v>
      </c>
      <c r="GI968">
        <v>3.1623174946610604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23.335625516232135</v>
      </c>
      <c r="AO969">
        <v>4.0488093131189711</v>
      </c>
      <c r="AP969">
        <v>30.205143005040675</v>
      </c>
      <c r="AQ969">
        <v>25.82199107959929</v>
      </c>
      <c r="AR969">
        <v>3.9570989746902909</v>
      </c>
      <c r="AS969">
        <v>22.471124078916258</v>
      </c>
      <c r="AT969">
        <v>2.7152718465247325</v>
      </c>
      <c r="AU969">
        <v>6.7969707986282195</v>
      </c>
      <c r="AV969"/>
      <c r="AW969"/>
      <c r="FY969" s="210">
        <v>964</v>
      </c>
      <c r="FZ969">
        <v>1.2625428452515755</v>
      </c>
      <c r="GA969">
        <v>2.5913259343164752</v>
      </c>
      <c r="GB969">
        <v>2.5191542774212445</v>
      </c>
      <c r="GC969">
        <v>1.1582441416227263</v>
      </c>
      <c r="GD969">
        <v>2.2211729381135044</v>
      </c>
      <c r="GE969">
        <v>5.9446900235866975</v>
      </c>
      <c r="GF969">
        <v>8.9103944461787457</v>
      </c>
      <c r="GG969">
        <v>6.7652550865539158</v>
      </c>
      <c r="GH969">
        <v>3.5358361722370573</v>
      </c>
      <c r="GI969">
        <v>4.3445530318125236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19.40039300976801</v>
      </c>
      <c r="AO970">
        <v>5.0956036244206526</v>
      </c>
      <c r="AP970">
        <v>43.47787075882691</v>
      </c>
      <c r="AQ970">
        <v>34.195910454988507</v>
      </c>
      <c r="AR970">
        <v>4.7630540015611658</v>
      </c>
      <c r="AS970">
        <v>21.10279046960332</v>
      </c>
      <c r="AT970">
        <v>3.3113165913587292</v>
      </c>
      <c r="AU970">
        <v>4.3443046429073302</v>
      </c>
      <c r="AV970"/>
      <c r="AW970"/>
      <c r="FY970" s="210">
        <v>965</v>
      </c>
      <c r="FZ970">
        <v>0.8709639003740135</v>
      </c>
      <c r="GA970">
        <v>2.2249921621835873</v>
      </c>
      <c r="GB970">
        <v>2.2208975655076544</v>
      </c>
      <c r="GC970">
        <v>1.0965414594671083</v>
      </c>
      <c r="GD970">
        <v>2.1444191515995077</v>
      </c>
      <c r="GE970">
        <v>5.9740638971541475</v>
      </c>
      <c r="GF970">
        <v>5.3198371177875279</v>
      </c>
      <c r="GG970">
        <v>3.3319322818652948</v>
      </c>
      <c r="GH970">
        <v>3.1038606134842643</v>
      </c>
      <c r="GI970">
        <v>3.4266963922771292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27.945451829349672</v>
      </c>
      <c r="AO971">
        <v>4.9400563257072445</v>
      </c>
      <c r="AP971">
        <v>36.407575225496487</v>
      </c>
      <c r="AQ971">
        <v>31.177646390332679</v>
      </c>
      <c r="AR971">
        <v>4.5071082080524425</v>
      </c>
      <c r="AS971">
        <v>22.018034508654043</v>
      </c>
      <c r="AT971">
        <v>2.9925094289484089</v>
      </c>
      <c r="AU971">
        <v>1.3049816411613173</v>
      </c>
      <c r="AV971"/>
      <c r="AW971"/>
      <c r="FY971" s="210">
        <v>966</v>
      </c>
      <c r="FZ971">
        <v>1.1040566552370712</v>
      </c>
      <c r="GA971">
        <v>2.6104006546149958</v>
      </c>
      <c r="GB971">
        <v>2.4232663418504288</v>
      </c>
      <c r="GC971">
        <v>1.1238957106614116</v>
      </c>
      <c r="GD971">
        <v>2.305845818782049</v>
      </c>
      <c r="GE971">
        <v>6.3778565697714296</v>
      </c>
      <c r="GF971">
        <v>6.8593558468891587</v>
      </c>
      <c r="GG971">
        <v>8.6058613281555836</v>
      </c>
      <c r="GH971">
        <v>8.5826736307732894</v>
      </c>
      <c r="GI971">
        <v>4.7643962312888144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34.257222932021506</v>
      </c>
      <c r="AO972">
        <v>5.9052071402402744</v>
      </c>
      <c r="AP972">
        <v>41.426523120929552</v>
      </c>
      <c r="AQ972">
        <v>36.626996289645795</v>
      </c>
      <c r="AR972">
        <v>5.6218527612232236</v>
      </c>
      <c r="AS972">
        <v>28.503590494160434</v>
      </c>
      <c r="AT972">
        <v>3.3763886307156064</v>
      </c>
      <c r="AU972">
        <v>10.058131024960783</v>
      </c>
      <c r="AV972"/>
      <c r="AW972"/>
      <c r="FY972" s="210">
        <v>967</v>
      </c>
      <c r="FZ972">
        <v>0.98843897851259599</v>
      </c>
      <c r="GA972">
        <v>2.6165140688164801</v>
      </c>
      <c r="GB972">
        <v>1.7777176539253314</v>
      </c>
      <c r="GC972">
        <v>1.1192972000518329</v>
      </c>
      <c r="GD972">
        <v>2.9656378718678784</v>
      </c>
      <c r="GE972">
        <v>5.3620927608662559</v>
      </c>
      <c r="GF972">
        <v>5.3725598787809261</v>
      </c>
      <c r="GG972">
        <v>7.0332277148682509</v>
      </c>
      <c r="GH972">
        <v>4.6346977736207435</v>
      </c>
      <c r="GI972">
        <v>4.0758883997220616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27.596689522553881</v>
      </c>
      <c r="AO973">
        <v>6.9783697259281752</v>
      </c>
      <c r="AP973">
        <v>56.812845535904117</v>
      </c>
      <c r="AQ973">
        <v>46.585290635178268</v>
      </c>
      <c r="AR973">
        <v>6.4721194251789091</v>
      </c>
      <c r="AS973">
        <v>28.429785687536896</v>
      </c>
      <c r="AT973">
        <v>4.2301705034775088</v>
      </c>
      <c r="AU973">
        <v>-5.5006386993180749</v>
      </c>
      <c r="AV973"/>
      <c r="AW973"/>
      <c r="FY973" s="210">
        <v>968</v>
      </c>
      <c r="FZ973">
        <v>0.98832621382366437</v>
      </c>
      <c r="GA973">
        <v>1.6088915291900976</v>
      </c>
      <c r="GB973">
        <v>1.0895004796165249</v>
      </c>
      <c r="GC973">
        <v>0.58632738267607898</v>
      </c>
      <c r="GD973">
        <v>2.5569523245585661</v>
      </c>
      <c r="GE973">
        <v>7.5793232560297206</v>
      </c>
      <c r="GF973">
        <v>8.1990614465846434</v>
      </c>
      <c r="GG973">
        <v>6.9075252513002612</v>
      </c>
      <c r="GH973">
        <v>7.512457256187699</v>
      </c>
      <c r="GI973">
        <v>4.636244614943573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22.515214616943339</v>
      </c>
      <c r="AO974">
        <v>4.8178422915096863</v>
      </c>
      <c r="AP974">
        <v>34.200070090271424</v>
      </c>
      <c r="AQ974">
        <v>29.851450894670588</v>
      </c>
      <c r="AR974">
        <v>4.3802057163473966</v>
      </c>
      <c r="AS974">
        <v>22.373088164688042</v>
      </c>
      <c r="AT974">
        <v>3.3282753616594287</v>
      </c>
      <c r="AU974">
        <v>7.3819809502589946</v>
      </c>
      <c r="AV974"/>
      <c r="AW974"/>
      <c r="FY974" s="210">
        <v>969</v>
      </c>
      <c r="FZ974">
        <v>1.4473747604155527</v>
      </c>
      <c r="GA974">
        <v>1.9252159082505009</v>
      </c>
      <c r="GB974">
        <v>1.7577103809903389</v>
      </c>
      <c r="GC974">
        <v>1.1694917464380112</v>
      </c>
      <c r="GD974">
        <v>1.5024539965613914</v>
      </c>
      <c r="GE974">
        <v>3.4851343199399736</v>
      </c>
      <c r="GF974">
        <v>6.600231324345172</v>
      </c>
      <c r="GG974">
        <v>6.877341241863971</v>
      </c>
      <c r="GH974">
        <v>4.5669565707756998</v>
      </c>
      <c r="GI974">
        <v>3.5043237680200243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18.910938352427713</v>
      </c>
      <c r="AO975">
        <v>5.1335880867647941</v>
      </c>
      <c r="AP975">
        <v>44.119051885745918</v>
      </c>
      <c r="AQ975">
        <v>35.038106031753095</v>
      </c>
      <c r="AR975">
        <v>4.8332642105983359</v>
      </c>
      <c r="AS975">
        <v>22.105296254976242</v>
      </c>
      <c r="AT975">
        <v>3.4960736771815788</v>
      </c>
      <c r="AU975">
        <v>-0.22646675807713335</v>
      </c>
      <c r="AV975"/>
      <c r="AW975"/>
      <c r="FY975" s="210">
        <v>970</v>
      </c>
      <c r="FZ975">
        <v>0.60343317332460233</v>
      </c>
      <c r="GA975">
        <v>1.6819160068838162</v>
      </c>
      <c r="GB975">
        <v>1.132019079797344</v>
      </c>
      <c r="GC975">
        <v>0.54553059007918014</v>
      </c>
      <c r="GD975">
        <v>1.5519109924371908</v>
      </c>
      <c r="GE975">
        <v>3.3712521951076795</v>
      </c>
      <c r="GF975">
        <v>5.6227487800144651</v>
      </c>
      <c r="GG975">
        <v>5.5780072078388114</v>
      </c>
      <c r="GH975">
        <v>3.3431034690757335</v>
      </c>
      <c r="GI975">
        <v>2.8771724353983328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33.216003113374825</v>
      </c>
      <c r="AO976">
        <v>5.6490113470590257</v>
      </c>
      <c r="AP976">
        <v>37.501904092745981</v>
      </c>
      <c r="AQ976">
        <v>33.592148785423682</v>
      </c>
      <c r="AR976">
        <v>5.2585511583012163</v>
      </c>
      <c r="AS976">
        <v>25.847073793610146</v>
      </c>
      <c r="AT976">
        <v>3.2932922311748958</v>
      </c>
      <c r="AU976">
        <v>5.4006067261876103</v>
      </c>
      <c r="AV976"/>
      <c r="AW976"/>
      <c r="FY976" s="210">
        <v>971</v>
      </c>
      <c r="FZ976">
        <v>0.92652763428745233</v>
      </c>
      <c r="GA976">
        <v>2.4719807462661798</v>
      </c>
      <c r="GB976">
        <v>2.0130950813212256</v>
      </c>
      <c r="GC976">
        <v>0.74164294375156348</v>
      </c>
      <c r="GD976">
        <v>3.0989550068456921</v>
      </c>
      <c r="GE976">
        <v>8.4011403835863714</v>
      </c>
      <c r="GF976">
        <v>9.1071109474670919</v>
      </c>
      <c r="GG976">
        <v>6.1361857512884068</v>
      </c>
      <c r="GH976">
        <v>2.1489411604297808</v>
      </c>
      <c r="GI976">
        <v>4.5145164419735497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24.988516071549547</v>
      </c>
      <c r="AO977">
        <v>4.9854999688392336</v>
      </c>
      <c r="AP977">
        <v>31.862568033015034</v>
      </c>
      <c r="AQ977">
        <v>29.179325257406692</v>
      </c>
      <c r="AR977">
        <v>4.6598534553422271</v>
      </c>
      <c r="AS977">
        <v>23.318419974468263</v>
      </c>
      <c r="AT977">
        <v>3.0950503859990146</v>
      </c>
      <c r="AU977">
        <v>4.2292159571678738</v>
      </c>
      <c r="AV977"/>
      <c r="AW977"/>
      <c r="FY977" s="210">
        <v>972</v>
      </c>
      <c r="FZ977">
        <v>0.95343718288158397</v>
      </c>
      <c r="GA977">
        <v>3.0174687299466116</v>
      </c>
      <c r="GB977">
        <v>1.5484693262203559</v>
      </c>
      <c r="GC977">
        <v>0.47783774845664417</v>
      </c>
      <c r="GD977">
        <v>2.1764076017465421</v>
      </c>
      <c r="GE977">
        <v>4.5679343044497021</v>
      </c>
      <c r="GF977">
        <v>4.2540283996701858</v>
      </c>
      <c r="GG977">
        <v>4.3912482304691665</v>
      </c>
      <c r="GH977">
        <v>2.8656650266884034</v>
      </c>
      <c r="GI977">
        <v>3.0641335618691663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24.270190458775794</v>
      </c>
      <c r="AO978">
        <v>4.3531518376117972</v>
      </c>
      <c r="AP978">
        <v>33.430270403472889</v>
      </c>
      <c r="AQ978">
        <v>28.235216127304668</v>
      </c>
      <c r="AR978">
        <v>4.1209876535506123</v>
      </c>
      <c r="AS978">
        <v>20.620612551764854</v>
      </c>
      <c r="AT978">
        <v>2.5520195287105323</v>
      </c>
      <c r="AU978">
        <v>1.5884303267434279</v>
      </c>
      <c r="AV978"/>
      <c r="AW978"/>
      <c r="FY978" s="210">
        <v>973</v>
      </c>
      <c r="FZ978">
        <v>0.95332441819265212</v>
      </c>
      <c r="GA978">
        <v>3.7272078030049229</v>
      </c>
      <c r="GB978">
        <v>3.2229882980262863</v>
      </c>
      <c r="GC978">
        <v>1.2123014476809562</v>
      </c>
      <c r="GD978">
        <v>1.7142030944150635</v>
      </c>
      <c r="GE978">
        <v>4.9579410944205211</v>
      </c>
      <c r="GF978">
        <v>8.209309531779942</v>
      </c>
      <c r="GG978">
        <v>5.6696695751734802</v>
      </c>
      <c r="GH978">
        <v>3.1138314915176992</v>
      </c>
      <c r="GI978">
        <v>3.9792750999900761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25.270147634431112</v>
      </c>
      <c r="AO979">
        <v>4.687086440364844</v>
      </c>
      <c r="AP979">
        <v>28.981979284937598</v>
      </c>
      <c r="AQ979">
        <v>26.8096970032549</v>
      </c>
      <c r="AR979">
        <v>4.333278954837156</v>
      </c>
      <c r="AS979">
        <v>22.502526116968703</v>
      </c>
      <c r="AT979">
        <v>2.8340908122189212</v>
      </c>
      <c r="AU979">
        <v>5.9169588966733135</v>
      </c>
      <c r="AV979"/>
      <c r="AW979"/>
      <c r="FY979" s="210">
        <v>974</v>
      </c>
      <c r="FZ979">
        <v>1.4411399147927795</v>
      </c>
      <c r="GA979">
        <v>2.7967875800874524</v>
      </c>
      <c r="GB979">
        <v>2.785783745446301</v>
      </c>
      <c r="GC979">
        <v>1.4300979126391604</v>
      </c>
      <c r="GD979">
        <v>1.6333614564512544</v>
      </c>
      <c r="GE979">
        <v>4.2495687489597236</v>
      </c>
      <c r="GF979">
        <v>6.4460227310196805</v>
      </c>
      <c r="GG979">
        <v>10.227873956046302</v>
      </c>
      <c r="GH979">
        <v>10.46431450881037</v>
      </c>
      <c r="GI979">
        <v>4.7419328083118204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33.676023748174487</v>
      </c>
      <c r="AO980">
        <v>6.3444965811394569</v>
      </c>
      <c r="AP980">
        <v>46.110449302835072</v>
      </c>
      <c r="AQ980">
        <v>39.253168897094461</v>
      </c>
      <c r="AR980">
        <v>5.9473416420228533</v>
      </c>
      <c r="AS980">
        <v>29.357915640450319</v>
      </c>
      <c r="AT980">
        <v>3.9071065566180216</v>
      </c>
      <c r="AU980">
        <v>8.3632115056013223</v>
      </c>
      <c r="AV980"/>
      <c r="AW980"/>
      <c r="FY980" s="210">
        <v>975</v>
      </c>
      <c r="FZ980">
        <v>0.92664039897638417</v>
      </c>
      <c r="GA980">
        <v>2.2459243167099303</v>
      </c>
      <c r="GB980">
        <v>1.5809313987082532</v>
      </c>
      <c r="GC980">
        <v>0.86126402935994506</v>
      </c>
      <c r="GD980">
        <v>3.2976793936789885</v>
      </c>
      <c r="GE980">
        <v>7.6773685801236979</v>
      </c>
      <c r="GF980">
        <v>6.9142711995748662</v>
      </c>
      <c r="GG980">
        <v>5.4830279957227397</v>
      </c>
      <c r="GH980">
        <v>4.0550476165182507</v>
      </c>
      <c r="GI980">
        <v>4.4032080343374238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25.188235419872619</v>
      </c>
      <c r="AO981">
        <v>5.039090225520126</v>
      </c>
      <c r="AP981">
        <v>33.032097167455049</v>
      </c>
      <c r="AQ981">
        <v>29.714204541700237</v>
      </c>
      <c r="AR981">
        <v>4.621366844365939</v>
      </c>
      <c r="AS981">
        <v>22.785726094484044</v>
      </c>
      <c r="AT981">
        <v>3.1566371878909938</v>
      </c>
      <c r="AU981">
        <v>3.7768241868383043</v>
      </c>
      <c r="AV981"/>
      <c r="AW981"/>
      <c r="FY981" s="210">
        <v>976</v>
      </c>
      <c r="FZ981">
        <v>0.89152583865644019</v>
      </c>
      <c r="GA981">
        <v>1.8324470504592882</v>
      </c>
      <c r="GB981">
        <v>1.3201524170084697</v>
      </c>
      <c r="GC981">
        <v>0.87205509428408134</v>
      </c>
      <c r="GD981">
        <v>1.6158422023030121</v>
      </c>
      <c r="GE981">
        <v>4.0193807904369541</v>
      </c>
      <c r="GF981">
        <v>4.5640459667889255</v>
      </c>
      <c r="GG981">
        <v>4.056373419678728</v>
      </c>
      <c r="GH981">
        <v>3.9718291180958345</v>
      </c>
      <c r="GI981">
        <v>2.8919438883207889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31.034565466257426</v>
      </c>
      <c r="AO982">
        <v>7.0687630897993801</v>
      </c>
      <c r="AP982">
        <v>52.440149691228463</v>
      </c>
      <c r="AQ982">
        <v>44.757608788024228</v>
      </c>
      <c r="AR982">
        <v>6.5399298546767772</v>
      </c>
      <c r="AS982">
        <v>29.967835721849212</v>
      </c>
      <c r="AT982">
        <v>4.5987173168703617</v>
      </c>
      <c r="AU982">
        <v>-1.2931962619401531</v>
      </c>
      <c r="AV982"/>
      <c r="AW982"/>
      <c r="FY982" s="210">
        <v>977</v>
      </c>
      <c r="FZ982">
        <v>0.72680480301916284</v>
      </c>
      <c r="GA982">
        <v>1.5872238166636508</v>
      </c>
      <c r="GB982">
        <v>0.81666665203594269</v>
      </c>
      <c r="GC982">
        <v>0.46949742744084544</v>
      </c>
      <c r="GD982">
        <v>1.3222723145152879</v>
      </c>
      <c r="GE982">
        <v>3.6735965558873946</v>
      </c>
      <c r="GF982">
        <v>5.647318948721904</v>
      </c>
      <c r="GG982">
        <v>7.3786555860146805</v>
      </c>
      <c r="GH982">
        <v>7.3823541338900318</v>
      </c>
      <c r="GI982">
        <v>3.3163193589283857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34.255461586343941</v>
      </c>
      <c r="AO983">
        <v>6.0439483919172003</v>
      </c>
      <c r="AP983">
        <v>40.389634302686474</v>
      </c>
      <c r="AQ983">
        <v>35.946072301032359</v>
      </c>
      <c r="AR983">
        <v>5.6865188500119022</v>
      </c>
      <c r="AS983">
        <v>28.407486433649733</v>
      </c>
      <c r="AT983">
        <v>3.5434951211503889</v>
      </c>
      <c r="AU983">
        <v>5.9568086147073585</v>
      </c>
      <c r="AV983"/>
      <c r="AW983"/>
      <c r="FY983" s="210">
        <v>978</v>
      </c>
      <c r="FZ983">
        <v>1.93519025701568</v>
      </c>
      <c r="GA983">
        <v>2.3866275764838649</v>
      </c>
      <c r="GB983">
        <v>1.0330061542110269</v>
      </c>
      <c r="GC983">
        <v>0.57172376478493647</v>
      </c>
      <c r="GD983">
        <v>1.6560816215123793</v>
      </c>
      <c r="GE983">
        <v>4.6497179540207689</v>
      </c>
      <c r="GF983">
        <v>5.1932623383099745</v>
      </c>
      <c r="GG983">
        <v>3.6306944614897683</v>
      </c>
      <c r="GH983">
        <v>3.4528726567050319</v>
      </c>
      <c r="GI983">
        <v>3.0377400620636483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29.73693221150981</v>
      </c>
      <c r="AO984">
        <v>6.6854589124542585</v>
      </c>
      <c r="AP984">
        <v>47.193483741346306</v>
      </c>
      <c r="AQ984">
        <v>41.664609754910828</v>
      </c>
      <c r="AR984">
        <v>6.2853833955674459</v>
      </c>
      <c r="AS984">
        <v>28.122976897807501</v>
      </c>
      <c r="AT984">
        <v>4.2798567380161616</v>
      </c>
      <c r="AU984">
        <v>3.0859363911327122</v>
      </c>
      <c r="AV984"/>
      <c r="AW984"/>
      <c r="FY984" s="210">
        <v>979</v>
      </c>
      <c r="FZ984">
        <v>1.344565069003419</v>
      </c>
      <c r="GA984">
        <v>1.6197624359135798</v>
      </c>
      <c r="GB984">
        <v>1.5949748105239887</v>
      </c>
      <c r="GC984">
        <v>0.92211478261506452</v>
      </c>
      <c r="GD984">
        <v>1.0584736538989064</v>
      </c>
      <c r="GE984">
        <v>3.0657886963621501</v>
      </c>
      <c r="GF984">
        <v>4.2533508460208704</v>
      </c>
      <c r="GG984">
        <v>6.84411044366718</v>
      </c>
      <c r="GH984">
        <v>8.0110797829101337</v>
      </c>
      <c r="GI984">
        <v>3.2809220663370193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24.093172784662148</v>
      </c>
      <c r="AO985">
        <v>5.1452859228291201</v>
      </c>
      <c r="AP985">
        <v>39.33911030312273</v>
      </c>
      <c r="AQ985">
        <v>32.836234017600631</v>
      </c>
      <c r="AR985">
        <v>4.8277945541837521</v>
      </c>
      <c r="AS985">
        <v>22.214109869105556</v>
      </c>
      <c r="AT985">
        <v>3.1274833821979762</v>
      </c>
      <c r="AU985">
        <v>-5.420518668249704</v>
      </c>
      <c r="AV985"/>
      <c r="AW985"/>
      <c r="FY985" s="210">
        <v>980</v>
      </c>
      <c r="FZ985">
        <v>0.94663851381415198</v>
      </c>
      <c r="GA985">
        <v>1.7340865499067935</v>
      </c>
      <c r="GB985">
        <v>1.363247712735113</v>
      </c>
      <c r="GC985">
        <v>0.75927609704311605</v>
      </c>
      <c r="GD985">
        <v>0.71708931816286026</v>
      </c>
      <c r="GE985">
        <v>1.6713455580213785</v>
      </c>
      <c r="GF985">
        <v>8.4834169398788433</v>
      </c>
      <c r="GG985">
        <v>12.244405814378528</v>
      </c>
      <c r="GH985">
        <v>8.4325906428356845</v>
      </c>
      <c r="GI985">
        <v>3.8397642760356883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19.906012434524634</v>
      </c>
      <c r="AO986">
        <v>4.1997165659868871</v>
      </c>
      <c r="AP986">
        <v>31.198713233778285</v>
      </c>
      <c r="AQ986">
        <v>26.307093929957155</v>
      </c>
      <c r="AR986">
        <v>4.0004047844535719</v>
      </c>
      <c r="AS986">
        <v>19.099113447117436</v>
      </c>
      <c r="AT986">
        <v>2.4801111457517941</v>
      </c>
      <c r="AU986">
        <v>0.86469854381331135</v>
      </c>
      <c r="AV986"/>
      <c r="AW986"/>
      <c r="FY986" s="210">
        <v>981</v>
      </c>
      <c r="FZ986">
        <v>1.3097888027502704</v>
      </c>
      <c r="GA986">
        <v>2.1982647856109989</v>
      </c>
      <c r="GB986">
        <v>1.699068649856829</v>
      </c>
      <c r="GC986">
        <v>1.1067363306054068</v>
      </c>
      <c r="GD986">
        <v>2.3035712331678431</v>
      </c>
      <c r="GE986">
        <v>5.1497842085390904</v>
      </c>
      <c r="GF986">
        <v>4.4136393703548222</v>
      </c>
      <c r="GG986">
        <v>5.9891921572941964</v>
      </c>
      <c r="GH986">
        <v>6.9724778394918214</v>
      </c>
      <c r="GI986">
        <v>3.9060670146244423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32.058507048709643</v>
      </c>
      <c r="AO987">
        <v>6.7609466972538765</v>
      </c>
      <c r="AP987">
        <v>43.903633268846825</v>
      </c>
      <c r="AQ987">
        <v>39.560096097217311</v>
      </c>
      <c r="AR987">
        <v>6.1441250429286534</v>
      </c>
      <c r="AS987">
        <v>29.532968870012951</v>
      </c>
      <c r="AT987">
        <v>3.9867054003023359</v>
      </c>
      <c r="AU987">
        <v>6.6379292364503844</v>
      </c>
      <c r="AV987"/>
      <c r="AW987"/>
      <c r="FY987" s="210">
        <v>982</v>
      </c>
      <c r="FZ987">
        <v>1.0831564228878492</v>
      </c>
      <c r="GA987">
        <v>1.3898963159645432</v>
      </c>
      <c r="GB987">
        <v>0.96952102071558133</v>
      </c>
      <c r="GC987">
        <v>0.95160896785213911</v>
      </c>
      <c r="GD987">
        <v>2.6861215591628618</v>
      </c>
      <c r="GE987">
        <v>7.3443159463200356</v>
      </c>
      <c r="GF987">
        <v>7.0339194468517059</v>
      </c>
      <c r="GG987">
        <v>2.9155617860322049</v>
      </c>
      <c r="GH987">
        <v>2.6026927182091013</v>
      </c>
      <c r="GI987">
        <v>3.6902298968335212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22.084898652473353</v>
      </c>
      <c r="AO988">
        <v>4.5009989411961868</v>
      </c>
      <c r="AP988">
        <v>30.576040511723512</v>
      </c>
      <c r="AQ988">
        <v>27.316630112398364</v>
      </c>
      <c r="AR988">
        <v>4.24513665766702</v>
      </c>
      <c r="AS988">
        <v>21.250458345800432</v>
      </c>
      <c r="AT988">
        <v>2.7426180166795535</v>
      </c>
      <c r="AU988">
        <v>3.4825700086963334</v>
      </c>
      <c r="AV988"/>
      <c r="AW988"/>
      <c r="FY988" s="210">
        <v>983</v>
      </c>
      <c r="FZ988">
        <v>0.73303964864193583</v>
      </c>
      <c r="GA988">
        <v>1.6330259135347593</v>
      </c>
      <c r="GB988">
        <v>1.0271276352316705</v>
      </c>
      <c r="GC988">
        <v>0.49863695748132053</v>
      </c>
      <c r="GD988">
        <v>1.6319765644175754</v>
      </c>
      <c r="GE988">
        <v>4.3517950200115889</v>
      </c>
      <c r="GF988">
        <v>8.1671294773270429</v>
      </c>
      <c r="GG988">
        <v>10.948696688674513</v>
      </c>
      <c r="GH988">
        <v>10.121715425315793</v>
      </c>
      <c r="GI988">
        <v>4.4651125792114481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29.373640206673684</v>
      </c>
      <c r="AO989">
        <v>5.8006595445339197</v>
      </c>
      <c r="AP989">
        <v>44.3572592263451</v>
      </c>
      <c r="AQ989">
        <v>36.760051854201599</v>
      </c>
      <c r="AR989">
        <v>5.4287870943365037</v>
      </c>
      <c r="AS989">
        <v>27.638770070010928</v>
      </c>
      <c r="AT989">
        <v>3.6499605015853454</v>
      </c>
      <c r="AU989">
        <v>3.4083919977493089</v>
      </c>
      <c r="AV989"/>
      <c r="AW989"/>
      <c r="FY989" s="210">
        <v>984</v>
      </c>
      <c r="FZ989">
        <v>0.84405435177988197</v>
      </c>
      <c r="GA989">
        <v>2.4793247227177897</v>
      </c>
      <c r="GB989">
        <v>1.7752098250623769</v>
      </c>
      <c r="GC989">
        <v>0.57242350554284127</v>
      </c>
      <c r="GD989">
        <v>1.2619081653300177</v>
      </c>
      <c r="GE989">
        <v>5.1314757722416093</v>
      </c>
      <c r="GF989">
        <v>6.7653411469965743</v>
      </c>
      <c r="GG989">
        <v>5.3297073433484705</v>
      </c>
      <c r="GH989">
        <v>5.7265503345607014</v>
      </c>
      <c r="GI989">
        <v>3.4726977225115676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26.831934269434271</v>
      </c>
      <c r="AO990">
        <v>7.0005679294603</v>
      </c>
      <c r="AP990">
        <v>56.38126268275397</v>
      </c>
      <c r="AQ990">
        <v>46.21688336256485</v>
      </c>
      <c r="AR990">
        <v>6.5616496127035404</v>
      </c>
      <c r="AS990">
        <v>29.355405342143591</v>
      </c>
      <c r="AT990">
        <v>4.4014115096929531</v>
      </c>
      <c r="AU990">
        <v>32.60389117510443</v>
      </c>
      <c r="AV990"/>
      <c r="AW990"/>
      <c r="FY990" s="210">
        <v>985</v>
      </c>
      <c r="FZ990">
        <v>1.7563676580966125</v>
      </c>
      <c r="GA990">
        <v>3.3069125295750905</v>
      </c>
      <c r="GB990">
        <v>1.3429543018187924</v>
      </c>
      <c r="GC990">
        <v>0.5056155661814502</v>
      </c>
      <c r="GD990">
        <v>1.8883671264031321</v>
      </c>
      <c r="GE990">
        <v>4.5049005902298385</v>
      </c>
      <c r="GF990">
        <v>5.1777038906375745</v>
      </c>
      <c r="GG990">
        <v>4.2371270346313494</v>
      </c>
      <c r="GH990">
        <v>2.7424474938955639</v>
      </c>
      <c r="GI990">
        <v>3.1107350902122319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35.463527451578919</v>
      </c>
      <c r="AO991">
        <v>6.4298622778748751</v>
      </c>
      <c r="AP991">
        <v>40.911014790440767</v>
      </c>
      <c r="AQ991">
        <v>37.44536296371048</v>
      </c>
      <c r="AR991">
        <v>6.0479598224798048</v>
      </c>
      <c r="AS991">
        <v>30.977966714835549</v>
      </c>
      <c r="AT991">
        <v>3.9146309745912826</v>
      </c>
      <c r="AU991">
        <v>12.543521569460964</v>
      </c>
      <c r="AV991"/>
      <c r="AW991"/>
      <c r="FY991" s="210">
        <v>986</v>
      </c>
      <c r="FZ991">
        <v>0.99411000069071032</v>
      </c>
      <c r="GA991">
        <v>1.9484807103215533</v>
      </c>
      <c r="GB991">
        <v>0.97077336388302515</v>
      </c>
      <c r="GC991">
        <v>0.50854321688731141</v>
      </c>
      <c r="GD991">
        <v>2.074517665522448</v>
      </c>
      <c r="GE991">
        <v>5.4938192470229179</v>
      </c>
      <c r="GF991">
        <v>7.4787151573140438</v>
      </c>
      <c r="GG991">
        <v>7.9253548423920028</v>
      </c>
      <c r="GH991">
        <v>5.7302950316199004</v>
      </c>
      <c r="GI991">
        <v>3.9092802373833195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20.533313042210882</v>
      </c>
      <c r="AO992">
        <v>4.2187456034659343</v>
      </c>
      <c r="AP992">
        <v>29.790989857529702</v>
      </c>
      <c r="AQ992">
        <v>26.03559578603252</v>
      </c>
      <c r="AR992">
        <v>3.9433433339998252</v>
      </c>
      <c r="AS992">
        <v>18.441754800836545</v>
      </c>
      <c r="AT992">
        <v>2.7573940465860289</v>
      </c>
      <c r="AU992">
        <v>3.3423419377772383</v>
      </c>
      <c r="AV992"/>
      <c r="AW992"/>
      <c r="FY992" s="210">
        <v>987</v>
      </c>
      <c r="FZ992">
        <v>0.84208418567684251</v>
      </c>
      <c r="GA992">
        <v>2.2847795094878465</v>
      </c>
      <c r="GB992">
        <v>2.2271766233872938</v>
      </c>
      <c r="GC992">
        <v>1.4277649844346785</v>
      </c>
      <c r="GD992">
        <v>1.8235169154735464</v>
      </c>
      <c r="GE992">
        <v>3.7011514191580215</v>
      </c>
      <c r="GF992">
        <v>6.3505135276130957</v>
      </c>
      <c r="GG992">
        <v>8.2011498300222989</v>
      </c>
      <c r="GH992">
        <v>6.4598114437129475</v>
      </c>
      <c r="GI992">
        <v>3.9627158594583451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24.260183972206811</v>
      </c>
      <c r="AO993">
        <v>4.8638157934086266</v>
      </c>
      <c r="AP993">
        <v>38.686110839228121</v>
      </c>
      <c r="AQ993">
        <v>32.320709597117286</v>
      </c>
      <c r="AR993">
        <v>4.5628366760767873</v>
      </c>
      <c r="AS993">
        <v>18.784267035094178</v>
      </c>
      <c r="AT993">
        <v>2.7824669638759958</v>
      </c>
      <c r="AU993">
        <v>-0.78234292085510126</v>
      </c>
      <c r="AV993"/>
      <c r="AW993"/>
      <c r="FY993" s="210">
        <v>988</v>
      </c>
      <c r="FZ993">
        <v>1.0087753874171592</v>
      </c>
      <c r="GA993">
        <v>2.0515204835404437</v>
      </c>
      <c r="GB993">
        <v>1.6248905818133152</v>
      </c>
      <c r="GC993">
        <v>1.1917376068645658</v>
      </c>
      <c r="GD993">
        <v>1.0304672073690464</v>
      </c>
      <c r="GE993">
        <v>2.219400161772783</v>
      </c>
      <c r="GF993">
        <v>6.6216202370146195</v>
      </c>
      <c r="GG993">
        <v>9.3887558543055771</v>
      </c>
      <c r="GH993">
        <v>7.7666280609449396</v>
      </c>
      <c r="GI993">
        <v>3.6234064999102138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24.383031898656895</v>
      </c>
      <c r="AO994">
        <v>4.3505462620247437</v>
      </c>
      <c r="AP994">
        <v>31.043991778048884</v>
      </c>
      <c r="AQ994">
        <v>27.546916846597078</v>
      </c>
      <c r="AR994">
        <v>4.1062945311761476</v>
      </c>
      <c r="AS994">
        <v>19.969212840847561</v>
      </c>
      <c r="AT994">
        <v>2.8963806226924418</v>
      </c>
      <c r="AU994">
        <v>-4.0877195157492583</v>
      </c>
      <c r="AV994"/>
      <c r="AW994"/>
      <c r="FY994" s="210">
        <v>989</v>
      </c>
      <c r="FZ994">
        <v>1.3656908307305047</v>
      </c>
      <c r="GA994">
        <v>2.8898126636267967</v>
      </c>
      <c r="GB994">
        <v>1.6121459607823749</v>
      </c>
      <c r="GC994">
        <v>0.69687846996908764</v>
      </c>
      <c r="GD994">
        <v>1.7479306621180646</v>
      </c>
      <c r="GE994">
        <v>7.3029402214600854</v>
      </c>
      <c r="GF994">
        <v>10.819987000099161</v>
      </c>
      <c r="GG994">
        <v>6.2198078445938094</v>
      </c>
      <c r="GH994">
        <v>4.2585304479810286</v>
      </c>
      <c r="GI994">
        <v>4.3239394843330379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22.740621026779504</v>
      </c>
      <c r="AO995">
        <v>4.7757966801329825</v>
      </c>
      <c r="AP995">
        <v>38.80326136544678</v>
      </c>
      <c r="AQ995">
        <v>31.995142587252314</v>
      </c>
      <c r="AR995">
        <v>4.519782921346728</v>
      </c>
      <c r="AS995">
        <v>20.661649034811578</v>
      </c>
      <c r="AT995">
        <v>3.2455928659701976</v>
      </c>
      <c r="AU995">
        <v>4.1864650689248668</v>
      </c>
      <c r="AV995"/>
      <c r="AW995"/>
      <c r="FY995" s="210">
        <v>990</v>
      </c>
      <c r="FZ995">
        <v>0.65899690723804139</v>
      </c>
      <c r="GA995">
        <v>2.5596996851614322</v>
      </c>
      <c r="GB995">
        <v>2.1445972093243615</v>
      </c>
      <c r="GC995">
        <v>1.0990611147093485</v>
      </c>
      <c r="GD995">
        <v>1.0798424731160159</v>
      </c>
      <c r="GE995">
        <v>2.6330029705183922</v>
      </c>
      <c r="GF995">
        <v>5.3959720177471677</v>
      </c>
      <c r="GG995">
        <v>4.0445624510229576</v>
      </c>
      <c r="GH995">
        <v>2.4068660886819435</v>
      </c>
      <c r="GI995">
        <v>2.6515172468948838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29.771688670126174</v>
      </c>
      <c r="AO996">
        <v>5.7262496755412471</v>
      </c>
      <c r="AP996">
        <v>51.362591968580276</v>
      </c>
      <c r="AQ996">
        <v>40.19186142281216</v>
      </c>
      <c r="AR996">
        <v>5.3622539965901383</v>
      </c>
      <c r="AS996">
        <v>22.951368401056772</v>
      </c>
      <c r="AT996">
        <v>3.1396332688108974</v>
      </c>
      <c r="AU996">
        <v>47.567814701657298</v>
      </c>
      <c r="AV996"/>
      <c r="AW996"/>
      <c r="FY996" s="210">
        <v>991</v>
      </c>
      <c r="FZ996">
        <v>1.3923748499467725</v>
      </c>
      <c r="GA996">
        <v>1.6516286573682606</v>
      </c>
      <c r="GB996">
        <v>1.2529662152564514</v>
      </c>
      <c r="GC996">
        <v>0.89350070379964075</v>
      </c>
      <c r="GD996">
        <v>1.7337538894864766</v>
      </c>
      <c r="GE996">
        <v>3.730389330556759</v>
      </c>
      <c r="GF996">
        <v>4.076398200532223</v>
      </c>
      <c r="GG996">
        <v>5.9349138336751857</v>
      </c>
      <c r="GH996">
        <v>5.3912452285953414</v>
      </c>
      <c r="GI996">
        <v>3.1467837947748594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23.304184531832369</v>
      </c>
      <c r="AO997">
        <v>5.689504561441761</v>
      </c>
      <c r="AP997">
        <v>39.868122219640533</v>
      </c>
      <c r="AQ997">
        <v>35.048590392295722</v>
      </c>
      <c r="AR997">
        <v>5.3848168027961991</v>
      </c>
      <c r="AS997">
        <v>24.006345615462923</v>
      </c>
      <c r="AT997">
        <v>3.7602991072642276</v>
      </c>
      <c r="AU997">
        <v>1.7264448453429637</v>
      </c>
      <c r="AV997"/>
      <c r="AW997"/>
      <c r="FY997" s="210">
        <v>992</v>
      </c>
      <c r="FZ997">
        <v>0.64433152051159248</v>
      </c>
      <c r="GA997">
        <v>1.3852235515964613</v>
      </c>
      <c r="GB997">
        <v>1.0179631830476361</v>
      </c>
      <c r="GC997">
        <v>1.0013595085950735</v>
      </c>
      <c r="GD997">
        <v>2.9276590082914509</v>
      </c>
      <c r="GE997">
        <v>6.4507919998456487</v>
      </c>
      <c r="GF997">
        <v>7.9420639198396739</v>
      </c>
      <c r="GG997">
        <v>6.982039777722056</v>
      </c>
      <c r="GH997">
        <v>4.4277977504640775</v>
      </c>
      <c r="GI997">
        <v>4.252054556332431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32.2235597497546</v>
      </c>
      <c r="AO998">
        <v>5.3273539671164354</v>
      </c>
      <c r="AP998">
        <v>32.481979394857518</v>
      </c>
      <c r="AQ998">
        <v>30.667024080829545</v>
      </c>
      <c r="AR998">
        <v>4.9374518431227692</v>
      </c>
      <c r="AS998">
        <v>23.956744820504653</v>
      </c>
      <c r="AT998">
        <v>3.5797707767217872</v>
      </c>
      <c r="AU998">
        <v>17.533534891466164</v>
      </c>
      <c r="AV998"/>
      <c r="AW998"/>
      <c r="FY998" s="210">
        <v>993</v>
      </c>
      <c r="FZ998">
        <v>1.0546150022574736</v>
      </c>
      <c r="GA998">
        <v>1.792656538698616</v>
      </c>
      <c r="GB998">
        <v>1.8509716726150529</v>
      </c>
      <c r="GC998">
        <v>1.4683419798901733</v>
      </c>
      <c r="GD998">
        <v>2.4604575123891683</v>
      </c>
      <c r="GE998">
        <v>4.5478548455739656</v>
      </c>
      <c r="GF998">
        <v>5.8114712930523735</v>
      </c>
      <c r="GG998">
        <v>7.0340600058187261</v>
      </c>
      <c r="GH998">
        <v>6.362391694852592</v>
      </c>
      <c r="GI998">
        <v>4.1722605253913425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27.219830720749837</v>
      </c>
      <c r="AO999">
        <v>6.5048336136994056</v>
      </c>
      <c r="AP999">
        <v>53.173780784555049</v>
      </c>
      <c r="AQ999">
        <v>43.578255909847648</v>
      </c>
      <c r="AR999">
        <v>6.1924641603586918</v>
      </c>
      <c r="AS999">
        <v>30.082707900103653</v>
      </c>
      <c r="AT999">
        <v>4.181899332841744</v>
      </c>
      <c r="AU999">
        <v>4.8635495566300548</v>
      </c>
      <c r="AV999"/>
      <c r="AW999"/>
      <c r="FY999" s="210">
        <v>994</v>
      </c>
      <c r="FZ999">
        <v>1.48271485011336</v>
      </c>
      <c r="GA999">
        <v>2.7323441493937826</v>
      </c>
      <c r="GB999">
        <v>2.1223772026549126</v>
      </c>
      <c r="GC999">
        <v>1.0162878451411459</v>
      </c>
      <c r="GD999">
        <v>2.8570648761817838</v>
      </c>
      <c r="GE999">
        <v>6.632335473693483</v>
      </c>
      <c r="GF999">
        <v>6.4562789709607955</v>
      </c>
      <c r="GG999">
        <v>5.6348772533562288</v>
      </c>
      <c r="GH999">
        <v>3.6836636188961158</v>
      </c>
      <c r="GI999">
        <v>4.2223861031279029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24.233222260649121</v>
      </c>
      <c r="AO1000">
        <v>5.0679376370272333</v>
      </c>
      <c r="AP1000">
        <v>39.609565313191368</v>
      </c>
      <c r="AQ1000">
        <v>33.358692890091831</v>
      </c>
      <c r="AR1000">
        <v>4.6515754400200109</v>
      </c>
      <c r="AS1000">
        <v>23.89869247256922</v>
      </c>
      <c r="AT1000">
        <v>3.0533753352768129</v>
      </c>
      <c r="AU1000">
        <v>-2.5935501419945051E-2</v>
      </c>
      <c r="AV1000"/>
      <c r="AW1000"/>
      <c r="FY1000" s="210">
        <v>995</v>
      </c>
      <c r="FZ1000">
        <v>1.2683266321186215</v>
      </c>
      <c r="GA1000">
        <v>1.696101599750063</v>
      </c>
      <c r="GB1000">
        <v>0.69975231636479296</v>
      </c>
      <c r="GC1000">
        <v>0.34783359338774744</v>
      </c>
      <c r="GD1000">
        <v>2.1756249861898831</v>
      </c>
      <c r="GE1000">
        <v>4.9922574946102234</v>
      </c>
      <c r="GF1000">
        <v>7.3903143863049188</v>
      </c>
      <c r="GG1000">
        <v>9.3320886490529915</v>
      </c>
      <c r="GH1000">
        <v>7.0000757974943113</v>
      </c>
      <c r="GI1000">
        <v>4.1531330984246955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21.843894200365177</v>
      </c>
      <c r="AO1001">
        <v>4.5370616568764159</v>
      </c>
      <c r="AP1001">
        <v>32.482698348794706</v>
      </c>
      <c r="AQ1001">
        <v>28.573131281681633</v>
      </c>
      <c r="AR1001">
        <v>4.2636127128622512</v>
      </c>
      <c r="AS1001">
        <v>19.960611970044383</v>
      </c>
      <c r="AT1001">
        <v>2.8067570337550456</v>
      </c>
      <c r="AU1001">
        <v>4.1192786371189056</v>
      </c>
      <c r="AV1001"/>
      <c r="AW1001"/>
      <c r="FY1001" s="210">
        <v>996</v>
      </c>
      <c r="FZ1001">
        <v>1.2001804422707048</v>
      </c>
      <c r="GA1001">
        <v>3.2392230413643435</v>
      </c>
      <c r="GB1001">
        <v>2.0944603668582156</v>
      </c>
      <c r="GC1001">
        <v>0.74051973320615594</v>
      </c>
      <c r="GD1001">
        <v>1.7437187365472024</v>
      </c>
      <c r="GE1001">
        <v>3.9563478617601504</v>
      </c>
      <c r="GF1001">
        <v>6.0100155408379905</v>
      </c>
      <c r="GG1001">
        <v>7.0894059884414276</v>
      </c>
      <c r="GH1001">
        <v>5.6104824434822484</v>
      </c>
      <c r="GI1001">
        <v>3.7504241905137801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28.039011250867865</v>
      </c>
      <c r="AO1002">
        <v>5.821554026822076</v>
      </c>
      <c r="AP1002">
        <v>42.809198016368221</v>
      </c>
      <c r="AQ1002">
        <v>37.033889473037235</v>
      </c>
      <c r="AR1002">
        <v>5.3540081092358793</v>
      </c>
      <c r="AS1002">
        <v>25.370937095077966</v>
      </c>
      <c r="AT1002">
        <v>3.4585757562434032</v>
      </c>
      <c r="AU1002">
        <v>25.468862910495684</v>
      </c>
      <c r="AV1002"/>
      <c r="AW1002"/>
      <c r="FY1002" s="210">
        <v>997</v>
      </c>
      <c r="FZ1002">
        <v>0.85686233709222337</v>
      </c>
      <c r="GA1002">
        <v>2.9697118004062486</v>
      </c>
      <c r="GB1002">
        <v>1.995261285841619</v>
      </c>
      <c r="GC1002">
        <v>0.86545150768692647</v>
      </c>
      <c r="GD1002">
        <v>0.8186982939856069</v>
      </c>
      <c r="GE1002">
        <v>2.2245829461653499</v>
      </c>
      <c r="GF1002">
        <v>5.3408514005631318</v>
      </c>
      <c r="GG1002">
        <v>5.3014491374707111</v>
      </c>
      <c r="GH1002">
        <v>3.3036109949265451</v>
      </c>
      <c r="GI1002">
        <v>2.6234546969449148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29.710781492197707</v>
      </c>
      <c r="AO1003">
        <v>5.8621092283866414</v>
      </c>
      <c r="AP1003">
        <v>44.488286903330845</v>
      </c>
      <c r="AQ1003">
        <v>37.280664298424909</v>
      </c>
      <c r="AR1003">
        <v>5.4802168477610103</v>
      </c>
      <c r="AS1003">
        <v>26.076915521798618</v>
      </c>
      <c r="AT1003">
        <v>3.5278701359671572</v>
      </c>
      <c r="AU1003">
        <v>-0.18205492658506328</v>
      </c>
      <c r="AV1003"/>
      <c r="AW1003"/>
      <c r="FY1003" s="210">
        <v>998</v>
      </c>
      <c r="FZ1003">
        <v>0.80927808552673319</v>
      </c>
      <c r="GA1003">
        <v>2.4560395482631585</v>
      </c>
      <c r="GB1003">
        <v>1.460323447410383</v>
      </c>
      <c r="GC1003">
        <v>0.96891906476627976</v>
      </c>
      <c r="GD1003">
        <v>2.3503367515848606</v>
      </c>
      <c r="GE1003">
        <v>5.4075610190600738</v>
      </c>
      <c r="GF1003">
        <v>4.5390960658111785</v>
      </c>
      <c r="GG1003">
        <v>5.5956848818936198</v>
      </c>
      <c r="GH1003">
        <v>5.6907477421521859</v>
      </c>
      <c r="GI1003">
        <v>3.6239241667720901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24.979087174399673</v>
      </c>
      <c r="AO1004">
        <v>5.3705866223620387</v>
      </c>
      <c r="AP1004">
        <v>45.259695368217052</v>
      </c>
      <c r="AQ1004">
        <v>36.527202080952662</v>
      </c>
      <c r="AR1004">
        <v>4.9975330516905974</v>
      </c>
      <c r="AS1004">
        <v>25.47398648775485</v>
      </c>
      <c r="AT1004">
        <v>3.1353408257015722</v>
      </c>
      <c r="AU1004">
        <v>-1.8732173028380141</v>
      </c>
      <c r="AV1004"/>
      <c r="AW1004"/>
      <c r="FY1004" s="210">
        <v>999</v>
      </c>
      <c r="FZ1004">
        <v>1.2827664894672071</v>
      </c>
      <c r="GA1004">
        <v>2.9831455818238961</v>
      </c>
      <c r="GB1004">
        <v>2.1194221094187728</v>
      </c>
      <c r="GC1004">
        <v>0.76839933888251122</v>
      </c>
      <c r="GD1004">
        <v>1.8512586143079246</v>
      </c>
      <c r="GE1004">
        <v>5.6119481863099132</v>
      </c>
      <c r="GF1004">
        <v>7.8714969401635635</v>
      </c>
      <c r="GG1004">
        <v>7.6023051614246366</v>
      </c>
      <c r="GH1004">
        <v>5.3912452285953414</v>
      </c>
      <c r="GI1004">
        <v>4.1230645890449011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32.374986704197042</v>
      </c>
      <c r="AO1005">
        <v>6.4129099308275048</v>
      </c>
      <c r="AP1005">
        <v>48.277587014168709</v>
      </c>
      <c r="AQ1005">
        <v>41.237663585693952</v>
      </c>
      <c r="AR1005">
        <v>5.7208788525378305</v>
      </c>
      <c r="AS1005">
        <v>27.247089609935284</v>
      </c>
      <c r="AT1005">
        <v>4.0030420589190161</v>
      </c>
      <c r="AU1005">
        <v>9.9858332577698015</v>
      </c>
      <c r="AV1005"/>
      <c r="AW1005"/>
      <c r="FY1005" s="210">
        <v>1000</v>
      </c>
      <c r="FZ1005">
        <v>1.1120361375850203</v>
      </c>
      <c r="GA1005">
        <v>2.3913272215338401</v>
      </c>
      <c r="GB1005">
        <v>1.8781722206374392</v>
      </c>
      <c r="GC1005">
        <v>0.9469649496340089</v>
      </c>
      <c r="GD1005">
        <v>2.2404800014971937</v>
      </c>
      <c r="GE1005">
        <v>5.9195110959681152</v>
      </c>
      <c r="GF1005">
        <v>7.4111966132226677</v>
      </c>
      <c r="GG1005">
        <v>6.758686525750746</v>
      </c>
      <c r="GH1005">
        <v>4.9496093786165254</v>
      </c>
      <c r="GI1005">
        <v>4.1089122048517064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20.012675361333841</v>
      </c>
      <c r="AO1006">
        <v>3.8652926791755688</v>
      </c>
      <c r="AP1006">
        <v>30.105636858281972</v>
      </c>
      <c r="AQ1006">
        <v>24.674118164414544</v>
      </c>
      <c r="AR1006">
        <v>3.6211350864782625</v>
      </c>
      <c r="AS1006">
        <v>17.581462890824618</v>
      </c>
      <c r="AT1006">
        <v>2.4437941725775074</v>
      </c>
      <c r="AU1006">
        <v>4.3458326132945615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25.599024358675088</v>
      </c>
      <c r="AO1007">
        <v>4.6339412756203258</v>
      </c>
      <c r="AP1007">
        <v>33.569792276857491</v>
      </c>
      <c r="AQ1007">
        <v>29.203954703991968</v>
      </c>
      <c r="AR1007">
        <v>4.3385097574309173</v>
      </c>
      <c r="AS1007">
        <v>20.3096743732238</v>
      </c>
      <c r="AT1007">
        <v>2.7917164992176935</v>
      </c>
      <c r="AU1007">
        <v>-0.11263464495810238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36.625410546219754</v>
      </c>
      <c r="AO1008">
        <v>6.2461303890635831</v>
      </c>
      <c r="AP1008">
        <v>41.322685318159486</v>
      </c>
      <c r="AQ1008">
        <v>37.031284776246103</v>
      </c>
      <c r="AR1008">
        <v>5.8318788576793823</v>
      </c>
      <c r="AS1008">
        <v>28.934659006741544</v>
      </c>
      <c r="AT1008">
        <v>3.7146855593895558</v>
      </c>
      <c r="AU1008">
        <v>5.4599100230295887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23.562555169026147</v>
      </c>
      <c r="AO1009">
        <v>6.027149857008844</v>
      </c>
      <c r="AP1009">
        <v>42.566047380151666</v>
      </c>
      <c r="AQ1009">
        <v>36.555081070539487</v>
      </c>
      <c r="AR1009">
        <v>5.8291739862920817</v>
      </c>
      <c r="AS1009">
        <v>27.337785318963579</v>
      </c>
      <c r="AT1009">
        <v>4.0164923368797405</v>
      </c>
      <c r="AU1009">
        <v>7.7181749753308289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30.521433172628026</v>
      </c>
      <c r="AO1010">
        <v>6.1942539380623645</v>
      </c>
      <c r="AP1010">
        <v>41.188724800151178</v>
      </c>
      <c r="AQ1010">
        <v>36.840330343519511</v>
      </c>
      <c r="AR1010">
        <v>5.8070018460367354</v>
      </c>
      <c r="AS1010">
        <v>27.622172034638684</v>
      </c>
      <c r="AT1010">
        <v>4.0231030614868324</v>
      </c>
      <c r="AU1010">
        <v>12.518318872563182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27.470201053234529</v>
      </c>
      <c r="AO1011">
        <v>6.0955696803155206</v>
      </c>
      <c r="AP1011">
        <v>46.00366895078691</v>
      </c>
      <c r="AQ1011">
        <v>39.055508553698253</v>
      </c>
      <c r="AR1011">
        <v>5.785306063829192</v>
      </c>
      <c r="AS1011">
        <v>26.383092556000015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24.353042544531906</v>
      </c>
      <c r="AO1012">
        <v>5.4614386045025292</v>
      </c>
      <c r="AP1012">
        <v>42.557983024610934</v>
      </c>
      <c r="AQ1012">
        <v>35.434778345282218</v>
      </c>
      <c r="AR1012">
        <v>5.2025609422400123</v>
      </c>
      <c r="AS1012">
        <v>25.602583433661984</v>
      </c>
      <c r="AT1012">
        <v>3.2859434111246966</v>
      </c>
      <c r="AU1012">
        <v>-0.97958509958354667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18.515284773097271</v>
      </c>
      <c r="AO1013">
        <v>3.9172799786981622</v>
      </c>
      <c r="AP1013">
        <v>32.606670695784977</v>
      </c>
      <c r="AQ1013">
        <v>26.299934401083277</v>
      </c>
      <c r="AR1013">
        <v>3.5791722599452829</v>
      </c>
      <c r="AS1013">
        <v>16.557611111102741</v>
      </c>
      <c r="AT1013" t="e">
        <v>#DIV/0!</v>
      </c>
      <c r="AU1013" t="e">
        <v>#DIV/0!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22.8900541440435</v>
      </c>
      <c r="AO1014">
        <v>5.4296325050402503</v>
      </c>
      <c r="AP1014">
        <v>36.743778421393742</v>
      </c>
      <c r="AQ1014">
        <v>32.901910773240559</v>
      </c>
      <c r="AR1014">
        <v>4.9526723542061326</v>
      </c>
      <c r="AS1014">
        <v>22.058184055075145</v>
      </c>
      <c r="AT1014">
        <v>3.3085035965214753</v>
      </c>
      <c r="AU1014">
        <v>-2.9362713075160571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28.308098934018052</v>
      </c>
      <c r="AO1015">
        <v>6.1380046643290012</v>
      </c>
      <c r="AP1015">
        <v>46.729249246881956</v>
      </c>
      <c r="AQ1015">
        <v>39.605052239438663</v>
      </c>
      <c r="AR1015">
        <v>5.6116247757263533</v>
      </c>
      <c r="AS1015">
        <v>26.858522033618737</v>
      </c>
      <c r="AT1015">
        <v>3.6683836718592726</v>
      </c>
      <c r="AU1015">
        <v>5.1012562048461918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31.698421489322222</v>
      </c>
      <c r="AO1016">
        <v>6.0553415189943331</v>
      </c>
      <c r="AP1016">
        <v>43.477329538247723</v>
      </c>
      <c r="AQ1016">
        <v>37.716896349297258</v>
      </c>
      <c r="AR1016">
        <v>5.6024001423116605</v>
      </c>
      <c r="AS1016">
        <v>28.440011041053776</v>
      </c>
      <c r="AT1016">
        <v>3.7033118227399022</v>
      </c>
      <c r="AU1016">
        <v>5.5923128497044283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2011-08-25T13:33:10Z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