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225" yWindow="45" windowWidth="14235" windowHeight="802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W4" i="1"/>
  <c r="X4"/>
  <c r="Y4"/>
  <c r="Z4"/>
  <c r="AA4"/>
  <c r="AC4"/>
  <c r="AD4"/>
  <c r="AE4"/>
  <c r="AF4"/>
  <c r="W5"/>
  <c r="X5"/>
  <c r="Y5"/>
  <c r="Z5"/>
  <c r="AA5" s="1"/>
  <c r="AC5"/>
  <c r="AD5"/>
  <c r="AE5"/>
  <c r="AF5" s="1"/>
  <c r="W6"/>
  <c r="X6"/>
  <c r="Y6"/>
  <c r="Z6"/>
  <c r="AA6" s="1"/>
  <c r="AC6"/>
  <c r="AD6"/>
  <c r="AE6"/>
  <c r="AF6" s="1"/>
  <c r="W7"/>
  <c r="X7"/>
  <c r="Y7"/>
  <c r="AA7" s="1"/>
  <c r="Z7"/>
  <c r="AC7"/>
  <c r="AD7"/>
  <c r="AF7" s="1"/>
  <c r="AE7"/>
  <c r="W8"/>
  <c r="X8"/>
  <c r="Y8"/>
  <c r="Z8"/>
  <c r="AA8"/>
  <c r="AC8"/>
  <c r="AD8"/>
  <c r="AE8"/>
  <c r="AF8"/>
  <c r="W9"/>
  <c r="X9"/>
  <c r="Y9"/>
  <c r="Z9"/>
  <c r="AA9" s="1"/>
  <c r="AC9"/>
  <c r="AD9"/>
  <c r="AE9"/>
  <c r="AF9" s="1"/>
  <c r="W10"/>
  <c r="X10"/>
  <c r="Y10"/>
  <c r="Z10"/>
  <c r="AA10" s="1"/>
  <c r="AC10"/>
  <c r="AD10"/>
  <c r="AE10"/>
  <c r="AF10" s="1"/>
  <c r="W11"/>
  <c r="X11"/>
  <c r="Y11"/>
  <c r="AA11" s="1"/>
  <c r="Z11"/>
  <c r="AC11"/>
  <c r="AD11"/>
  <c r="AE11"/>
  <c r="AF11" s="1"/>
  <c r="W12"/>
  <c r="X12"/>
  <c r="Y12"/>
  <c r="Z12"/>
  <c r="AA12"/>
  <c r="AC12"/>
  <c r="AD12"/>
  <c r="AE12"/>
  <c r="AF12"/>
  <c r="W13"/>
  <c r="X13"/>
  <c r="Y13"/>
  <c r="Z13"/>
  <c r="AA13" s="1"/>
  <c r="AC13"/>
  <c r="AD13"/>
  <c r="AE13"/>
  <c r="AF13" s="1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DQ213"/>
  <c r="DP213"/>
  <c r="DO213"/>
  <c r="DN213"/>
  <c r="DM213"/>
  <c r="DL213"/>
  <c r="DK213"/>
  <c r="DQ212"/>
  <c r="DP212"/>
  <c r="DO212"/>
  <c r="DN212"/>
  <c r="DM212"/>
  <c r="DL212"/>
  <c r="DK212"/>
  <c r="DK220"/>
  <c r="DI220"/>
  <c r="DI219"/>
  <c r="DH217"/>
  <c r="DG217"/>
  <c r="DH216"/>
  <c r="DG216"/>
  <c r="DH215"/>
  <c r="DG215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7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4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0"/>
  <c r="CX184"/>
  <c r="CZ184"/>
  <c r="DF184"/>
  <c r="DL184"/>
  <c r="DT184"/>
  <c r="EA184"/>
  <c r="EI184"/>
  <c r="DD184"/>
  <c r="BA184"/>
  <c r="CM184"/>
  <c r="CL184"/>
  <c r="CK184"/>
  <c r="AY184"/>
  <c r="B179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2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78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5"/>
  <c r="CX180"/>
  <c r="CZ180"/>
  <c r="DF180"/>
  <c r="DH180"/>
  <c r="DJ180"/>
  <c r="DK180"/>
  <c r="DN180"/>
  <c r="DP180"/>
  <c r="DQ180"/>
  <c r="FA180" s="1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1"/>
  <c r="CX179"/>
  <c r="CZ179"/>
  <c r="DP179"/>
  <c r="DR179"/>
  <c r="EF179"/>
  <c r="EH179"/>
  <c r="DD179"/>
  <c r="DC179" s="1"/>
  <c r="BA179"/>
  <c r="CM179"/>
  <c r="CL179"/>
  <c r="CK179"/>
  <c r="AY179"/>
  <c r="B183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6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6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4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3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2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0"/>
  <c r="CZ172"/>
  <c r="DD172"/>
  <c r="DE172" s="1"/>
  <c r="DC172"/>
  <c r="BA172"/>
  <c r="CM172" s="1"/>
  <c r="CL172"/>
  <c r="CK172"/>
  <c r="AY172"/>
  <c r="B169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1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68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7"/>
  <c r="CX168"/>
  <c r="CZ168"/>
  <c r="DZ168" s="1"/>
  <c r="DJ168"/>
  <c r="DP168"/>
  <c r="EF168"/>
  <c r="DD168"/>
  <c r="DC168" s="1"/>
  <c r="DE168"/>
  <c r="CL168"/>
  <c r="CK168"/>
  <c r="AY168"/>
  <c r="B175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2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58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3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1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0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6"/>
  <c r="CX161"/>
  <c r="CZ161"/>
  <c r="DP161"/>
  <c r="DV161"/>
  <c r="DD161"/>
  <c r="BA161"/>
  <c r="CM161"/>
  <c r="CL161"/>
  <c r="CK161"/>
  <c r="AY161"/>
  <c r="B167"/>
  <c r="CW160"/>
  <c r="CX160"/>
  <c r="CZ160"/>
  <c r="EB160"/>
  <c r="ED160"/>
  <c r="DD160"/>
  <c r="DC160" s="1"/>
  <c r="DE160"/>
  <c r="BA160"/>
  <c r="CM160"/>
  <c r="CL160"/>
  <c r="CK160"/>
  <c r="AY160"/>
  <c r="B164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5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59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48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49"/>
  <c r="CZ155"/>
  <c r="DK155" s="1"/>
  <c r="DG155"/>
  <c r="DO155"/>
  <c r="DW155"/>
  <c r="EE155"/>
  <c r="DD155"/>
  <c r="DE155"/>
  <c r="DC155"/>
  <c r="BA155"/>
  <c r="CM155" s="1"/>
  <c r="CL155"/>
  <c r="CK155"/>
  <c r="AY155"/>
  <c r="B152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5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1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6"/>
  <c r="DK151"/>
  <c r="DG151"/>
  <c r="DO151"/>
  <c r="DW151"/>
  <c r="EE151"/>
  <c r="DD151"/>
  <c r="DE151" s="1"/>
  <c r="DE231" s="1"/>
  <c r="DC151"/>
  <c r="B154"/>
  <c r="DG150"/>
  <c r="DG218" s="1"/>
  <c r="DF150"/>
  <c r="DH150"/>
  <c r="DJ150"/>
  <c r="DL150"/>
  <c r="DN150"/>
  <c r="DP150"/>
  <c r="EZ150" s="1"/>
  <c r="DR150"/>
  <c r="DT150"/>
  <c r="DV150"/>
  <c r="DX150"/>
  <c r="DZ150"/>
  <c r="EB150"/>
  <c r="ED150"/>
  <c r="EF150"/>
  <c r="EH150"/>
  <c r="EJ150"/>
  <c r="DD150"/>
  <c r="DC150" s="1"/>
  <c r="DE150"/>
  <c r="B153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7"/>
  <c r="CZ148"/>
  <c r="DF148"/>
  <c r="DJ148"/>
  <c r="DN148"/>
  <c r="DR148"/>
  <c r="DV148"/>
  <c r="DZ148"/>
  <c r="ED148"/>
  <c r="EH148"/>
  <c r="DD148"/>
  <c r="CL148"/>
  <c r="CK148"/>
  <c r="AY148"/>
  <c r="B150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4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3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39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1"/>
  <c r="CZ143"/>
  <c r="DG143" s="1"/>
  <c r="DF143"/>
  <c r="DH143"/>
  <c r="DJ143"/>
  <c r="DL143"/>
  <c r="DN143"/>
  <c r="DP143"/>
  <c r="EZ143" s="1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0"/>
  <c r="CX142"/>
  <c r="CZ142"/>
  <c r="DI142"/>
  <c r="DM142"/>
  <c r="EW142" s="1"/>
  <c r="DN142"/>
  <c r="DO142"/>
  <c r="DP142"/>
  <c r="EZ142" s="1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6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2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38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5"/>
  <c r="CZ138"/>
  <c r="DF138"/>
  <c r="DG138"/>
  <c r="DH138"/>
  <c r="DI138"/>
  <c r="DJ138"/>
  <c r="DK138"/>
  <c r="DL138"/>
  <c r="DM138"/>
  <c r="EW138" s="1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7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5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2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7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0"/>
  <c r="CZ133"/>
  <c r="DG133" s="1"/>
  <c r="DD133"/>
  <c r="DE133"/>
  <c r="DC133"/>
  <c r="BA133"/>
  <c r="CM133" s="1"/>
  <c r="CL133"/>
  <c r="CK133"/>
  <c r="AY133"/>
  <c r="B133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28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6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1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4"/>
  <c r="CW128"/>
  <c r="CX128"/>
  <c r="CZ128"/>
  <c r="DH128"/>
  <c r="DL128"/>
  <c r="DP128"/>
  <c r="DT128"/>
  <c r="DX128"/>
  <c r="EB128"/>
  <c r="EF128"/>
  <c r="EJ128"/>
  <c r="DD128"/>
  <c r="CL128"/>
  <c r="CK128"/>
  <c r="AY128"/>
  <c r="B129"/>
  <c r="CX127"/>
  <c r="CZ127"/>
  <c r="DD127"/>
  <c r="DE127"/>
  <c r="DC127"/>
  <c r="BA127"/>
  <c r="CM127" s="1"/>
  <c r="CL127"/>
  <c r="CK127"/>
  <c r="AY127"/>
  <c r="B126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18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19"/>
  <c r="CX124"/>
  <c r="DI124" s="1"/>
  <c r="ES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4"/>
  <c r="CX123"/>
  <c r="CZ123"/>
  <c r="DD123"/>
  <c r="DE123"/>
  <c r="DC123"/>
  <c r="BA123"/>
  <c r="CM123" s="1"/>
  <c r="CL123"/>
  <c r="CK123"/>
  <c r="AY123"/>
  <c r="B123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1"/>
  <c r="CW121"/>
  <c r="CX121"/>
  <c r="CZ121"/>
  <c r="DD121"/>
  <c r="BA121"/>
  <c r="CM121"/>
  <c r="CL121"/>
  <c r="CK121"/>
  <c r="AY121"/>
  <c r="B127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0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25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2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6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09"/>
  <c r="CZ115"/>
  <c r="DI115"/>
  <c r="DM115"/>
  <c r="EW115" s="1"/>
  <c r="DQ115"/>
  <c r="DU115"/>
  <c r="DY115"/>
  <c r="EC115"/>
  <c r="EG115"/>
  <c r="DD115"/>
  <c r="DE115"/>
  <c r="DC115"/>
  <c r="BA115"/>
  <c r="CM115" s="1"/>
  <c r="CL115"/>
  <c r="CK115"/>
  <c r="AY115"/>
  <c r="B115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3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7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1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4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0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2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08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0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5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7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3"/>
  <c r="CZ103"/>
  <c r="DI103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99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98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6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4"/>
  <c r="CZ99"/>
  <c r="DG99" s="1"/>
  <c r="DF99"/>
  <c r="DH99"/>
  <c r="DJ99"/>
  <c r="DL99"/>
  <c r="DN99"/>
  <c r="DP99"/>
  <c r="EZ99" s="1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2"/>
  <c r="CZ98"/>
  <c r="DI98"/>
  <c r="DM98"/>
  <c r="DQ98"/>
  <c r="DU98"/>
  <c r="DY98"/>
  <c r="EC98"/>
  <c r="EG98"/>
  <c r="DD98"/>
  <c r="DE98" s="1"/>
  <c r="DC98"/>
  <c r="CL98"/>
  <c r="CK98"/>
  <c r="AY98"/>
  <c r="B101"/>
  <c r="CZ97"/>
  <c r="DG97" s="1"/>
  <c r="DD97"/>
  <c r="DE97" s="1"/>
  <c r="DC97"/>
  <c r="BA97"/>
  <c r="CM97" s="1"/>
  <c r="CL97"/>
  <c r="CK97"/>
  <c r="AY97"/>
  <c r="B92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89"/>
  <c r="CZ95"/>
  <c r="DD95"/>
  <c r="DE95" s="1"/>
  <c r="DC95"/>
  <c r="BA95"/>
  <c r="CM95" s="1"/>
  <c r="CL95"/>
  <c r="CK95"/>
  <c r="AY95"/>
  <c r="B91"/>
  <c r="CZ94"/>
  <c r="DF94"/>
  <c r="DG94"/>
  <c r="DH94"/>
  <c r="DI94"/>
  <c r="ES94" s="1"/>
  <c r="DJ94"/>
  <c r="DK94"/>
  <c r="DL94"/>
  <c r="DM94"/>
  <c r="EW94" s="1"/>
  <c r="DN94"/>
  <c r="DO94"/>
  <c r="DP94"/>
  <c r="EZ94" s="1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88"/>
  <c r="CZ93"/>
  <c r="DD93"/>
  <c r="DE93" s="1"/>
  <c r="DC93"/>
  <c r="BA93"/>
  <c r="CM93" s="1"/>
  <c r="CL93"/>
  <c r="CK93"/>
  <c r="AY93"/>
  <c r="B93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7"/>
  <c r="CZ91"/>
  <c r="DG91" s="1"/>
  <c r="DD91"/>
  <c r="DE91" s="1"/>
  <c r="DC91"/>
  <c r="BA91"/>
  <c r="CM91" s="1"/>
  <c r="CL91"/>
  <c r="CK91"/>
  <c r="AY91"/>
  <c r="B96"/>
  <c r="CZ90"/>
  <c r="DF90"/>
  <c r="DG90"/>
  <c r="DH90"/>
  <c r="DI90"/>
  <c r="ES90" s="1"/>
  <c r="DJ90"/>
  <c r="DK90"/>
  <c r="DL90"/>
  <c r="DM90"/>
  <c r="EW90" s="1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0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94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5"/>
  <c r="C79"/>
  <c r="C78"/>
  <c r="C77"/>
  <c r="C76"/>
  <c r="C75"/>
  <c r="C74"/>
  <c r="C73"/>
  <c r="C72"/>
  <c r="C71"/>
  <c r="C70"/>
  <c r="D13"/>
  <c r="D12"/>
  <c r="D11"/>
  <c r="D10"/>
  <c r="D9"/>
  <c r="D8"/>
  <c r="T7"/>
  <c r="S7"/>
  <c r="R7"/>
  <c r="Q7"/>
  <c r="P7"/>
  <c r="O7"/>
  <c r="N7"/>
  <c r="M7"/>
  <c r="D7"/>
  <c r="T6"/>
  <c r="S6"/>
  <c r="R6"/>
  <c r="Q6"/>
  <c r="P6"/>
  <c r="O6"/>
  <c r="N6"/>
  <c r="M6"/>
  <c r="D6"/>
  <c r="T5"/>
  <c r="S5"/>
  <c r="R5"/>
  <c r="Q5"/>
  <c r="P5"/>
  <c r="O5"/>
  <c r="N5"/>
  <c r="M5"/>
  <c r="D5"/>
  <c r="G4"/>
  <c r="D4"/>
  <c r="DH218" l="1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N381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X38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N375"/>
  <c r="N378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O382"/>
  <c r="O378"/>
  <c r="O374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J424" l="1"/>
  <c r="J442" s="1"/>
  <c r="Z424"/>
  <c r="Z442" s="1"/>
  <c r="N428"/>
  <c r="N446" s="1"/>
  <c r="R430"/>
  <c r="R448" s="1"/>
  <c r="K424"/>
  <c r="K442" s="1"/>
  <c r="AC423"/>
  <c r="AC441" s="1"/>
  <c r="AA423"/>
  <c r="AA441" s="1"/>
  <c r="U424"/>
  <c r="U442" s="1"/>
  <c r="R427"/>
  <c r="R445" s="1"/>
  <c r="AD431"/>
  <c r="AD449" s="1"/>
  <c r="R423"/>
  <c r="R441" s="1"/>
  <c r="J423"/>
  <c r="J441" s="1"/>
  <c r="AG423"/>
  <c r="AG441" s="1"/>
  <c r="AI61"/>
  <c r="AI432"/>
  <c r="AI450" s="1"/>
  <c r="AG424"/>
  <c r="AG442" s="1"/>
  <c r="U426"/>
  <c r="U444" s="1"/>
  <c r="AF427"/>
  <c r="AF445" s="1"/>
  <c r="T427"/>
  <c r="T445" s="1"/>
  <c r="W427"/>
  <c r="W445" s="1"/>
  <c r="I428"/>
  <c r="I446" s="1"/>
  <c r="H429"/>
  <c r="H447" s="1"/>
  <c r="AB429"/>
  <c r="AB447" s="1"/>
  <c r="AE428"/>
  <c r="AE446" s="1"/>
  <c r="W429"/>
  <c r="W447" s="1"/>
  <c r="AC429"/>
  <c r="AC447" s="1"/>
  <c r="T430"/>
  <c r="T448" s="1"/>
  <c r="Y430"/>
  <c r="Y448" s="1"/>
  <c r="Q430"/>
  <c r="Q448" s="1"/>
  <c r="U431"/>
  <c r="U449" s="1"/>
  <c r="O431"/>
  <c r="O449" s="1"/>
  <c r="Q424"/>
  <c r="Q442" s="1"/>
  <c r="P424"/>
  <c r="P442" s="1"/>
  <c r="AF424"/>
  <c r="AF442" s="1"/>
  <c r="Y425"/>
  <c r="Y443" s="1"/>
  <c r="AD427"/>
  <c r="AD445" s="1"/>
  <c r="H424"/>
  <c r="H442" s="1"/>
  <c r="O425"/>
  <c r="O443" s="1"/>
  <c r="X430"/>
  <c r="X448" s="1"/>
  <c r="V424"/>
  <c r="V442" s="1"/>
  <c r="AE426"/>
  <c r="AE444" s="1"/>
  <c r="Z428"/>
  <c r="Z446" s="1"/>
  <c r="Z425"/>
  <c r="Z443" s="1"/>
  <c r="N430"/>
  <c r="N448" s="1"/>
  <c r="AB423"/>
  <c r="AB441" s="1"/>
  <c r="W424"/>
  <c r="W442" s="1"/>
  <c r="V427"/>
  <c r="V445" s="1"/>
  <c r="AH429"/>
  <c r="AH447" s="1"/>
  <c r="W423"/>
  <c r="W441" s="1"/>
  <c r="T423"/>
  <c r="T441" s="1"/>
  <c r="J427"/>
  <c r="J445" s="1"/>
  <c r="V431"/>
  <c r="V449" s="1"/>
  <c r="N423"/>
  <c r="N441" s="1"/>
  <c r="M423"/>
  <c r="M441" s="1"/>
  <c r="T432"/>
  <c r="T450" s="1"/>
  <c r="Q425"/>
  <c r="Q443" s="1"/>
  <c r="AB425"/>
  <c r="AB443" s="1"/>
  <c r="Q426"/>
  <c r="Q444" s="1"/>
  <c r="AG426"/>
  <c r="AG444" s="1"/>
  <c r="Q427"/>
  <c r="Q445" s="1"/>
  <c r="S427"/>
  <c r="S445" s="1"/>
  <c r="X429"/>
  <c r="X447" s="1"/>
  <c r="AF428"/>
  <c r="AF446" s="1"/>
  <c r="K428"/>
  <c r="K446" s="1"/>
  <c r="U428"/>
  <c r="U446" s="1"/>
  <c r="I429"/>
  <c r="I447" s="1"/>
  <c r="Y429"/>
  <c r="Y447" s="1"/>
  <c r="H430"/>
  <c r="H448" s="1"/>
  <c r="AI430"/>
  <c r="AI448" s="1"/>
  <c r="P431"/>
  <c r="P449" s="1"/>
  <c r="H431"/>
  <c r="H449" s="1"/>
  <c r="X428"/>
  <c r="X446" s="1"/>
  <c r="AB424"/>
  <c r="AB442" s="1"/>
  <c r="U425"/>
  <c r="U443" s="1"/>
  <c r="AB426"/>
  <c r="AB444" s="1"/>
  <c r="AJ427"/>
  <c r="AJ445" s="1"/>
  <c r="AF425"/>
  <c r="AF443" s="1"/>
  <c r="X426"/>
  <c r="X444" s="1"/>
  <c r="AH424"/>
  <c r="AH442" s="1"/>
  <c r="AA426"/>
  <c r="AA444" s="1"/>
  <c r="N424"/>
  <c r="N442" s="1"/>
  <c r="AD424"/>
  <c r="AD442" s="1"/>
  <c r="W426"/>
  <c r="W444" s="1"/>
  <c r="N426"/>
  <c r="N444" s="1"/>
  <c r="AD426"/>
  <c r="AD444" s="1"/>
  <c r="R428"/>
  <c r="R446" s="1"/>
  <c r="AH428"/>
  <c r="AH446" s="1"/>
  <c r="N425"/>
  <c r="N443" s="1"/>
  <c r="V425"/>
  <c r="V443" s="1"/>
  <c r="AD425"/>
  <c r="AD443" s="1"/>
  <c r="V430"/>
  <c r="V448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S426"/>
  <c r="S444" s="1"/>
  <c r="AI426"/>
  <c r="AI444" s="1"/>
  <c r="J426"/>
  <c r="J444" s="1"/>
  <c r="Z426"/>
  <c r="Z444" s="1"/>
  <c r="AD428"/>
  <c r="AD446" s="1"/>
  <c r="AH430"/>
  <c r="AH448" s="1"/>
  <c r="AA424"/>
  <c r="AA442" s="1"/>
  <c r="K423"/>
  <c r="K441" s="1"/>
  <c r="L423"/>
  <c r="L441" s="1"/>
  <c r="V429"/>
  <c r="V447" s="1"/>
  <c r="W61"/>
  <c r="W432"/>
  <c r="W450" s="1"/>
  <c r="Q432"/>
  <c r="Q450" s="1"/>
  <c r="X432"/>
  <c r="X450" s="1"/>
  <c r="I424"/>
  <c r="I442" s="1"/>
  <c r="G425"/>
  <c r="G443" s="1"/>
  <c r="AI425"/>
  <c r="AI443" s="1"/>
  <c r="AK426"/>
  <c r="AK444" s="1"/>
  <c r="Y427"/>
  <c r="Y445" s="1"/>
  <c r="AK428"/>
  <c r="AK446" s="1"/>
  <c r="O428"/>
  <c r="O446" s="1"/>
  <c r="G429"/>
  <c r="G447" s="1"/>
  <c r="M429"/>
  <c r="M447" s="1"/>
  <c r="P429"/>
  <c r="P447" s="1"/>
  <c r="S430"/>
  <c r="S448" s="1"/>
  <c r="AJ431"/>
  <c r="AJ449" s="1"/>
  <c r="T431"/>
  <c r="T449" s="1"/>
  <c r="G431"/>
  <c r="G449" s="1"/>
  <c r="AB428"/>
  <c r="AB446" s="1"/>
  <c r="AJ426"/>
  <c r="AJ444" s="1"/>
  <c r="I430"/>
  <c r="I448" s="1"/>
  <c r="AJ425"/>
  <c r="AJ443" s="1"/>
  <c r="AF426"/>
  <c r="AF444" s="1"/>
  <c r="O426"/>
  <c r="O444" s="1"/>
  <c r="V426"/>
  <c r="V444" s="1"/>
  <c r="R425"/>
  <c r="R443" s="1"/>
  <c r="AH425"/>
  <c r="AH443" s="1"/>
  <c r="AD430"/>
  <c r="AD448" s="1"/>
  <c r="AJ423"/>
  <c r="AJ441" s="1"/>
  <c r="H423"/>
  <c r="H441" s="1"/>
  <c r="AH431"/>
  <c r="AH449" s="1"/>
  <c r="N429"/>
  <c r="N447" s="1"/>
  <c r="S61"/>
  <c r="S432"/>
  <c r="S450" s="1"/>
  <c r="AD423"/>
  <c r="AD441" s="1"/>
  <c r="AC432"/>
  <c r="AC450" s="1"/>
  <c r="AA432"/>
  <c r="AA450" s="1"/>
  <c r="AC424"/>
  <c r="AC442" s="1"/>
  <c r="AE425"/>
  <c r="AE443" s="1"/>
  <c r="H427"/>
  <c r="H445" s="1"/>
  <c r="AK427"/>
  <c r="AK445" s="1"/>
  <c r="AI427"/>
  <c r="AI445" s="1"/>
  <c r="AC428"/>
  <c r="AC446" s="1"/>
  <c r="P428"/>
  <c r="P446" s="1"/>
  <c r="AA428"/>
  <c r="AA446" s="1"/>
  <c r="S429"/>
  <c r="S447" s="1"/>
  <c r="O430"/>
  <c r="O448" s="1"/>
  <c r="AK430"/>
  <c r="AK448" s="1"/>
  <c r="M430"/>
  <c r="M448" s="1"/>
  <c r="Q431"/>
  <c r="Q449" s="1"/>
  <c r="K431"/>
  <c r="K449" s="1"/>
  <c r="AI431"/>
  <c r="AI449" s="1"/>
  <c r="L424"/>
  <c r="L442" s="1"/>
  <c r="K425"/>
  <c r="K443" s="1"/>
  <c r="AK425"/>
  <c r="AK443" s="1"/>
  <c r="AF430"/>
  <c r="AF448" s="1"/>
  <c r="AK423"/>
  <c r="AK441" s="1"/>
  <c r="P430"/>
  <c r="P448" s="1"/>
  <c r="R424"/>
  <c r="R442" s="1"/>
  <c r="K426"/>
  <c r="K444" s="1"/>
  <c r="R426"/>
  <c r="R444" s="1"/>
  <c r="AH426"/>
  <c r="AH444" s="1"/>
  <c r="V428"/>
  <c r="V446" s="1"/>
  <c r="Z430"/>
  <c r="Z448" s="1"/>
  <c r="AF423"/>
  <c r="AF441" s="1"/>
  <c r="S424"/>
  <c r="S442" s="1"/>
  <c r="AI424"/>
  <c r="AI442" s="1"/>
  <c r="N427"/>
  <c r="N445" s="1"/>
  <c r="Z429"/>
  <c r="Z447" s="1"/>
  <c r="Z431"/>
  <c r="Z449" s="1"/>
  <c r="S423"/>
  <c r="S441" s="1"/>
  <c r="AI423"/>
  <c r="AI441" s="1"/>
  <c r="M61"/>
  <c r="M432"/>
  <c r="M450" s="1"/>
  <c r="AK424"/>
  <c r="AK442" s="1"/>
  <c r="AH427"/>
  <c r="AH445" s="1"/>
  <c r="N431"/>
  <c r="N449" s="1"/>
  <c r="K432"/>
  <c r="K450" s="1"/>
  <c r="AG432"/>
  <c r="AG450" s="1"/>
  <c r="Z423"/>
  <c r="Z441" s="1"/>
  <c r="I423"/>
  <c r="I441" s="1"/>
  <c r="Y432"/>
  <c r="Y450" s="1"/>
  <c r="H432"/>
  <c r="H450" s="1"/>
  <c r="O432"/>
  <c r="O450" s="1"/>
  <c r="U61"/>
  <c r="U432"/>
  <c r="U450" s="1"/>
  <c r="P425"/>
  <c r="P443" s="1"/>
  <c r="AA425"/>
  <c r="AA443" s="1"/>
  <c r="M426"/>
  <c r="M444" s="1"/>
  <c r="AC426"/>
  <c r="AC444" s="1"/>
  <c r="M427"/>
  <c r="M445" s="1"/>
  <c r="AG427"/>
  <c r="AG445" s="1"/>
  <c r="K427"/>
  <c r="K445" s="1"/>
  <c r="AE427"/>
  <c r="AE445" s="1"/>
  <c r="Y428"/>
  <c r="Y446" s="1"/>
  <c r="H428"/>
  <c r="H446" s="1"/>
  <c r="AJ429"/>
  <c r="AJ447" s="1"/>
  <c r="AG428"/>
  <c r="AG446" s="1"/>
  <c r="W428"/>
  <c r="W446" s="1"/>
  <c r="M428"/>
  <c r="M446" s="1"/>
  <c r="O429"/>
  <c r="O447" s="1"/>
  <c r="AI429"/>
  <c r="AI447" s="1"/>
  <c r="U429"/>
  <c r="U447" s="1"/>
  <c r="AK429"/>
  <c r="AK447" s="1"/>
  <c r="AE430"/>
  <c r="AE448" s="1"/>
  <c r="K430"/>
  <c r="K448" s="1"/>
  <c r="AA430"/>
  <c r="AA448" s="1"/>
  <c r="AG430"/>
  <c r="AG448" s="1"/>
  <c r="X431"/>
  <c r="X449" s="1"/>
  <c r="L431"/>
  <c r="L449" s="1"/>
  <c r="M431"/>
  <c r="M449" s="1"/>
  <c r="AG431"/>
  <c r="AG449" s="1"/>
  <c r="AB431"/>
  <c r="AB449" s="1"/>
  <c r="AE431"/>
  <c r="AE449" s="1"/>
  <c r="AA431"/>
  <c r="AA449" s="1"/>
  <c r="T428"/>
  <c r="T446" s="1"/>
  <c r="P427"/>
  <c r="P445" s="1"/>
  <c r="X424"/>
  <c r="X442" s="1"/>
  <c r="T425"/>
  <c r="T443" s="1"/>
  <c r="M425"/>
  <c r="M443" s="1"/>
  <c r="AG425"/>
  <c r="AG443" s="1"/>
  <c r="T426"/>
  <c r="T444" s="1"/>
  <c r="L427"/>
  <c r="L445" s="1"/>
  <c r="U427"/>
  <c r="U445" s="1"/>
  <c r="X425"/>
  <c r="X443" s="1"/>
  <c r="Q423"/>
  <c r="Q441" s="1"/>
  <c r="P426"/>
  <c r="P444" s="1"/>
  <c r="L430"/>
  <c r="L448" s="1"/>
  <c r="AK431"/>
  <c r="AK449" s="1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W217"/>
  <c r="DX212"/>
  <c r="DK219"/>
  <c r="DF216"/>
  <c r="EH221"/>
  <c r="DO217"/>
  <c r="EH214"/>
  <c r="DP219"/>
  <c r="DT217"/>
  <c r="DR212"/>
  <c r="DS221"/>
  <c r="DV217"/>
  <c r="FU131"/>
  <c r="EG213"/>
  <c r="EA221"/>
  <c r="EH212"/>
  <c r="EA215"/>
  <c r="EI219"/>
  <c r="DF214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DO218"/>
  <c r="FM88"/>
  <c r="EC212"/>
  <c r="FE88"/>
  <c r="DU212"/>
  <c r="FQ128"/>
  <c r="EG216"/>
  <c r="ES128"/>
  <c r="DI216"/>
  <c r="FT98"/>
  <c r="EJ213"/>
  <c r="FD98"/>
  <c r="DT213"/>
  <c r="FK108"/>
  <c r="EA214"/>
  <c r="ER168"/>
  <c r="DH220"/>
  <c r="FR118"/>
  <c r="EH215"/>
  <c r="FB118"/>
  <c r="DR215"/>
  <c r="FB128"/>
  <c r="DR216"/>
  <c r="FK98"/>
  <c r="EA213"/>
  <c r="EZ148"/>
  <c r="DP218"/>
  <c r="FI148"/>
  <c r="DY218"/>
  <c r="FK128"/>
  <c r="EA216"/>
  <c r="EU128"/>
  <c r="DK216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DF215"/>
  <c r="DU221"/>
  <c r="EF221"/>
  <c r="DU219"/>
  <c r="EE219"/>
  <c r="DY213"/>
  <c r="DU213"/>
  <c r="EJ221"/>
  <c r="DO215"/>
  <c r="DT212"/>
  <c r="DX214"/>
  <c r="FU102"/>
  <c r="DG214"/>
  <c r="DL217"/>
  <c r="DN219"/>
  <c r="DP214"/>
  <c r="DN218"/>
  <c r="DW219"/>
  <c r="DS215"/>
  <c r="DJ219"/>
  <c r="EB214"/>
  <c r="DS217"/>
  <c r="EA217"/>
  <c r="DI215"/>
  <c r="DY221"/>
  <c r="DR218"/>
  <c r="EE215"/>
  <c r="DO221"/>
  <c r="EI221"/>
  <c r="DO219"/>
  <c r="EC217"/>
  <c r="DZ214"/>
  <c r="FU162"/>
  <c r="DM219"/>
  <c r="DN221"/>
  <c r="EF220"/>
  <c r="EF217"/>
  <c r="EG219"/>
  <c r="EG217"/>
  <c r="DJ221"/>
  <c r="EF219"/>
  <c r="DI221"/>
  <c r="EE221"/>
  <c r="DR219"/>
  <c r="DX219"/>
  <c r="DZ218"/>
  <c r="DU217"/>
  <c r="DI213"/>
  <c r="DJ212"/>
  <c r="DZ212"/>
  <c r="ED214"/>
  <c r="EF212"/>
  <c r="EC221"/>
  <c r="EH218"/>
  <c r="EF216"/>
  <c r="DV214"/>
  <c r="DY219"/>
  <c r="DY217"/>
  <c r="EC213"/>
  <c r="EJ212"/>
  <c r="ED221"/>
  <c r="DP221"/>
  <c r="ED219"/>
  <c r="EJ217"/>
  <c r="DL220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FL148"/>
  <c r="EB218"/>
  <c r="FO148"/>
  <c r="EE218"/>
  <c r="FI128"/>
  <c r="DY216"/>
  <c r="FA128"/>
  <c r="DQ216"/>
  <c r="FL98"/>
  <c r="EB213"/>
  <c r="EW178"/>
  <c r="FU178" s="1"/>
  <c r="DM22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DQ218"/>
  <c r="FO88"/>
  <c r="EE212"/>
  <c r="FG88"/>
  <c r="DW212"/>
  <c r="EQ88"/>
  <c r="DG212"/>
  <c r="FS128"/>
  <c r="EI216"/>
  <c r="FC128"/>
  <c r="DS216"/>
  <c r="FN98"/>
  <c r="ED213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FU170"/>
  <c r="FU173"/>
  <c r="DH219"/>
  <c r="DW215"/>
  <c r="DP217"/>
  <c r="DX216"/>
  <c r="DI217"/>
  <c r="DP220"/>
  <c r="DX217"/>
  <c r="EB212"/>
  <c r="FU125"/>
  <c r="FU106"/>
  <c r="DF220"/>
  <c r="DF213"/>
  <c r="FU129"/>
  <c r="FU158"/>
  <c r="DL219"/>
  <c r="DQ221"/>
  <c r="EF214"/>
  <c r="DQ217"/>
  <c r="DV221"/>
  <c r="EG221"/>
  <c r="DR217"/>
  <c r="EJ219"/>
  <c r="DV219"/>
  <c r="DL221"/>
  <c r="DZ221"/>
  <c r="DV218"/>
  <c r="DT216"/>
  <c r="DR214"/>
  <c r="DL216"/>
  <c r="EK171"/>
  <c r="EK156"/>
  <c r="DJ217"/>
  <c r="DH221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G221"/>
  <c r="DT221"/>
  <c r="DG219"/>
  <c r="EA219"/>
  <c r="DN217"/>
  <c r="EE217"/>
  <c r="EJ216"/>
  <c r="EI215"/>
  <c r="DH212"/>
  <c r="DK221"/>
  <c r="DJ220"/>
  <c r="DP216"/>
  <c r="DV212"/>
  <c r="DR221"/>
  <c r="DZ220"/>
  <c r="EC219"/>
  <c r="EI217"/>
  <c r="DN214"/>
  <c r="EW147"/>
  <c r="DM217"/>
  <c r="EU147"/>
  <c r="DK217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FU165"/>
  <c r="EV153"/>
  <c r="DL218"/>
  <c r="EW154"/>
  <c r="DM218"/>
  <c r="EU154"/>
  <c r="DK218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29" l="1"/>
  <c r="J447" s="1"/>
  <c r="C447" s="1"/>
  <c r="J431"/>
  <c r="J449" s="1"/>
  <c r="C449" s="1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DG233"/>
  <c r="FU116"/>
  <c r="DG234"/>
  <c r="FU128"/>
  <c r="FU148"/>
  <c r="DG232"/>
  <c r="DG226"/>
  <c r="FU98"/>
  <c r="DG229"/>
  <c r="FU147"/>
  <c r="DG230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K472"/>
  <c r="C427"/>
  <c r="G445"/>
  <c r="C445" s="1"/>
  <c r="K494"/>
  <c r="I486"/>
  <c r="J486" s="1"/>
  <c r="K486" s="1"/>
  <c r="K518"/>
  <c r="D374"/>
  <c r="E374" s="1"/>
  <c r="D37"/>
  <c r="E414"/>
  <c r="G414"/>
  <c r="D40"/>
  <c r="E40" s="1"/>
  <c r="G411"/>
  <c r="E411"/>
  <c r="G413"/>
  <c r="E413"/>
  <c r="D42"/>
  <c r="E42" s="1"/>
  <c r="D44"/>
  <c r="E44" s="1"/>
  <c r="E409"/>
  <c r="G409"/>
  <c r="D38"/>
  <c r="E38" s="1"/>
  <c r="D39"/>
  <c r="E39" s="1"/>
  <c r="E412"/>
  <c r="G412"/>
  <c r="G408"/>
  <c r="E408"/>
  <c r="K516"/>
  <c r="K512"/>
  <c r="G520"/>
  <c r="AR15" s="1"/>
  <c r="K508"/>
  <c r="D405"/>
  <c r="E405" s="1"/>
  <c r="E531" s="1"/>
  <c r="G531" s="1"/>
  <c r="E410"/>
  <c r="G410"/>
  <c r="G407"/>
  <c r="E407"/>
  <c r="I534"/>
  <c r="I532"/>
  <c r="J61"/>
  <c r="D61" s="1"/>
  <c r="D46"/>
  <c r="E46" s="1"/>
  <c r="D406"/>
  <c r="K464"/>
  <c r="K466"/>
  <c r="K474"/>
  <c r="K480"/>
  <c r="K468"/>
  <c r="C431" l="1"/>
  <c r="C429"/>
  <c r="K482"/>
  <c r="DH231"/>
  <c r="K476"/>
  <c r="DH227"/>
  <c r="DH232"/>
  <c r="K490"/>
  <c r="DH234"/>
  <c r="DH228"/>
  <c r="DH230"/>
  <c r="DH233"/>
  <c r="DH229"/>
  <c r="K506"/>
  <c r="K498"/>
  <c r="K500"/>
  <c r="DH226"/>
  <c r="F395"/>
  <c r="F381" s="1"/>
  <c r="F390"/>
  <c r="F376" s="1"/>
  <c r="F394"/>
  <c r="F380" s="1"/>
  <c r="U58" s="1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P60" l="1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<sst xmlns="http://schemas.openxmlformats.org/spreadsheetml/2006/main" count="1092" uniqueCount="150">
  <si>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</si>
  <si>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</si>
  <si>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</si>
  <si>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</si>
  <si>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</si>
  <si>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</si>
  <si>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</si>
  <si>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</si>
  <si>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</si>
  <si>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</si>
  <si>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</si>
  <si>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</si>
  <si>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</si>
  <si>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</si>
  <si>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</si>
  <si>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</si>
  <si>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</si>
  <si>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</si>
  <si>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</si>
  <si>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</si>
  <si>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</si>
  <si>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</si>
  <si>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</si>
  <si>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</si>
  <si>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</si>
  <si>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</si>
  <si>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</si>
  <si>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</si>
  <si>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</si>
  <si>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</si>
  <si>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</si>
  <si>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</si>
  <si>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</si>
  <si>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</si>
  <si>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</si>
  <si>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</si>
  <si>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</si>
  <si>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</si>
  <si>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</si>
  <si>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</si>
  <si>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</si>
  <si>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</si>
  <si>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</si>
  <si>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</si>
  <si>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</si>
  <si>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</si>
  <si>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</si>
  <si>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</si>
  <si>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</si>
  <si>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</si>
  <si>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</si>
  <si>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</si>
  <si>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</si>
  <si>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</si>
  <si>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</si>
  <si>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</si>
  <si>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</si>
  <si>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</si>
  <si>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</si>
  <si>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</si>
  <si>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</si>
  <si>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</si>
  <si>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</si>
  <si>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</si>
  <si>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</si>
  <si>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</si>
  <si>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</si>
  <si>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</si>
  <si>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</si>
  <si>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</si>
  <si>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</si>
  <si>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</si>
  <si>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</si>
  <si>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</si>
  <si>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</si>
  <si>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</si>
  <si>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</si>
  <si>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</si>
  <si>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</si>
  <si>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</si>
  <si>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</si>
  <si>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</si>
  <si>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</si>
  <si>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</si>
  <si>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</si>
  <si>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</si>
  <si>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</si>
  <si>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</si>
  <si>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</si>
  <si>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</si>
  <si>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</si>
  <si>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</si>
  <si>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</si>
  <si>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</si>
  <si>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</si>
  <si>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</si>
  <si>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</si>
  <si>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</si>
  <si>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</si>
  <si>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</si>
  <si>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</si>
  <si>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</si>
  <si>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</si>
  <si>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</si>
  <si>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</si>
  <si>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</si>
  <si>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</si>
  <si>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</si>
  <si>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</si>
  <si>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</si>
  <si>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</si>
  <si>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</si>
  <si>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</si>
  <si>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</si>
  <si>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</si>
  <si>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</si>
  <si>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</si>
  <si>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</si>
  <si>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</si>
  <si>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</si>
  <si>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</si>
  <si>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</si>
  <si>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</si>
  <si>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</si>
  <si>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</si>
  <si>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</si>
  <si>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</si>
  <si>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</si>
  <si>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</si>
  <si>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</si>
  <si>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</si>
  <si>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</si>
  <si>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</si>
  <si>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</si>
  <si>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</si>
  <si>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</si>
  <si>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</si>
  <si>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</si>
  <si>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</si>
  <si>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</si>
  <si>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</si>
  <si>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</si>
  <si>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</si>
  <si>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</si>
  <si>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</si>
  <si>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</si>
  <si>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</si>
  <si>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</si>
  <si>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</si>
  <si>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Sweltza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</si>
</sst>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4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2" borderId="0" xfId="0" applyFill="1"/>
    <xf numFmtId="0" fontId="1" fillId="32" borderId="10" xfId="0" applyFont="1" applyFill="1" applyBorder="1"/>
    <xf numFmtId="2" fontId="3" fillId="29" borderId="0" xfId="0" applyNumberFormat="1" applyFont="1" applyFill="1" applyBorder="1"/>
    <xf numFmtId="0" fontId="0" fillId="30" borderId="0" xfId="0" applyFill="1"/>
    <xf numFmtId="0" fontId="1" fillId="31" borderId="13" xfId="0" applyFont="1" applyFill="1" applyBorder="1" applyAlignment="1"/>
    <xf numFmtId="0" fontId="1" fillId="31" borderId="14" xfId="0" applyFont="1" applyFill="1" applyBorder="1" applyAlignment="1"/>
    <xf numFmtId="0" fontId="1" fillId="33" borderId="0" xfId="0" applyFont="1" applyFill="1"/>
    <xf numFmtId="0" fontId="1" fillId="34" borderId="10" xfId="0" applyFont="1" applyFill="1" applyBorder="1"/>
    <xf numFmtId="0" fontId="1" fillId="31" borderId="14" xfId="0" applyFont="1" applyFill="1" applyBorder="1" applyAlignment="1">
      <alignment horizontal="center"/>
    </xf>
    <xf numFmtId="164" fontId="1" fillId="31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3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EV1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10"/>
      <c r="FY2" s="210"/>
      <c r="FZ2" s="210"/>
      <c r="GA2" s="210"/>
      <c r="GB2" s="210"/>
      <c r="GC2" s="230" t="s">
        <v>144</v>
      </c>
      <c r="GD2" s="230"/>
      <c r="GE2" s="230"/>
      <c r="GF2" s="230"/>
      <c r="GG2" s="230"/>
      <c r="GH2" s="230"/>
      <c r="GI2" s="230"/>
      <c r="GJ2" s="210"/>
      <c r="GK2" s="210"/>
      <c r="GL2" s="210"/>
      <c r="GM2" s="210"/>
      <c r="GN2" s="210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10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10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212.53895893944645</v>
      </c>
      <c r="N4" s="130">
        <v>66.807968567864663</v>
      </c>
      <c r="O4" s="130">
        <v>539.78700189942231</v>
      </c>
      <c r="P4" s="130">
        <v>425.57654671955652</v>
      </c>
      <c r="Q4" s="130">
        <v>64.886040240395886</v>
      </c>
      <c r="R4" s="130">
        <v>325.88431865564058</v>
      </c>
      <c r="S4" s="131">
        <v>31.644629608146413</v>
      </c>
      <c r="T4" s="131">
        <v>6.0565258445258294</v>
      </c>
      <c r="U4" s="5"/>
      <c r="V4" s="4"/>
      <c r="W4" s="127">
        <f t="shared" ref="W4:W13" si="0">C4</f>
        <v>39646</v>
      </c>
      <c r="X4" s="132">
        <f>AVERAGE(EK88:EK97)</f>
        <v>123.95833333333333</v>
      </c>
      <c r="Y4" s="131">
        <f>COUNT(EK88:EK97)</f>
        <v>10</v>
      </c>
      <c r="Z4" s="130">
        <f>STDEV(EK88:EK97)</f>
        <v>97.525568426508457</v>
      </c>
      <c r="AA4" s="130">
        <f>Z4/SQRT(Y4)</f>
        <v>30.840292633037031</v>
      </c>
      <c r="AB4" s="131"/>
      <c r="AC4" s="130">
        <f>AVERAGE($FU88:$FU97)</f>
        <v>51.079731609219479</v>
      </c>
      <c r="AD4" s="132">
        <f>COUNT($FU88:$FU97)</f>
        <v>10</v>
      </c>
      <c r="AE4" s="130">
        <f>STDEV($FU88:$FU97)</f>
        <v>50.371437606701875</v>
      </c>
      <c r="AF4" s="130">
        <f>AE4/SQRT(AD4)</f>
        <v>15.928847185423871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3" t="s">
        <v>148</v>
      </c>
      <c r="FK4" s="233"/>
      <c r="FL4" s="233"/>
      <c r="FM4" s="233"/>
      <c r="FN4" s="5"/>
      <c r="FO4" s="5"/>
      <c r="FX4" s="210"/>
      <c r="FY4" s="212" t="s">
        <v>143</v>
      </c>
      <c r="FZ4" s="213">
        <f>C4</f>
        <v>39646</v>
      </c>
      <c r="GA4" s="213">
        <f>C5</f>
        <v>39673</v>
      </c>
      <c r="GB4" s="213">
        <f>C6</f>
        <v>39714</v>
      </c>
      <c r="GC4" s="213">
        <f>C7</f>
        <v>39747</v>
      </c>
      <c r="GD4" s="213">
        <f>C8</f>
        <v>39775</v>
      </c>
      <c r="GE4" s="213">
        <f>C9</f>
        <v>39799</v>
      </c>
      <c r="GF4" s="213">
        <f>C10</f>
        <v>39847</v>
      </c>
      <c r="GG4" s="213">
        <f>C11</f>
        <v>39910</v>
      </c>
      <c r="GH4" s="213">
        <f>C12</f>
        <v>39949</v>
      </c>
      <c r="GI4" s="213">
        <f>C13</f>
        <v>39987</v>
      </c>
      <c r="GJ4" s="209"/>
      <c r="GK4" s="209"/>
      <c r="GL4" s="209"/>
      <c r="GM4" s="209"/>
      <c r="GN4" s="210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210.75439666291044</v>
      </c>
      <c r="N5" s="130">
        <f t="shared" si="1"/>
        <v>66.162230027968604</v>
      </c>
      <c r="O5" s="130">
        <f t="shared" si="1"/>
        <v>533.67334148098712</v>
      </c>
      <c r="P5" s="130">
        <f t="shared" si="1"/>
        <v>420.58584174708079</v>
      </c>
      <c r="Q5" s="130">
        <f t="shared" si="1"/>
        <v>64.296949303637263</v>
      </c>
      <c r="R5" s="130">
        <f t="shared" si="1"/>
        <v>310.8290596575838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150.13976423902895</v>
      </c>
      <c r="Y5" s="131">
        <f>COUNT(EK98:EK107)</f>
        <v>10</v>
      </c>
      <c r="Z5" s="130">
        <f>STDEV(EK98:EK107)</f>
        <v>299.29256517161366</v>
      </c>
      <c r="AA5" s="130">
        <f t="shared" ref="AA5:AA13" si="2">Z5/SQRT(Y5)</f>
        <v>94.644619269668254</v>
      </c>
      <c r="AB5" s="131"/>
      <c r="AC5" s="130">
        <f>AVERAGE($FU98:$FU107)</f>
        <v>106.91683320083489</v>
      </c>
      <c r="AD5" s="132">
        <f>COUNT($FU98:$FU107)</f>
        <v>10</v>
      </c>
      <c r="AE5" s="130">
        <f>STDEV($FU98:$FU107)</f>
        <v>272.27322008494161</v>
      </c>
      <c r="AF5" s="130">
        <f t="shared" ref="AF5:AF13" si="3">AE5/SQRT(AD5)</f>
        <v>86.100352133671933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10"/>
      <c r="FY5" s="210"/>
      <c r="FZ5" s="210"/>
      <c r="GA5" s="210"/>
      <c r="GB5" s="210"/>
      <c r="GC5" s="210"/>
      <c r="GD5" s="210"/>
      <c r="GE5" s="210"/>
      <c r="GF5" s="210"/>
      <c r="GG5" s="210"/>
      <c r="GH5" s="210"/>
      <c r="GI5" s="210"/>
      <c r="GJ5" s="210"/>
      <c r="GK5" s="210"/>
      <c r="GL5" s="210"/>
      <c r="GM5" s="210"/>
      <c r="GN5" s="210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271.42134339246871</v>
      </c>
      <c r="N6" s="130">
        <f t="shared" si="4"/>
        <v>91.07764006312874</v>
      </c>
      <c r="O6" s="130">
        <f t="shared" si="4"/>
        <v>800.36432908598658</v>
      </c>
      <c r="P6" s="130">
        <f t="shared" si="4"/>
        <v>636.31405299051528</v>
      </c>
      <c r="Q6" s="130">
        <f t="shared" si="4"/>
        <v>87.574892644468335</v>
      </c>
      <c r="R6" s="130">
        <f t="shared" si="4"/>
        <v>417.47401276462489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167.21990207373273</v>
      </c>
      <c r="Y6" s="131">
        <f>COUNT(EK108:EK117)</f>
        <v>10</v>
      </c>
      <c r="Z6" s="130">
        <f>STDEV(EK108:EK117)</f>
        <v>175.38176977768785</v>
      </c>
      <c r="AA6" s="130">
        <f t="shared" si="2"/>
        <v>55.460585256877607</v>
      </c>
      <c r="AB6" s="131"/>
      <c r="AC6" s="130">
        <f>AVERAGE($FU108:$FU117)</f>
        <v>59.838792008860956</v>
      </c>
      <c r="AD6" s="132">
        <f>COUNT($FU108:$FU117)</f>
        <v>10</v>
      </c>
      <c r="AE6" s="130">
        <f>STDEV($FU108:$FU117)</f>
        <v>44.038760999848556</v>
      </c>
      <c r="AF6" s="130">
        <f t="shared" si="3"/>
        <v>13.926279009131557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1" t="s">
        <v>145</v>
      </c>
      <c r="FJ6" s="231"/>
      <c r="FK6" s="232" t="s">
        <v>146</v>
      </c>
      <c r="FL6" s="232"/>
      <c r="FM6" s="232" t="s">
        <v>147</v>
      </c>
      <c r="FN6" s="232"/>
      <c r="FO6" s="5"/>
      <c r="FY6" s="211">
        <v>1</v>
      </c>
      <c r="FZ6">
        <v>108.19019734740151</v>
      </c>
      <c r="GA6">
        <v>145.61228280580715</v>
      </c>
      <c r="GB6">
        <v>68.830737367410066</v>
      </c>
      <c r="GC6">
        <v>31.399504839746463</v>
      </c>
      <c r="GD6">
        <v>10.944752446640932</v>
      </c>
      <c r="GE6">
        <v>18.289561760320527</v>
      </c>
      <c r="GF6">
        <v>7.1823871918070079</v>
      </c>
      <c r="GG6">
        <v>2.128882842363943</v>
      </c>
      <c r="GH6">
        <v>12.958611221213529</v>
      </c>
      <c r="GI6">
        <v>43.811446883207722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155.55539516727612</v>
      </c>
      <c r="N7" s="130">
        <f t="shared" si="5"/>
        <v>47.536463505231296</v>
      </c>
      <c r="O7" s="130">
        <f t="shared" si="5"/>
        <v>344.88381779979721</v>
      </c>
      <c r="P7" s="130">
        <f t="shared" si="5"/>
        <v>276.0160659859859</v>
      </c>
      <c r="Q7" s="130">
        <f t="shared" si="5"/>
        <v>47.001061702048688</v>
      </c>
      <c r="R7" s="130">
        <f t="shared" si="5"/>
        <v>228.78980801977463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314.51861548121531</v>
      </c>
      <c r="Y7" s="131">
        <f>COUNT(EK118:EK127)</f>
        <v>10</v>
      </c>
      <c r="Z7" s="130">
        <f>STDEV(EK118:EK127)</f>
        <v>233.92403727832547</v>
      </c>
      <c r="AA7" s="130">
        <f t="shared" si="2"/>
        <v>73.973275726164374</v>
      </c>
      <c r="AB7" s="131"/>
      <c r="AC7" s="130">
        <f>AVERAGE($FU118:$FU127)</f>
        <v>102.81958888388849</v>
      </c>
      <c r="AD7" s="132">
        <f>COUNT($FU118:$FU127)</f>
        <v>10</v>
      </c>
      <c r="AE7" s="130">
        <f>STDEV($FU118:$FU127)</f>
        <v>102.89003558826286</v>
      </c>
      <c r="AF7" s="130">
        <f t="shared" si="3"/>
        <v>32.536686099469314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27">
        <f>AVERAGE(FZ6:FZ1005)</f>
        <v>73.776324598973844</v>
      </c>
      <c r="FJ7" s="227"/>
      <c r="FK7" s="227">
        <f>PERCENTILE($FZ$6:$FZ$1005,0.975)</f>
        <v>162.3763206060722</v>
      </c>
      <c r="FL7" s="227"/>
      <c r="FM7" s="227">
        <f>PERCENTILE($FZ$6:$FZ$1005,0.025)</f>
        <v>24.044453059165711</v>
      </c>
      <c r="FN7" s="227"/>
      <c r="FO7" s="5"/>
      <c r="FY7" s="211">
        <v>2</v>
      </c>
      <c r="FZ7">
        <v>38.174889700588224</v>
      </c>
      <c r="GA7">
        <v>52.431621808639697</v>
      </c>
      <c r="GB7">
        <v>40.158360339007366</v>
      </c>
      <c r="GC7">
        <v>20.349943220808221</v>
      </c>
      <c r="GD7">
        <v>18.054515276732666</v>
      </c>
      <c r="GE7">
        <v>42.503148238897126</v>
      </c>
      <c r="GF7">
        <v>59.232994407574019</v>
      </c>
      <c r="GG7">
        <v>38.485109630481894</v>
      </c>
      <c r="GH7">
        <v>32.445409290362605</v>
      </c>
      <c r="GI7">
        <v>44.257894641076099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290.64439033189035</v>
      </c>
      <c r="Y8" s="131">
        <f>COUNT(EK128:EK137)</f>
        <v>10</v>
      </c>
      <c r="Z8" s="130">
        <f>STDEV(EK128:EK137)</f>
        <v>338.11032534577623</v>
      </c>
      <c r="AA8" s="130">
        <f t="shared" si="2"/>
        <v>106.91987285132107</v>
      </c>
      <c r="AB8" s="131"/>
      <c r="AC8" s="130">
        <f>AVERAGE($FU128:$FU137)</f>
        <v>68.82617806699534</v>
      </c>
      <c r="AD8" s="132">
        <f>COUNT($FU128:$FU137)</f>
        <v>10</v>
      </c>
      <c r="AE8" s="130">
        <f>STDEV($FU128:$FU137)</f>
        <v>55.291347350196411</v>
      </c>
      <c r="AF8" s="130">
        <f t="shared" si="3"/>
        <v>17.484659252613621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27">
        <f>AVERAGE(GA6:GA1005)</f>
        <v>90.508893168391808</v>
      </c>
      <c r="FJ8" s="227"/>
      <c r="FK8" s="227">
        <f>PERCENTILE($GA$6:$GA$1005,0.975)</f>
        <v>189.14140599196918</v>
      </c>
      <c r="FL8" s="227"/>
      <c r="FM8" s="227">
        <f>PERCENTILE($GA$6:$GA$1005,0.025)</f>
        <v>32.682823232212968</v>
      </c>
      <c r="FN8" s="227"/>
      <c r="FO8" s="5"/>
      <c r="FY8" s="211">
        <v>3</v>
      </c>
      <c r="FZ8">
        <v>71.147348713848999</v>
      </c>
      <c r="GA8">
        <v>99.284056925837788</v>
      </c>
      <c r="GB8">
        <v>50.036206112058721</v>
      </c>
      <c r="GC8">
        <v>26.73224300533569</v>
      </c>
      <c r="GD8">
        <v>13.177042973419802</v>
      </c>
      <c r="GE8">
        <v>16.285927978138975</v>
      </c>
      <c r="GF8">
        <v>40.182082414223913</v>
      </c>
      <c r="GG8">
        <v>35.127086365762231</v>
      </c>
      <c r="GH8">
        <v>17.293265988950296</v>
      </c>
      <c r="GI8">
        <v>42.404030790496037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301.30603669206613</v>
      </c>
      <c r="Y9" s="131">
        <f>COUNT(EK138:EK147)</f>
        <v>10</v>
      </c>
      <c r="Z9" s="130">
        <f>STDEV(EK138:EK147)</f>
        <v>302.16827610363896</v>
      </c>
      <c r="AA9" s="130">
        <f t="shared" si="2"/>
        <v>95.553998913412812</v>
      </c>
      <c r="AB9" s="131"/>
      <c r="AC9" s="130">
        <f>AVERAGE($FU138:$FU147)</f>
        <v>70.686516126242964</v>
      </c>
      <c r="AD9" s="132">
        <f>COUNT($FU138:$FU147)</f>
        <v>10</v>
      </c>
      <c r="AE9" s="130">
        <f>STDEV($FU138:$FU147)</f>
        <v>68.984557972813235</v>
      </c>
      <c r="AF9" s="130">
        <f t="shared" si="3"/>
        <v>21.814832657401773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27">
        <f>AVERAGE(GB6:GB1005)</f>
        <v>45.494336981008949</v>
      </c>
      <c r="FJ9" s="227"/>
      <c r="FK9" s="227">
        <f>PERCENTILE($GB$6:$GB$1005,0.975)</f>
        <v>65.085112700156401</v>
      </c>
      <c r="FL9" s="227"/>
      <c r="FM9" s="227">
        <f>PERCENTILE($GB$6:$GB$1005,0.025)</f>
        <v>29.078375655263542</v>
      </c>
      <c r="FN9" s="227"/>
      <c r="FO9" s="5"/>
      <c r="FY9" s="211">
        <v>4</v>
      </c>
      <c r="FZ9">
        <v>78.702737460643931</v>
      </c>
      <c r="GA9">
        <v>101.09091239363404</v>
      </c>
      <c r="GB9">
        <v>36.001913777464139</v>
      </c>
      <c r="GC9">
        <v>23.444714589111726</v>
      </c>
      <c r="GD9">
        <v>18.608746524872306</v>
      </c>
      <c r="GE9">
        <v>24.259407100076725</v>
      </c>
      <c r="GF9">
        <v>30.863751123910347</v>
      </c>
      <c r="GG9">
        <v>18.036531690404512</v>
      </c>
      <c r="GH9">
        <v>18.18463601003204</v>
      </c>
      <c r="GI9">
        <v>41.750567590712286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139.13302951388889</v>
      </c>
      <c r="Y10" s="131">
        <f>COUNT(EK148:EK157)</f>
        <v>8</v>
      </c>
      <c r="Z10" s="130">
        <f>STDEV(EK148:EK157)</f>
        <v>224.55245406047342</v>
      </c>
      <c r="AA10" s="130">
        <f t="shared" si="2"/>
        <v>79.391281499120723</v>
      </c>
      <c r="AB10" s="131"/>
      <c r="AC10" s="130">
        <f>AVERAGE($FU148:$FU157)</f>
        <v>44.027984641714497</v>
      </c>
      <c r="AD10" s="132">
        <f>COUNT($FU148:$FU157)</f>
        <v>8</v>
      </c>
      <c r="AE10" s="130">
        <f>STDEV($FU148:$FU157)</f>
        <v>39.096040393694928</v>
      </c>
      <c r="AF10" s="130">
        <f t="shared" si="3"/>
        <v>13.82253763996243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27">
        <f>AVERAGE(GC6:GC1005)</f>
        <v>25.406184444968474</v>
      </c>
      <c r="FJ10" s="227"/>
      <c r="FK10" s="227">
        <f>PERCENTILE($GC$6:$GC$1005,0.975)</f>
        <v>35.795475204515974</v>
      </c>
      <c r="FL10" s="227"/>
      <c r="FM10" s="227">
        <f>PERCENTILE($GC$6:$GC$1005,0.025)</f>
        <v>16.246573863919522</v>
      </c>
      <c r="FN10" s="227"/>
      <c r="FO10" s="5"/>
      <c r="FY10" s="211">
        <v>5</v>
      </c>
      <c r="FZ10">
        <v>162.45063783107094</v>
      </c>
      <c r="GA10">
        <v>189.99191195832532</v>
      </c>
      <c r="GB10">
        <v>57.002739690124557</v>
      </c>
      <c r="GC10">
        <v>30.543477111451161</v>
      </c>
      <c r="GD10">
        <v>14.860668304932419</v>
      </c>
      <c r="GE10">
        <v>19.889963501694421</v>
      </c>
      <c r="GF10">
        <v>39.807264576211757</v>
      </c>
      <c r="GG10">
        <v>33.891657833909392</v>
      </c>
      <c r="GH10">
        <v>22.726264638323386</v>
      </c>
      <c r="GI10">
        <v>59.305393592138266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394.23098741033516</v>
      </c>
      <c r="Y11" s="131">
        <f>COUNT(EK158:EK167)</f>
        <v>10</v>
      </c>
      <c r="Z11" s="130">
        <f>STDEV(EK158:EK167)</f>
        <v>610.24407931041026</v>
      </c>
      <c r="AA11" s="130">
        <f t="shared" si="2"/>
        <v>192.9761219253331</v>
      </c>
      <c r="AB11" s="131"/>
      <c r="AC11" s="130">
        <f>AVERAGE($FU158:$FU167)</f>
        <v>84.873840663058473</v>
      </c>
      <c r="AD11" s="132">
        <f>COUNT($FU158:$FU167)</f>
        <v>10</v>
      </c>
      <c r="AE11" s="130">
        <f>STDEV($FU158:$FU167)</f>
        <v>137.12690735537726</v>
      </c>
      <c r="AF11" s="130">
        <f t="shared" si="3"/>
        <v>43.363335573788852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27">
        <f>AVERAGE(GD5:GD1005)</f>
        <v>15.172074800529991</v>
      </c>
      <c r="FJ11" s="227"/>
      <c r="FK11" s="227">
        <f>PERCENTILE($GD$6:$GD$1005,0.975)</f>
        <v>21.025821245973006</v>
      </c>
      <c r="FL11" s="227"/>
      <c r="FM11" s="227">
        <f>PERCENTILE($GD$6:$GD$1005,0.025)</f>
        <v>9.9349789717899188</v>
      </c>
      <c r="FN11" s="227"/>
      <c r="FO11" s="5"/>
      <c r="FY11" s="211">
        <v>6</v>
      </c>
      <c r="FZ11">
        <v>79.714463435569485</v>
      </c>
      <c r="GA11">
        <v>88.617988844136278</v>
      </c>
      <c r="GB11">
        <v>52.882150379029071</v>
      </c>
      <c r="GC11">
        <v>29.846523169291938</v>
      </c>
      <c r="GD11">
        <v>9.8455252377722431</v>
      </c>
      <c r="GE11">
        <v>14.877155738960655</v>
      </c>
      <c r="GF11">
        <v>36.42758808456643</v>
      </c>
      <c r="GG11">
        <v>26.727233285895622</v>
      </c>
      <c r="GH11">
        <v>19.455468708411832</v>
      </c>
      <c r="GI11">
        <v>41.639431810380579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41.336235352368377</v>
      </c>
      <c r="Y12" s="131">
        <f>COUNT(EK168:EK177)</f>
        <v>10</v>
      </c>
      <c r="Z12" s="130">
        <f>STDEV(EK168:EK177)</f>
        <v>49.802188125953116</v>
      </c>
      <c r="AA12" s="130">
        <f t="shared" si="2"/>
        <v>15.748834693820445</v>
      </c>
      <c r="AB12" s="131"/>
      <c r="AC12" s="130">
        <f>AVERAGE($FU168:$FU177)</f>
        <v>24.543088224630363</v>
      </c>
      <c r="AD12" s="132">
        <f>COUNT($FU168:$FU177)</f>
        <v>10</v>
      </c>
      <c r="AE12" s="130">
        <f>STDEV($FU168:$FU177)</f>
        <v>36.634708293770146</v>
      </c>
      <c r="AF12" s="130">
        <f t="shared" si="3"/>
        <v>11.584911962417458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27">
        <f>AVERAGE(GE6:GE1005)</f>
        <v>24.719162034254303</v>
      </c>
      <c r="FJ12" s="227"/>
      <c r="FK12" s="227">
        <f>PERCENTILE($GE$6:$GE$1005,0.975)</f>
        <v>35.838631701149019</v>
      </c>
      <c r="FL12" s="227"/>
      <c r="FM12" s="227">
        <f>PERCENTILE($GE$6:$GE$1005,0.025)</f>
        <v>15.076255201783907</v>
      </c>
      <c r="FN12" s="227"/>
      <c r="FO12" s="5"/>
      <c r="FY12" s="211">
        <v>7</v>
      </c>
      <c r="FZ12">
        <v>94.781622351571698</v>
      </c>
      <c r="GA12">
        <v>101.81384986124358</v>
      </c>
      <c r="GB12">
        <v>47.73274219883578</v>
      </c>
      <c r="GC12">
        <v>25.541522267730411</v>
      </c>
      <c r="GD12">
        <v>16.036988426807707</v>
      </c>
      <c r="GE12">
        <v>31.659041708800395</v>
      </c>
      <c r="GF12">
        <v>73.577239699683659</v>
      </c>
      <c r="GG12">
        <v>56.49284145092048</v>
      </c>
      <c r="GH12">
        <v>27.647796985650352</v>
      </c>
      <c r="GI12">
        <v>55.475472886910325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121.05455365080968</v>
      </c>
      <c r="Y13" s="131">
        <f>COUNT(EK178:EK187)</f>
        <v>10</v>
      </c>
      <c r="Z13" s="130">
        <f>STDEV(EK178:EK187)</f>
        <v>165.19268705994023</v>
      </c>
      <c r="AA13" s="130">
        <f t="shared" si="2"/>
        <v>52.238514391283509</v>
      </c>
      <c r="AB13" s="131"/>
      <c r="AC13" s="130">
        <f>AVERAGE($FU178:$FU187)</f>
        <v>31.076237858777102</v>
      </c>
      <c r="AD13" s="132">
        <f>COUNT($FU178:$FU187)</f>
        <v>10</v>
      </c>
      <c r="AE13" s="130">
        <f>STDEV($FU178:$FU187)</f>
        <v>34.231620155627105</v>
      </c>
      <c r="AF13" s="130">
        <f t="shared" si="3"/>
        <v>10.82498876895092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27">
        <f>AVERAGE(GF6:GF1005)</f>
        <v>43.872726527990757</v>
      </c>
      <c r="FJ13" s="227"/>
      <c r="FK13" s="227">
        <f>PERCENTILE($GF$6:$GF$1005,0.975)</f>
        <v>75.374905741275654</v>
      </c>
      <c r="FL13" s="227"/>
      <c r="FM13" s="227">
        <f>PERCENTILE($GF$6:$GF$1005,0.025)</f>
        <v>18.107874835032806</v>
      </c>
      <c r="FN13" s="227"/>
      <c r="FO13" s="5"/>
      <c r="FY13" s="211">
        <v>8</v>
      </c>
      <c r="FZ13">
        <v>33.281979548699269</v>
      </c>
      <c r="GA13">
        <v>37.131319617039487</v>
      </c>
      <c r="GB13">
        <v>45.602553900745988</v>
      </c>
      <c r="GC13">
        <v>31.848215751875607</v>
      </c>
      <c r="GD13">
        <v>15.847851466804897</v>
      </c>
      <c r="GE13">
        <v>18.079564380885415</v>
      </c>
      <c r="GF13">
        <v>33.455535749624062</v>
      </c>
      <c r="GG13">
        <v>23.820200468396475</v>
      </c>
      <c r="GH13">
        <v>21.985755255063246</v>
      </c>
      <c r="GI13">
        <v>36.730164721649331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27">
        <f>AVERAGE(GG6:GG1005)</f>
        <v>33.297318189490973</v>
      </c>
      <c r="FJ14" s="227"/>
      <c r="FK14" s="227">
        <f>PERCENTILE($GG$6:$GG$1005,0.975)</f>
        <v>61.85346346409812</v>
      </c>
      <c r="FL14" s="227"/>
      <c r="FM14" s="227">
        <f>PERCENTILE($GG$6:$GG$1005,0.025)</f>
        <v>9.872665318070851</v>
      </c>
      <c r="FN14" s="227"/>
      <c r="FO14" s="5"/>
      <c r="FY14" s="211">
        <v>9</v>
      </c>
      <c r="FZ14">
        <v>29.083205365716633</v>
      </c>
      <c r="GA14">
        <v>39.751852977382228</v>
      </c>
      <c r="GB14">
        <v>50.249500503516593</v>
      </c>
      <c r="GC14">
        <v>25.538022215366517</v>
      </c>
      <c r="GD14">
        <v>13.770004693595197</v>
      </c>
      <c r="GE14">
        <v>27.328708861805872</v>
      </c>
      <c r="GF14">
        <v>33.669006433968839</v>
      </c>
      <c r="GG14">
        <v>17.844474531013077</v>
      </c>
      <c r="GH14">
        <v>26.598247988390462</v>
      </c>
      <c r="GI14">
        <v>36.796018852798341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231.98491243331938</v>
      </c>
      <c r="AO15" s="163">
        <f>D48</f>
        <v>74.251841359172161</v>
      </c>
      <c r="AP15" s="163">
        <f>D63</f>
        <v>608.62682285871676</v>
      </c>
      <c r="AQ15" s="163">
        <f>C453</f>
        <v>472.30189463580916</v>
      </c>
      <c r="AR15" s="163">
        <f>G520</f>
        <v>71.122394377518347</v>
      </c>
      <c r="AS15" s="163">
        <f>I523</f>
        <v>365.91454543514476</v>
      </c>
      <c r="AT15" s="122">
        <f>G556</f>
        <v>34.28891001824136</v>
      </c>
      <c r="AU15" s="122">
        <f>I556</f>
        <v>4.152629106153924</v>
      </c>
      <c r="AV15" s="23"/>
      <c r="AW15" s="23"/>
      <c r="FG15" s="5"/>
      <c r="FH15" s="214">
        <f t="shared" si="6"/>
        <v>39949</v>
      </c>
      <c r="FI15" s="227">
        <f>AVERAGE(GH6:GH1005)</f>
        <v>23.695441369908579</v>
      </c>
      <c r="FJ15" s="227"/>
      <c r="FK15" s="227">
        <f>PERCENTILE($GH$6:$GH$1005,0.975)</f>
        <v>38.211387072004442</v>
      </c>
      <c r="FL15" s="227"/>
      <c r="FM15" s="227">
        <f>PERCENTILE($GH$6:$GH$1005,0.025)</f>
        <v>12.393422222328374</v>
      </c>
      <c r="FN15" s="227"/>
      <c r="FO15" s="5"/>
      <c r="FY15" s="211">
        <v>10</v>
      </c>
      <c r="FZ15">
        <v>119.75584592914612</v>
      </c>
      <c r="GA15">
        <v>130.74373381348289</v>
      </c>
      <c r="GB15">
        <v>36.889054943764286</v>
      </c>
      <c r="GC15">
        <v>32.787705244502291</v>
      </c>
      <c r="GD15">
        <v>20.050629125361002</v>
      </c>
      <c r="GE15">
        <v>21.44229294967327</v>
      </c>
      <c r="GF15">
        <v>46.996240793587162</v>
      </c>
      <c r="GG15">
        <v>31.393765487578229</v>
      </c>
      <c r="GH15">
        <v>19.675840317913487</v>
      </c>
      <c r="GI15">
        <v>52.399742862264333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27">
        <f>AVERAGE(GI6:GI1005)</f>
        <v>44.643379631563079</v>
      </c>
      <c r="FJ16" s="227"/>
      <c r="FK16" s="227">
        <f>PERCENTILE($GI$6:$GI$1005,0.975)</f>
        <v>60.549205860388149</v>
      </c>
      <c r="FL16" s="227"/>
      <c r="FM16" s="227">
        <f>PERCENTILE($GI$6:$GI$1005,0.025)</f>
        <v>32.762127438652051</v>
      </c>
      <c r="FN16" s="227"/>
      <c r="FO16" s="5"/>
      <c r="FY16" s="211">
        <v>11</v>
      </c>
      <c r="FZ16">
        <v>113.70196601748566</v>
      </c>
      <c r="GA16">
        <v>144.9099984397368</v>
      </c>
      <c r="GB16">
        <v>51.585456736950995</v>
      </c>
      <c r="GC16">
        <v>30.18963880126055</v>
      </c>
      <c r="GD16">
        <v>19.012419702011833</v>
      </c>
      <c r="GE16">
        <v>29.539542206623558</v>
      </c>
      <c r="GF16">
        <v>42.212521113861335</v>
      </c>
      <c r="GG16">
        <v>24.647471786863687</v>
      </c>
      <c r="GH16">
        <v>12.476526298809512</v>
      </c>
      <c r="GI16">
        <v>52.154220048078194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166.60417817773731</v>
      </c>
      <c r="AO17">
        <v>66.025669214052101</v>
      </c>
      <c r="AP17">
        <v>566.19124624249957</v>
      </c>
      <c r="AQ17">
        <v>449.34836470591875</v>
      </c>
      <c r="AR17">
        <v>63.505319509637332</v>
      </c>
      <c r="AS17">
        <v>285.89375591228594</v>
      </c>
      <c r="AT17" t="e">
        <v>#DIV/0!</v>
      </c>
      <c r="AU17" t="e">
        <v>#DIV/0!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Y17" s="211">
        <v>12</v>
      </c>
      <c r="FZ17">
        <v>152.7393845508129</v>
      </c>
      <c r="GA17">
        <v>184.96812916408084</v>
      </c>
      <c r="GB17">
        <v>40.509776366122622</v>
      </c>
      <c r="GC17">
        <v>24.016189588569336</v>
      </c>
      <c r="GD17">
        <v>18.567340265640748</v>
      </c>
      <c r="GE17">
        <v>30.050748485965265</v>
      </c>
      <c r="GF17">
        <v>32.444300132847857</v>
      </c>
      <c r="GG17">
        <v>27.825260703457861</v>
      </c>
      <c r="GH17">
        <v>41.809137329914968</v>
      </c>
      <c r="GI17">
        <v>57.763607683346464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230.62356003241703</v>
      </c>
      <c r="AO18">
        <v>65.134321902548777</v>
      </c>
      <c r="AP18">
        <v>486.28813428496511</v>
      </c>
      <c r="AQ18">
        <v>386.09388655416791</v>
      </c>
      <c r="AR18">
        <v>62.724724770218302</v>
      </c>
      <c r="AS18">
        <v>305.00762660885158</v>
      </c>
      <c r="AT18">
        <v>29.694854957895981</v>
      </c>
      <c r="AU18">
        <v>23.78500692900548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Y18" s="211">
        <v>13</v>
      </c>
      <c r="FZ18">
        <v>59.791577805945977</v>
      </c>
      <c r="GA18">
        <v>102.18152038241466</v>
      </c>
      <c r="GB18">
        <v>55.010974286884988</v>
      </c>
      <c r="GC18">
        <v>27.66719400898219</v>
      </c>
      <c r="GD18">
        <v>16.914757241347786</v>
      </c>
      <c r="GE18">
        <v>26.072827567212087</v>
      </c>
      <c r="GF18">
        <v>17.799977514855321</v>
      </c>
      <c r="GG18">
        <v>5.2869716760581262</v>
      </c>
      <c r="GH18">
        <v>17.846017751237977</v>
      </c>
      <c r="GI18">
        <v>39.930681693126218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189.07782044083936</v>
      </c>
      <c r="AO19">
        <v>64.185769853793289</v>
      </c>
      <c r="AP19">
        <v>532.9106842993408</v>
      </c>
      <c r="AQ19">
        <v>411.66929126807247</v>
      </c>
      <c r="AR19">
        <v>61.465596463184504</v>
      </c>
      <c r="AS19">
        <v>272.43705178512334</v>
      </c>
      <c r="AT19">
        <v>29.593273291505351</v>
      </c>
      <c r="AU19">
        <v>-22.793354819972322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Y19" s="211">
        <v>14</v>
      </c>
      <c r="FZ19">
        <v>32.001798089189293</v>
      </c>
      <c r="GA19">
        <v>57.311837826812031</v>
      </c>
      <c r="GB19">
        <v>41.914386593863384</v>
      </c>
      <c r="GC19">
        <v>21.240579555145793</v>
      </c>
      <c r="GD19">
        <v>17.039650804302614</v>
      </c>
      <c r="GE19">
        <v>31.387039660200589</v>
      </c>
      <c r="GF19">
        <v>50.710415846994962</v>
      </c>
      <c r="GG19">
        <v>37.441216145784665</v>
      </c>
      <c r="GH19">
        <v>23.205968064956558</v>
      </c>
      <c r="GI19">
        <v>40.113119891227633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184.32642167920542</v>
      </c>
      <c r="AO20">
        <v>61.579657003983662</v>
      </c>
      <c r="AP20">
        <v>479.59063361601159</v>
      </c>
      <c r="AQ20">
        <v>390.94391826086206</v>
      </c>
      <c r="AR20">
        <v>60.155849411437501</v>
      </c>
      <c r="AS20">
        <v>278.60762454788653</v>
      </c>
      <c r="AT20">
        <v>29.717368925198087</v>
      </c>
      <c r="AU20">
        <v>-6.4413943832859673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25.314606453868183</v>
      </c>
      <c r="GA20">
        <v>58.502911017380058</v>
      </c>
      <c r="GB20">
        <v>46.74707615539895</v>
      </c>
      <c r="GC20">
        <v>21.565944661916078</v>
      </c>
      <c r="GD20">
        <v>14.27959525463503</v>
      </c>
      <c r="GE20">
        <v>23.718601953664358</v>
      </c>
      <c r="GF20">
        <v>73.742974655697438</v>
      </c>
      <c r="GG20">
        <v>62.232243261871737</v>
      </c>
      <c r="GH20">
        <v>39.416170191067842</v>
      </c>
      <c r="GI20">
        <v>45.817798604862837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121.30047852474324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6.25</v>
      </c>
      <c r="J21" s="18">
        <f t="shared" si="9"/>
        <v>16.145833333333332</v>
      </c>
      <c r="K21" s="18">
        <f t="shared" si="9"/>
        <v>31.354166666666664</v>
      </c>
      <c r="L21" s="18">
        <f t="shared" si="9"/>
        <v>28.919526143790847</v>
      </c>
      <c r="M21" s="18">
        <f t="shared" si="9"/>
        <v>24.360119047619047</v>
      </c>
      <c r="N21" s="18">
        <f t="shared" si="9"/>
        <v>7.6041666666666661</v>
      </c>
      <c r="O21" s="18">
        <f t="shared" si="9"/>
        <v>0</v>
      </c>
      <c r="P21" s="18">
        <f t="shared" si="9"/>
        <v>6.666666666666667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248.46245263024881</v>
      </c>
      <c r="AO21">
        <v>88.622787954157104</v>
      </c>
      <c r="AP21">
        <v>788.79760314078339</v>
      </c>
      <c r="AQ21">
        <v>630.46997903818158</v>
      </c>
      <c r="AR21">
        <v>86.071008235067481</v>
      </c>
      <c r="AS21">
        <v>439.06335693576659</v>
      </c>
      <c r="AT21">
        <v>46.07110640985232</v>
      </c>
      <c r="AU21">
        <v>16.840312341771416</v>
      </c>
      <c r="AV21"/>
      <c r="AW21"/>
      <c r="FY21" s="211">
        <v>16</v>
      </c>
      <c r="FZ21">
        <v>27.250203378120254</v>
      </c>
      <c r="GA21">
        <v>45.535227407748081</v>
      </c>
      <c r="GB21">
        <v>45.363786649027716</v>
      </c>
      <c r="GC21">
        <v>23.948513588710835</v>
      </c>
      <c r="GD21">
        <v>14.79671108643228</v>
      </c>
      <c r="GE21">
        <v>23.213872827530302</v>
      </c>
      <c r="GF21">
        <v>67.012315728031112</v>
      </c>
      <c r="GG21">
        <v>57.291870478432607</v>
      </c>
      <c r="GH21">
        <v>29.813858731940144</v>
      </c>
      <c r="GI21">
        <v>43.100393524706028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176.2435948841902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23.41649865591398</v>
      </c>
      <c r="I22" s="18">
        <f t="shared" si="10"/>
        <v>27.880784370199695</v>
      </c>
      <c r="J22" s="18">
        <f t="shared" si="10"/>
        <v>5.7291666666666661</v>
      </c>
      <c r="K22" s="18">
        <f t="shared" si="10"/>
        <v>12.083333333333334</v>
      </c>
      <c r="L22" s="18">
        <f t="shared" si="10"/>
        <v>45.586192810457511</v>
      </c>
      <c r="M22" s="18">
        <f t="shared" si="10"/>
        <v>42.589285714285708</v>
      </c>
      <c r="N22" s="18">
        <f t="shared" si="10"/>
        <v>6.5625</v>
      </c>
      <c r="O22" s="18">
        <f t="shared" si="10"/>
        <v>5.729166666666667</v>
      </c>
      <c r="P22" s="18">
        <f t="shared" si="10"/>
        <v>6.666666666666667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183.82964885281552</v>
      </c>
      <c r="AO22">
        <v>61.314755304309884</v>
      </c>
      <c r="AP22">
        <v>514.23400203793869</v>
      </c>
      <c r="AQ22">
        <v>400.03352869401414</v>
      </c>
      <c r="AR22">
        <v>59.660952672288559</v>
      </c>
      <c r="AS22">
        <v>280.92390601560754</v>
      </c>
      <c r="AT22">
        <v>31.348022983527809</v>
      </c>
      <c r="AU22">
        <v>-6.2308148785305661</v>
      </c>
      <c r="AV22"/>
      <c r="AW22"/>
      <c r="FY22" s="211">
        <v>17</v>
      </c>
      <c r="FZ22">
        <v>167.63564619929772</v>
      </c>
      <c r="GA22">
        <v>186.59706854227659</v>
      </c>
      <c r="GB22">
        <v>35.149056261632659</v>
      </c>
      <c r="GC22">
        <v>18.460357744711271</v>
      </c>
      <c r="GD22">
        <v>11.042673139721733</v>
      </c>
      <c r="GE22">
        <v>17.330105527352821</v>
      </c>
      <c r="GF22">
        <v>41.134731177797043</v>
      </c>
      <c r="GG22">
        <v>34.575338522209464</v>
      </c>
      <c r="GH22">
        <v>26.784456588930844</v>
      </c>
      <c r="GI22">
        <v>52.930176368981904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281.39896265634928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42.611002966258809</v>
      </c>
      <c r="I23" s="18">
        <f t="shared" si="11"/>
        <v>69.003230530361378</v>
      </c>
      <c r="J23" s="18">
        <f t="shared" si="11"/>
        <v>47.809829059829063</v>
      </c>
      <c r="K23" s="18">
        <f t="shared" si="11"/>
        <v>16.861263736263737</v>
      </c>
      <c r="L23" s="18">
        <f t="shared" si="11"/>
        <v>36.979166666666664</v>
      </c>
      <c r="M23" s="18">
        <f t="shared" si="11"/>
        <v>47.774621212121211</v>
      </c>
      <c r="N23" s="18">
        <f t="shared" si="11"/>
        <v>8.1439393939393927</v>
      </c>
      <c r="O23" s="18">
        <f t="shared" si="11"/>
        <v>12.21590909090909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268.09910283611015</v>
      </c>
      <c r="AO23">
        <v>82.01835212267693</v>
      </c>
      <c r="AP23">
        <v>683.35701218596864</v>
      </c>
      <c r="AQ23">
        <v>530.75911783815434</v>
      </c>
      <c r="AR23">
        <v>79.953837791210958</v>
      </c>
      <c r="AS23">
        <v>386.80393621472524</v>
      </c>
      <c r="AT23">
        <v>39.851055990811481</v>
      </c>
      <c r="AU23">
        <v>25.320426764332666</v>
      </c>
      <c r="AV23"/>
      <c r="AW23"/>
      <c r="FY23" s="211">
        <v>18</v>
      </c>
      <c r="FZ23">
        <v>16.301490720655391</v>
      </c>
      <c r="GA23">
        <v>34.457479198601021</v>
      </c>
      <c r="GB23">
        <v>35.988134316883666</v>
      </c>
      <c r="GC23">
        <v>21.754613717327469</v>
      </c>
      <c r="GD23">
        <v>16.550582947265436</v>
      </c>
      <c r="GE23">
        <v>21.61379475974082</v>
      </c>
      <c r="GF23">
        <v>24.883066415113905</v>
      </c>
      <c r="GG23">
        <v>23.249240637689589</v>
      </c>
      <c r="GH23">
        <v>20.426526143439691</v>
      </c>
      <c r="GI23">
        <v>30.378751132128816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326.52574167929771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21.798670977011493</v>
      </c>
      <c r="I24" s="18">
        <f t="shared" si="12"/>
        <v>125.10062076333628</v>
      </c>
      <c r="J24" s="18">
        <f t="shared" si="12"/>
        <v>67.105463980463981</v>
      </c>
      <c r="K24" s="18">
        <f t="shared" si="12"/>
        <v>26.946491008991011</v>
      </c>
      <c r="L24" s="18">
        <f t="shared" si="12"/>
        <v>21.006944444444443</v>
      </c>
      <c r="M24" s="18">
        <f t="shared" si="12"/>
        <v>40.025252525252526</v>
      </c>
      <c r="N24" s="18">
        <f t="shared" si="12"/>
        <v>16.319444444444443</v>
      </c>
      <c r="O24" s="18">
        <f t="shared" si="12"/>
        <v>8.2228535353535346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181.55162351454189</v>
      </c>
      <c r="AO24">
        <v>53.263002661665681</v>
      </c>
      <c r="AP24">
        <v>376.42405374139986</v>
      </c>
      <c r="AQ24">
        <v>297.78314086078376</v>
      </c>
      <c r="AR24">
        <v>52.583549255523131</v>
      </c>
      <c r="AS24">
        <v>279.59181486971374</v>
      </c>
      <c r="AT24">
        <v>26.696079755716102</v>
      </c>
      <c r="AU24">
        <v>-38.199044386323287</v>
      </c>
      <c r="AV24"/>
      <c r="AW24"/>
      <c r="FY24" s="211">
        <v>19</v>
      </c>
      <c r="FZ24">
        <v>37.008809491253871</v>
      </c>
      <c r="GA24">
        <v>59.937359419000806</v>
      </c>
      <c r="GB24">
        <v>35.071871806754871</v>
      </c>
      <c r="GC24">
        <v>17.7332311558154</v>
      </c>
      <c r="GD24">
        <v>16.118996160624761</v>
      </c>
      <c r="GE24">
        <v>21.794769687204813</v>
      </c>
      <c r="GF24">
        <v>29.479273110420937</v>
      </c>
      <c r="GG24">
        <v>22.076164836082423</v>
      </c>
      <c r="GH24">
        <v>14.448376282727283</v>
      </c>
      <c r="GI24">
        <v>33.014688919786877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267.40525099900094</v>
      </c>
      <c r="E25" s="18">
        <f t="shared" si="8"/>
        <v>24</v>
      </c>
      <c r="F25" s="50"/>
      <c r="G25" s="18">
        <f t="shared" ref="G25:AK25" si="13">AVERAGE(G74:G75)</f>
        <v>9.6153846153846132</v>
      </c>
      <c r="H25" s="18">
        <f t="shared" si="13"/>
        <v>51.688415750915759</v>
      </c>
      <c r="I25" s="18">
        <f t="shared" si="13"/>
        <v>109.28056318681318</v>
      </c>
      <c r="J25" s="18">
        <f t="shared" si="13"/>
        <v>23.983134920634921</v>
      </c>
      <c r="K25" s="18">
        <f t="shared" si="13"/>
        <v>11.126893939393939</v>
      </c>
      <c r="L25" s="18">
        <f t="shared" si="13"/>
        <v>6.4236111111111107</v>
      </c>
      <c r="M25" s="18">
        <f t="shared" si="13"/>
        <v>28.708964646464644</v>
      </c>
      <c r="N25" s="18">
        <f t="shared" si="13"/>
        <v>18.592171717171716</v>
      </c>
      <c r="O25" s="18">
        <f t="shared" si="13"/>
        <v>7.4652777777777768</v>
      </c>
      <c r="P25" s="18">
        <f t="shared" si="13"/>
        <v>0.52083333333333326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176.3545927299046</v>
      </c>
      <c r="AO25">
        <v>52.656616978036539</v>
      </c>
      <c r="AP25">
        <v>385.00439089865404</v>
      </c>
      <c r="AQ25">
        <v>300.62904242355376</v>
      </c>
      <c r="AR25">
        <v>52.358196574657548</v>
      </c>
      <c r="AS25">
        <v>264.64867568050289</v>
      </c>
      <c r="AT25">
        <v>25.490544541588406</v>
      </c>
      <c r="AU25">
        <v>-2.0384532125891326</v>
      </c>
      <c r="AV25"/>
      <c r="AW25"/>
      <c r="FY25" s="211">
        <v>20</v>
      </c>
      <c r="FZ25">
        <v>85.109245302738117</v>
      </c>
      <c r="GA25">
        <v>81.348808737161932</v>
      </c>
      <c r="GB25">
        <v>49.544854465582475</v>
      </c>
      <c r="GC25">
        <v>30.296905276101153</v>
      </c>
      <c r="GD25">
        <v>14.379019250963735</v>
      </c>
      <c r="GE25">
        <v>26.531101212665224</v>
      </c>
      <c r="GF25">
        <v>60.372543077544435</v>
      </c>
      <c r="GG25">
        <v>44.459985056138343</v>
      </c>
      <c r="GH25">
        <v>18.593838324170541</v>
      </c>
      <c r="GI25">
        <v>49.217666221248649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200.63884954021671</v>
      </c>
      <c r="E26" s="18">
        <f t="shared" si="8"/>
        <v>48</v>
      </c>
      <c r="F26" s="50"/>
      <c r="G26" s="18">
        <f t="shared" ref="G26:AK26" si="14">AVERAGE(G75:G76)</f>
        <v>9.6153846153846132</v>
      </c>
      <c r="H26" s="18">
        <f t="shared" si="14"/>
        <v>50.38633241758243</v>
      </c>
      <c r="I26" s="18">
        <f t="shared" si="14"/>
        <v>79.135396396138589</v>
      </c>
      <c r="J26" s="18">
        <f t="shared" si="14"/>
        <v>7.0746527777777777</v>
      </c>
      <c r="K26" s="18">
        <f t="shared" si="14"/>
        <v>3.3420138888888884</v>
      </c>
      <c r="L26" s="18">
        <f t="shared" si="14"/>
        <v>4.1666666666666661</v>
      </c>
      <c r="M26" s="18">
        <f t="shared" si="14"/>
        <v>14.84375</v>
      </c>
      <c r="N26" s="18">
        <f t="shared" si="14"/>
        <v>23.871527777777779</v>
      </c>
      <c r="O26" s="18">
        <f t="shared" si="14"/>
        <v>7.0312499999999991</v>
      </c>
      <c r="P26" s="18">
        <f t="shared" si="14"/>
        <v>1.171875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228.53288185707751</v>
      </c>
      <c r="AO26">
        <v>78.33707381766618</v>
      </c>
      <c r="AP26">
        <v>631.9691895489924</v>
      </c>
      <c r="AQ26">
        <v>512.13485146727305</v>
      </c>
      <c r="AR26">
        <v>75.838125030270959</v>
      </c>
      <c r="AS26">
        <v>371.82789592321694</v>
      </c>
      <c r="AT26">
        <v>40.008830518155406</v>
      </c>
      <c r="AU26">
        <v>-7.790168365110901</v>
      </c>
      <c r="AV26"/>
      <c r="AW26"/>
      <c r="FY26" s="211">
        <v>21</v>
      </c>
      <c r="FZ26">
        <v>101.22587913005927</v>
      </c>
      <c r="GA26">
        <v>141.78823503141371</v>
      </c>
      <c r="GB26">
        <v>65.54480389509142</v>
      </c>
      <c r="GC26">
        <v>31.569881296439327</v>
      </c>
      <c r="GD26">
        <v>10.942138805342719</v>
      </c>
      <c r="GE26">
        <v>17.686973843948515</v>
      </c>
      <c r="GF26">
        <v>46.272256159110853</v>
      </c>
      <c r="GG26">
        <v>36.503692622154396</v>
      </c>
      <c r="GH26">
        <v>23.162517761379636</v>
      </c>
      <c r="GI26">
        <v>51.459100406997884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346.22963028724746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27.34375</v>
      </c>
      <c r="I27" s="18">
        <f t="shared" si="15"/>
        <v>163.2080078125</v>
      </c>
      <c r="J27" s="18">
        <f t="shared" si="15"/>
        <v>106.79056186868685</v>
      </c>
      <c r="K27" s="18">
        <f t="shared" si="15"/>
        <v>2.8211805555555554</v>
      </c>
      <c r="L27" s="18">
        <f t="shared" si="15"/>
        <v>0</v>
      </c>
      <c r="M27" s="18">
        <f t="shared" si="15"/>
        <v>3.3854166666666661</v>
      </c>
      <c r="N27" s="18">
        <f t="shared" si="15"/>
        <v>29.553345959595958</v>
      </c>
      <c r="O27" s="18">
        <f t="shared" si="15"/>
        <v>12.476325757575758</v>
      </c>
      <c r="P27" s="18">
        <f t="shared" si="15"/>
        <v>0.65104166666666663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258.72321617826998</v>
      </c>
      <c r="AO27">
        <v>78.402324916345179</v>
      </c>
      <c r="AP27">
        <v>640.85827890010626</v>
      </c>
      <c r="AQ27">
        <v>520.4297611516821</v>
      </c>
      <c r="AR27">
        <v>74.787664056132542</v>
      </c>
      <c r="AS27">
        <v>349.74635695946455</v>
      </c>
      <c r="AT27">
        <v>37.719583018500352</v>
      </c>
      <c r="AU27">
        <v>-38.778040824204751</v>
      </c>
      <c r="AV27"/>
      <c r="AW27"/>
      <c r="FY27" s="211">
        <v>22</v>
      </c>
      <c r="FZ27">
        <v>86.526791423880837</v>
      </c>
      <c r="GA27">
        <v>105.34859345568734</v>
      </c>
      <c r="GB27">
        <v>64.264557792975864</v>
      </c>
      <c r="GC27">
        <v>35.69500130169417</v>
      </c>
      <c r="GD27">
        <v>16.989380309642279</v>
      </c>
      <c r="GE27">
        <v>26.496878641769307</v>
      </c>
      <c r="GF27">
        <v>67.248998599244828</v>
      </c>
      <c r="GG27">
        <v>50.435757193346916</v>
      </c>
      <c r="GH27">
        <v>34.979109024807507</v>
      </c>
      <c r="GI27">
        <v>58.826553418108006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281.03401307596511</v>
      </c>
      <c r="E28" s="18">
        <f>C12-C11</f>
        <v>39</v>
      </c>
      <c r="F28" s="50"/>
      <c r="G28" s="18">
        <f t="shared" si="15"/>
        <v>0</v>
      </c>
      <c r="H28" s="18">
        <f t="shared" si="15"/>
        <v>26.041666666666668</v>
      </c>
      <c r="I28" s="18">
        <f t="shared" si="15"/>
        <v>115.82477168949771</v>
      </c>
      <c r="J28" s="18">
        <f t="shared" si="15"/>
        <v>101.79924242424241</v>
      </c>
      <c r="K28" s="18">
        <f t="shared" si="15"/>
        <v>2.8039383561643829</v>
      </c>
      <c r="L28" s="18">
        <f t="shared" si="15"/>
        <v>0</v>
      </c>
      <c r="M28" s="18">
        <f t="shared" si="15"/>
        <v>2.083333333333333</v>
      </c>
      <c r="N28" s="18">
        <f t="shared" si="15"/>
        <v>18.18181818181818</v>
      </c>
      <c r="O28" s="18">
        <f t="shared" si="15"/>
        <v>11.174242424242424</v>
      </c>
      <c r="P28" s="18">
        <f t="shared" si="15"/>
        <v>3.125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226.26541459971773</v>
      </c>
      <c r="AO28">
        <v>86.45624929985847</v>
      </c>
      <c r="AP28">
        <v>752.39407267395381</v>
      </c>
      <c r="AQ28">
        <v>610.69387427075878</v>
      </c>
      <c r="AR28">
        <v>83.84240725386573</v>
      </c>
      <c r="AS28">
        <v>358.51354868116005</v>
      </c>
      <c r="AT28">
        <v>45.567888370875721</v>
      </c>
      <c r="AU28">
        <v>-8.6806752070016344</v>
      </c>
      <c r="AV28"/>
      <c r="AW28"/>
      <c r="FY28" s="211">
        <v>23</v>
      </c>
      <c r="FZ28">
        <v>185.46781155549576</v>
      </c>
      <c r="GA28">
        <v>223.29260608285375</v>
      </c>
      <c r="GB28">
        <v>40.972401006069688</v>
      </c>
      <c r="GC28">
        <v>25.042854684831266</v>
      </c>
      <c r="GD28">
        <v>15.933867338143413</v>
      </c>
      <c r="GE28">
        <v>29.709813689528286</v>
      </c>
      <c r="GF28">
        <v>63.006619046477674</v>
      </c>
      <c r="GG28">
        <v>47.234806387749074</v>
      </c>
      <c r="GH28">
        <v>20.952941866033541</v>
      </c>
      <c r="GI28">
        <v>63.735459974307439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96.504781827262761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12.227766481164382</v>
      </c>
      <c r="J29" s="18">
        <f t="shared" si="15"/>
        <v>50.276311936394848</v>
      </c>
      <c r="K29" s="18">
        <f t="shared" si="15"/>
        <v>6.682484455455163</v>
      </c>
      <c r="L29" s="18">
        <f t="shared" si="15"/>
        <v>14.297385620915032</v>
      </c>
      <c r="M29" s="18">
        <f t="shared" si="15"/>
        <v>4.1666666666666661</v>
      </c>
      <c r="N29" s="18">
        <f t="shared" si="15"/>
        <v>5.208333333333333</v>
      </c>
      <c r="O29" s="18">
        <f t="shared" si="15"/>
        <v>0</v>
      </c>
      <c r="P29" s="18">
        <f t="shared" si="15"/>
        <v>3.645833333333333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177.40178440252535</v>
      </c>
      <c r="AO29">
        <v>59.587771416610316</v>
      </c>
      <c r="AP29">
        <v>459.22608131073889</v>
      </c>
      <c r="AQ29">
        <v>368.50249992806528</v>
      </c>
      <c r="AR29">
        <v>57.180894397082803</v>
      </c>
      <c r="AS29">
        <v>294.6083917004097</v>
      </c>
      <c r="AT29">
        <v>27.926357425215286</v>
      </c>
      <c r="AU29">
        <v>-6.4135978339272448</v>
      </c>
      <c r="AV29"/>
      <c r="AW29"/>
      <c r="FY29" s="211">
        <v>24</v>
      </c>
      <c r="FZ29">
        <v>18.794539404553184</v>
      </c>
      <c r="GA29">
        <v>49.380063135571561</v>
      </c>
      <c r="GB29">
        <v>38.336376164238018</v>
      </c>
      <c r="GC29">
        <v>22.340553319766755</v>
      </c>
      <c r="GD29">
        <v>16.123698453364483</v>
      </c>
      <c r="GE29">
        <v>25.187195048321641</v>
      </c>
      <c r="GF29">
        <v>31.718495740257069</v>
      </c>
      <c r="GG29">
        <v>15.660097228839485</v>
      </c>
      <c r="GH29">
        <v>12.255585273724151</v>
      </c>
      <c r="GI29">
        <v>30.976749907254302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222.56782085892073</v>
      </c>
      <c r="E30" s="18">
        <v>24</v>
      </c>
      <c r="F30" s="50"/>
      <c r="G30" s="18">
        <f>AVERAGE(G70:G79)</f>
        <v>1.9230769230769227</v>
      </c>
      <c r="H30" s="18">
        <f t="shared" ref="H30:AK30" si="16">AVERAGE(H70:H79)</f>
        <v>24.328633743434914</v>
      </c>
      <c r="I30" s="18">
        <f t="shared" si="16"/>
        <v>71.993913602167794</v>
      </c>
      <c r="J30" s="18">
        <f t="shared" si="16"/>
        <v>49.0011342237758</v>
      </c>
      <c r="K30" s="18">
        <f t="shared" si="16"/>
        <v>13.769197870667011</v>
      </c>
      <c r="L30" s="18">
        <f t="shared" si="16"/>
        <v>17.323937908496731</v>
      </c>
      <c r="M30" s="18">
        <f t="shared" si="16"/>
        <v>21.679157647907648</v>
      </c>
      <c r="N30" s="18">
        <f t="shared" si="16"/>
        <v>13.820391414141412</v>
      </c>
      <c r="O30" s="18">
        <f t="shared" si="16"/>
        <v>6.4315025252525242</v>
      </c>
      <c r="P30" s="18">
        <f t="shared" si="16"/>
        <v>2.2968750000000004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217.94440275463185</v>
      </c>
      <c r="AO30">
        <v>59.837617757762118</v>
      </c>
      <c r="AP30">
        <v>449.75641408809685</v>
      </c>
      <c r="AQ30">
        <v>352.36601247847756</v>
      </c>
      <c r="AR30">
        <v>57.484270311097561</v>
      </c>
      <c r="AS30">
        <v>287.58195256314821</v>
      </c>
      <c r="AT30">
        <v>26.591872878801812</v>
      </c>
      <c r="AU30">
        <v>79.024284601867251</v>
      </c>
      <c r="AV30"/>
      <c r="AW30"/>
      <c r="FY30" s="211">
        <v>25</v>
      </c>
      <c r="FZ30">
        <v>38.953057861003714</v>
      </c>
      <c r="GA30">
        <v>50.796912876741189</v>
      </c>
      <c r="GB30">
        <v>46.71680389219182</v>
      </c>
      <c r="GC30">
        <v>29.356125338269091</v>
      </c>
      <c r="GD30">
        <v>16.903844637607246</v>
      </c>
      <c r="GE30">
        <v>19.634772880758909</v>
      </c>
      <c r="GF30">
        <v>32.912647059870451</v>
      </c>
      <c r="GG30">
        <v>21.107123365074415</v>
      </c>
      <c r="GH30">
        <v>17.027750129756466</v>
      </c>
      <c r="GI30">
        <v>37.634817748773813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240.49820629346078</v>
      </c>
      <c r="AO31">
        <v>67.126986779051592</v>
      </c>
      <c r="AP31">
        <v>551.67164956790714</v>
      </c>
      <c r="AQ31">
        <v>411.33792221036259</v>
      </c>
      <c r="AR31">
        <v>65.806140305321534</v>
      </c>
      <c r="AS31">
        <v>323.29409733712498</v>
      </c>
      <c r="AT31">
        <v>31.316715090349202</v>
      </c>
      <c r="AU31">
        <v>40.102129950126759</v>
      </c>
      <c r="AV31"/>
      <c r="AW31"/>
      <c r="FY31" s="211">
        <v>26</v>
      </c>
      <c r="FZ31">
        <v>152.15633153765856</v>
      </c>
      <c r="GA31">
        <v>189.07428022718659</v>
      </c>
      <c r="GB31">
        <v>57.871207480321097</v>
      </c>
      <c r="GC31">
        <v>32.644631007917518</v>
      </c>
      <c r="GD31">
        <v>21.024543396069166</v>
      </c>
      <c r="GE31">
        <v>41.991825012630031</v>
      </c>
      <c r="GF31">
        <v>65.613934103499318</v>
      </c>
      <c r="GG31">
        <v>37.035010791098273</v>
      </c>
      <c r="GH31">
        <v>14.502101150472829</v>
      </c>
      <c r="GI31">
        <v>65.865078091846797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231.98491243331938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232.33594999252713</v>
      </c>
      <c r="AO32">
        <v>63.32219088425866</v>
      </c>
      <c r="AP32">
        <v>497.52632274544112</v>
      </c>
      <c r="AQ32">
        <v>377.32675340067937</v>
      </c>
      <c r="AR32">
        <v>61.879760736549251</v>
      </c>
      <c r="AS32">
        <v>330.38290440843235</v>
      </c>
      <c r="AT32">
        <v>29.425743966563349</v>
      </c>
      <c r="AU32">
        <v>20.79611110407043</v>
      </c>
      <c r="AV32"/>
      <c r="AW32"/>
      <c r="FY32" s="211">
        <v>27</v>
      </c>
      <c r="FZ32">
        <v>78.724028878097272</v>
      </c>
      <c r="GA32">
        <v>82.810394413286446</v>
      </c>
      <c r="GB32">
        <v>41.176950525837448</v>
      </c>
      <c r="GC32">
        <v>26.718587535235191</v>
      </c>
      <c r="GD32">
        <v>14.683265544949741</v>
      </c>
      <c r="GE32">
        <v>23.596280866247408</v>
      </c>
      <c r="GF32">
        <v>62.234601911119235</v>
      </c>
      <c r="GG32">
        <v>41.234240006877194</v>
      </c>
      <c r="GH32">
        <v>8.5774631363803877</v>
      </c>
      <c r="GI32">
        <v>45.305196249389219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214.31795811269757</v>
      </c>
      <c r="AO33">
        <v>78.238451707493979</v>
      </c>
      <c r="AP33">
        <v>738.13902652415049</v>
      </c>
      <c r="AQ33">
        <v>591.63961007291209</v>
      </c>
      <c r="AR33">
        <v>76.806470256408787</v>
      </c>
      <c r="AS33">
        <v>346.45751507455168</v>
      </c>
      <c r="AT33">
        <v>43.282147387665539</v>
      </c>
      <c r="AU33">
        <v>-10.478239730569989</v>
      </c>
      <c r="AV33"/>
      <c r="AW33"/>
      <c r="FY33" s="211">
        <v>28</v>
      </c>
      <c r="FZ33">
        <v>123.00730267674372</v>
      </c>
      <c r="GA33">
        <v>137.79556450941084</v>
      </c>
      <c r="GB33">
        <v>60.855411599940112</v>
      </c>
      <c r="GC33">
        <v>31.375674210927862</v>
      </c>
      <c r="GD33">
        <v>13.737205846931415</v>
      </c>
      <c r="GE33">
        <v>21.600216738231111</v>
      </c>
      <c r="GF33">
        <v>36.049552808342291</v>
      </c>
      <c r="GG33">
        <v>27.595954355824592</v>
      </c>
      <c r="GH33">
        <v>18.447837591173233</v>
      </c>
      <c r="GI33">
        <v>52.504357107952281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163.55471194166267</v>
      </c>
      <c r="AO34">
        <v>45.139046731986475</v>
      </c>
      <c r="AP34">
        <v>305.94178578268475</v>
      </c>
      <c r="AQ34">
        <v>245.60367998884584</v>
      </c>
      <c r="AR34">
        <v>43.877789694045013</v>
      </c>
      <c r="AS34">
        <v>217.36075850127025</v>
      </c>
      <c r="AT34">
        <v>19.825929435052988</v>
      </c>
      <c r="AU34">
        <v>23.721366509557896</v>
      </c>
      <c r="AV34"/>
      <c r="AW34"/>
      <c r="FY34" s="211">
        <v>29</v>
      </c>
      <c r="FZ34">
        <v>148.16228797320176</v>
      </c>
      <c r="GA34">
        <v>176.89995450688519</v>
      </c>
      <c r="GB34">
        <v>43.639020140085876</v>
      </c>
      <c r="GC34">
        <v>24.707232104777344</v>
      </c>
      <c r="GD34">
        <v>12.883634391126346</v>
      </c>
      <c r="GE34">
        <v>20.379203401667198</v>
      </c>
      <c r="GF34">
        <v>48.982950761974877</v>
      </c>
      <c r="GG34">
        <v>40.41276807517896</v>
      </c>
      <c r="GH34">
        <v>21.130164918691442</v>
      </c>
      <c r="GI34">
        <v>54.134642620806119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141.79625060676727</v>
      </c>
      <c r="AO35">
        <v>48.382983007958771</v>
      </c>
      <c r="AP35">
        <v>359.95656320664864</v>
      </c>
      <c r="AQ35">
        <v>286.68354086967202</v>
      </c>
      <c r="AR35">
        <v>47.604148559216284</v>
      </c>
      <c r="AS35">
        <v>227.24954999837115</v>
      </c>
      <c r="AT35">
        <v>23.821398795619071</v>
      </c>
      <c r="AU35">
        <v>1.3668299395163643</v>
      </c>
      <c r="AV35"/>
      <c r="AW35"/>
      <c r="FY35" s="211">
        <v>30</v>
      </c>
      <c r="FZ35">
        <v>65.668679759020193</v>
      </c>
      <c r="GA35">
        <v>102.8284302507892</v>
      </c>
      <c r="GB35">
        <v>42.830583732665772</v>
      </c>
      <c r="GC35">
        <v>25.431002289004482</v>
      </c>
      <c r="GD35">
        <v>12.571370622374507</v>
      </c>
      <c r="GE35">
        <v>21.297202227836063</v>
      </c>
      <c r="GF35">
        <v>42.548837207801689</v>
      </c>
      <c r="GG35">
        <v>32.915137214884801</v>
      </c>
      <c r="GH35">
        <v>25.858866922858226</v>
      </c>
      <c r="GI35">
        <v>41.16777758560454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9.0179821009927358E-4</v>
      </c>
      <c r="H36" s="59">
        <f t="shared" ref="H36:AK36" si="17">(1-($A$43/100))*($A$39*(H35^$A$41))</f>
        <v>5.9581999999999994E-3</v>
      </c>
      <c r="I36" s="59">
        <f t="shared" si="17"/>
        <v>3.9365954425760054E-2</v>
      </c>
      <c r="J36" s="59">
        <f t="shared" si="17"/>
        <v>0.11879369063332791</v>
      </c>
      <c r="K36" s="59">
        <f t="shared" si="17"/>
        <v>0.26009170015290151</v>
      </c>
      <c r="L36" s="59">
        <f t="shared" si="17"/>
        <v>0.47764954565651402</v>
      </c>
      <c r="M36" s="59">
        <f t="shared" si="17"/>
        <v>0.78487244663479294</v>
      </c>
      <c r="N36" s="59">
        <f t="shared" si="17"/>
        <v>1.1944339475291872</v>
      </c>
      <c r="O36" s="59">
        <f t="shared" si="17"/>
        <v>1.7184314079315166</v>
      </c>
      <c r="P36" s="59">
        <f t="shared" si="17"/>
        <v>2.3684906405100232</v>
      </c>
      <c r="Q36" s="59">
        <f t="shared" si="17"/>
        <v>3.1558407313952781</v>
      </c>
      <c r="R36" s="59">
        <f t="shared" si="17"/>
        <v>4.0913699544533273</v>
      </c>
      <c r="S36" s="59">
        <f t="shared" si="17"/>
        <v>5.1856689879930276</v>
      </c>
      <c r="T36" s="59">
        <f t="shared" si="17"/>
        <v>6.4490652174806335</v>
      </c>
      <c r="U36" s="59">
        <f t="shared" si="17"/>
        <v>7.8916505560428751</v>
      </c>
      <c r="V36" s="59">
        <f t="shared" si="17"/>
        <v>9.5233044137272334</v>
      </c>
      <c r="W36" s="59">
        <f t="shared" si="17"/>
        <v>11.353712948277471</v>
      </c>
      <c r="X36" s="59">
        <f t="shared" si="17"/>
        <v>13.392385407473196</v>
      </c>
      <c r="Y36" s="59">
        <f t="shared" si="17"/>
        <v>15.648668156852196</v>
      </c>
      <c r="Z36" s="59">
        <f t="shared" si="17"/>
        <v>18.131756837509794</v>
      </c>
      <c r="AA36" s="59">
        <f t="shared" si="17"/>
        <v>20.850706993230137</v>
      </c>
      <c r="AB36" s="59">
        <f t="shared" si="17"/>
        <v>23.814443430016944</v>
      </c>
      <c r="AC36" s="59">
        <f t="shared" si="17"/>
        <v>27.031768514976598</v>
      </c>
      <c r="AD36" s="59">
        <f t="shared" si="17"/>
        <v>30.511369579468642</v>
      </c>
      <c r="AE36" s="59">
        <f t="shared" si="17"/>
        <v>34.261825559466111</v>
      </c>
      <c r="AF36" s="59">
        <f t="shared" si="17"/>
        <v>38.291612981416243</v>
      </c>
      <c r="AG36" s="59">
        <f t="shared" si="17"/>
        <v>42.609111382648663</v>
      </c>
      <c r="AH36" s="59">
        <f t="shared" si="17"/>
        <v>47.222608240186645</v>
      </c>
      <c r="AI36" s="59">
        <f t="shared" si="17"/>
        <v>52.140303469706964</v>
      </c>
      <c r="AJ36" s="59">
        <f t="shared" si="17"/>
        <v>57.370313546634669</v>
      </c>
      <c r="AK36" s="59">
        <f t="shared" si="17"/>
        <v>62.920675293448724</v>
      </c>
      <c r="AL36" s="42"/>
      <c r="AM36" s="43">
        <v>20</v>
      </c>
      <c r="AN36">
        <v>251.84290661305877</v>
      </c>
      <c r="AO36">
        <v>73.258773607987692</v>
      </c>
      <c r="AP36">
        <v>586.53366177206294</v>
      </c>
      <c r="AQ36">
        <v>459.85396692431459</v>
      </c>
      <c r="AR36">
        <v>70.860028295042284</v>
      </c>
      <c r="AS36">
        <v>350.05217978175034</v>
      </c>
      <c r="AT36">
        <v>33.457179897627668</v>
      </c>
      <c r="AU36">
        <v>57.474207060684847</v>
      </c>
      <c r="AV36"/>
      <c r="AW36"/>
      <c r="FY36" s="211">
        <v>31</v>
      </c>
      <c r="FZ36">
        <v>29.656450875154004</v>
      </c>
      <c r="GA36">
        <v>34.262193465247265</v>
      </c>
      <c r="GB36">
        <v>49.084572556653008</v>
      </c>
      <c r="GC36">
        <v>25.987147242771886</v>
      </c>
      <c r="GD36">
        <v>11.308106520513222</v>
      </c>
      <c r="GE36">
        <v>18.736859904096207</v>
      </c>
      <c r="GF36">
        <v>36.583719399320564</v>
      </c>
      <c r="GG36">
        <v>32.082127802933741</v>
      </c>
      <c r="GH36">
        <v>30.47104513723513</v>
      </c>
      <c r="GI36">
        <v>36.303165019559806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68.124616033528667</v>
      </c>
      <c r="E37" s="107">
        <f t="shared" ref="E37:E46" si="19">+D37/D21</f>
        <v>0.56161869155060584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0.24603721516100033</v>
      </c>
      <c r="J37" s="49">
        <f t="shared" si="21"/>
        <v>1.9180231300172734</v>
      </c>
      <c r="K37" s="49">
        <f t="shared" si="21"/>
        <v>8.1549585152107653</v>
      </c>
      <c r="L37" s="49">
        <f t="shared" si="21"/>
        <v>13.813398523183377</v>
      </c>
      <c r="M37" s="49">
        <f t="shared" si="21"/>
        <v>19.119586237219583</v>
      </c>
      <c r="N37" s="49">
        <f t="shared" si="21"/>
        <v>9.0826748093365275</v>
      </c>
      <c r="O37" s="49">
        <f t="shared" si="21"/>
        <v>0</v>
      </c>
      <c r="P37" s="49">
        <f t="shared" si="21"/>
        <v>15.789937603400155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211.99102313461148</v>
      </c>
      <c r="AO37">
        <v>77.676329676231759</v>
      </c>
      <c r="AP37">
        <v>682.29244218645806</v>
      </c>
      <c r="AQ37">
        <v>526.15547895193777</v>
      </c>
      <c r="AR37">
        <v>74.474553318419339</v>
      </c>
      <c r="AS37">
        <v>345.6927616446398</v>
      </c>
      <c r="AT37">
        <v>39.840592016919636</v>
      </c>
      <c r="AU37">
        <v>-39.5717963831069</v>
      </c>
      <c r="AV37"/>
      <c r="AW37"/>
      <c r="FY37" s="211">
        <v>32</v>
      </c>
      <c r="FZ37">
        <v>38.980629182210812</v>
      </c>
      <c r="GA37">
        <v>32.345272585460854</v>
      </c>
      <c r="GB37">
        <v>29.977193302296058</v>
      </c>
      <c r="GC37">
        <v>23.542803210406099</v>
      </c>
      <c r="GD37">
        <v>14.204023653435817</v>
      </c>
      <c r="GE37">
        <v>13.638855830843642</v>
      </c>
      <c r="GF37">
        <v>43.010112662082335</v>
      </c>
      <c r="GG37">
        <v>37.681737571325002</v>
      </c>
      <c r="GH37">
        <v>15.985247342461102</v>
      </c>
      <c r="GI37">
        <v>33.559978274270492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93.735408920390739</v>
      </c>
      <c r="E38" s="107">
        <f t="shared" si="19"/>
        <v>0.53185143540668445</v>
      </c>
      <c r="F38" s="18"/>
      <c r="G38" s="49">
        <f t="shared" si="20"/>
        <v>0</v>
      </c>
      <c r="H38" s="49">
        <f t="shared" si="21"/>
        <v>0.13952018229166666</v>
      </c>
      <c r="I38" s="49">
        <f t="shared" si="21"/>
        <v>1.0975536868717244</v>
      </c>
      <c r="J38" s="49">
        <f t="shared" si="21"/>
        <v>0.68058885258677437</v>
      </c>
      <c r="K38" s="49">
        <f t="shared" si="21"/>
        <v>3.1427747101808934</v>
      </c>
      <c r="L38" s="49">
        <f t="shared" si="21"/>
        <v>21.774224284125275</v>
      </c>
      <c r="M38" s="49">
        <f t="shared" si="21"/>
        <v>33.427156878999661</v>
      </c>
      <c r="N38" s="49">
        <f t="shared" si="21"/>
        <v>7.8384727806602905</v>
      </c>
      <c r="O38" s="49">
        <f t="shared" si="21"/>
        <v>9.8451799412743153</v>
      </c>
      <c r="P38" s="49">
        <f t="shared" si="21"/>
        <v>15.789937603400155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282.24764325697686</v>
      </c>
      <c r="AO38">
        <v>86.106410893470155</v>
      </c>
      <c r="AP38">
        <v>704.37896156509078</v>
      </c>
      <c r="AQ38">
        <v>546.81162116115706</v>
      </c>
      <c r="AR38">
        <v>84.602964342175284</v>
      </c>
      <c r="AS38">
        <v>410.23301164547911</v>
      </c>
      <c r="AT38">
        <v>41.687597793424992</v>
      </c>
      <c r="AU38">
        <v>13.049707765525632</v>
      </c>
      <c r="AV38"/>
      <c r="AW38"/>
      <c r="FY38" s="211">
        <v>33</v>
      </c>
      <c r="FZ38">
        <v>113.55742161419569</v>
      </c>
      <c r="GA38">
        <v>131.78636162097698</v>
      </c>
      <c r="GB38">
        <v>46.421848006521159</v>
      </c>
      <c r="GC38">
        <v>23.63294151678922</v>
      </c>
      <c r="GD38">
        <v>13.171954128369244</v>
      </c>
      <c r="GE38">
        <v>24.76006622686814</v>
      </c>
      <c r="GF38">
        <v>16.475131244426404</v>
      </c>
      <c r="GG38">
        <v>9.0137886062185224</v>
      </c>
      <c r="GH38">
        <v>18.411977508205943</v>
      </c>
      <c r="GI38">
        <v>43.178307340722462</v>
      </c>
      <c r="GJ38"/>
      <c r="GK38"/>
      <c r="GL38"/>
      <c r="GM38"/>
    </row>
    <row r="39" spans="1:195" s="7" customFormat="1">
      <c r="A39" s="114">
        <v>6.1999999999999998E-3</v>
      </c>
      <c r="B39" s="57"/>
      <c r="C39" s="48" t="s">
        <v>40</v>
      </c>
      <c r="D39" s="49">
        <f t="shared" si="18"/>
        <v>98.914909232512599</v>
      </c>
      <c r="E39" s="107">
        <f t="shared" si="19"/>
        <v>0.35151127885751909</v>
      </c>
      <c r="F39" s="18"/>
      <c r="G39" s="49">
        <f t="shared" si="20"/>
        <v>0</v>
      </c>
      <c r="H39" s="49">
        <f t="shared" si="21"/>
        <v>0.25388487787356323</v>
      </c>
      <c r="I39" s="49">
        <f t="shared" si="21"/>
        <v>2.7163780282884207</v>
      </c>
      <c r="J39" s="49">
        <f t="shared" si="21"/>
        <v>5.6795060425656247</v>
      </c>
      <c r="K39" s="49">
        <f t="shared" si="21"/>
        <v>4.3854747518912998</v>
      </c>
      <c r="L39" s="49">
        <f t="shared" si="21"/>
        <v>17.663082157089839</v>
      </c>
      <c r="M39" s="49">
        <f t="shared" si="21"/>
        <v>37.496983837808052</v>
      </c>
      <c r="N39" s="49">
        <f t="shared" si="21"/>
        <v>9.727397678741486</v>
      </c>
      <c r="O39" s="49">
        <f t="shared" si="21"/>
        <v>20.992201858254319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222.81400547234102</v>
      </c>
      <c r="AO39">
        <v>98.244501000300772</v>
      </c>
      <c r="AP39">
        <v>889.04422664058234</v>
      </c>
      <c r="AQ39">
        <v>715.34918163148984</v>
      </c>
      <c r="AR39">
        <v>92.397314044676634</v>
      </c>
      <c r="AS39">
        <v>412.02171660088385</v>
      </c>
      <c r="AT39">
        <v>53.081960529584329</v>
      </c>
      <c r="AU39">
        <v>-1.8375457850066006</v>
      </c>
      <c r="AV39"/>
      <c r="AW39"/>
      <c r="FY39" s="211">
        <v>34</v>
      </c>
      <c r="FZ39">
        <v>127.59368250911109</v>
      </c>
      <c r="GA39">
        <v>145.71857583471206</v>
      </c>
      <c r="GB39">
        <v>46.26657457377177</v>
      </c>
      <c r="GC39">
        <v>25.617645535529622</v>
      </c>
      <c r="GD39">
        <v>14.524547790955388</v>
      </c>
      <c r="GE39">
        <v>26.197680443323659</v>
      </c>
      <c r="GF39">
        <v>36.242493988236404</v>
      </c>
      <c r="GG39">
        <v>26.069757126362724</v>
      </c>
      <c r="GH39">
        <v>22.689679045542317</v>
      </c>
      <c r="GI39">
        <v>50.710634762554776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95.10643413802768</v>
      </c>
      <c r="E40" s="107">
        <f t="shared" si="19"/>
        <v>0.29126779912941114</v>
      </c>
      <c r="F40" s="18"/>
      <c r="G40" s="49">
        <f t="shared" si="20"/>
        <v>0</v>
      </c>
      <c r="H40" s="49">
        <f t="shared" si="21"/>
        <v>0.12988084141522988</v>
      </c>
      <c r="I40" s="49">
        <f t="shared" si="21"/>
        <v>4.9247053356037878</v>
      </c>
      <c r="J40" s="49">
        <f t="shared" si="21"/>
        <v>7.9717057279011678</v>
      </c>
      <c r="K40" s="49">
        <f t="shared" si="21"/>
        <v>7.008558659683346</v>
      </c>
      <c r="L40" s="49">
        <f t="shared" si="21"/>
        <v>10.033957469520519</v>
      </c>
      <c r="M40" s="49">
        <f t="shared" si="21"/>
        <v>31.414717876670373</v>
      </c>
      <c r="N40" s="49">
        <f t="shared" si="21"/>
        <v>19.492498449261038</v>
      </c>
      <c r="O40" s="49">
        <f t="shared" si="21"/>
        <v>14.130409777972224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201.13849439979717</v>
      </c>
      <c r="AO40">
        <v>46.647355957370749</v>
      </c>
      <c r="AP40">
        <v>325.84817358240571</v>
      </c>
      <c r="AQ40">
        <v>260.77335367589069</v>
      </c>
      <c r="AR40">
        <v>43.969585011893322</v>
      </c>
      <c r="AS40">
        <v>232.32103875645038</v>
      </c>
      <c r="AT40">
        <v>18.309618790389951</v>
      </c>
      <c r="AU40">
        <v>-16.247254025855284</v>
      </c>
      <c r="AV40"/>
      <c r="AW40"/>
      <c r="FY40" s="211">
        <v>35</v>
      </c>
      <c r="FZ40">
        <v>122.23502974335418</v>
      </c>
      <c r="GA40">
        <v>134.90704118178246</v>
      </c>
      <c r="GB40">
        <v>45.434954912710211</v>
      </c>
      <c r="GC40">
        <v>27.566558523209437</v>
      </c>
      <c r="GD40">
        <v>16.392078044527672</v>
      </c>
      <c r="GE40">
        <v>25.631293406512999</v>
      </c>
      <c r="GF40">
        <v>42.242986524136825</v>
      </c>
      <c r="GG40">
        <v>30.415059568402707</v>
      </c>
      <c r="GH40">
        <v>16.976338218665241</v>
      </c>
      <c r="GI40">
        <v>51.282061159498966</v>
      </c>
      <c r="GJ40"/>
      <c r="GK40"/>
      <c r="GL40"/>
      <c r="GM40"/>
    </row>
    <row r="41" spans="1:195" s="7" customFormat="1">
      <c r="A41" s="114">
        <v>2.7240000000000002</v>
      </c>
      <c r="B41" s="57"/>
      <c r="C41" s="48" t="s">
        <v>42</v>
      </c>
      <c r="D41" s="49">
        <f t="shared" si="18"/>
        <v>72.232020583626337</v>
      </c>
      <c r="E41" s="107">
        <f t="shared" si="19"/>
        <v>0.27012192286342279</v>
      </c>
      <c r="F41" s="18"/>
      <c r="G41" s="49">
        <f t="shared" si="20"/>
        <v>8.6711366355699364E-3</v>
      </c>
      <c r="H41" s="49">
        <f t="shared" ref="H41:AK43" si="22">H25*H$36</f>
        <v>0.30796991872710622</v>
      </c>
      <c r="I41" s="49">
        <f t="shared" si="22"/>
        <v>4.3019336700334794</v>
      </c>
      <c r="J41" s="49">
        <f t="shared" si="22"/>
        <v>2.8490451101792682</v>
      </c>
      <c r="K41" s="49">
        <f t="shared" si="22"/>
        <v>2.8940127621179856</v>
      </c>
      <c r="L41" s="49">
        <f t="shared" si="22"/>
        <v>3.0682349286963571</v>
      </c>
      <c r="M41" s="49">
        <f t="shared" si="22"/>
        <v>22.532875322422477</v>
      </c>
      <c r="N41" s="49">
        <f t="shared" si="22"/>
        <v>22.20712105728192</v>
      </c>
      <c r="O41" s="49">
        <f t="shared" si="22"/>
        <v>12.828567802266528</v>
      </c>
      <c r="P41" s="49">
        <f t="shared" si="22"/>
        <v>1.233588875265637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210.88385793733929</v>
      </c>
      <c r="AO41">
        <v>54.305530182605494</v>
      </c>
      <c r="AP41">
        <v>393.39937905744989</v>
      </c>
      <c r="AQ41">
        <v>311.04385579004708</v>
      </c>
      <c r="AR41">
        <v>53.799863096096736</v>
      </c>
      <c r="AS41">
        <v>290.73725889210908</v>
      </c>
      <c r="AT41">
        <v>25.841328969000926</v>
      </c>
      <c r="AU41">
        <v>-8.7670241613937634</v>
      </c>
      <c r="AV41"/>
      <c r="AW41"/>
      <c r="FY41" s="211">
        <v>36</v>
      </c>
      <c r="FZ41">
        <v>67.399432961574263</v>
      </c>
      <c r="GA41">
        <v>86.995976356318835</v>
      </c>
      <c r="GB41">
        <v>53.739476777603251</v>
      </c>
      <c r="GC41">
        <v>27.583493857227488</v>
      </c>
      <c r="GD41">
        <v>15.20664624883204</v>
      </c>
      <c r="GE41">
        <v>25.211719816697805</v>
      </c>
      <c r="GF41">
        <v>46.054600112631668</v>
      </c>
      <c r="GG41">
        <v>40.96619935596209</v>
      </c>
      <c r="GH41">
        <v>18.105215530457897</v>
      </c>
      <c r="GI41">
        <v>45.760796326271048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62.145693361658729</v>
      </c>
      <c r="E42" s="107">
        <f t="shared" si="19"/>
        <v>0.30973908345303808</v>
      </c>
      <c r="F42" s="18"/>
      <c r="G42" s="49">
        <f t="shared" si="20"/>
        <v>8.6711366355699364E-3</v>
      </c>
      <c r="H42" s="49">
        <f t="shared" si="22"/>
        <v>0.30021184581043958</v>
      </c>
      <c r="I42" s="49">
        <f t="shared" si="22"/>
        <v>3.1152404079948481</v>
      </c>
      <c r="J42" s="49">
        <f t="shared" si="22"/>
        <v>0.84042411342154733</v>
      </c>
      <c r="K42" s="49">
        <f t="shared" si="22"/>
        <v>0.86923007429572108</v>
      </c>
      <c r="L42" s="49">
        <f t="shared" si="22"/>
        <v>1.9902064402354749</v>
      </c>
      <c r="M42" s="49">
        <f t="shared" si="22"/>
        <v>11.650450379735208</v>
      </c>
      <c r="N42" s="49">
        <f t="shared" si="22"/>
        <v>28.512963157163757</v>
      </c>
      <c r="O42" s="49">
        <f t="shared" si="22"/>
        <v>12.082720837018474</v>
      </c>
      <c r="P42" s="49">
        <f t="shared" si="22"/>
        <v>2.7755749693476837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290.6509249180466</v>
      </c>
      <c r="AO42">
        <v>100.37593634516716</v>
      </c>
      <c r="AP42">
        <v>841.49813179792636</v>
      </c>
      <c r="AQ42">
        <v>677.7789427987002</v>
      </c>
      <c r="AR42">
        <v>94.742479104601884</v>
      </c>
      <c r="AS42">
        <v>468.0954766893218</v>
      </c>
      <c r="AT42">
        <v>50.149251354564349</v>
      </c>
      <c r="AU42">
        <v>-47.074309828049898</v>
      </c>
      <c r="AV42"/>
      <c r="AW42"/>
      <c r="FY42" s="211">
        <v>37</v>
      </c>
      <c r="FZ42">
        <v>27.913949848681032</v>
      </c>
      <c r="GA42">
        <v>50.196251833761288</v>
      </c>
      <c r="GB42">
        <v>34.576790212685324</v>
      </c>
      <c r="GC42">
        <v>17.605111023374583</v>
      </c>
      <c r="GD42">
        <v>16.635670534726223</v>
      </c>
      <c r="GE42">
        <v>23.728629959292324</v>
      </c>
      <c r="GF42">
        <v>35.806698208512088</v>
      </c>
      <c r="GG42">
        <v>35.46977578909587</v>
      </c>
      <c r="GH42">
        <v>26.079250334788973</v>
      </c>
      <c r="GI42">
        <v>34.903529181428389</v>
      </c>
      <c r="GJ42"/>
      <c r="GK42"/>
      <c r="GL42"/>
      <c r="GM42"/>
    </row>
    <row r="43" spans="1:195" s="7" customFormat="1">
      <c r="A43" s="95">
        <v>3.9</v>
      </c>
      <c r="B43" s="1"/>
      <c r="C43" s="48" t="s">
        <v>119</v>
      </c>
      <c r="D43" s="49">
        <f>IF(SUM(G43:AK43)&lt;0.0001, 0, SUM(G43:AK43))</f>
        <v>80.945905215782801</v>
      </c>
      <c r="E43" s="107">
        <f t="shared" si="19"/>
        <v>0.23379254152403561</v>
      </c>
      <c r="F43" s="18"/>
      <c r="G43" s="49">
        <f t="shared" si="20"/>
        <v>0</v>
      </c>
      <c r="H43" s="49">
        <f t="shared" si="22"/>
        <v>0.16291953124999997</v>
      </c>
      <c r="I43" s="49">
        <f t="shared" si="22"/>
        <v>6.4248389974659661</v>
      </c>
      <c r="J43" s="49">
        <f t="shared" si="22"/>
        <v>12.68604496918805</v>
      </c>
      <c r="K43" s="49">
        <f t="shared" si="22"/>
        <v>0.73376564713275161</v>
      </c>
      <c r="L43" s="49">
        <f t="shared" si="22"/>
        <v>0</v>
      </c>
      <c r="M43" s="49">
        <f t="shared" si="22"/>
        <v>2.6571202620448715</v>
      </c>
      <c r="N43" s="49">
        <f t="shared" si="22"/>
        <v>35.299519677215955</v>
      </c>
      <c r="O43" s="49">
        <f t="shared" si="22"/>
        <v>21.439710037403156</v>
      </c>
      <c r="P43" s="49">
        <f t="shared" si="22"/>
        <v>1.5419860940820462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231.20202957318651</v>
      </c>
      <c r="AO43">
        <v>67.457710277571294</v>
      </c>
      <c r="AP43">
        <v>541.23732755411959</v>
      </c>
      <c r="AQ43">
        <v>425.06100906741955</v>
      </c>
      <c r="AR43">
        <v>65.044415725008008</v>
      </c>
      <c r="AS43">
        <v>331.88965958731586</v>
      </c>
      <c r="AT43">
        <v>31.918188670719321</v>
      </c>
      <c r="AU43">
        <v>-12.838331411931044</v>
      </c>
      <c r="AV43"/>
      <c r="AW43"/>
      <c r="FY43" s="211">
        <v>38</v>
      </c>
      <c r="FZ43">
        <v>37.904222793446095</v>
      </c>
      <c r="GA43">
        <v>35.211055880650619</v>
      </c>
      <c r="GB43">
        <v>55.913774299191019</v>
      </c>
      <c r="GC43">
        <v>34.145347903660721</v>
      </c>
      <c r="GD43">
        <v>17.560812644826214</v>
      </c>
      <c r="GE43">
        <v>28.981838822271914</v>
      </c>
      <c r="GF43">
        <v>53.56600398955252</v>
      </c>
      <c r="GG43">
        <v>40.20807337298843</v>
      </c>
      <c r="GH43">
        <v>19.165949857196896</v>
      </c>
      <c r="GI43">
        <v>44.730597810521175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67.492937135376508</v>
      </c>
      <c r="E44" s="107">
        <f t="shared" si="19"/>
        <v>0.24015931878371172</v>
      </c>
      <c r="F44" s="18"/>
      <c r="G44" s="49">
        <f>G28*G36</f>
        <v>0</v>
      </c>
      <c r="H44" s="49">
        <f t="shared" ref="H44:AK44" si="23">H28*H36</f>
        <v>0.15516145833333334</v>
      </c>
      <c r="I44" s="49">
        <f t="shared" si="23"/>
        <v>4.5595526837028304</v>
      </c>
      <c r="J44" s="49">
        <f t="shared" si="23"/>
        <v>12.093107711252603</v>
      </c>
      <c r="K44" s="49">
        <f t="shared" si="23"/>
        <v>0.72928109417872622</v>
      </c>
      <c r="L44" s="49">
        <f t="shared" si="23"/>
        <v>0</v>
      </c>
      <c r="M44" s="49">
        <f t="shared" si="23"/>
        <v>1.6351509304891518</v>
      </c>
      <c r="N44" s="49">
        <f t="shared" si="23"/>
        <v>21.716980864167038</v>
      </c>
      <c r="O44" s="49">
        <f t="shared" si="23"/>
        <v>19.202169141658992</v>
      </c>
      <c r="P44" s="49">
        <f t="shared" si="23"/>
        <v>7.4015332515938228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220.72744100441645</v>
      </c>
      <c r="AO44">
        <v>77.498440403499529</v>
      </c>
      <c r="AP44">
        <v>660.65452513505613</v>
      </c>
      <c r="AQ44">
        <v>522.96907744547752</v>
      </c>
      <c r="AR44">
        <v>76.010967225979897</v>
      </c>
      <c r="AS44">
        <v>362.54266241633331</v>
      </c>
      <c r="AT44">
        <v>41.475780825923266</v>
      </c>
      <c r="AU44">
        <v>13.143886361900002</v>
      </c>
      <c r="AV44"/>
      <c r="AW44"/>
      <c r="FY44" s="211">
        <v>39</v>
      </c>
      <c r="FZ44">
        <v>118.6558142571067</v>
      </c>
      <c r="GA44">
        <v>151.9604359870518</v>
      </c>
      <c r="GB44">
        <v>43.807684226247801</v>
      </c>
      <c r="GC44">
        <v>22.033310466377262</v>
      </c>
      <c r="GD44">
        <v>14.845895342199309</v>
      </c>
      <c r="GE44">
        <v>25.348561778228966</v>
      </c>
      <c r="GF44">
        <v>55.298334193771751</v>
      </c>
      <c r="GG44">
        <v>39.887364906998421</v>
      </c>
      <c r="GH44">
        <v>21.625543706064157</v>
      </c>
      <c r="GI44">
        <v>52.681465478574403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33.147498964772787</v>
      </c>
      <c r="E45" s="107">
        <f t="shared" si="19"/>
        <v>0.34348037824803995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0.48135769802635342</v>
      </c>
      <c r="J45" s="49">
        <f t="shared" si="24"/>
        <v>5.9725086463567809</v>
      </c>
      <c r="K45" s="49">
        <f t="shared" si="24"/>
        <v>1.7380587432646695</v>
      </c>
      <c r="L45" s="49">
        <f t="shared" si="24"/>
        <v>6.8291397459060414</v>
      </c>
      <c r="M45" s="49">
        <f t="shared" si="24"/>
        <v>3.2703018609783037</v>
      </c>
      <c r="N45" s="49">
        <f t="shared" si="24"/>
        <v>6.2210101433811831</v>
      </c>
      <c r="O45" s="49">
        <f t="shared" si="24"/>
        <v>0</v>
      </c>
      <c r="P45" s="49">
        <f t="shared" si="24"/>
        <v>8.6351221268594589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224.46597032026756</v>
      </c>
      <c r="AO45">
        <v>82.214304500697324</v>
      </c>
      <c r="AP45">
        <v>742.49601060566704</v>
      </c>
      <c r="AQ45">
        <v>591.33185889439528</v>
      </c>
      <c r="AR45">
        <v>78.578526112421017</v>
      </c>
      <c r="AS45">
        <v>365.19935176509836</v>
      </c>
      <c r="AT45">
        <v>43.298118062225718</v>
      </c>
      <c r="AU45">
        <v>-1.7869562189257273</v>
      </c>
      <c r="AV45"/>
      <c r="AW45"/>
      <c r="FY45" s="211">
        <v>40</v>
      </c>
      <c r="FZ45">
        <v>84.744966514159273</v>
      </c>
      <c r="GA45">
        <v>84.957731195167099</v>
      </c>
      <c r="GB45">
        <v>34.878528782299867</v>
      </c>
      <c r="GC45">
        <v>24.343706079029111</v>
      </c>
      <c r="GD45">
        <v>18.575926637269468</v>
      </c>
      <c r="GE45">
        <v>34.788075864359534</v>
      </c>
      <c r="GF45">
        <v>48.560905600905407</v>
      </c>
      <c r="GG45">
        <v>22.58662229347561</v>
      </c>
      <c r="GH45">
        <v>15.153854288154221</v>
      </c>
      <c r="GI45">
        <v>45.15943942711187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70.672990006044628</v>
      </c>
      <c r="E46" s="107">
        <f t="shared" si="19"/>
        <v>0.31753462712312841</v>
      </c>
      <c r="F46" s="18"/>
      <c r="G46" s="49">
        <f>G30*G36</f>
        <v>1.7342273271139872E-3</v>
      </c>
      <c r="H46" s="49">
        <f t="shared" ref="H46:AK46" si="25">H30*H36</f>
        <v>0.1449548655701339</v>
      </c>
      <c r="I46" s="49">
        <f t="shared" si="25"/>
        <v>2.834109121795044</v>
      </c>
      <c r="J46" s="49">
        <f t="shared" si="25"/>
        <v>5.8210255796613994</v>
      </c>
      <c r="K46" s="49">
        <f t="shared" si="25"/>
        <v>3.5812540839234939</v>
      </c>
      <c r="L46" s="49">
        <f t="shared" si="25"/>
        <v>8.2747710709751239</v>
      </c>
      <c r="M46" s="49">
        <f t="shared" si="25"/>
        <v>17.015373504094658</v>
      </c>
      <c r="N46" s="49">
        <f t="shared" si="25"/>
        <v>16.507544673191411</v>
      </c>
      <c r="O46" s="49">
        <f t="shared" si="25"/>
        <v>11.052095939584799</v>
      </c>
      <c r="P46" s="49">
        <f t="shared" si="25"/>
        <v>5.4401269399214609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211.44979444857012</v>
      </c>
      <c r="AO46">
        <v>63.541582686448464</v>
      </c>
      <c r="AP46">
        <v>529.71576883390298</v>
      </c>
      <c r="AQ46">
        <v>413.11788781283946</v>
      </c>
      <c r="AR46">
        <v>59.047190614536454</v>
      </c>
      <c r="AS46">
        <v>278.0041486882925</v>
      </c>
      <c r="AT46">
        <v>29.969467198979526</v>
      </c>
      <c r="AU46">
        <v>-21.915651845792397</v>
      </c>
      <c r="AV46"/>
      <c r="AW46"/>
      <c r="FY46" s="211">
        <v>41</v>
      </c>
      <c r="FZ46">
        <v>80.003112519349258</v>
      </c>
      <c r="GA46">
        <v>106.58468632410285</v>
      </c>
      <c r="GB46">
        <v>43.445743989997794</v>
      </c>
      <c r="GC46">
        <v>16.45807420285357</v>
      </c>
      <c r="GD46">
        <v>10.620200109004074</v>
      </c>
      <c r="GE46">
        <v>19.869233634211852</v>
      </c>
      <c r="GF46">
        <v>22.454580560671182</v>
      </c>
      <c r="GG46">
        <v>23.028305380804984</v>
      </c>
      <c r="GH46">
        <v>35.145559143325194</v>
      </c>
      <c r="GI46">
        <v>39.528162621025452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174.68599647684451</v>
      </c>
      <c r="AO47">
        <v>52.711151217355606</v>
      </c>
      <c r="AP47">
        <v>403.49675636909853</v>
      </c>
      <c r="AQ47">
        <v>304.47538792348485</v>
      </c>
      <c r="AR47">
        <v>52.471078669925042</v>
      </c>
      <c r="AS47">
        <v>260.62780660935925</v>
      </c>
      <c r="AT47">
        <v>24.34253724318117</v>
      </c>
      <c r="AU47">
        <v>24.235508405689501</v>
      </c>
      <c r="AV47"/>
      <c r="AW47"/>
      <c r="FY47" s="211">
        <v>42</v>
      </c>
      <c r="FZ47">
        <v>77.138900105965121</v>
      </c>
      <c r="GA47">
        <v>107.73151589482639</v>
      </c>
      <c r="GB47">
        <v>47.713791567053583</v>
      </c>
      <c r="GC47">
        <v>23.608127142653618</v>
      </c>
      <c r="GD47">
        <v>20.767765565705407</v>
      </c>
      <c r="GE47">
        <v>33.199248950460252</v>
      </c>
      <c r="GF47">
        <v>37.724674546317239</v>
      </c>
      <c r="GG47">
        <v>27.375767338831984</v>
      </c>
      <c r="GH47">
        <v>11.941801500467685</v>
      </c>
      <c r="GI47">
        <v>46.047552763824761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74.251841359172161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200.82349107847932</v>
      </c>
      <c r="AO48">
        <v>48.539559798248277</v>
      </c>
      <c r="AP48">
        <v>360.48856859943783</v>
      </c>
      <c r="AQ48">
        <v>282.92585361479223</v>
      </c>
      <c r="AR48">
        <v>48.378146962242162</v>
      </c>
      <c r="AS48">
        <v>250.17066154910879</v>
      </c>
      <c r="AT48">
        <v>23.46182499459681</v>
      </c>
      <c r="AU48">
        <v>14.836014532358995</v>
      </c>
      <c r="AV48"/>
      <c r="AW48"/>
      <c r="FY48" s="211">
        <v>43</v>
      </c>
      <c r="FZ48">
        <v>72.666607880326708</v>
      </c>
      <c r="GA48">
        <v>94.021505700500867</v>
      </c>
      <c r="GB48">
        <v>46.88146805573966</v>
      </c>
      <c r="GC48">
        <v>25.393815705847178</v>
      </c>
      <c r="GD48">
        <v>14.401175856519837</v>
      </c>
      <c r="GE48">
        <v>28.887638787972516</v>
      </c>
      <c r="GF48">
        <v>55.641067582582941</v>
      </c>
      <c r="GG48">
        <v>35.740922074807301</v>
      </c>
      <c r="GH48">
        <v>15.191269854331493</v>
      </c>
      <c r="GI48">
        <v>45.365643037919597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170.56037426119272</v>
      </c>
      <c r="AO49">
        <v>64.549020191175671</v>
      </c>
      <c r="AP49">
        <v>544.00052375034647</v>
      </c>
      <c r="AQ49">
        <v>440.40979781329378</v>
      </c>
      <c r="AR49">
        <v>62.36365955589055</v>
      </c>
      <c r="AS49">
        <v>268.02111686909234</v>
      </c>
      <c r="AT49">
        <v>32.86286123412237</v>
      </c>
      <c r="AU49">
        <v>13.045605935365675</v>
      </c>
      <c r="AV49"/>
      <c r="AW49"/>
      <c r="FY49" s="211">
        <v>44</v>
      </c>
      <c r="FZ49">
        <v>40.752520337057447</v>
      </c>
      <c r="GA49">
        <v>55.732134601336348</v>
      </c>
      <c r="GB49">
        <v>49.807472094858966</v>
      </c>
      <c r="GC49">
        <v>26.067494385325819</v>
      </c>
      <c r="GD49">
        <v>16.84712187420989</v>
      </c>
      <c r="GE49">
        <v>21.385107290165394</v>
      </c>
      <c r="GF49">
        <v>29.440205746632127</v>
      </c>
      <c r="GG49">
        <v>29.257435147294029</v>
      </c>
      <c r="GH49">
        <v>21.516962442090438</v>
      </c>
      <c r="GI49">
        <v>38.782520844379562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203.1190543452764</v>
      </c>
      <c r="AO50">
        <v>76.130830080760134</v>
      </c>
      <c r="AP50">
        <v>653.91542019320127</v>
      </c>
      <c r="AQ50">
        <v>521.63127161009982</v>
      </c>
      <c r="AR50">
        <v>73.433923222083862</v>
      </c>
      <c r="AS50">
        <v>334.07337201123875</v>
      </c>
      <c r="AT50">
        <v>39.355579308227853</v>
      </c>
      <c r="AU50">
        <v>62.850139268937696</v>
      </c>
      <c r="AV50"/>
      <c r="AW50"/>
      <c r="FY50" s="211">
        <v>45</v>
      </c>
      <c r="FZ50">
        <v>70.990361850033565</v>
      </c>
      <c r="GA50">
        <v>92.299612333829387</v>
      </c>
      <c r="GB50">
        <v>38.078176405992075</v>
      </c>
      <c r="GC50">
        <v>22.657790029828728</v>
      </c>
      <c r="GD50">
        <v>11.020230251362502</v>
      </c>
      <c r="GE50">
        <v>18.752101925264345</v>
      </c>
      <c r="GF50">
        <v>30.414246255483359</v>
      </c>
      <c r="GG50">
        <v>20.122290574604477</v>
      </c>
      <c r="GH50">
        <v>30.32803372852058</v>
      </c>
      <c r="GI50">
        <v>38.199746126942472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216.71656294192388</v>
      </c>
      <c r="AO51">
        <v>76.992460169802555</v>
      </c>
      <c r="AP51">
        <v>640.47430897633524</v>
      </c>
      <c r="AQ51">
        <v>513.08340128280076</v>
      </c>
      <c r="AR51">
        <v>74.405544495956249</v>
      </c>
      <c r="AS51">
        <v>366.01099340606191</v>
      </c>
      <c r="AT51">
        <v>37.987065674531955</v>
      </c>
      <c r="AU51">
        <v>20.18523257504993</v>
      </c>
      <c r="AV51"/>
      <c r="AW51"/>
      <c r="FY51" s="211">
        <v>46</v>
      </c>
      <c r="FZ51">
        <v>37.408400040636963</v>
      </c>
      <c r="GA51">
        <v>38.348422579605497</v>
      </c>
      <c r="GB51">
        <v>43.442484280034741</v>
      </c>
      <c r="GC51">
        <v>24.178178880095345</v>
      </c>
      <c r="GD51">
        <v>15.305065701646351</v>
      </c>
      <c r="GE51">
        <v>26.253848447198443</v>
      </c>
      <c r="GF51">
        <v>68.495177878823057</v>
      </c>
      <c r="GG51">
        <v>60.281182229230339</v>
      </c>
      <c r="GH51">
        <v>24.165895261247961</v>
      </c>
      <c r="GI51">
        <v>43.936211797962002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71.325268053587706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0.25759661256482835</v>
      </c>
      <c r="J52" s="49">
        <f t="shared" si="26"/>
        <v>2.0081362926747826</v>
      </c>
      <c r="K52" s="49">
        <f t="shared" si="26"/>
        <v>8.5380973270663905</v>
      </c>
      <c r="L52" s="49">
        <f t="shared" si="26"/>
        <v>14.462383933469543</v>
      </c>
      <c r="M52" s="49">
        <f t="shared" si="26"/>
        <v>20.01786861847706</v>
      </c>
      <c r="N52" s="49">
        <f t="shared" si="26"/>
        <v>9.5093998783150386</v>
      </c>
      <c r="O52" s="49">
        <f t="shared" si="26"/>
        <v>0</v>
      </c>
      <c r="P52" s="49">
        <f t="shared" si="26"/>
        <v>16.531785391020058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188.24864319600397</v>
      </c>
      <c r="AO52">
        <v>69.758725364938087</v>
      </c>
      <c r="AP52">
        <v>555.40734379131652</v>
      </c>
      <c r="AQ52">
        <v>427.02355734357639</v>
      </c>
      <c r="AR52">
        <v>66.810382740451445</v>
      </c>
      <c r="AS52">
        <v>302.07159580400526</v>
      </c>
      <c r="AT52">
        <v>31.841558581767174</v>
      </c>
      <c r="AU52">
        <v>-1.8360053487699481</v>
      </c>
      <c r="AV52"/>
      <c r="AW52"/>
      <c r="FY52" s="211">
        <v>47</v>
      </c>
      <c r="FZ52">
        <v>36.683578646158693</v>
      </c>
      <c r="GA52">
        <v>38.87852915807683</v>
      </c>
      <c r="GB52">
        <v>54.349253947062309</v>
      </c>
      <c r="GC52">
        <v>32.2065341832702</v>
      </c>
      <c r="GD52">
        <v>16.569399699219943</v>
      </c>
      <c r="GE52">
        <v>28.775197180391473</v>
      </c>
      <c r="GF52">
        <v>38.434762833239901</v>
      </c>
      <c r="GG52">
        <v>19.033489489652933</v>
      </c>
      <c r="GH52">
        <v>12.133652311307372</v>
      </c>
      <c r="GI52">
        <v>39.38946238775182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128.99915389148364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0.19200839547940945</v>
      </c>
      <c r="I53" s="49">
        <f t="shared" si="28"/>
        <v>1.510459052642287</v>
      </c>
      <c r="J53" s="49">
        <f t="shared" si="28"/>
        <v>0.93662989411220221</v>
      </c>
      <c r="K53" s="49">
        <f t="shared" si="28"/>
        <v>4.3251027883092297</v>
      </c>
      <c r="L53" s="49">
        <f t="shared" si="28"/>
        <v>29.965799921789543</v>
      </c>
      <c r="M53" s="49">
        <f t="shared" si="28"/>
        <v>46.002625945239934</v>
      </c>
      <c r="N53" s="49">
        <f t="shared" si="28"/>
        <v>10.787346725775473</v>
      </c>
      <c r="O53" s="49">
        <f t="shared" si="28"/>
        <v>13.548987484680604</v>
      </c>
      <c r="P53" s="49">
        <f t="shared" si="28"/>
        <v>21.730193683454935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196.51838943177776</v>
      </c>
      <c r="AO53">
        <v>51.459876706768192</v>
      </c>
      <c r="AP53">
        <v>384.95888065486668</v>
      </c>
      <c r="AQ53">
        <v>302.91565692634612</v>
      </c>
      <c r="AR53">
        <v>50.364178264428389</v>
      </c>
      <c r="AS53">
        <v>246.82996665577082</v>
      </c>
      <c r="AT53">
        <v>23.570285522745532</v>
      </c>
      <c r="AU53">
        <v>55.899853724787434</v>
      </c>
      <c r="AV53"/>
      <c r="AW53"/>
      <c r="FY53" s="211">
        <v>48</v>
      </c>
      <c r="FZ53">
        <v>162.12630420120371</v>
      </c>
      <c r="GA53">
        <v>177.99392291187547</v>
      </c>
      <c r="GB53">
        <v>46.263559918544196</v>
      </c>
      <c r="GC53">
        <v>23.536027719030436</v>
      </c>
      <c r="GD53">
        <v>17.986928189201738</v>
      </c>
      <c r="GE53">
        <v>36.156583045459264</v>
      </c>
      <c r="GF53">
        <v>50.21187367246403</v>
      </c>
      <c r="GG53">
        <v>36.805639941100274</v>
      </c>
      <c r="GH53">
        <v>21.230111947918338</v>
      </c>
      <c r="GI53">
        <v>60.596714327967874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117.04623846380532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0.30042255700898579</v>
      </c>
      <c r="I54" s="49">
        <f t="shared" si="29"/>
        <v>3.2142963373653144</v>
      </c>
      <c r="J54" s="49">
        <f t="shared" si="29"/>
        <v>6.720572497843996</v>
      </c>
      <c r="K54" s="49">
        <f t="shared" si="29"/>
        <v>5.189342310169633</v>
      </c>
      <c r="L54" s="49">
        <f t="shared" si="29"/>
        <v>20.900765538841377</v>
      </c>
      <c r="M54" s="49">
        <f t="shared" si="29"/>
        <v>44.370266787961043</v>
      </c>
      <c r="N54" s="49">
        <f t="shared" si="29"/>
        <v>11.51045193462107</v>
      </c>
      <c r="O54" s="49">
        <f t="shared" si="29"/>
        <v>24.840120499993901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271.41537194050693</v>
      </c>
      <c r="AO54">
        <v>66.119734315046017</v>
      </c>
      <c r="AP54">
        <v>474.99295730640398</v>
      </c>
      <c r="AQ54">
        <v>367.38767737430567</v>
      </c>
      <c r="AR54">
        <v>64.139345387479565</v>
      </c>
      <c r="AS54">
        <v>336.83521326274848</v>
      </c>
      <c r="AT54">
        <v>29.232620258455402</v>
      </c>
      <c r="AU54">
        <v>-8.7111692204736357</v>
      </c>
      <c r="AV54"/>
      <c r="AW54"/>
      <c r="FY54" s="211">
        <v>49</v>
      </c>
      <c r="FZ54">
        <v>38.710903058608679</v>
      </c>
      <c r="GA54">
        <v>42.303414786861161</v>
      </c>
      <c r="GB54">
        <v>36.121374330979364</v>
      </c>
      <c r="GC54">
        <v>22.950107978771573</v>
      </c>
      <c r="GD54">
        <v>18.51556235086748</v>
      </c>
      <c r="GE54">
        <v>34.747488940412758</v>
      </c>
      <c r="GF54">
        <v>42.394850500902869</v>
      </c>
      <c r="GG54">
        <v>23.607479409466301</v>
      </c>
      <c r="GH54">
        <v>22.873424063758435</v>
      </c>
      <c r="GI54">
        <v>38.809469345757904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13.314900779323878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1.8183317798132183E-2</v>
      </c>
      <c r="I55" s="49">
        <f t="shared" si="30"/>
        <v>0.68945874698453036</v>
      </c>
      <c r="J55" s="49">
        <f t="shared" si="30"/>
        <v>1.1160388019061636</v>
      </c>
      <c r="K55" s="49">
        <f t="shared" si="30"/>
        <v>0.98119821235566851</v>
      </c>
      <c r="L55" s="49">
        <f t="shared" si="30"/>
        <v>1.4047540457328729</v>
      </c>
      <c r="M55" s="49">
        <f t="shared" si="30"/>
        <v>4.3980605027338529</v>
      </c>
      <c r="N55" s="49">
        <f t="shared" si="30"/>
        <v>2.7289497828965454</v>
      </c>
      <c r="O55" s="49">
        <f t="shared" si="30"/>
        <v>1.9782573689161116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234.58530213543276</v>
      </c>
      <c r="AO55">
        <v>79.042842674695379</v>
      </c>
      <c r="AP55">
        <v>693.35894325981064</v>
      </c>
      <c r="AQ55">
        <v>546.14441034262052</v>
      </c>
      <c r="AR55">
        <v>76.120420985935297</v>
      </c>
      <c r="AS55">
        <v>369.3758218820758</v>
      </c>
      <c r="AT55">
        <v>39.045822304395834</v>
      </c>
      <c r="AU55">
        <v>-1.3244108603960214</v>
      </c>
      <c r="AV55"/>
      <c r="AW55"/>
      <c r="FY55" s="211">
        <v>50</v>
      </c>
      <c r="FZ55">
        <v>127.97403727163629</v>
      </c>
      <c r="GA55">
        <v>145.04155255268645</v>
      </c>
      <c r="GB55">
        <v>54.810823880551354</v>
      </c>
      <c r="GC55">
        <v>27.411482132564888</v>
      </c>
      <c r="GD55">
        <v>12.066287992304177</v>
      </c>
      <c r="GE55">
        <v>19.683923679982321</v>
      </c>
      <c r="GF55">
        <v>27.419303897120347</v>
      </c>
      <c r="GG55">
        <v>21.298470899919081</v>
      </c>
      <c r="GH55">
        <v>15.885998345321942</v>
      </c>
      <c r="GI55">
        <v>48.646146941643586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8.6678424700351595</v>
      </c>
      <c r="E56" s="19">
        <v>5.0000000000000001E-3</v>
      </c>
      <c r="F56" s="8"/>
      <c r="G56" s="49">
        <f>$E$56*$E$25*G41</f>
        <v>1.0405363962683923E-3</v>
      </c>
      <c r="H56" s="49">
        <f t="shared" ref="H56:AK56" si="31">$E$56*$E$25*H41</f>
        <v>3.6956390247252745E-2</v>
      </c>
      <c r="I56" s="49">
        <f t="shared" si="31"/>
        <v>0.51623204040401749</v>
      </c>
      <c r="J56" s="49">
        <f t="shared" si="31"/>
        <v>0.34188541322151217</v>
      </c>
      <c r="K56" s="49">
        <f t="shared" si="31"/>
        <v>0.34728153145415824</v>
      </c>
      <c r="L56" s="49">
        <f t="shared" si="31"/>
        <v>0.36818819144356285</v>
      </c>
      <c r="M56" s="49">
        <f t="shared" si="31"/>
        <v>2.7039450386906969</v>
      </c>
      <c r="N56" s="49">
        <f t="shared" si="31"/>
        <v>2.6648545268738304</v>
      </c>
      <c r="O56" s="49">
        <f t="shared" si="31"/>
        <v>1.5394281362719833</v>
      </c>
      <c r="P56" s="49">
        <f t="shared" si="31"/>
        <v>0.14803066503187642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216.1205492687605</v>
      </c>
      <c r="AO56">
        <v>66.141432439206</v>
      </c>
      <c r="AP56">
        <v>503.71488273618183</v>
      </c>
      <c r="AQ56">
        <v>413.74975668193144</v>
      </c>
      <c r="AR56">
        <v>64.229345983497879</v>
      </c>
      <c r="AS56">
        <v>328.10064042861148</v>
      </c>
      <c r="AT56">
        <v>31.762241705255988</v>
      </c>
      <c r="AU56">
        <v>21.82935157564841</v>
      </c>
      <c r="AV56"/>
      <c r="AW56"/>
      <c r="FY56" s="211">
        <v>51</v>
      </c>
      <c r="FZ56">
        <v>40.683770169406245</v>
      </c>
      <c r="GA56">
        <v>44.130847930481849</v>
      </c>
      <c r="GB56">
        <v>41.062611057154477</v>
      </c>
      <c r="GC56">
        <v>25.81253216833295</v>
      </c>
      <c r="GD56">
        <v>17.891840122988359</v>
      </c>
      <c r="GE56">
        <v>25.641608524084635</v>
      </c>
      <c r="GF56">
        <v>30.203257744897257</v>
      </c>
      <c r="GG56">
        <v>18.85729875944109</v>
      </c>
      <c r="GH56">
        <v>18.538215114549246</v>
      </c>
      <c r="GI56">
        <v>37.060136359940437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14.914966406798092</v>
      </c>
      <c r="E57" s="19">
        <v>5.0000000000000001E-3</v>
      </c>
      <c r="F57" s="8"/>
      <c r="G57" s="49">
        <f>$E$57*$E$26*G42</f>
        <v>2.0810727925367847E-3</v>
      </c>
      <c r="H57" s="49">
        <f t="shared" ref="H57:AK57" si="32">$E$57*$E$26*H42</f>
        <v>7.2050842994505496E-2</v>
      </c>
      <c r="I57" s="49">
        <f t="shared" si="32"/>
        <v>0.74765769791876358</v>
      </c>
      <c r="J57" s="49">
        <f t="shared" si="32"/>
        <v>0.20170178722117135</v>
      </c>
      <c r="K57" s="49">
        <f t="shared" si="32"/>
        <v>0.20861521783097306</v>
      </c>
      <c r="L57" s="49">
        <f t="shared" si="32"/>
        <v>0.47764954565651396</v>
      </c>
      <c r="M57" s="49">
        <f t="shared" si="32"/>
        <v>2.7961080911364498</v>
      </c>
      <c r="N57" s="49">
        <f t="shared" si="32"/>
        <v>6.8431111577193011</v>
      </c>
      <c r="O57" s="49">
        <f t="shared" si="32"/>
        <v>2.8998530008844337</v>
      </c>
      <c r="P57" s="49">
        <f t="shared" si="32"/>
        <v>0.66613799264344409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186.64580838557475</v>
      </c>
      <c r="AO57">
        <v>57.13192833747727</v>
      </c>
      <c r="AP57">
        <v>503.4719555419469</v>
      </c>
      <c r="AQ57">
        <v>397.13765848534621</v>
      </c>
      <c r="AR57">
        <v>56.915841475738887</v>
      </c>
      <c r="AS57">
        <v>267.14195819700291</v>
      </c>
      <c r="AT57">
        <v>29.494715507967488</v>
      </c>
      <c r="AU57">
        <v>-1.3850544235399695</v>
      </c>
      <c r="AV57"/>
      <c r="AW57"/>
      <c r="FY57" s="211">
        <v>52</v>
      </c>
      <c r="FZ57">
        <v>32.210103156399732</v>
      </c>
      <c r="GA57">
        <v>36.629701078411422</v>
      </c>
      <c r="GB57">
        <v>39.562173090345439</v>
      </c>
      <c r="GC57">
        <v>24.061603793903288</v>
      </c>
      <c r="GD57">
        <v>16.164921377401534</v>
      </c>
      <c r="GE57">
        <v>26.687155643842441</v>
      </c>
      <c r="GF57">
        <v>45.006808189235159</v>
      </c>
      <c r="GG57">
        <v>35.684812498944936</v>
      </c>
      <c r="GH57">
        <v>29.816464582661141</v>
      </c>
      <c r="GI57">
        <v>38.890528291332657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101.1063912699427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0.20349646876104627</v>
      </c>
      <c r="I58" s="49">
        <f t="shared" si="33"/>
        <v>8.025017248155045</v>
      </c>
      <c r="J58" s="49">
        <f t="shared" si="33"/>
        <v>15.845646829244757</v>
      </c>
      <c r="K58" s="49">
        <f t="shared" si="33"/>
        <v>0.91651821573528436</v>
      </c>
      <c r="L58" s="49">
        <f t="shared" si="33"/>
        <v>0</v>
      </c>
      <c r="M58" s="49">
        <f t="shared" si="33"/>
        <v>3.3189058810255898</v>
      </c>
      <c r="N58" s="49">
        <f t="shared" si="33"/>
        <v>44.091261177591413</v>
      </c>
      <c r="O58" s="49">
        <f t="shared" si="33"/>
        <v>26.779510414729984</v>
      </c>
      <c r="P58" s="49">
        <f t="shared" si="33"/>
        <v>1.9260350346995914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226.70906914934523</v>
      </c>
      <c r="AO58">
        <v>69.118628373482309</v>
      </c>
      <c r="AP58">
        <v>535.41679691251147</v>
      </c>
      <c r="AQ58">
        <v>433.24914537610607</v>
      </c>
      <c r="AR58">
        <v>66.545117842295042</v>
      </c>
      <c r="AS58">
        <v>315.8938191162743</v>
      </c>
      <c r="AT58">
        <v>32.605510941270119</v>
      </c>
      <c r="AU58">
        <v>-42.745847258517252</v>
      </c>
      <c r="AV58"/>
      <c r="AW58"/>
      <c r="FY58" s="211">
        <v>53</v>
      </c>
      <c r="FZ58">
        <v>98.200913105038126</v>
      </c>
      <c r="GA58">
        <v>128.56008490447334</v>
      </c>
      <c r="GB58">
        <v>35.990976913223122</v>
      </c>
      <c r="GC58">
        <v>20.08699476840674</v>
      </c>
      <c r="GD58">
        <v>14.160905758306283</v>
      </c>
      <c r="GE58">
        <v>24.50361494420223</v>
      </c>
      <c r="GF58">
        <v>73.101793731630579</v>
      </c>
      <c r="GG58">
        <v>63.659335960796618</v>
      </c>
      <c r="GH58">
        <v>32.307153180936744</v>
      </c>
      <c r="GI58">
        <v>52.48981876564774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52.186483894192996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0.11997301184374999</v>
      </c>
      <c r="I59" s="49">
        <f t="shared" si="34"/>
        <v>3.5255099687766003</v>
      </c>
      <c r="J59" s="49">
        <f t="shared" si="34"/>
        <v>9.3505601858484706</v>
      </c>
      <c r="K59" s="49">
        <f t="shared" si="34"/>
        <v>0.56389035195430959</v>
      </c>
      <c r="L59" s="49">
        <f t="shared" si="34"/>
        <v>0</v>
      </c>
      <c r="M59" s="49">
        <f t="shared" si="34"/>
        <v>1.264321591567239</v>
      </c>
      <c r="N59" s="49">
        <f t="shared" si="34"/>
        <v>16.791873641906051</v>
      </c>
      <c r="O59" s="49">
        <f t="shared" si="34"/>
        <v>14.847386010698715</v>
      </c>
      <c r="P59" s="49">
        <f t="shared" si="34"/>
        <v>5.7229691315978659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218.00518630905367</v>
      </c>
      <c r="AO59">
        <v>68.318504883269043</v>
      </c>
      <c r="AP59">
        <v>554.68224396478206</v>
      </c>
      <c r="AQ59">
        <v>434.19111453654813</v>
      </c>
      <c r="AR59">
        <v>64.860984586426767</v>
      </c>
      <c r="AS59">
        <v>314.85453511911192</v>
      </c>
      <c r="AT59">
        <v>33.622992550078855</v>
      </c>
      <c r="AU59">
        <v>-10.659948919098881</v>
      </c>
      <c r="AV59"/>
      <c r="AW59"/>
      <c r="FY59" s="211">
        <v>54</v>
      </c>
      <c r="FZ59">
        <v>74.334595492627784</v>
      </c>
      <c r="GA59">
        <v>98.959639409937367</v>
      </c>
      <c r="GB59">
        <v>42.627976574786722</v>
      </c>
      <c r="GC59">
        <v>24.210895961203345</v>
      </c>
      <c r="GD59">
        <v>17.317773457527618</v>
      </c>
      <c r="GE59">
        <v>28.698831653594922</v>
      </c>
      <c r="GF59">
        <v>77.441964984670008</v>
      </c>
      <c r="GG59">
        <v>63.765327341805893</v>
      </c>
      <c r="GH59">
        <v>32.805764360545972</v>
      </c>
      <c r="GI59">
        <v>53.458087238160353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41.700266024469698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0.60555832830577716</v>
      </c>
      <c r="J60" s="49">
        <f t="shared" si="35"/>
        <v>7.5135442239912082</v>
      </c>
      <c r="K60" s="49">
        <f t="shared" si="35"/>
        <v>2.1865152492294224</v>
      </c>
      <c r="L60" s="49">
        <f t="shared" si="35"/>
        <v>8.5912045558913945</v>
      </c>
      <c r="M60" s="49">
        <f t="shared" si="35"/>
        <v>4.1141100186183639</v>
      </c>
      <c r="N60" s="49">
        <f t="shared" si="35"/>
        <v>7.826164447447864</v>
      </c>
      <c r="O60" s="49">
        <f t="shared" si="35"/>
        <v>0</v>
      </c>
      <c r="P60" s="49">
        <f t="shared" si="35"/>
        <v>10.863169200985665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175.41679380020929</v>
      </c>
      <c r="AO60">
        <v>56.761793684975167</v>
      </c>
      <c r="AP60">
        <v>422.87778009828054</v>
      </c>
      <c r="AQ60">
        <v>329.58897476335005</v>
      </c>
      <c r="AR60">
        <v>56.206193841812564</v>
      </c>
      <c r="AS60">
        <v>265.72642542297149</v>
      </c>
      <c r="AT60">
        <v>27.782400149766747</v>
      </c>
      <c r="AU60">
        <v>48.463413244266597</v>
      </c>
      <c r="AV60"/>
      <c r="AW60"/>
      <c r="FY60" s="211">
        <v>55</v>
      </c>
      <c r="FZ60">
        <v>21.251526523613997</v>
      </c>
      <c r="GA60">
        <v>44.873404373888299</v>
      </c>
      <c r="GB60">
        <v>40.997419668303671</v>
      </c>
      <c r="GC60">
        <v>23.213123069591386</v>
      </c>
      <c r="GD60">
        <v>15.678844005257837</v>
      </c>
      <c r="GE60">
        <v>23.674433141057278</v>
      </c>
      <c r="GF60">
        <v>33.146320177633967</v>
      </c>
      <c r="GG60">
        <v>30.319822315450178</v>
      </c>
      <c r="GH60">
        <v>44.05101275437007</v>
      </c>
      <c r="GI60">
        <v>37.084464308917887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59.365311605077501</v>
      </c>
      <c r="E61" s="19">
        <v>3.5000000000000003E-2</v>
      </c>
      <c r="F61" s="8"/>
      <c r="G61" s="49">
        <f>$E$61*$E$30*G46</f>
        <v>1.4567509547757495E-3</v>
      </c>
      <c r="H61" s="49">
        <f t="shared" ref="H61:AK61" si="36">$E$61*$E$30*H46</f>
        <v>0.12176208707891249</v>
      </c>
      <c r="I61" s="49">
        <f t="shared" si="36"/>
        <v>2.3806516623078373</v>
      </c>
      <c r="J61" s="49">
        <f t="shared" si="36"/>
        <v>4.8896614869155757</v>
      </c>
      <c r="K61" s="49">
        <f t="shared" si="36"/>
        <v>3.0082534304957353</v>
      </c>
      <c r="L61" s="49">
        <f t="shared" si="36"/>
        <v>6.9508076996191051</v>
      </c>
      <c r="M61" s="49">
        <f t="shared" si="36"/>
        <v>14.292913743439515</v>
      </c>
      <c r="N61" s="49">
        <f t="shared" si="36"/>
        <v>13.866337525480787</v>
      </c>
      <c r="O61" s="49">
        <f t="shared" si="36"/>
        <v>9.2837605892512318</v>
      </c>
      <c r="P61" s="49">
        <f t="shared" si="36"/>
        <v>4.5697066295340276</v>
      </c>
      <c r="Q61" s="49">
        <f t="shared" si="36"/>
        <v>0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161.31871859549392</v>
      </c>
      <c r="AO61">
        <v>56.802899823486882</v>
      </c>
      <c r="AP61">
        <v>476.12211263504139</v>
      </c>
      <c r="AQ61">
        <v>372.86258948186162</v>
      </c>
      <c r="AR61">
        <v>54.903612166854309</v>
      </c>
      <c r="AS61">
        <v>260.35671595294713</v>
      </c>
      <c r="AT61">
        <v>28.764343828072722</v>
      </c>
      <c r="AU61">
        <v>-5.5145890870700569</v>
      </c>
      <c r="AV61"/>
      <c r="AW61"/>
      <c r="FY61" s="211">
        <v>56</v>
      </c>
      <c r="FZ61">
        <v>82.740416537928041</v>
      </c>
      <c r="GA61">
        <v>95.301804442670743</v>
      </c>
      <c r="GB61">
        <v>47.21620865932023</v>
      </c>
      <c r="GC61">
        <v>24.731633200913002</v>
      </c>
      <c r="GD61">
        <v>11.839450203251799</v>
      </c>
      <c r="GE61">
        <v>19.375367012411051</v>
      </c>
      <c r="GF61">
        <v>54.411558324019204</v>
      </c>
      <c r="GG61">
        <v>47.865002810438149</v>
      </c>
      <c r="GH61">
        <v>32.766372317953056</v>
      </c>
      <c r="GI61">
        <v>47.976002260421431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235.1206955830402</v>
      </c>
      <c r="AO62">
        <v>65.047798629243729</v>
      </c>
      <c r="AP62">
        <v>505.05257142586203</v>
      </c>
      <c r="AQ62">
        <v>381.81486709648073</v>
      </c>
      <c r="AR62">
        <v>63.457280793580942</v>
      </c>
      <c r="AS62">
        <v>329.72096603667188</v>
      </c>
      <c r="AT62">
        <v>29.934753160327556</v>
      </c>
      <c r="AU62">
        <v>33.497643853037317</v>
      </c>
      <c r="AV62"/>
      <c r="AW62"/>
      <c r="FY62" s="211">
        <v>57</v>
      </c>
      <c r="FZ62">
        <v>85.993397907368319</v>
      </c>
      <c r="GA62">
        <v>103.14356081443574</v>
      </c>
      <c r="GB62">
        <v>51.932957972118338</v>
      </c>
      <c r="GC62">
        <v>25.904934965644486</v>
      </c>
      <c r="GD62">
        <v>14.160950586397412</v>
      </c>
      <c r="GE62">
        <v>26.207466598593335</v>
      </c>
      <c r="GF62">
        <v>46.547631864397871</v>
      </c>
      <c r="GG62">
        <v>26.696313664559288</v>
      </c>
      <c r="GH62">
        <v>18.06951396333055</v>
      </c>
      <c r="GI62">
        <v>46.957477768080629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608.62682285871676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198.51794776135822</v>
      </c>
      <c r="AO63">
        <v>57.703369589953411</v>
      </c>
      <c r="AP63">
        <v>401.92429747367532</v>
      </c>
      <c r="AQ63">
        <v>316.45385983613141</v>
      </c>
      <c r="AR63">
        <v>56.10315172746246</v>
      </c>
      <c r="AS63">
        <v>271.83860261684111</v>
      </c>
      <c r="AT63">
        <v>27.279867192545598</v>
      </c>
      <c r="AU63">
        <v>-22.653630254844082</v>
      </c>
      <c r="AV63"/>
      <c r="AW63"/>
      <c r="FY63" s="211">
        <v>58</v>
      </c>
      <c r="FZ63">
        <v>27.75122651198939</v>
      </c>
      <c r="GA63">
        <v>36.811001279217628</v>
      </c>
      <c r="GB63">
        <v>53.715999461595651</v>
      </c>
      <c r="GC63">
        <v>32.067064651191615</v>
      </c>
      <c r="GD63">
        <v>11.311107742896668</v>
      </c>
      <c r="GE63">
        <v>14.680634120346991</v>
      </c>
      <c r="GF63">
        <v>35.800094607530824</v>
      </c>
      <c r="GG63">
        <v>26.517881587786462</v>
      </c>
      <c r="GH63">
        <v>25.038981741672554</v>
      </c>
      <c r="GI63">
        <v>36.328130087082386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221.09942578681256</v>
      </c>
      <c r="AO64">
        <v>90.952914573525447</v>
      </c>
      <c r="AP64">
        <v>783.79802078244006</v>
      </c>
      <c r="AQ64">
        <v>632.90766587476537</v>
      </c>
      <c r="AR64">
        <v>87.924809824024251</v>
      </c>
      <c r="AS64">
        <v>417.49032763495802</v>
      </c>
      <c r="AT64">
        <v>46.43677386495014</v>
      </c>
      <c r="AU64">
        <v>43.137961765942698</v>
      </c>
      <c r="AV64"/>
      <c r="AW64"/>
      <c r="FY64" s="211">
        <v>59</v>
      </c>
      <c r="FZ64">
        <v>102.13655199812503</v>
      </c>
      <c r="GA64">
        <v>130.69937797428616</v>
      </c>
      <c r="GB64">
        <v>51.16120027809179</v>
      </c>
      <c r="GC64">
        <v>28.505298201567705</v>
      </c>
      <c r="GD64">
        <v>10.818501069976538</v>
      </c>
      <c r="GE64">
        <v>19.040772976452921</v>
      </c>
      <c r="GF64">
        <v>37.986888286463689</v>
      </c>
      <c r="GG64">
        <v>32.340222266717056</v>
      </c>
      <c r="GH64">
        <v>32.97626589168577</v>
      </c>
      <c r="GI64">
        <v>47.677205331411891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208.28549745938017</v>
      </c>
      <c r="AO65">
        <v>56.338700583308864</v>
      </c>
      <c r="AP65">
        <v>395.23637017975358</v>
      </c>
      <c r="AQ65">
        <v>321.03407476638648</v>
      </c>
      <c r="AR65">
        <v>55.01751156980518</v>
      </c>
      <c r="AS65">
        <v>268.28518893566201</v>
      </c>
      <c r="AT65">
        <v>26.517040279551043</v>
      </c>
      <c r="AU65">
        <v>4.6317753704426892</v>
      </c>
      <c r="AV65"/>
      <c r="AW65"/>
      <c r="FY65" s="211">
        <v>60</v>
      </c>
      <c r="FZ65">
        <v>27.255904420722125</v>
      </c>
      <c r="GA65">
        <v>51.832866937301766</v>
      </c>
      <c r="GB65">
        <v>46.871406830852806</v>
      </c>
      <c r="GC65">
        <v>23.853447775682127</v>
      </c>
      <c r="GD65">
        <v>17.413455396832028</v>
      </c>
      <c r="GE65">
        <v>26.803461238399841</v>
      </c>
      <c r="GF65">
        <v>40.582976271105188</v>
      </c>
      <c r="GG65">
        <v>34.520551605069237</v>
      </c>
      <c r="GH65">
        <v>22.55151504457795</v>
      </c>
      <c r="GI65">
        <v>38.774823889755702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192.43264093487934</v>
      </c>
      <c r="AO66">
        <v>72.883124828615806</v>
      </c>
      <c r="AP66">
        <v>634.33519405271682</v>
      </c>
      <c r="AQ66">
        <v>500.23802759373052</v>
      </c>
      <c r="AR66">
        <v>70.90775994889276</v>
      </c>
      <c r="AS66">
        <v>305.35065563881795</v>
      </c>
      <c r="AT66">
        <v>36.976266521886792</v>
      </c>
      <c r="AU66">
        <v>9.0288612095056777</v>
      </c>
      <c r="AV66"/>
      <c r="AW66"/>
      <c r="FY66" s="211">
        <v>61</v>
      </c>
      <c r="FZ66">
        <v>45.043464603064962</v>
      </c>
      <c r="GA66">
        <v>44.898692832279487</v>
      </c>
      <c r="GB66">
        <v>55.67875285100196</v>
      </c>
      <c r="GC66">
        <v>31.639643104051427</v>
      </c>
      <c r="GD66">
        <v>16.570303772629796</v>
      </c>
      <c r="GE66">
        <v>27.560761121046475</v>
      </c>
      <c r="GF66">
        <v>74.19138063203043</v>
      </c>
      <c r="GG66">
        <v>61.851290378274804</v>
      </c>
      <c r="GH66">
        <v>32.564090443640502</v>
      </c>
      <c r="GI66">
        <v>51.468945746020808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178.74583636389235</v>
      </c>
      <c r="AO67">
        <v>53.520556338992343</v>
      </c>
      <c r="AP67">
        <v>373.80049736205933</v>
      </c>
      <c r="AQ67">
        <v>299.88211795127654</v>
      </c>
      <c r="AR67">
        <v>53.073402161584127</v>
      </c>
      <c r="AS67">
        <v>251.67460667905146</v>
      </c>
      <c r="AT67">
        <v>25.41699570535906</v>
      </c>
      <c r="AU67">
        <v>45.224357376773327</v>
      </c>
      <c r="AV67"/>
      <c r="AW67"/>
      <c r="FY67" s="211">
        <v>62</v>
      </c>
      <c r="FZ67">
        <v>42.846611133411308</v>
      </c>
      <c r="GA67">
        <v>58.11063343362364</v>
      </c>
      <c r="GB67">
        <v>56.050223186337604</v>
      </c>
      <c r="GC67">
        <v>27.300043037970354</v>
      </c>
      <c r="GD67">
        <v>10.659139952041542</v>
      </c>
      <c r="GE67">
        <v>16.8458638510104</v>
      </c>
      <c r="GF67">
        <v>58.67940899412077</v>
      </c>
      <c r="GG67">
        <v>52.947024662406086</v>
      </c>
      <c r="GH67">
        <v>30.927788337470108</v>
      </c>
      <c r="GI67">
        <v>43.877536636097688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178.16134925885007</v>
      </c>
      <c r="AO68">
        <v>56.61662707183293</v>
      </c>
      <c r="AP68">
        <v>414.0343605719745</v>
      </c>
      <c r="AQ68">
        <v>324.71427170247773</v>
      </c>
      <c r="AR68">
        <v>55.766198392337401</v>
      </c>
      <c r="AS68">
        <v>269.62719411444448</v>
      </c>
      <c r="AT68">
        <v>26.617847242621394</v>
      </c>
      <c r="AU68">
        <v>-4.7200891234922366</v>
      </c>
      <c r="AV68"/>
      <c r="AW68"/>
      <c r="FY68" s="211">
        <v>63</v>
      </c>
      <c r="FZ68">
        <v>121.15530149082716</v>
      </c>
      <c r="GA68">
        <v>151.06448775333882</v>
      </c>
      <c r="GB68">
        <v>49.277107424948809</v>
      </c>
      <c r="GC68">
        <v>24.573217661603515</v>
      </c>
      <c r="GD68">
        <v>13.001055938254966</v>
      </c>
      <c r="GE68">
        <v>19.696820209064704</v>
      </c>
      <c r="GF68">
        <v>60.328705099133451</v>
      </c>
      <c r="GG68">
        <v>51.013540199952367</v>
      </c>
      <c r="GH68">
        <v>19.354211237774141</v>
      </c>
      <c r="GI68">
        <v>53.731612318739252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256.6680580657071</v>
      </c>
      <c r="AO69">
        <v>79.742267130520617</v>
      </c>
      <c r="AP69">
        <v>700.4753162499369</v>
      </c>
      <c r="AQ69">
        <v>543.06159203266145</v>
      </c>
      <c r="AR69">
        <v>76.130945636180059</v>
      </c>
      <c r="AS69">
        <v>365.42435063083707</v>
      </c>
      <c r="AT69">
        <v>39.615627513677886</v>
      </c>
      <c r="AU69">
        <v>27.025897817383083</v>
      </c>
      <c r="AV69"/>
      <c r="AW69"/>
      <c r="FY69" s="211">
        <v>64</v>
      </c>
      <c r="FZ69">
        <v>40.154441393986772</v>
      </c>
      <c r="GA69">
        <v>54.007799664935106</v>
      </c>
      <c r="GB69">
        <v>41.391383801250889</v>
      </c>
      <c r="GC69">
        <v>21.83325375432916</v>
      </c>
      <c r="GD69">
        <v>14.308326517184353</v>
      </c>
      <c r="GE69">
        <v>23.904892136985307</v>
      </c>
      <c r="GF69">
        <v>49.247159620092866</v>
      </c>
      <c r="GG69">
        <v>43.865579167093351</v>
      </c>
      <c r="GH69">
        <v>29.853054891905522</v>
      </c>
      <c r="GI69">
        <v>40.225701632862702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92.708333333333329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12.5</v>
      </c>
      <c r="J70" s="18">
        <f t="shared" si="39"/>
        <v>26.041666666666668</v>
      </c>
      <c r="K70" s="18">
        <f t="shared" si="39"/>
        <v>39.583333333333329</v>
      </c>
      <c r="L70" s="18">
        <f t="shared" si="39"/>
        <v>3.125</v>
      </c>
      <c r="M70" s="18">
        <f t="shared" si="39"/>
        <v>9.375</v>
      </c>
      <c r="N70" s="18">
        <f t="shared" si="39"/>
        <v>2.083333333333333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266.87911394868348</v>
      </c>
      <c r="AO70">
        <v>79.742128274164756</v>
      </c>
      <c r="AP70">
        <v>662.6340708597362</v>
      </c>
      <c r="AQ70">
        <v>513.62085647486003</v>
      </c>
      <c r="AR70">
        <v>76.924330775298145</v>
      </c>
      <c r="AS70">
        <v>374.95141331648347</v>
      </c>
      <c r="AT70">
        <v>38.464479087687444</v>
      </c>
      <c r="AU70">
        <v>62.876747779744328</v>
      </c>
      <c r="AV70"/>
      <c r="AW70"/>
      <c r="FY70" s="211">
        <v>65</v>
      </c>
      <c r="FZ70">
        <v>46.813241803986436</v>
      </c>
      <c r="GA70">
        <v>44.779666236468927</v>
      </c>
      <c r="GB70">
        <v>50.03212722843783</v>
      </c>
      <c r="GC70">
        <v>26.025907811945036</v>
      </c>
      <c r="GD70">
        <v>14.360145753397818</v>
      </c>
      <c r="GE70">
        <v>27.362762662323494</v>
      </c>
      <c r="GF70">
        <v>42.931110221369273</v>
      </c>
      <c r="GG70">
        <v>40.149563363725932</v>
      </c>
      <c r="GH70">
        <v>29.987133877076189</v>
      </c>
      <c r="GI70">
        <v>42.119250456649823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149.89262371615314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0</v>
      </c>
      <c r="J71" s="18">
        <f t="shared" si="40"/>
        <v>6.2499999999999991</v>
      </c>
      <c r="K71" s="18">
        <f t="shared" si="40"/>
        <v>23.125</v>
      </c>
      <c r="L71" s="18">
        <f t="shared" si="40"/>
        <v>54.714052287581694</v>
      </c>
      <c r="M71" s="18">
        <f t="shared" si="40"/>
        <v>39.345238095238095</v>
      </c>
      <c r="N71" s="18">
        <f t="shared" si="40"/>
        <v>13.125</v>
      </c>
      <c r="O71" s="18">
        <f t="shared" si="40"/>
        <v>0</v>
      </c>
      <c r="P71" s="18">
        <f t="shared" si="40"/>
        <v>13.333333333333334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220.51463081630891</v>
      </c>
      <c r="AO71">
        <v>53.575519639024002</v>
      </c>
      <c r="AP71">
        <v>399.52429923260684</v>
      </c>
      <c r="AQ71">
        <v>314.29037033808459</v>
      </c>
      <c r="AR71">
        <v>52.936570811561438</v>
      </c>
      <c r="AS71">
        <v>270.27799081646714</v>
      </c>
      <c r="AT71">
        <v>24.521471581314845</v>
      </c>
      <c r="AU71">
        <v>-29.008871055846669</v>
      </c>
      <c r="AV71"/>
      <c r="AW71"/>
      <c r="FY71" s="211">
        <v>66</v>
      </c>
      <c r="FZ71">
        <v>52.629588676297843</v>
      </c>
      <c r="GA71">
        <v>41.75078267114678</v>
      </c>
      <c r="GB71">
        <v>58.736979742946275</v>
      </c>
      <c r="GC71">
        <v>31.039197456945395</v>
      </c>
      <c r="GD71">
        <v>13.506122079081601</v>
      </c>
      <c r="GE71">
        <v>23.535994703749058</v>
      </c>
      <c r="GF71">
        <v>44.452214327320462</v>
      </c>
      <c r="GG71">
        <v>36.782776089114492</v>
      </c>
      <c r="GH71">
        <v>30.757666097305489</v>
      </c>
      <c r="GI71">
        <v>45.062844404790759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202.59456605222735</v>
      </c>
      <c r="E72" s="64"/>
      <c r="F72" s="64"/>
      <c r="G72" s="18">
        <f>AVERAGE(E248:E257)</f>
        <v>0</v>
      </c>
      <c r="H72" s="18">
        <f t="shared" ref="H72:AK72" si="41">AVERAGE(F248:F257)</f>
        <v>46.83299731182796</v>
      </c>
      <c r="I72" s="18">
        <f t="shared" si="41"/>
        <v>55.76156874039939</v>
      </c>
      <c r="J72" s="18">
        <f t="shared" si="41"/>
        <v>5.208333333333333</v>
      </c>
      <c r="K72" s="18">
        <f t="shared" si="41"/>
        <v>1.0416666666666665</v>
      </c>
      <c r="L72" s="18">
        <f t="shared" si="41"/>
        <v>36.458333333333329</v>
      </c>
      <c r="M72" s="18">
        <f t="shared" si="41"/>
        <v>45.833333333333329</v>
      </c>
      <c r="N72" s="18">
        <f t="shared" si="41"/>
        <v>0</v>
      </c>
      <c r="O72" s="18">
        <f t="shared" si="41"/>
        <v>11.458333333333334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218.32276743699998</v>
      </c>
      <c r="AO72">
        <v>70.456133993438883</v>
      </c>
      <c r="AP72">
        <v>606.01591091950468</v>
      </c>
      <c r="AQ72">
        <v>464.22381576932673</v>
      </c>
      <c r="AR72">
        <v>69.312028289268596</v>
      </c>
      <c r="AS72">
        <v>343.02675480679852</v>
      </c>
      <c r="AT72">
        <v>36.521784866822308</v>
      </c>
      <c r="AU72">
        <v>37.794680567907371</v>
      </c>
      <c r="AV72"/>
      <c r="AW72"/>
      <c r="FY72" s="211">
        <v>67</v>
      </c>
      <c r="FZ72">
        <v>66.017574181033012</v>
      </c>
      <c r="GA72">
        <v>93.788562775957686</v>
      </c>
      <c r="GB72">
        <v>42.751213364725487</v>
      </c>
      <c r="GC72">
        <v>18.184684895418044</v>
      </c>
      <c r="GD72">
        <v>9.149898143227631</v>
      </c>
      <c r="GE72">
        <v>19.758952231408141</v>
      </c>
      <c r="GF72">
        <v>45.712179411547289</v>
      </c>
      <c r="GG72">
        <v>36.966904571208637</v>
      </c>
      <c r="GH72">
        <v>29.188279873334679</v>
      </c>
      <c r="GI72">
        <v>40.225380952928674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360.20335926047147</v>
      </c>
      <c r="E73" s="64"/>
      <c r="F73" s="64"/>
      <c r="G73" s="18">
        <f>AVERAGE(E258:E267)</f>
        <v>0</v>
      </c>
      <c r="H73" s="18">
        <f t="shared" ref="H73:AK73" si="42">AVERAGE(F258:F267)</f>
        <v>38.389008620689651</v>
      </c>
      <c r="I73" s="18">
        <f t="shared" si="42"/>
        <v>82.244892320323359</v>
      </c>
      <c r="J73" s="18">
        <f t="shared" si="42"/>
        <v>90.411324786324798</v>
      </c>
      <c r="K73" s="18">
        <f t="shared" si="42"/>
        <v>32.68086080586081</v>
      </c>
      <c r="L73" s="18">
        <f t="shared" si="42"/>
        <v>37.5</v>
      </c>
      <c r="M73" s="18">
        <f t="shared" si="42"/>
        <v>49.715909090909093</v>
      </c>
      <c r="N73" s="18">
        <f t="shared" si="42"/>
        <v>16.287878787878785</v>
      </c>
      <c r="O73" s="18">
        <f t="shared" si="42"/>
        <v>12.973484848484848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222.05198222440691</v>
      </c>
      <c r="AO73">
        <v>68.460586936537638</v>
      </c>
      <c r="AP73">
        <v>563.82368736150283</v>
      </c>
      <c r="AQ73">
        <v>445.61420610492598</v>
      </c>
      <c r="AR73">
        <v>67.207588114041187</v>
      </c>
      <c r="AS73">
        <v>337.13935756241136</v>
      </c>
      <c r="AT73">
        <v>33.373416269393275</v>
      </c>
      <c r="AU73">
        <v>-52.466794401707418</v>
      </c>
      <c r="AV73"/>
      <c r="AW73"/>
      <c r="FY73" s="211">
        <v>68</v>
      </c>
      <c r="FZ73">
        <v>40.939902774581256</v>
      </c>
      <c r="GA73">
        <v>59.775642099315974</v>
      </c>
      <c r="GB73">
        <v>54.197274579691289</v>
      </c>
      <c r="GC73">
        <v>21.269387478563551</v>
      </c>
      <c r="GD73">
        <v>14.775455338194266</v>
      </c>
      <c r="GE73">
        <v>36.825695715016415</v>
      </c>
      <c r="GF73">
        <v>48.184703942790584</v>
      </c>
      <c r="GG73">
        <v>33.742665618779057</v>
      </c>
      <c r="GH73">
        <v>33.81788240978274</v>
      </c>
      <c r="GI73">
        <v>44.333776559844232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292.84812409812412</v>
      </c>
      <c r="E74" s="64"/>
      <c r="F74" s="64"/>
      <c r="G74" s="18">
        <f>AVERAGE(E268:E277)</f>
        <v>0</v>
      </c>
      <c r="H74" s="18">
        <f t="shared" ref="H74:AK74" si="43">AVERAGE(F268:F277)</f>
        <v>5.2083333333333339</v>
      </c>
      <c r="I74" s="18">
        <f t="shared" si="43"/>
        <v>167.95634920634919</v>
      </c>
      <c r="J74" s="18">
        <f t="shared" si="43"/>
        <v>43.799603174603178</v>
      </c>
      <c r="K74" s="18">
        <f t="shared" si="43"/>
        <v>21.212121212121211</v>
      </c>
      <c r="L74" s="18">
        <f t="shared" si="43"/>
        <v>4.5138888888888884</v>
      </c>
      <c r="M74" s="18">
        <f t="shared" si="43"/>
        <v>30.334595959595958</v>
      </c>
      <c r="N74" s="18">
        <f t="shared" si="43"/>
        <v>16.351010101010104</v>
      </c>
      <c r="O74" s="18">
        <f t="shared" si="43"/>
        <v>3.4722222222222223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189.73452626640096</v>
      </c>
      <c r="AO74">
        <v>53.3092805307679</v>
      </c>
      <c r="AP74">
        <v>400.69580814592945</v>
      </c>
      <c r="AQ74">
        <v>300.02212179131016</v>
      </c>
      <c r="AR74">
        <v>52.240437932811581</v>
      </c>
      <c r="AS74">
        <v>243.49704884780999</v>
      </c>
      <c r="AT74">
        <v>23.430054476143287</v>
      </c>
      <c r="AU74">
        <v>0.8021523078790409</v>
      </c>
      <c r="AV74"/>
      <c r="AW74"/>
      <c r="FY74" s="211">
        <v>69</v>
      </c>
      <c r="FZ74">
        <v>127.76739711225179</v>
      </c>
      <c r="GA74">
        <v>155.15055366111056</v>
      </c>
      <c r="GB74">
        <v>50.053926462483879</v>
      </c>
      <c r="GC74">
        <v>22.555801730347028</v>
      </c>
      <c r="GD74">
        <v>10.712216467042746</v>
      </c>
      <c r="GE74">
        <v>20.725153837964008</v>
      </c>
      <c r="GF74">
        <v>22.154630647551258</v>
      </c>
      <c r="GG74">
        <v>10.295960312542407</v>
      </c>
      <c r="GH74">
        <v>12.496190863203683</v>
      </c>
      <c r="GI74">
        <v>44.563369014958241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241.96237789987794</v>
      </c>
      <c r="E75" s="64"/>
      <c r="F75" s="64"/>
      <c r="G75" s="18">
        <f>AVERAGE(E278:E287)</f>
        <v>19.230769230769226</v>
      </c>
      <c r="H75" s="18">
        <f t="shared" ref="H75:AK75" si="44">AVERAGE(F278:F287)</f>
        <v>98.168498168498189</v>
      </c>
      <c r="I75" s="18">
        <f t="shared" si="44"/>
        <v>50.604777167277177</v>
      </c>
      <c r="J75" s="18">
        <f t="shared" si="44"/>
        <v>4.1666666666666661</v>
      </c>
      <c r="K75" s="18">
        <f t="shared" si="44"/>
        <v>1.0416666666666665</v>
      </c>
      <c r="L75" s="18">
        <f t="shared" si="44"/>
        <v>8.3333333333333321</v>
      </c>
      <c r="M75" s="18">
        <f t="shared" si="44"/>
        <v>27.083333333333332</v>
      </c>
      <c r="N75" s="18">
        <f t="shared" si="44"/>
        <v>20.833333333333332</v>
      </c>
      <c r="O75" s="18">
        <f t="shared" si="44"/>
        <v>11.458333333333332</v>
      </c>
      <c r="P75" s="18">
        <f t="shared" si="44"/>
        <v>1.0416666666666665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203.46622211549132</v>
      </c>
      <c r="AO75">
        <v>72.382406151152935</v>
      </c>
      <c r="AP75">
        <v>630.68078103300809</v>
      </c>
      <c r="AQ75">
        <v>493.34228427477848</v>
      </c>
      <c r="AR75">
        <v>68.899418269707184</v>
      </c>
      <c r="AS75">
        <v>310.73094765039599</v>
      </c>
      <c r="AT75">
        <v>35.631941276733137</v>
      </c>
      <c r="AU75">
        <v>-25.574732626407101</v>
      </c>
      <c r="AV75"/>
      <c r="AW75"/>
      <c r="FY75" s="211">
        <v>70</v>
      </c>
      <c r="FZ75">
        <v>32.778423373409858</v>
      </c>
      <c r="GA75">
        <v>45.651053829452515</v>
      </c>
      <c r="GB75">
        <v>45.2221471501799</v>
      </c>
      <c r="GC75">
        <v>25.76727260790414</v>
      </c>
      <c r="GD75">
        <v>15.762911802925508</v>
      </c>
      <c r="GE75">
        <v>26.836571422054508</v>
      </c>
      <c r="GF75">
        <v>46.350684355632033</v>
      </c>
      <c r="GG75">
        <v>36.787892615981242</v>
      </c>
      <c r="GH75">
        <v>30.150505472830943</v>
      </c>
      <c r="GI75">
        <v>40.364771415496286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159.31532118055557</v>
      </c>
      <c r="E76" s="64"/>
      <c r="F76" s="64"/>
      <c r="G76" s="18">
        <f>AVERAGE(E288:E297)</f>
        <v>0</v>
      </c>
      <c r="H76" s="18">
        <f t="shared" ref="H76:AK76" si="45">AVERAGE(F288:F297)</f>
        <v>2.6041666666666665</v>
      </c>
      <c r="I76" s="18">
        <f t="shared" si="45"/>
        <v>107.66601562500001</v>
      </c>
      <c r="J76" s="18">
        <f t="shared" si="45"/>
        <v>9.9826388888888893</v>
      </c>
      <c r="K76" s="18">
        <f t="shared" si="45"/>
        <v>5.6423611111111107</v>
      </c>
      <c r="L76" s="18">
        <f t="shared" si="45"/>
        <v>0</v>
      </c>
      <c r="M76" s="18">
        <f t="shared" si="45"/>
        <v>2.6041666666666665</v>
      </c>
      <c r="N76" s="18">
        <f t="shared" si="45"/>
        <v>26.909722222222221</v>
      </c>
      <c r="O76" s="18">
        <f t="shared" si="45"/>
        <v>2.6041666666666665</v>
      </c>
      <c r="P76" s="18">
        <f t="shared" si="45"/>
        <v>1.3020833333333333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211.18630544489139</v>
      </c>
      <c r="AO76">
        <v>57.34452688118462</v>
      </c>
      <c r="AP76">
        <v>423.45444781381866</v>
      </c>
      <c r="AQ76">
        <v>330.46040941029878</v>
      </c>
      <c r="AR76">
        <v>55.728123184217317</v>
      </c>
      <c r="AS76">
        <v>292.81795766858716</v>
      </c>
      <c r="AT76">
        <v>26.363332829410211</v>
      </c>
      <c r="AU76">
        <v>13.530355015866434</v>
      </c>
      <c r="AV76"/>
      <c r="AW76"/>
      <c r="FY76" s="211">
        <v>71</v>
      </c>
      <c r="FZ76">
        <v>115.52005724332136</v>
      </c>
      <c r="GA76">
        <v>143.20011495836326</v>
      </c>
      <c r="GB76">
        <v>43.956068334338042</v>
      </c>
      <c r="GC76">
        <v>25.364760885599921</v>
      </c>
      <c r="GD76">
        <v>17.192389087162617</v>
      </c>
      <c r="GE76">
        <v>23.996000311526906</v>
      </c>
      <c r="GF76">
        <v>47.157972751611617</v>
      </c>
      <c r="GG76">
        <v>39.589612637128702</v>
      </c>
      <c r="GH76">
        <v>30.748302979972436</v>
      </c>
      <c r="GI76">
        <v>53.468546880813577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533.14393939393938</v>
      </c>
      <c r="E77" s="64"/>
      <c r="F77" s="64"/>
      <c r="G77" s="18">
        <f>AVERAGE(E298:E307)</f>
        <v>0</v>
      </c>
      <c r="H77" s="18">
        <f t="shared" ref="H77:AK77" si="46">AVERAGE(F298:F307)</f>
        <v>52.083333333333336</v>
      </c>
      <c r="I77" s="18">
        <f t="shared" si="46"/>
        <v>218.75</v>
      </c>
      <c r="J77" s="18">
        <f t="shared" si="46"/>
        <v>203.59848484848482</v>
      </c>
      <c r="K77" s="18">
        <f t="shared" si="46"/>
        <v>0</v>
      </c>
      <c r="L77" s="18">
        <f t="shared" si="46"/>
        <v>0</v>
      </c>
      <c r="M77" s="18">
        <f t="shared" si="46"/>
        <v>4.1666666666666661</v>
      </c>
      <c r="N77" s="18">
        <f t="shared" si="46"/>
        <v>32.196969696969695</v>
      </c>
      <c r="O77" s="18">
        <f t="shared" si="46"/>
        <v>22.348484848484848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251.83844074704626</v>
      </c>
      <c r="AO77">
        <v>75.283139487868681</v>
      </c>
      <c r="AP77">
        <v>583.34709897641483</v>
      </c>
      <c r="AQ77">
        <v>441.46732548404066</v>
      </c>
      <c r="AR77">
        <v>74.238435640403765</v>
      </c>
      <c r="AS77">
        <v>353.93456258810005</v>
      </c>
      <c r="AT77">
        <v>34.376969326053306</v>
      </c>
      <c r="AU77">
        <v>45.057801101724024</v>
      </c>
      <c r="AV77"/>
      <c r="AW77"/>
      <c r="FY77" s="211">
        <v>72</v>
      </c>
      <c r="FZ77">
        <v>40.114023393710426</v>
      </c>
      <c r="GA77">
        <v>44.62074664938546</v>
      </c>
      <c r="GB77">
        <v>36.005291193680023</v>
      </c>
      <c r="GC77">
        <v>21.811138706487508</v>
      </c>
      <c r="GD77">
        <v>13.711908452321644</v>
      </c>
      <c r="GE77">
        <v>21.835663623961786</v>
      </c>
      <c r="GF77">
        <v>40.077040936723648</v>
      </c>
      <c r="GG77">
        <v>34.213746814849173</v>
      </c>
      <c r="GH77">
        <v>29.513155049067226</v>
      </c>
      <c r="GI77">
        <v>36.472499271555044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28.924086757990864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12.899543378995432</v>
      </c>
      <c r="J78" s="18">
        <f t="shared" si="47"/>
        <v>0</v>
      </c>
      <c r="K78" s="18">
        <f t="shared" si="47"/>
        <v>5.6078767123287658</v>
      </c>
      <c r="L78" s="18">
        <f t="shared" si="47"/>
        <v>0</v>
      </c>
      <c r="M78" s="18">
        <f t="shared" si="47"/>
        <v>0</v>
      </c>
      <c r="N78" s="18">
        <f t="shared" si="47"/>
        <v>4.1666666666666661</v>
      </c>
      <c r="O78" s="18">
        <f t="shared" si="47"/>
        <v>0</v>
      </c>
      <c r="P78" s="18">
        <f t="shared" si="47"/>
        <v>6.25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231.01555811146355</v>
      </c>
      <c r="AO78">
        <v>64.009614977466342</v>
      </c>
      <c r="AP78">
        <v>529.86516621914666</v>
      </c>
      <c r="AQ78">
        <v>398.24427322448946</v>
      </c>
      <c r="AR78">
        <v>63.10552392027931</v>
      </c>
      <c r="AS78">
        <v>313.45494081960345</v>
      </c>
      <c r="AT78">
        <v>30.196696974776128</v>
      </c>
      <c r="AU78">
        <v>0.84411887517943285</v>
      </c>
      <c r="AV78"/>
      <c r="AW78"/>
      <c r="FY78" s="211">
        <v>73</v>
      </c>
      <c r="FZ78">
        <v>89.121177081574643</v>
      </c>
      <c r="GA78">
        <v>90.366154841328964</v>
      </c>
      <c r="GB78">
        <v>47.098992806871777</v>
      </c>
      <c r="GC78">
        <v>25.118721831708164</v>
      </c>
      <c r="GD78">
        <v>16.568180827380516</v>
      </c>
      <c r="GE78">
        <v>29.184365461554652</v>
      </c>
      <c r="GF78">
        <v>39.8813818048394</v>
      </c>
      <c r="GG78">
        <v>34.5343153747082</v>
      </c>
      <c r="GH78">
        <v>25.062788164886364</v>
      </c>
      <c r="GI78">
        <v>47.718605972883658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164.08547689653466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11.555989583333332</v>
      </c>
      <c r="J79" s="18">
        <f t="shared" si="48"/>
        <v>100.5526238727897</v>
      </c>
      <c r="K79" s="18">
        <f t="shared" si="48"/>
        <v>7.7570921985815602</v>
      </c>
      <c r="L79" s="18">
        <f t="shared" si="48"/>
        <v>28.594771241830063</v>
      </c>
      <c r="M79" s="18">
        <f t="shared" si="48"/>
        <v>8.3333333333333321</v>
      </c>
      <c r="N79" s="18">
        <f t="shared" si="48"/>
        <v>6.25</v>
      </c>
      <c r="O79" s="18">
        <f t="shared" si="48"/>
        <v>0</v>
      </c>
      <c r="P79" s="18">
        <f t="shared" si="48"/>
        <v>1.0416666666666665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221.13519875309262</v>
      </c>
      <c r="AO79">
        <v>80.930334279663683</v>
      </c>
      <c r="AP79">
        <v>721.55587561340212</v>
      </c>
      <c r="AQ79">
        <v>563.19605933363721</v>
      </c>
      <c r="AR79">
        <v>77.879502152190909</v>
      </c>
      <c r="AS79">
        <v>376.64663618048769</v>
      </c>
      <c r="AT79">
        <v>41.863782097162535</v>
      </c>
      <c r="AU79">
        <v>38.418443449446357</v>
      </c>
      <c r="AV79"/>
      <c r="AW79"/>
      <c r="FY79" s="211">
        <v>74</v>
      </c>
      <c r="FZ79">
        <v>62.892091546545771</v>
      </c>
      <c r="GA79">
        <v>80.678483861006086</v>
      </c>
      <c r="GB79">
        <v>30.344893354377717</v>
      </c>
      <c r="GC79">
        <v>18.915577379667475</v>
      </c>
      <c r="GD79">
        <v>18.330345740698874</v>
      </c>
      <c r="GE79">
        <v>29.156391265375486</v>
      </c>
      <c r="GF79">
        <v>63.821972905705614</v>
      </c>
      <c r="GG79">
        <v>56.795152792590343</v>
      </c>
      <c r="GH79">
        <v>25.409972128763979</v>
      </c>
      <c r="GI79">
        <v>45.665673460978596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186.33893714392855</v>
      </c>
      <c r="AO80">
        <v>59.39055373692711</v>
      </c>
      <c r="AP80">
        <v>465.74735710338382</v>
      </c>
      <c r="AQ80">
        <v>358.791592580626</v>
      </c>
      <c r="AR80">
        <v>57.951362751341819</v>
      </c>
      <c r="AS80">
        <v>268.88338752523032</v>
      </c>
      <c r="AT80">
        <v>27.371013963956191</v>
      </c>
      <c r="AU80">
        <v>25.885245235887261</v>
      </c>
      <c r="AV80"/>
      <c r="AW80"/>
      <c r="FY80" s="211">
        <v>75</v>
      </c>
      <c r="FZ80">
        <v>32.706415887746978</v>
      </c>
      <c r="GA80">
        <v>49.909618172873692</v>
      </c>
      <c r="GB80">
        <v>39.402253348684802</v>
      </c>
      <c r="GC80">
        <v>24.849452965817221</v>
      </c>
      <c r="GD80">
        <v>18.060814303996057</v>
      </c>
      <c r="GE80">
        <v>18.845880016499038</v>
      </c>
      <c r="GF80">
        <v>47.291437836045851</v>
      </c>
      <c r="GG80">
        <v>42.598016935952835</v>
      </c>
      <c r="GH80">
        <v>18.762823234758653</v>
      </c>
      <c r="GI80">
        <v>38.774915130327827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186.24525873029967</v>
      </c>
      <c r="AO81">
        <v>61.888927949817152</v>
      </c>
      <c r="AP81">
        <v>471.12125514404602</v>
      </c>
      <c r="AQ81">
        <v>364.56090941538076</v>
      </c>
      <c r="AR81">
        <v>60.720715520238493</v>
      </c>
      <c r="AS81">
        <v>290.69566148701358</v>
      </c>
      <c r="AT81">
        <v>28.889684822160827</v>
      </c>
      <c r="AU81">
        <v>61.975621810736001</v>
      </c>
      <c r="AV81"/>
      <c r="AW81"/>
      <c r="FY81" s="211">
        <v>76</v>
      </c>
      <c r="FZ81">
        <v>77.70653977076978</v>
      </c>
      <c r="GA81">
        <v>104.54529618560062</v>
      </c>
      <c r="GB81">
        <v>46.418481163715732</v>
      </c>
      <c r="GC81">
        <v>22.359909822719811</v>
      </c>
      <c r="GD81">
        <v>12.908968361863643</v>
      </c>
      <c r="GE81">
        <v>20.516534002153662</v>
      </c>
      <c r="GF81">
        <v>43.616362498606456</v>
      </c>
      <c r="GG81">
        <v>39.019249789437218</v>
      </c>
      <c r="GH81">
        <v>28.453560161133481</v>
      </c>
      <c r="GI81">
        <v>44.730338949178567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214.39862226552546</v>
      </c>
      <c r="AO82">
        <v>64.137391700248116</v>
      </c>
      <c r="AP82">
        <v>494.47996010800068</v>
      </c>
      <c r="AQ82">
        <v>378.25416624869814</v>
      </c>
      <c r="AR82">
        <v>64.730977029421297</v>
      </c>
      <c r="AS82">
        <v>313.41364510714874</v>
      </c>
      <c r="AT82">
        <v>30.945046884026755</v>
      </c>
      <c r="AU82">
        <v>43.058820512637872</v>
      </c>
      <c r="AV82"/>
      <c r="AW82"/>
      <c r="FY82" s="211">
        <v>77</v>
      </c>
      <c r="FZ82">
        <v>33.837031847482258</v>
      </c>
      <c r="GA82">
        <v>47.186680692251095</v>
      </c>
      <c r="GB82">
        <v>37.860802162738246</v>
      </c>
      <c r="GC82">
        <v>21.84804458050391</v>
      </c>
      <c r="GD82">
        <v>16.357590386891093</v>
      </c>
      <c r="GE82">
        <v>33.552552085216917</v>
      </c>
      <c r="GF82">
        <v>57.545835265416926</v>
      </c>
      <c r="GG82">
        <v>41.784106681573874</v>
      </c>
      <c r="GH82">
        <v>22.824953072672294</v>
      </c>
      <c r="GI82">
        <v>40.085306450546199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168.59537785635308</v>
      </c>
      <c r="AO83">
        <v>59.771057156979353</v>
      </c>
      <c r="AP83">
        <v>527.31636339768784</v>
      </c>
      <c r="AQ83">
        <v>401.7436304007893</v>
      </c>
      <c r="AR83">
        <v>58.027758982186782</v>
      </c>
      <c r="AS83">
        <v>270.29035706635216</v>
      </c>
      <c r="AT83">
        <v>30.804691430310271</v>
      </c>
      <c r="AU83">
        <v>12.043551501242073</v>
      </c>
      <c r="AV83"/>
      <c r="AW83"/>
      <c r="FY83" s="211">
        <v>78</v>
      </c>
      <c r="FZ83">
        <v>69.163615910667446</v>
      </c>
      <c r="GA83">
        <v>94.338753198602177</v>
      </c>
      <c r="GB83">
        <v>50.049965999283543</v>
      </c>
      <c r="GC83">
        <v>29.050936748076385</v>
      </c>
      <c r="GD83">
        <v>17.262459035638045</v>
      </c>
      <c r="GE83">
        <v>26.369031270219331</v>
      </c>
      <c r="GF83">
        <v>30.912485748369345</v>
      </c>
      <c r="GG83">
        <v>21.345989870126242</v>
      </c>
      <c r="GH83">
        <v>32.320944851891504</v>
      </c>
      <c r="GI83">
        <v>45.116181799519381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211.00630243088432</v>
      </c>
      <c r="AO84">
        <v>64.385190060327332</v>
      </c>
      <c r="AP84">
        <v>505.26780358854802</v>
      </c>
      <c r="AQ84">
        <v>387.86238651655935</v>
      </c>
      <c r="AR84">
        <v>63.221041128630851</v>
      </c>
      <c r="AS84">
        <v>336.1388946406592</v>
      </c>
      <c r="AT84">
        <v>30.795501941384838</v>
      </c>
      <c r="AU84">
        <v>25.23986371752823</v>
      </c>
      <c r="AV84"/>
      <c r="AW84"/>
      <c r="AX84" s="157" t="s">
        <v>111</v>
      </c>
      <c r="CJ84" s="157" t="s">
        <v>112</v>
      </c>
      <c r="FY84" s="211">
        <v>79</v>
      </c>
      <c r="FZ84">
        <v>59.541367954926507</v>
      </c>
      <c r="GA84">
        <v>84.850466151818637</v>
      </c>
      <c r="GB84">
        <v>36.437767015002606</v>
      </c>
      <c r="GC84">
        <v>20.929857239169884</v>
      </c>
      <c r="GD84">
        <v>12.259170615630987</v>
      </c>
      <c r="GE84">
        <v>16.336330704022942</v>
      </c>
      <c r="GF84">
        <v>14.283127997833507</v>
      </c>
      <c r="GG84">
        <v>11.029268468098451</v>
      </c>
      <c r="GH84">
        <v>16.311112298530468</v>
      </c>
      <c r="GI84">
        <v>31.196966851024658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177.98859035595822</v>
      </c>
      <c r="AO85">
        <v>66.377646821173684</v>
      </c>
      <c r="AP85">
        <v>593.28751530605587</v>
      </c>
      <c r="AQ85">
        <v>476.47520010945567</v>
      </c>
      <c r="AR85">
        <v>64.388630872755854</v>
      </c>
      <c r="AS85">
        <v>294.82514946579727</v>
      </c>
      <c r="AT85">
        <v>35.102678922459724</v>
      </c>
      <c r="AU85">
        <v>-35.38920315182817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128.14799984592821</v>
      </c>
      <c r="GA85">
        <v>158.42090811832418</v>
      </c>
      <c r="GB85">
        <v>55.114998485013082</v>
      </c>
      <c r="GC85">
        <v>30.529448371565309</v>
      </c>
      <c r="GD85">
        <v>18.650191189964229</v>
      </c>
      <c r="GE85">
        <v>32.411738730234354</v>
      </c>
      <c r="GF85">
        <v>54.727518823952323</v>
      </c>
      <c r="GG85">
        <v>36.36440157783278</v>
      </c>
      <c r="GH85">
        <v>26.649538812286266</v>
      </c>
      <c r="GI85">
        <v>59.610132430869847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236.22718576769694</v>
      </c>
      <c r="AO86">
        <v>59.189077996429113</v>
      </c>
      <c r="AP86">
        <v>442.72407497292812</v>
      </c>
      <c r="AQ86">
        <v>345.67223404586701</v>
      </c>
      <c r="AR86">
        <v>57.612996810230818</v>
      </c>
      <c r="AS86">
        <v>286.70217521892658</v>
      </c>
      <c r="AT86">
        <v>25.925117400298038</v>
      </c>
      <c r="AU86">
        <v>5.7127706207654541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8" t="s">
        <v>123</v>
      </c>
      <c r="CX86" s="22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100.19339884559034</v>
      </c>
      <c r="GA86">
        <v>137.23572830586662</v>
      </c>
      <c r="GB86">
        <v>49.58769468707284</v>
      </c>
      <c r="GC86">
        <v>25.426992241099658</v>
      </c>
      <c r="GD86">
        <v>13.49166869835293</v>
      </c>
      <c r="GE86">
        <v>20.362520901018005</v>
      </c>
      <c r="GF86">
        <v>24.83110197913491</v>
      </c>
      <c r="GG86">
        <v>22.083416424902154</v>
      </c>
      <c r="GH86">
        <v>29.995079946782727</v>
      </c>
      <c r="GI86">
        <v>45.668551195169783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231.64862782245217</v>
      </c>
      <c r="AO87">
        <v>79.708777835013819</v>
      </c>
      <c r="AP87">
        <v>679.74835350112221</v>
      </c>
      <c r="AQ87">
        <v>540.19382606983845</v>
      </c>
      <c r="AR87">
        <v>77.588133179564522</v>
      </c>
      <c r="AS87">
        <v>387.64320499243399</v>
      </c>
      <c r="AT87">
        <v>38.212636896668172</v>
      </c>
      <c r="AU87">
        <v>16.114272038876891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115.03009314625093</v>
      </c>
      <c r="GA87">
        <v>136.88811348862475</v>
      </c>
      <c r="GB87">
        <v>43.239230399162999</v>
      </c>
      <c r="GC87">
        <v>27.168824848434049</v>
      </c>
      <c r="GD87">
        <v>18.664936894887415</v>
      </c>
      <c r="GE87">
        <v>32.607054569019759</v>
      </c>
      <c r="GF87">
        <v>82.477507689967794</v>
      </c>
      <c r="GG87">
        <v>62.820642783261817</v>
      </c>
      <c r="GH87">
        <v>21.077723029135271</v>
      </c>
      <c r="GI87">
        <v>59.844661135265724</v>
      </c>
      <c r="GJ87"/>
      <c r="GK87"/>
      <c r="GL87"/>
      <c r="GM87"/>
    </row>
    <row r="88" spans="1:195" s="7" customFormat="1">
      <c r="A88" s="128"/>
      <c r="B88" s="76">
        <f ca="1">IF(C88="", "", RAND())</f>
        <v>0.14197935734893785</v>
      </c>
      <c r="C88">
        <v>1</v>
      </c>
      <c r="D88">
        <v>39646</v>
      </c>
      <c r="E88">
        <v>0</v>
      </c>
      <c r="F88">
        <v>0</v>
      </c>
      <c r="G88">
        <v>10.416666666666666</v>
      </c>
      <c r="H88">
        <v>20.833333333333332</v>
      </c>
      <c r="I88">
        <v>31.25</v>
      </c>
      <c r="J88">
        <v>10.416666666666666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203.91346482620969</v>
      </c>
      <c r="AO88">
        <v>53.110898987433949</v>
      </c>
      <c r="AP88">
        <v>408.0664161030279</v>
      </c>
      <c r="AQ88">
        <v>318.3752140917419</v>
      </c>
      <c r="AR88">
        <v>52.167531514577263</v>
      </c>
      <c r="AS88">
        <v>262.11827850904416</v>
      </c>
      <c r="AT88">
        <v>24.474505503653223</v>
      </c>
      <c r="AU88">
        <v>28.964949098212301</v>
      </c>
      <c r="AV88"/>
      <c r="AW88"/>
      <c r="AX88" s="128"/>
      <c r="AY88" s="76">
        <f ca="1">IF(AZ88="", "", RAND())</f>
        <v>0.5382733248845657</v>
      </c>
      <c r="AZ88">
        <v>1</v>
      </c>
      <c r="BA88" s="129">
        <f>IF(AZ88="", "",$C$4)</f>
        <v>39646</v>
      </c>
      <c r="BB88">
        <v>0</v>
      </c>
      <c r="BC88"/>
      <c r="BD88">
        <v>1</v>
      </c>
      <c r="BE88">
        <v>2</v>
      </c>
      <c r="BF88">
        <v>3</v>
      </c>
      <c r="BG88">
        <v>1</v>
      </c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0.11651887163508512</v>
      </c>
      <c r="CL88" s="179">
        <f>IF(AZ88="", "", AZ88)</f>
        <v>1</v>
      </c>
      <c r="CM88" s="180">
        <f>IF(AZ88="", "", BA88)</f>
        <v>39646</v>
      </c>
      <c r="CN88">
        <v>0</v>
      </c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0.7519093885877286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10.416666666666666</v>
      </c>
      <c r="DI88" s="161">
        <f t="shared" si="51"/>
        <v>20.833333333333332</v>
      </c>
      <c r="DJ88" s="161">
        <f t="shared" si="51"/>
        <v>31.25</v>
      </c>
      <c r="DK88" s="161">
        <f t="shared" si="51"/>
        <v>10.416666666666666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72.916666666666671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0.41006202526833385</v>
      </c>
      <c r="ES88" s="139">
        <f t="shared" ref="ES88:ES119" si="57">IF(DI88="", "", DI88*J$36)</f>
        <v>2.4748685548609979</v>
      </c>
      <c r="ET88" s="139">
        <f t="shared" ref="ET88:ET119" si="58">IF(DJ88="", "", DJ88*K$36)</f>
        <v>8.1278656297781726</v>
      </c>
      <c r="EU88" s="139">
        <f t="shared" ref="EU88:EU119" si="59">IF(DK88="", "", DK88*L$36)</f>
        <v>4.9755161005886874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15.988312310496191</v>
      </c>
      <c r="FV88" s="149"/>
      <c r="FY88" s="211">
        <v>83</v>
      </c>
      <c r="FZ88">
        <v>78.913326987999667</v>
      </c>
      <c r="GA88">
        <v>100.86940163424812</v>
      </c>
      <c r="GB88">
        <v>46.763906767067823</v>
      </c>
      <c r="GC88">
        <v>27.068829230212152</v>
      </c>
      <c r="GD88">
        <v>15.597312383944827</v>
      </c>
      <c r="GE88">
        <v>23.658474686744732</v>
      </c>
      <c r="GF88">
        <v>30.552386975572443</v>
      </c>
      <c r="GG88">
        <v>18.897251082266418</v>
      </c>
      <c r="GH88">
        <v>17.136292187969385</v>
      </c>
      <c r="GI88">
        <v>42.19837298706662</v>
      </c>
      <c r="GJ88"/>
      <c r="GK88"/>
      <c r="GL88"/>
      <c r="GM88"/>
    </row>
    <row r="89" spans="1:195" s="7" customFormat="1">
      <c r="A89" s="115"/>
      <c r="B89" s="76">
        <f ca="1">IF(C89="", "", RAND())</f>
        <v>0.71819266071448951</v>
      </c>
      <c r="C89">
        <v>5</v>
      </c>
      <c r="D89">
        <v>39646</v>
      </c>
      <c r="E89">
        <v>0</v>
      </c>
      <c r="F89">
        <v>0</v>
      </c>
      <c r="G89">
        <v>0</v>
      </c>
      <c r="H89">
        <v>0</v>
      </c>
      <c r="I89">
        <v>10.416666666666666</v>
      </c>
      <c r="J89">
        <v>31.25</v>
      </c>
      <c r="K89">
        <v>20.833333333333332</v>
      </c>
      <c r="L89">
        <v>10.416666666666666</v>
      </c>
      <c r="M89">
        <v>52.083333333333336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223.91491733756772</v>
      </c>
      <c r="AO89">
        <v>70.011928963213265</v>
      </c>
      <c r="AP89">
        <v>558.77161522724327</v>
      </c>
      <c r="AQ89">
        <v>444.65468416773626</v>
      </c>
      <c r="AR89">
        <v>68.924304548510676</v>
      </c>
      <c r="AS89">
        <v>309.73349663374842</v>
      </c>
      <c r="AT89">
        <v>32.602315790963651</v>
      </c>
      <c r="AU89">
        <v>69.453718000547369</v>
      </c>
      <c r="AV89"/>
      <c r="AW89"/>
      <c r="AX89" s="150"/>
      <c r="AY89" s="76">
        <f t="shared" ref="AY89:AY149" ca="1" si="86">IF(AZ89="", "", RAND())</f>
        <v>0.64343115540144691</v>
      </c>
      <c r="AZ89">
        <v>2</v>
      </c>
      <c r="BA89" s="129">
        <f t="shared" ref="BA89:BA97" si="87">IF(AZ89="", "",$C$4)</f>
        <v>39646</v>
      </c>
      <c r="BB89">
        <v>0</v>
      </c>
      <c r="BC89"/>
      <c r="BD89">
        <v>1</v>
      </c>
      <c r="BE89"/>
      <c r="BF89">
        <v>3</v>
      </c>
      <c r="BG89"/>
      <c r="BH89">
        <v>1</v>
      </c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8">IF(AZ89="", "", RAND())</f>
        <v>0.16836136582588312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>
        <v>0</v>
      </c>
      <c r="CO89"/>
      <c r="CP89"/>
      <c r="CQ89">
        <v>1</v>
      </c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0.73483838597664164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10.416666666666666</v>
      </c>
      <c r="DI89" s="161">
        <f t="shared" ref="DI89:DI152" si="96">IF($AZ89="", "", ((BE89*$CW89)+(CQ89*$CX89))/$CZ89)</f>
        <v>20.833333333333332</v>
      </c>
      <c r="DJ89" s="161">
        <f t="shared" ref="DJ89:DJ152" si="97">IF($AZ89="", "", ((BF89*$CW89)+(CR89*$CX89))/$CZ89)</f>
        <v>31.25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10.416666666666666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72.916666666666671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0.41006202526833385</v>
      </c>
      <c r="ES89" s="139">
        <f t="shared" si="57"/>
        <v>2.4748685548609979</v>
      </c>
      <c r="ET89" s="139">
        <f t="shared" si="58"/>
        <v>8.1278656297781726</v>
      </c>
      <c r="EU89" s="139">
        <f t="shared" si="59"/>
        <v>0</v>
      </c>
      <c r="EV89" s="139">
        <f t="shared" si="60"/>
        <v>8.1757546524457592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19.188550862353264</v>
      </c>
      <c r="FV89" s="149"/>
      <c r="FY89" s="211">
        <v>84</v>
      </c>
      <c r="FZ89">
        <v>31.091278207455858</v>
      </c>
      <c r="GA89">
        <v>37.633913989526384</v>
      </c>
      <c r="GB89">
        <v>40.270513230596301</v>
      </c>
      <c r="GC89">
        <v>24.001475599707423</v>
      </c>
      <c r="GD89">
        <v>16.305775032712894</v>
      </c>
      <c r="GE89">
        <v>25.614551512825599</v>
      </c>
      <c r="GF89">
        <v>69.795317698599263</v>
      </c>
      <c r="GG89">
        <v>56.102099628774141</v>
      </c>
      <c r="GH89">
        <v>20.642652551016464</v>
      </c>
      <c r="GI89">
        <v>42.515593584264742</v>
      </c>
      <c r="GJ89"/>
      <c r="GK89"/>
      <c r="GL89"/>
      <c r="GM89"/>
    </row>
    <row r="90" spans="1:195" s="7" customFormat="1">
      <c r="A90" s="115"/>
      <c r="B90" s="76">
        <f ca="1">IF(C90="", "", RAND())</f>
        <v>0.36782222739573633</v>
      </c>
      <c r="C90">
        <v>8</v>
      </c>
      <c r="D90">
        <v>39646</v>
      </c>
      <c r="E90">
        <v>0</v>
      </c>
      <c r="F90">
        <v>0</v>
      </c>
      <c r="G90">
        <v>10.416666666666666</v>
      </c>
      <c r="H90">
        <v>52.083333333333336</v>
      </c>
      <c r="I90">
        <v>125</v>
      </c>
      <c r="J90">
        <v>0</v>
      </c>
      <c r="K90">
        <v>10.416666666666666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239.80615140021595</v>
      </c>
      <c r="AO90">
        <v>68.97784835579958</v>
      </c>
      <c r="AP90">
        <v>551.1628285180152</v>
      </c>
      <c r="AQ90">
        <v>432.01055443570993</v>
      </c>
      <c r="AR90">
        <v>66.309049583676952</v>
      </c>
      <c r="AS90">
        <v>345.4087925241592</v>
      </c>
      <c r="AT90">
        <v>32.263292625365722</v>
      </c>
      <c r="AU90">
        <v>6.5576276976481118</v>
      </c>
      <c r="AV90"/>
      <c r="AW90"/>
      <c r="AX90" s="150"/>
      <c r="AY90" s="76">
        <f t="shared" ca="1" si="86"/>
        <v>0.72588804170810906</v>
      </c>
      <c r="AZ90">
        <v>3</v>
      </c>
      <c r="BA90" s="129">
        <f t="shared" si="87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8"/>
        <v>0.50584800222083004</v>
      </c>
      <c r="CL90" s="179">
        <f t="shared" si="89"/>
        <v>3</v>
      </c>
      <c r="CM90" s="180">
        <f t="shared" si="90"/>
        <v>39646</v>
      </c>
      <c r="CN90">
        <v>0</v>
      </c>
      <c r="CO90"/>
      <c r="CP90"/>
      <c r="CQ90">
        <v>2</v>
      </c>
      <c r="CR90"/>
      <c r="CS90"/>
      <c r="CT90"/>
      <c r="CU90"/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0.85698031922675089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0</v>
      </c>
      <c r="DH90" s="161">
        <f t="shared" si="95"/>
        <v>0</v>
      </c>
      <c r="DI90" s="161">
        <f t="shared" si="96"/>
        <v>20.833333333333332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20.833333333333332</v>
      </c>
      <c r="EL90" s="149"/>
      <c r="EN90" s="150"/>
      <c r="EO90" s="150"/>
      <c r="EP90" s="139">
        <f t="shared" si="54"/>
        <v>0</v>
      </c>
      <c r="EQ90" s="139">
        <f t="shared" si="55"/>
        <v>0</v>
      </c>
      <c r="ER90" s="139">
        <f t="shared" si="56"/>
        <v>0</v>
      </c>
      <c r="ES90" s="139">
        <f t="shared" si="57"/>
        <v>2.4748685548609979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2.4748685548609979</v>
      </c>
      <c r="FV90" s="149"/>
      <c r="FY90" s="211">
        <v>85</v>
      </c>
      <c r="FZ90">
        <v>35.728195771269505</v>
      </c>
      <c r="GA90">
        <v>49.984343097381419</v>
      </c>
      <c r="GB90">
        <v>36.442310583188998</v>
      </c>
      <c r="GC90">
        <v>25.055824083896997</v>
      </c>
      <c r="GD90">
        <v>15.008462933169666</v>
      </c>
      <c r="GE90">
        <v>20.512770929928884</v>
      </c>
      <c r="GF90">
        <v>42.783499768562933</v>
      </c>
      <c r="GG90">
        <v>28.329982313253435</v>
      </c>
      <c r="GH90">
        <v>30.37544026278999</v>
      </c>
      <c r="GI90">
        <v>37.361676748237713</v>
      </c>
      <c r="GJ90"/>
      <c r="GK90"/>
      <c r="GL90"/>
      <c r="GM90"/>
    </row>
    <row r="91" spans="1:195" s="7" customFormat="1">
      <c r="A91" s="77"/>
      <c r="B91" s="76">
        <f ca="1">IF(C91="", "", RAND())</f>
        <v>0.74352452621095755</v>
      </c>
      <c r="C91">
        <v>2</v>
      </c>
      <c r="D91">
        <v>39646</v>
      </c>
      <c r="E91">
        <v>0</v>
      </c>
      <c r="F91">
        <v>0</v>
      </c>
      <c r="G91">
        <v>10.416666666666666</v>
      </c>
      <c r="H91">
        <v>20.833333333333332</v>
      </c>
      <c r="I91">
        <v>31.25</v>
      </c>
      <c r="J91">
        <v>0</v>
      </c>
      <c r="K91">
        <v>10.416666666666666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216.84970759436246</v>
      </c>
      <c r="AO91">
        <v>56.925797183857625</v>
      </c>
      <c r="AP91">
        <v>421.78731096346894</v>
      </c>
      <c r="AQ91">
        <v>331.20162783270291</v>
      </c>
      <c r="AR91">
        <v>56.018829455039253</v>
      </c>
      <c r="AS91">
        <v>283.59951159587774</v>
      </c>
      <c r="AT91">
        <v>26.256216344537521</v>
      </c>
      <c r="AU91">
        <v>-19.761808926300866</v>
      </c>
      <c r="AV91"/>
      <c r="AW91"/>
      <c r="AX91" s="151"/>
      <c r="AY91" s="76">
        <f t="shared" ca="1" si="86"/>
        <v>0.73361348580392183</v>
      </c>
      <c r="AZ91">
        <v>4</v>
      </c>
      <c r="BA91" s="129">
        <f t="shared" si="87"/>
        <v>39646</v>
      </c>
      <c r="BB91">
        <v>0</v>
      </c>
      <c r="BC91"/>
      <c r="BD91"/>
      <c r="BE91">
        <v>4</v>
      </c>
      <c r="BF91">
        <v>1</v>
      </c>
      <c r="BG91">
        <v>1</v>
      </c>
      <c r="BH91">
        <v>2</v>
      </c>
      <c r="BI91"/>
      <c r="BJ91"/>
      <c r="BK91">
        <v>1</v>
      </c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8"/>
        <v>0.44242149471899728</v>
      </c>
      <c r="CL91" s="179">
        <f t="shared" si="89"/>
        <v>4</v>
      </c>
      <c r="CM91" s="180">
        <f t="shared" si="90"/>
        <v>39646</v>
      </c>
      <c r="CN91">
        <v>0</v>
      </c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0.59000163365004088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0</v>
      </c>
      <c r="DI91" s="161">
        <f t="shared" si="96"/>
        <v>41.666666666666664</v>
      </c>
      <c r="DJ91" s="161">
        <f t="shared" si="97"/>
        <v>10.416666666666666</v>
      </c>
      <c r="DK91" s="161">
        <f t="shared" si="98"/>
        <v>10.416666666666666</v>
      </c>
      <c r="DL91" s="161">
        <f t="shared" si="99"/>
        <v>20.833333333333332</v>
      </c>
      <c r="DM91" s="161">
        <f t="shared" si="100"/>
        <v>0</v>
      </c>
      <c r="DN91" s="161">
        <f t="shared" si="101"/>
        <v>0</v>
      </c>
      <c r="DO91" s="161">
        <f t="shared" si="102"/>
        <v>10.416666666666666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93.75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</v>
      </c>
      <c r="ES91" s="139">
        <f t="shared" si="57"/>
        <v>4.9497371097219958</v>
      </c>
      <c r="ET91" s="139">
        <f t="shared" si="58"/>
        <v>2.7092885432593907</v>
      </c>
      <c r="EU91" s="139">
        <f t="shared" si="59"/>
        <v>4.9755161005886874</v>
      </c>
      <c r="EV91" s="139">
        <f t="shared" si="60"/>
        <v>16.351509304891518</v>
      </c>
      <c r="EW91" s="139">
        <f t="shared" si="61"/>
        <v>0</v>
      </c>
      <c r="EX91" s="139">
        <f t="shared" si="62"/>
        <v>0</v>
      </c>
      <c r="EY91" s="139">
        <f t="shared" si="63"/>
        <v>24.67177750531274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53.657828563774331</v>
      </c>
      <c r="FV91" s="149"/>
      <c r="FY91" s="211">
        <v>86</v>
      </c>
      <c r="FZ91">
        <v>28.306240734432784</v>
      </c>
      <c r="GA91">
        <v>44.388003014676393</v>
      </c>
      <c r="GB91">
        <v>54.310565272611832</v>
      </c>
      <c r="GC91">
        <v>27.936868769567766</v>
      </c>
      <c r="GD91">
        <v>12.464289567915936</v>
      </c>
      <c r="GE91">
        <v>20.772198962098454</v>
      </c>
      <c r="GF91">
        <v>45.387992839649925</v>
      </c>
      <c r="GG91">
        <v>28.871134272851435</v>
      </c>
      <c r="GH91">
        <v>13.359293829528793</v>
      </c>
      <c r="GI91">
        <v>37.065011384516232</v>
      </c>
      <c r="GJ91"/>
      <c r="GK91"/>
      <c r="GL91"/>
      <c r="GM91"/>
    </row>
    <row r="92" spans="1:195" s="7" customFormat="1">
      <c r="A92" s="77"/>
      <c r="B92" s="76">
        <f ca="1">IF(C92="", "", RAND())</f>
        <v>9.9564539209011649E-2</v>
      </c>
      <c r="C92">
        <v>3</v>
      </c>
      <c r="D92">
        <v>39646</v>
      </c>
      <c r="E92">
        <v>0</v>
      </c>
      <c r="F92">
        <v>0</v>
      </c>
      <c r="G92">
        <v>0</v>
      </c>
      <c r="H92">
        <v>20.833333333333332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210.14521841040587</v>
      </c>
      <c r="AO92">
        <v>66.471236568387255</v>
      </c>
      <c r="AP92">
        <v>567.09904243707354</v>
      </c>
      <c r="AQ92">
        <v>440.27524070517899</v>
      </c>
      <c r="AR92">
        <v>64.619984383075177</v>
      </c>
      <c r="AS92">
        <v>309.23396663829482</v>
      </c>
      <c r="AT92">
        <v>32.343113212998908</v>
      </c>
      <c r="AU92">
        <v>1.7245098292923942</v>
      </c>
      <c r="AV92"/>
      <c r="AW92"/>
      <c r="AX92" s="151"/>
      <c r="AY92" s="76">
        <f t="shared" ca="1" si="86"/>
        <v>0.4225973237467695</v>
      </c>
      <c r="AZ92">
        <v>5</v>
      </c>
      <c r="BA92" s="129">
        <f t="shared" si="87"/>
        <v>39646</v>
      </c>
      <c r="BB92" s="217">
        <v>0</v>
      </c>
      <c r="BC92" s="217"/>
      <c r="BD92" s="217"/>
      <c r="BE92" s="217"/>
      <c r="BF92" s="217">
        <v>1</v>
      </c>
      <c r="BG92" s="217">
        <v>3</v>
      </c>
      <c r="BH92" s="217">
        <v>2</v>
      </c>
      <c r="BI92" s="217">
        <v>1</v>
      </c>
      <c r="BJ92" s="217">
        <v>5</v>
      </c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8"/>
        <v>0.96862970203954424</v>
      </c>
      <c r="CL92" s="179">
        <f t="shared" si="89"/>
        <v>5</v>
      </c>
      <c r="CM92" s="180">
        <f t="shared" si="90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0.75565639907722404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10.416666666666666</v>
      </c>
      <c r="DK92" s="161">
        <f t="shared" si="98"/>
        <v>31.25</v>
      </c>
      <c r="DL92" s="161">
        <f t="shared" si="99"/>
        <v>20.833333333333332</v>
      </c>
      <c r="DM92" s="161">
        <f t="shared" si="100"/>
        <v>10.416666666666666</v>
      </c>
      <c r="DN92" s="161">
        <f t="shared" si="101"/>
        <v>52.083333333333336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125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2.7092885432593907</v>
      </c>
      <c r="EU92" s="139">
        <f t="shared" si="59"/>
        <v>14.926548301766063</v>
      </c>
      <c r="EV92" s="139">
        <f t="shared" si="60"/>
        <v>16.351509304891518</v>
      </c>
      <c r="EW92" s="139">
        <f t="shared" si="61"/>
        <v>12.442020286762366</v>
      </c>
      <c r="EX92" s="139">
        <f t="shared" si="62"/>
        <v>89.501635829766499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135.93100226644583</v>
      </c>
      <c r="FV92" s="149"/>
      <c r="FY92" s="211">
        <v>87</v>
      </c>
      <c r="FZ92">
        <v>113.86616299857737</v>
      </c>
      <c r="GA92">
        <v>136.18874180595148</v>
      </c>
      <c r="GB92">
        <v>50.159061797836671</v>
      </c>
      <c r="GC92">
        <v>33.287992189255696</v>
      </c>
      <c r="GD92">
        <v>19.786617669623816</v>
      </c>
      <c r="GE92">
        <v>25.314930236260484</v>
      </c>
      <c r="GF92">
        <v>28.196862091394358</v>
      </c>
      <c r="GG92">
        <v>18.126827736728892</v>
      </c>
      <c r="GH92">
        <v>18.071614996049281</v>
      </c>
      <c r="GI92">
        <v>50.663913661703333</v>
      </c>
      <c r="GJ92"/>
      <c r="GK92"/>
      <c r="GL92"/>
      <c r="GM92"/>
    </row>
    <row r="93" spans="1:195" s="7" customFormat="1">
      <c r="A93" s="77"/>
      <c r="B93" s="76">
        <f ca="1">IF(C93="", "", RAND())</f>
        <v>0.88256655336501044</v>
      </c>
      <c r="C93">
        <v>9</v>
      </c>
      <c r="D93">
        <v>39646</v>
      </c>
      <c r="E93">
        <v>0</v>
      </c>
      <c r="F93">
        <v>0</v>
      </c>
      <c r="G93">
        <v>0</v>
      </c>
      <c r="H93">
        <v>10.416666666666666</v>
      </c>
      <c r="I93">
        <v>41.666666666666664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200.21896002350297</v>
      </c>
      <c r="AO93">
        <v>60.167163320527948</v>
      </c>
      <c r="AP93">
        <v>447.91691893987877</v>
      </c>
      <c r="AQ93">
        <v>352.88290322529281</v>
      </c>
      <c r="AR93">
        <v>57.007659078820161</v>
      </c>
      <c r="AS93">
        <v>269.2134660724717</v>
      </c>
      <c r="AT93">
        <v>26.724301408041708</v>
      </c>
      <c r="AU93">
        <v>20.036527090946308</v>
      </c>
      <c r="AV93"/>
      <c r="AW93"/>
      <c r="AX93" s="151"/>
      <c r="AY93" s="76">
        <f t="shared" ca="1" si="86"/>
        <v>6.8843882373132992E-3</v>
      </c>
      <c r="AZ93">
        <v>6</v>
      </c>
      <c r="BA93" s="129">
        <f t="shared" si="87"/>
        <v>39646</v>
      </c>
      <c r="BB93">
        <v>0</v>
      </c>
      <c r="BC93"/>
      <c r="BD93"/>
      <c r="BE93">
        <v>8</v>
      </c>
      <c r="BF93">
        <v>10</v>
      </c>
      <c r="BG93">
        <v>1</v>
      </c>
      <c r="BH93">
        <v>7</v>
      </c>
      <c r="BI93">
        <v>2</v>
      </c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8"/>
        <v>0.54099663992139724</v>
      </c>
      <c r="CL93" s="179">
        <f t="shared" si="89"/>
        <v>6</v>
      </c>
      <c r="CM93" s="180">
        <f t="shared" si="90"/>
        <v>39646</v>
      </c>
      <c r="CN93" s="220">
        <v>0</v>
      </c>
      <c r="CO93" s="220"/>
      <c r="CP93" s="220">
        <v>1</v>
      </c>
      <c r="CQ93" s="220"/>
      <c r="CR93" s="220"/>
      <c r="CS93" s="220"/>
      <c r="CT93"/>
      <c r="CU93"/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0.48593478833699999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20.833333333333332</v>
      </c>
      <c r="DI93" s="161">
        <f t="shared" si="96"/>
        <v>83.333333333333329</v>
      </c>
      <c r="DJ93" s="161">
        <f t="shared" si="97"/>
        <v>104.16666666666667</v>
      </c>
      <c r="DK93" s="161">
        <f t="shared" si="98"/>
        <v>10.416666666666666</v>
      </c>
      <c r="DL93" s="161">
        <f t="shared" si="99"/>
        <v>72.916666666666671</v>
      </c>
      <c r="DM93" s="161">
        <f t="shared" si="100"/>
        <v>20.833333333333332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312.49999999999994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0.8201240505366677</v>
      </c>
      <c r="ES93" s="139">
        <f t="shared" si="57"/>
        <v>9.8994742194439915</v>
      </c>
      <c r="ET93" s="139">
        <f t="shared" si="58"/>
        <v>27.092885432593906</v>
      </c>
      <c r="EU93" s="139">
        <f t="shared" si="59"/>
        <v>4.9755161005886874</v>
      </c>
      <c r="EV93" s="139">
        <f t="shared" si="60"/>
        <v>57.230282567120319</v>
      </c>
      <c r="EW93" s="139">
        <f t="shared" si="61"/>
        <v>24.884040573524732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124.9023229438083</v>
      </c>
      <c r="FV93" s="149"/>
      <c r="FY93" s="211">
        <v>88</v>
      </c>
      <c r="FZ93">
        <v>47.237210443861073</v>
      </c>
      <c r="GA93">
        <v>48.763514379878472</v>
      </c>
      <c r="GB93">
        <v>58.522510915001263</v>
      </c>
      <c r="GC93">
        <v>36.805798224834867</v>
      </c>
      <c r="GD93">
        <v>16.325317697543504</v>
      </c>
      <c r="GE93">
        <v>17.618091515437936</v>
      </c>
      <c r="GF93">
        <v>52.386515950232123</v>
      </c>
      <c r="GG93">
        <v>46.39211712022928</v>
      </c>
      <c r="GH93">
        <v>23.487812256993458</v>
      </c>
      <c r="GI93">
        <v>46.636503877529684</v>
      </c>
      <c r="GJ93"/>
      <c r="GK93"/>
      <c r="GL93"/>
      <c r="GM93"/>
    </row>
    <row r="94" spans="1:195" s="7" customFormat="1">
      <c r="A94" s="77"/>
      <c r="B94" s="76">
        <f ca="1">IF(C94="", "", RAND())</f>
        <v>0.93828425009550864</v>
      </c>
      <c r="C94">
        <v>7</v>
      </c>
      <c r="D94">
        <v>39646</v>
      </c>
      <c r="E94">
        <v>0</v>
      </c>
      <c r="F94">
        <v>0</v>
      </c>
      <c r="G94">
        <v>20.833333333333332</v>
      </c>
      <c r="H94">
        <v>10.416666666666666</v>
      </c>
      <c r="I94">
        <v>10.416666666666666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220.66201162130864</v>
      </c>
      <c r="AO94">
        <v>66.253589250954946</v>
      </c>
      <c r="AP94">
        <v>518.37912528509094</v>
      </c>
      <c r="AQ94">
        <v>415.93036443239345</v>
      </c>
      <c r="AR94">
        <v>64.702256463120008</v>
      </c>
      <c r="AS94">
        <v>305.11400462126852</v>
      </c>
      <c r="AT94">
        <v>32.000071057516678</v>
      </c>
      <c r="AU94">
        <v>-35.535620188585867</v>
      </c>
      <c r="AV94"/>
      <c r="AW94"/>
      <c r="AX94" s="151"/>
      <c r="AY94" s="76">
        <f t="shared" ca="1" si="86"/>
        <v>0.62031819116252529</v>
      </c>
      <c r="AZ94">
        <v>7</v>
      </c>
      <c r="BA94" s="129">
        <f t="shared" si="87"/>
        <v>39646</v>
      </c>
      <c r="BB94">
        <v>0</v>
      </c>
      <c r="BC94"/>
      <c r="BD94"/>
      <c r="BE94">
        <v>1</v>
      </c>
      <c r="BF94">
        <v>1</v>
      </c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8"/>
        <v>0.63603076071687115</v>
      </c>
      <c r="CL94" s="179">
        <f t="shared" si="89"/>
        <v>7</v>
      </c>
      <c r="CM94" s="180">
        <f t="shared" si="90"/>
        <v>39646</v>
      </c>
      <c r="CN94">
        <v>0</v>
      </c>
      <c r="CO94"/>
      <c r="CP94">
        <v>1</v>
      </c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0.59072153636500091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20.833333333333332</v>
      </c>
      <c r="DI94" s="161">
        <f t="shared" si="96"/>
        <v>10.416666666666666</v>
      </c>
      <c r="DJ94" s="161">
        <f t="shared" si="97"/>
        <v>10.416666666666666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41.666666666666664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0.8201240505366677</v>
      </c>
      <c r="ES94" s="139">
        <f t="shared" si="57"/>
        <v>1.2374342774304989</v>
      </c>
      <c r="ET94" s="139">
        <f t="shared" si="58"/>
        <v>2.7092885432593907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4.7668468712265568</v>
      </c>
      <c r="FV94" s="149"/>
      <c r="FY94" s="211">
        <v>89</v>
      </c>
      <c r="FZ94">
        <v>26.672763482124761</v>
      </c>
      <c r="GA94">
        <v>52.938567858391366</v>
      </c>
      <c r="GB94">
        <v>47.499445156721663</v>
      </c>
      <c r="GC94">
        <v>22.194990620960144</v>
      </c>
      <c r="GD94">
        <v>17.657803771160786</v>
      </c>
      <c r="GE94">
        <v>29.155342020331968</v>
      </c>
      <c r="GF94">
        <v>24.586073403895504</v>
      </c>
      <c r="GG94">
        <v>16.738521499080086</v>
      </c>
      <c r="GH94">
        <v>16.740473554722584</v>
      </c>
      <c r="GI94">
        <v>34.787144487661159</v>
      </c>
      <c r="GJ94"/>
      <c r="GK94"/>
      <c r="GL94"/>
      <c r="GM94"/>
    </row>
    <row r="95" spans="1:195" s="7" customFormat="1">
      <c r="A95" s="77"/>
      <c r="B95" s="76">
        <f ca="1">IF(C95="", "", RAND())</f>
        <v>0.33935115199786114</v>
      </c>
      <c r="C95">
        <v>10</v>
      </c>
      <c r="D95">
        <v>39646</v>
      </c>
      <c r="E95">
        <v>0</v>
      </c>
      <c r="F95">
        <v>0</v>
      </c>
      <c r="G95">
        <v>20.833333333333332</v>
      </c>
      <c r="H95">
        <v>52.083333333333336</v>
      </c>
      <c r="I95">
        <v>104.16666666666667</v>
      </c>
      <c r="J95">
        <v>31.25</v>
      </c>
      <c r="K95">
        <v>10.416666666666666</v>
      </c>
      <c r="L95">
        <v>31.25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154.7467023998648</v>
      </c>
      <c r="AO95">
        <v>46.95746846888521</v>
      </c>
      <c r="AP95">
        <v>374.26604408091526</v>
      </c>
      <c r="AQ95">
        <v>303.17543529605865</v>
      </c>
      <c r="AR95">
        <v>44.986636493351739</v>
      </c>
      <c r="AS95">
        <v>232.20994744312856</v>
      </c>
      <c r="AT95">
        <v>22.842639202520946</v>
      </c>
      <c r="AU95">
        <v>-17.961439010216377</v>
      </c>
      <c r="AV95"/>
      <c r="AW95"/>
      <c r="AX95" s="151"/>
      <c r="AY95" s="76">
        <f t="shared" ca="1" si="86"/>
        <v>7.5943879489406285E-2</v>
      </c>
      <c r="AZ95">
        <v>8</v>
      </c>
      <c r="BA95" s="129">
        <f t="shared" si="87"/>
        <v>39646</v>
      </c>
      <c r="BB95">
        <v>0</v>
      </c>
      <c r="BC95"/>
      <c r="BD95">
        <v>1</v>
      </c>
      <c r="BE95">
        <v>5</v>
      </c>
      <c r="BF95">
        <v>10</v>
      </c>
      <c r="BG95"/>
      <c r="BH95">
        <v>1</v>
      </c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8"/>
        <v>0.48940860315707457</v>
      </c>
      <c r="CL95" s="179">
        <f t="shared" si="89"/>
        <v>8</v>
      </c>
      <c r="CM95" s="180">
        <f t="shared" si="90"/>
        <v>39646</v>
      </c>
      <c r="CN95">
        <v>0</v>
      </c>
      <c r="CO95"/>
      <c r="CP95"/>
      <c r="CQ95"/>
      <c r="CR95">
        <v>1</v>
      </c>
      <c r="CS95"/>
      <c r="CT95"/>
      <c r="CU95"/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0.73543657155817099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10.416666666666666</v>
      </c>
      <c r="DI95" s="161">
        <f t="shared" si="96"/>
        <v>52.083333333333336</v>
      </c>
      <c r="DJ95" s="161">
        <f t="shared" si="97"/>
        <v>125</v>
      </c>
      <c r="DK95" s="161">
        <f t="shared" si="98"/>
        <v>0</v>
      </c>
      <c r="DL95" s="161">
        <f t="shared" si="99"/>
        <v>10.416666666666666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197.91666666666666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0.41006202526833385</v>
      </c>
      <c r="ES95" s="139">
        <f t="shared" si="57"/>
        <v>6.187171387152496</v>
      </c>
      <c r="ET95" s="139">
        <f t="shared" si="58"/>
        <v>32.51146251911269</v>
      </c>
      <c r="EU95" s="139">
        <f t="shared" si="59"/>
        <v>0</v>
      </c>
      <c r="EV95" s="139">
        <f t="shared" si="60"/>
        <v>8.1757546524457592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47.284450583979279</v>
      </c>
      <c r="FV95" s="149"/>
      <c r="FY95" s="211">
        <v>90</v>
      </c>
      <c r="FZ95">
        <v>67.677758826789557</v>
      </c>
      <c r="GA95">
        <v>84.336673397918901</v>
      </c>
      <c r="GB95">
        <v>54.40003422880438</v>
      </c>
      <c r="GC95">
        <v>27.366697108874845</v>
      </c>
      <c r="GD95">
        <v>12.585896801920589</v>
      </c>
      <c r="GE95">
        <v>21.700549679810706</v>
      </c>
      <c r="GF95">
        <v>30.652762613324246</v>
      </c>
      <c r="GG95">
        <v>28.399685124746885</v>
      </c>
      <c r="GH95">
        <v>26.93448263330481</v>
      </c>
      <c r="GI95">
        <v>42.223338296376845</v>
      </c>
      <c r="GJ95"/>
      <c r="GK95"/>
      <c r="GL95"/>
      <c r="GM95"/>
    </row>
    <row r="96" spans="1:195" s="7" customFormat="1">
      <c r="A96" s="77"/>
      <c r="B96" s="76">
        <f ca="1">IF(C96="", "", RAND())</f>
        <v>0.5714969655359925</v>
      </c>
      <c r="C96">
        <v>4</v>
      </c>
      <c r="D96">
        <v>39646</v>
      </c>
      <c r="E96">
        <v>0</v>
      </c>
      <c r="F96">
        <v>0</v>
      </c>
      <c r="G96">
        <v>0</v>
      </c>
      <c r="H96">
        <v>41.666666666666664</v>
      </c>
      <c r="I96">
        <v>10.416666666666666</v>
      </c>
      <c r="J96">
        <v>10.416666666666666</v>
      </c>
      <c r="K96">
        <v>20.833333333333332</v>
      </c>
      <c r="L96">
        <v>0</v>
      </c>
      <c r="M96">
        <v>0</v>
      </c>
      <c r="N96">
        <v>10.416666666666666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304.54882551058853</v>
      </c>
      <c r="AO96">
        <v>88.852571765076434</v>
      </c>
      <c r="AP96">
        <v>751.95776984519364</v>
      </c>
      <c r="AQ96">
        <v>600.6268763859706</v>
      </c>
      <c r="AR96">
        <v>85.47323195467348</v>
      </c>
      <c r="AS96">
        <v>425.09237042054332</v>
      </c>
      <c r="AT96">
        <v>44.684904978240411</v>
      </c>
      <c r="AU96">
        <v>7.3739820890244303</v>
      </c>
      <c r="AV96"/>
      <c r="AW96"/>
      <c r="AX96" s="151"/>
      <c r="AY96" s="76">
        <f t="shared" ca="1" si="86"/>
        <v>1.9168384060747279E-2</v>
      </c>
      <c r="AZ96">
        <v>9</v>
      </c>
      <c r="BA96" s="129">
        <f t="shared" si="87"/>
        <v>39646</v>
      </c>
      <c r="BB96">
        <v>0</v>
      </c>
      <c r="BC96"/>
      <c r="BD96"/>
      <c r="BE96"/>
      <c r="BF96">
        <v>2</v>
      </c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8"/>
        <v>0.33670399966763931</v>
      </c>
      <c r="CL96" s="179">
        <f t="shared" si="89"/>
        <v>9</v>
      </c>
      <c r="CM96" s="180">
        <f t="shared" si="90"/>
        <v>39646</v>
      </c>
      <c r="CN96">
        <v>0</v>
      </c>
      <c r="CO96"/>
      <c r="CP96"/>
      <c r="CQ96">
        <v>1</v>
      </c>
      <c r="CR96">
        <v>2</v>
      </c>
      <c r="CS96"/>
      <c r="CT96"/>
      <c r="CU96"/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0.38167533645345397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0</v>
      </c>
      <c r="DI96" s="161">
        <f t="shared" si="96"/>
        <v>10.416666666666666</v>
      </c>
      <c r="DJ96" s="161">
        <f t="shared" si="97"/>
        <v>41.666666666666664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52.083333333333329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</v>
      </c>
      <c r="ES96" s="139">
        <f t="shared" si="57"/>
        <v>1.2374342774304989</v>
      </c>
      <c r="ET96" s="139">
        <f t="shared" si="58"/>
        <v>10.837154173037563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12.074588450468061</v>
      </c>
      <c r="FV96" s="149"/>
      <c r="FY96" s="211">
        <v>91</v>
      </c>
      <c r="FZ96">
        <v>86.682328863777428</v>
      </c>
      <c r="GA96">
        <v>86.531660569913171</v>
      </c>
      <c r="GB96">
        <v>60.826894202039639</v>
      </c>
      <c r="GC96">
        <v>39.903319385711669</v>
      </c>
      <c r="GD96">
        <v>19.417390708304804</v>
      </c>
      <c r="GE96">
        <v>25.800422176711809</v>
      </c>
      <c r="GF96">
        <v>38.12085207576105</v>
      </c>
      <c r="GG96">
        <v>32.793070041815852</v>
      </c>
      <c r="GH96">
        <v>30.380345063408747</v>
      </c>
      <c r="GI96">
        <v>53.23494672433219</v>
      </c>
      <c r="GJ96"/>
      <c r="GK96"/>
      <c r="GL96"/>
      <c r="GM96"/>
    </row>
    <row r="97" spans="1:195" s="7" customFormat="1">
      <c r="A97" s="77"/>
      <c r="B97" s="76">
        <f ca="1">IF(C97="", "", RAND())</f>
        <v>0.98921118317407153</v>
      </c>
      <c r="C97">
        <v>6</v>
      </c>
      <c r="D97">
        <v>39646</v>
      </c>
      <c r="E97">
        <v>0</v>
      </c>
      <c r="F97">
        <v>0</v>
      </c>
      <c r="G97">
        <v>20.833333333333332</v>
      </c>
      <c r="H97">
        <v>83.333333333333329</v>
      </c>
      <c r="I97">
        <v>104.16666666666667</v>
      </c>
      <c r="J97">
        <v>10.416666666666666</v>
      </c>
      <c r="K97">
        <v>72.916666666666671</v>
      </c>
      <c r="L97">
        <v>20.833333333333332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178.00144247996596</v>
      </c>
      <c r="AO97">
        <v>68.536484013240212</v>
      </c>
      <c r="AP97">
        <v>589.4175535840252</v>
      </c>
      <c r="AQ97">
        <v>468.87615322498993</v>
      </c>
      <c r="AR97">
        <v>66.141956575078481</v>
      </c>
      <c r="AS97">
        <v>315.59592396140846</v>
      </c>
      <c r="AT97">
        <v>35.506008831472421</v>
      </c>
      <c r="AU97">
        <v>-35.246955394114451</v>
      </c>
      <c r="AV97"/>
      <c r="AW97"/>
      <c r="AX97" s="151"/>
      <c r="AY97" s="76">
        <f t="shared" ca="1" si="86"/>
        <v>0.71409574282345289</v>
      </c>
      <c r="AZ97">
        <v>10</v>
      </c>
      <c r="BA97" s="129">
        <f t="shared" si="87"/>
        <v>39646</v>
      </c>
      <c r="BB97">
        <v>0</v>
      </c>
      <c r="BC97"/>
      <c r="BD97"/>
      <c r="BE97">
        <v>1</v>
      </c>
      <c r="BF97">
        <v>10</v>
      </c>
      <c r="BG97">
        <v>3</v>
      </c>
      <c r="BH97">
        <v>1</v>
      </c>
      <c r="BI97">
        <v>3</v>
      </c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8"/>
        <v>0.82520204526002172</v>
      </c>
      <c r="CL97" s="179">
        <f t="shared" si="89"/>
        <v>10</v>
      </c>
      <c r="CM97" s="180">
        <f t="shared" si="90"/>
        <v>39646</v>
      </c>
      <c r="CN97">
        <v>0</v>
      </c>
      <c r="CO97"/>
      <c r="CP97">
        <v>1</v>
      </c>
      <c r="CQ97">
        <v>2</v>
      </c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0.27874388682865558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20.833333333333332</v>
      </c>
      <c r="DI97" s="161">
        <f t="shared" si="96"/>
        <v>52.083333333333336</v>
      </c>
      <c r="DJ97" s="161">
        <f t="shared" si="97"/>
        <v>104.16666666666667</v>
      </c>
      <c r="DK97" s="161">
        <f t="shared" si="98"/>
        <v>31.25</v>
      </c>
      <c r="DL97" s="161">
        <f t="shared" si="99"/>
        <v>10.416666666666666</v>
      </c>
      <c r="DM97" s="161">
        <f t="shared" si="100"/>
        <v>31.25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250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0.8201240505366677</v>
      </c>
      <c r="ES97" s="139">
        <f t="shared" si="57"/>
        <v>6.187171387152496</v>
      </c>
      <c r="ET97" s="139">
        <f t="shared" si="58"/>
        <v>27.092885432593906</v>
      </c>
      <c r="EU97" s="139">
        <f t="shared" si="59"/>
        <v>14.926548301766063</v>
      </c>
      <c r="EV97" s="139">
        <f t="shared" si="60"/>
        <v>8.1757546524457592</v>
      </c>
      <c r="EW97" s="139">
        <f t="shared" si="61"/>
        <v>37.3260608602871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94.528544684781991</v>
      </c>
      <c r="FV97" s="149"/>
      <c r="FY97" s="211">
        <v>92</v>
      </c>
      <c r="FZ97">
        <v>76.942450415037356</v>
      </c>
      <c r="GA97">
        <v>115.98906299105653</v>
      </c>
      <c r="GB97">
        <v>55.696602822402937</v>
      </c>
      <c r="GC97">
        <v>24.707122225746744</v>
      </c>
      <c r="GD97">
        <v>15.534690236847474</v>
      </c>
      <c r="GE97">
        <v>28.473133851210637</v>
      </c>
      <c r="GF97">
        <v>41.648475409241932</v>
      </c>
      <c r="GG97">
        <v>29.454263146056931</v>
      </c>
      <c r="GH97">
        <v>16.849525013977313</v>
      </c>
      <c r="GI97">
        <v>46.178850651829755</v>
      </c>
      <c r="GJ97"/>
      <c r="GK97"/>
      <c r="GL97"/>
      <c r="GM97"/>
    </row>
    <row r="98" spans="1:195" s="7" customFormat="1">
      <c r="A98" s="128"/>
      <c r="B98" s="76">
        <f ca="1">IF(C98="", "", RAND())</f>
        <v>0.84113267096898259</v>
      </c>
      <c r="C98">
        <v>9</v>
      </c>
      <c r="D98">
        <v>39673</v>
      </c>
      <c r="E98">
        <v>0</v>
      </c>
      <c r="F98">
        <v>0</v>
      </c>
      <c r="G98">
        <v>0</v>
      </c>
      <c r="H98">
        <v>0</v>
      </c>
      <c r="I98">
        <v>10.416666666666666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258.98889171303114</v>
      </c>
      <c r="AO98">
        <v>91.074342316049893</v>
      </c>
      <c r="AP98">
        <v>761.0637493523235</v>
      </c>
      <c r="AQ98">
        <v>599.81878798401056</v>
      </c>
      <c r="AR98">
        <v>86.555593610359011</v>
      </c>
      <c r="AS98">
        <v>397.30960738854321</v>
      </c>
      <c r="AT98">
        <v>43.20492904316496</v>
      </c>
      <c r="AU98">
        <v>98.711428867587173</v>
      </c>
      <c r="AV98"/>
      <c r="AW98"/>
      <c r="AX98" s="128"/>
      <c r="AY98" s="76">
        <f t="shared" ca="1" si="86"/>
        <v>0.50918598467259546</v>
      </c>
      <c r="AZ98">
        <v>1</v>
      </c>
      <c r="BA98" s="129">
        <f>IF(AZ98="", "",$C$5)</f>
        <v>39673</v>
      </c>
      <c r="BB98">
        <v>0</v>
      </c>
      <c r="BC98"/>
      <c r="BD98"/>
      <c r="BE98">
        <v>1</v>
      </c>
      <c r="BF98">
        <v>2</v>
      </c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8"/>
        <v>0.45959402944418604</v>
      </c>
      <c r="CL98" s="179">
        <f t="shared" si="89"/>
        <v>1</v>
      </c>
      <c r="CM98" s="180">
        <f t="shared" si="90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0.85993138106817413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0</v>
      </c>
      <c r="DI98" s="161">
        <f t="shared" si="96"/>
        <v>10.416666666666666</v>
      </c>
      <c r="DJ98" s="161">
        <f t="shared" si="97"/>
        <v>20.833333333333332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31.25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</v>
      </c>
      <c r="ES98" s="139">
        <f t="shared" si="57"/>
        <v>1.2374342774304989</v>
      </c>
      <c r="ET98" s="139">
        <f t="shared" si="58"/>
        <v>5.4185770865187814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6.6560113639492808</v>
      </c>
      <c r="FV98" s="149"/>
      <c r="FY98" s="211">
        <v>93</v>
      </c>
      <c r="FZ98">
        <v>163.11055617575437</v>
      </c>
      <c r="GA98">
        <v>178.73905819800743</v>
      </c>
      <c r="GB98">
        <v>44.507985151299309</v>
      </c>
      <c r="GC98">
        <v>28.104636100387388</v>
      </c>
      <c r="GD98">
        <v>15.461493009205094</v>
      </c>
      <c r="GE98">
        <v>26.357445745489859</v>
      </c>
      <c r="GF98">
        <v>37.913031701404456</v>
      </c>
      <c r="GG98">
        <v>24.121436483874589</v>
      </c>
      <c r="GH98">
        <v>28.594631440296602</v>
      </c>
      <c r="GI98">
        <v>57.411381690469973</v>
      </c>
      <c r="GJ98"/>
      <c r="GK98"/>
      <c r="GL98"/>
      <c r="GM98"/>
    </row>
    <row r="99" spans="1:195" s="7" customFormat="1">
      <c r="A99" s="1"/>
      <c r="B99" s="76">
        <f ca="1">IF(C99="", "", RAND())</f>
        <v>0.46721569061283952</v>
      </c>
      <c r="C99">
        <v>3</v>
      </c>
      <c r="D99">
        <v>39673</v>
      </c>
      <c r="E99">
        <v>0</v>
      </c>
      <c r="F99">
        <v>0</v>
      </c>
      <c r="G99">
        <v>0</v>
      </c>
      <c r="H99">
        <v>0</v>
      </c>
      <c r="I99">
        <v>20.833333333333332</v>
      </c>
      <c r="J99">
        <v>102.73692810457517</v>
      </c>
      <c r="K99">
        <v>0</v>
      </c>
      <c r="L99">
        <v>0</v>
      </c>
      <c r="M99">
        <v>0</v>
      </c>
      <c r="N99">
        <v>10.416666666666666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170.43970745046184</v>
      </c>
      <c r="AO99">
        <v>62.717861654422656</v>
      </c>
      <c r="AP99">
        <v>497.28924121816743</v>
      </c>
      <c r="AQ99">
        <v>401.65555492309215</v>
      </c>
      <c r="AR99">
        <v>60.419048455008642</v>
      </c>
      <c r="AS99">
        <v>284.63155587143171</v>
      </c>
      <c r="AT99">
        <v>31.73024705620988</v>
      </c>
      <c r="AU99">
        <v>-13.962192202881262</v>
      </c>
      <c r="AV99"/>
      <c r="AW99"/>
      <c r="AX99" s="146"/>
      <c r="AY99" s="76">
        <f t="shared" ca="1" si="86"/>
        <v>2.9436243770923909E-3</v>
      </c>
      <c r="AZ99">
        <v>2</v>
      </c>
      <c r="BA99" s="129">
        <f t="shared" ref="BA99:BA107" si="125">IF(AZ99="", "",$C$5)</f>
        <v>39673</v>
      </c>
      <c r="BB99">
        <v>0</v>
      </c>
      <c r="BC99"/>
      <c r="BD99"/>
      <c r="BE99"/>
      <c r="BF99"/>
      <c r="BG99"/>
      <c r="BH99">
        <v>1</v>
      </c>
      <c r="BI99">
        <v>1</v>
      </c>
      <c r="BJ99">
        <v>1</v>
      </c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8"/>
        <v>0.64756682431876111</v>
      </c>
      <c r="CL99" s="179">
        <f t="shared" si="89"/>
        <v>2</v>
      </c>
      <c r="CM99" s="180">
        <f t="shared" si="90"/>
        <v>39673</v>
      </c>
      <c r="CN99">
        <v>0</v>
      </c>
      <c r="CO99"/>
      <c r="CP99"/>
      <c r="CQ99">
        <v>1</v>
      </c>
      <c r="CR99"/>
      <c r="CS99"/>
      <c r="CT99"/>
      <c r="CU99"/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0.63209214849501905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62.5</v>
      </c>
      <c r="DJ99" s="161">
        <f t="shared" si="97"/>
        <v>0</v>
      </c>
      <c r="DK99" s="161">
        <f t="shared" si="98"/>
        <v>0</v>
      </c>
      <c r="DL99" s="161">
        <f t="shared" si="99"/>
        <v>10.416666666666666</v>
      </c>
      <c r="DM99" s="161">
        <f t="shared" si="100"/>
        <v>10.416666666666666</v>
      </c>
      <c r="DN99" s="161">
        <f t="shared" si="101"/>
        <v>10.416666666666666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93.750000000000014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7.4246056645829945</v>
      </c>
      <c r="ET99" s="139">
        <f t="shared" si="58"/>
        <v>0</v>
      </c>
      <c r="EU99" s="139">
        <f t="shared" si="59"/>
        <v>0</v>
      </c>
      <c r="EV99" s="139">
        <f t="shared" si="60"/>
        <v>8.1757546524457592</v>
      </c>
      <c r="EW99" s="139">
        <f t="shared" si="61"/>
        <v>12.442020286762366</v>
      </c>
      <c r="EX99" s="139">
        <f t="shared" si="62"/>
        <v>17.900327165953296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45.942707769744416</v>
      </c>
      <c r="FV99" s="149"/>
      <c r="FY99" s="211">
        <v>94</v>
      </c>
      <c r="FZ99">
        <v>41.237291894504772</v>
      </c>
      <c r="GA99">
        <v>33.663722709708964</v>
      </c>
      <c r="GB99">
        <v>41.528958210701319</v>
      </c>
      <c r="GC99">
        <v>20.408567601726396</v>
      </c>
      <c r="GD99">
        <v>8.2319652573006028</v>
      </c>
      <c r="GE99">
        <v>16.774667361417059</v>
      </c>
      <c r="GF99">
        <v>30.066016637451483</v>
      </c>
      <c r="GG99">
        <v>17.446364549562603</v>
      </c>
      <c r="GH99">
        <v>17.019898124165728</v>
      </c>
      <c r="GI99">
        <v>30.637834406550517</v>
      </c>
      <c r="GJ99"/>
      <c r="GK99"/>
      <c r="GL99"/>
      <c r="GM99"/>
    </row>
    <row r="100" spans="1:195" s="7" customFormat="1">
      <c r="A100" s="1"/>
      <c r="B100" s="76">
        <f ca="1">IF(C100="", "", RAND())</f>
        <v>0.21609988134489089</v>
      </c>
      <c r="C100">
        <v>2</v>
      </c>
      <c r="D100">
        <v>39673</v>
      </c>
      <c r="E100">
        <v>0</v>
      </c>
      <c r="F100">
        <v>0</v>
      </c>
      <c r="G100">
        <v>0</v>
      </c>
      <c r="H100">
        <v>62.5</v>
      </c>
      <c r="I100">
        <v>0</v>
      </c>
      <c r="J100">
        <v>0</v>
      </c>
      <c r="K100">
        <v>10.416666666666666</v>
      </c>
      <c r="L100">
        <v>10.416666666666666</v>
      </c>
      <c r="M100">
        <v>10.416666666666666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229.63340635569907</v>
      </c>
      <c r="AO100">
        <v>63.024097122191371</v>
      </c>
      <c r="AP100">
        <v>477.55039623214407</v>
      </c>
      <c r="AQ100">
        <v>363.97317103547908</v>
      </c>
      <c r="AR100">
        <v>61.215697091906463</v>
      </c>
      <c r="AS100">
        <v>319.97871263809759</v>
      </c>
      <c r="AT100">
        <v>27.327890816288249</v>
      </c>
      <c r="AU100">
        <v>105.18150071194806</v>
      </c>
      <c r="AV100"/>
      <c r="AW100"/>
      <c r="AX100" s="146"/>
      <c r="AY100" s="76">
        <f t="shared" ca="1" si="86"/>
        <v>0.16652037596239122</v>
      </c>
      <c r="AZ100">
        <v>3</v>
      </c>
      <c r="BA100" s="129">
        <f t="shared" si="125"/>
        <v>39673</v>
      </c>
      <c r="BB100">
        <v>0</v>
      </c>
      <c r="BC100"/>
      <c r="BD100"/>
      <c r="BE100"/>
      <c r="BF100">
        <v>2</v>
      </c>
      <c r="BG100">
        <v>3</v>
      </c>
      <c r="BH100"/>
      <c r="BI100"/>
      <c r="BJ100"/>
      <c r="BK100">
        <v>1</v>
      </c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8"/>
        <v>0.1664085110050717</v>
      </c>
      <c r="CL100" s="179">
        <f t="shared" si="89"/>
        <v>3</v>
      </c>
      <c r="CM100" s="180">
        <f t="shared" si="90"/>
        <v>39673</v>
      </c>
      <c r="CN100">
        <v>0</v>
      </c>
      <c r="CO100"/>
      <c r="CP100"/>
      <c r="CQ100"/>
      <c r="CR100"/>
      <c r="CS100">
        <v>1</v>
      </c>
      <c r="CT100"/>
      <c r="CU100"/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0.2113652794859715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0</v>
      </c>
      <c r="DI100" s="161">
        <f t="shared" si="96"/>
        <v>0</v>
      </c>
      <c r="DJ100" s="161">
        <f t="shared" si="97"/>
        <v>20.833333333333332</v>
      </c>
      <c r="DK100" s="161">
        <f t="shared" si="98"/>
        <v>102.73692810457517</v>
      </c>
      <c r="DL100" s="161">
        <f t="shared" si="99"/>
        <v>0</v>
      </c>
      <c r="DM100" s="161">
        <f t="shared" si="100"/>
        <v>0</v>
      </c>
      <c r="DN100" s="161">
        <f t="shared" si="101"/>
        <v>0</v>
      </c>
      <c r="DO100" s="161">
        <f t="shared" si="102"/>
        <v>10.416666666666666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133.98692810457516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0</v>
      </c>
      <c r="ES100" s="139">
        <f t="shared" si="57"/>
        <v>0</v>
      </c>
      <c r="ET100" s="139">
        <f t="shared" si="58"/>
        <v>5.4185770865187814</v>
      </c>
      <c r="EU100" s="139">
        <f t="shared" si="59"/>
        <v>49.072247031296278</v>
      </c>
      <c r="EV100" s="139">
        <f t="shared" si="60"/>
        <v>0</v>
      </c>
      <c r="EW100" s="139">
        <f t="shared" si="61"/>
        <v>0</v>
      </c>
      <c r="EX100" s="139">
        <f t="shared" si="62"/>
        <v>0</v>
      </c>
      <c r="EY100" s="139">
        <f t="shared" si="63"/>
        <v>24.67177750531274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79.162601623127799</v>
      </c>
      <c r="FV100" s="149"/>
      <c r="FY100" s="211">
        <v>95</v>
      </c>
      <c r="FZ100">
        <v>33.500736157915469</v>
      </c>
      <c r="GA100">
        <v>56.016130129306809</v>
      </c>
      <c r="GB100">
        <v>53.372754262638338</v>
      </c>
      <c r="GC100">
        <v>26.501363644591937</v>
      </c>
      <c r="GD100">
        <v>13.803941538741203</v>
      </c>
      <c r="GE100">
        <v>26.119940907697494</v>
      </c>
      <c r="GF100">
        <v>56.97410701939652</v>
      </c>
      <c r="GG100">
        <v>40.012834975294055</v>
      </c>
      <c r="GH100">
        <v>21.854908966511687</v>
      </c>
      <c r="GI100">
        <v>41.973956221859346</v>
      </c>
      <c r="GJ100"/>
      <c r="GK100"/>
      <c r="GL100"/>
      <c r="GM100"/>
    </row>
    <row r="101" spans="1:195" s="7" customFormat="1">
      <c r="A101" s="1"/>
      <c r="B101" s="76">
        <f ca="1">IF(C101="", "", RAND())</f>
        <v>6.7689584317175644E-2</v>
      </c>
      <c r="C101">
        <v>7</v>
      </c>
      <c r="D101">
        <v>39673</v>
      </c>
      <c r="E101">
        <v>0</v>
      </c>
      <c r="F101">
        <v>0</v>
      </c>
      <c r="G101">
        <v>0</v>
      </c>
      <c r="H101">
        <v>10.416666666666666</v>
      </c>
      <c r="I101">
        <v>41.666666666666664</v>
      </c>
      <c r="J101">
        <v>20.833333333333332</v>
      </c>
      <c r="K101">
        <v>10.416666666666666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209.96725139013037</v>
      </c>
      <c r="AO101">
        <v>54.241388317724137</v>
      </c>
      <c r="AP101">
        <v>410.32874371183107</v>
      </c>
      <c r="AQ101">
        <v>321.58250649167951</v>
      </c>
      <c r="AR101">
        <v>53.207265189493867</v>
      </c>
      <c r="AS101">
        <v>259.04750659245212</v>
      </c>
      <c r="AT101">
        <v>24.64049802832324</v>
      </c>
      <c r="AU101">
        <v>28.497869726750558</v>
      </c>
      <c r="AV101"/>
      <c r="AW101"/>
      <c r="AX101" s="146"/>
      <c r="AY101" s="76">
        <f t="shared" ca="1" si="86"/>
        <v>0.66099454126206769</v>
      </c>
      <c r="AZ101">
        <v>4</v>
      </c>
      <c r="BA101" s="129">
        <f t="shared" si="125"/>
        <v>39673</v>
      </c>
      <c r="BB101">
        <v>0</v>
      </c>
      <c r="BC101"/>
      <c r="BD101"/>
      <c r="BE101">
        <v>1</v>
      </c>
      <c r="BF101">
        <v>2</v>
      </c>
      <c r="BG101">
        <v>1</v>
      </c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8"/>
        <v>0.13069385362040942</v>
      </c>
      <c r="CL101" s="179">
        <f t="shared" si="89"/>
        <v>4</v>
      </c>
      <c r="CM101" s="180">
        <f t="shared" si="90"/>
        <v>39673</v>
      </c>
      <c r="CN101">
        <v>0</v>
      </c>
      <c r="CO101"/>
      <c r="CP101"/>
      <c r="CQ101">
        <v>1</v>
      </c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0.80422827528322238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84.375</v>
      </c>
      <c r="DJ101" s="161">
        <f t="shared" si="97"/>
        <v>20.833333333333332</v>
      </c>
      <c r="DK101" s="161">
        <f t="shared" si="98"/>
        <v>10.416666666666666</v>
      </c>
      <c r="DL101" s="161">
        <f t="shared" si="99"/>
        <v>0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115.625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10.023217647187042</v>
      </c>
      <c r="ET101" s="139">
        <f t="shared" si="58"/>
        <v>5.4185770865187814</v>
      </c>
      <c r="EU101" s="139">
        <f t="shared" si="59"/>
        <v>4.9755161005886874</v>
      </c>
      <c r="EV101" s="139">
        <f t="shared" si="60"/>
        <v>0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20.417310834294511</v>
      </c>
      <c r="FV101" s="149"/>
      <c r="FY101" s="211">
        <v>96</v>
      </c>
      <c r="FZ101">
        <v>45.244665317773723</v>
      </c>
      <c r="GA101">
        <v>33.096756615154398</v>
      </c>
      <c r="GB101">
        <v>42.675281089811293</v>
      </c>
      <c r="GC101">
        <v>21.769411555129949</v>
      </c>
      <c r="GD101">
        <v>15.066728151210134</v>
      </c>
      <c r="GE101">
        <v>31.225722406891773</v>
      </c>
      <c r="GF101">
        <v>35.073783159165622</v>
      </c>
      <c r="GG101">
        <v>29.270594002477804</v>
      </c>
      <c r="GH101">
        <v>25.427306512878232</v>
      </c>
      <c r="GI101">
        <v>38.291347124333299</v>
      </c>
      <c r="GJ101"/>
      <c r="GK101"/>
      <c r="GL101"/>
      <c r="GM101"/>
    </row>
    <row r="102" spans="1:195" s="7" customFormat="1">
      <c r="A102" s="1"/>
      <c r="B102" s="76">
        <f ca="1">IF(C102="", "", RAND())</f>
        <v>0.49717475628842323</v>
      </c>
      <c r="C102">
        <v>5</v>
      </c>
      <c r="D102">
        <v>39673</v>
      </c>
      <c r="E102">
        <v>0</v>
      </c>
      <c r="F102">
        <v>0</v>
      </c>
      <c r="G102">
        <v>10.416666666666666</v>
      </c>
      <c r="H102">
        <v>0</v>
      </c>
      <c r="I102">
        <v>10.416666666666666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183.72631273678667</v>
      </c>
      <c r="AO102">
        <v>54.401562963428013</v>
      </c>
      <c r="AP102">
        <v>410.75016732570316</v>
      </c>
      <c r="AQ102">
        <v>312.86159864784952</v>
      </c>
      <c r="AR102">
        <v>52.893788367323559</v>
      </c>
      <c r="AS102">
        <v>258.10354081808009</v>
      </c>
      <c r="AT102">
        <v>25.036543532806323</v>
      </c>
      <c r="AU102">
        <v>9.873058713500825</v>
      </c>
      <c r="AV102"/>
      <c r="AW102"/>
      <c r="AX102" s="146"/>
      <c r="AY102" s="76">
        <f t="shared" ca="1" si="86"/>
        <v>0.70177687664639343</v>
      </c>
      <c r="AZ102">
        <v>5</v>
      </c>
      <c r="BA102" s="129">
        <f t="shared" si="125"/>
        <v>39673</v>
      </c>
      <c r="BB102">
        <v>0</v>
      </c>
      <c r="BC102"/>
      <c r="BD102">
        <v>1</v>
      </c>
      <c r="BE102"/>
      <c r="BF102">
        <v>1</v>
      </c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8"/>
        <v>0.94611346890920434</v>
      </c>
      <c r="CL102" s="179">
        <f t="shared" si="89"/>
        <v>5</v>
      </c>
      <c r="CM102" s="180">
        <f t="shared" si="90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0.88654429289284509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10.416666666666666</v>
      </c>
      <c r="DI102" s="161">
        <f t="shared" si="96"/>
        <v>0</v>
      </c>
      <c r="DJ102" s="161">
        <f t="shared" si="97"/>
        <v>10.416666666666666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20.833333333333332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0.41006202526833385</v>
      </c>
      <c r="ES102" s="139">
        <f t="shared" si="57"/>
        <v>0</v>
      </c>
      <c r="ET102" s="139">
        <f t="shared" si="58"/>
        <v>2.7092885432593907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3.1193505685277247</v>
      </c>
      <c r="FV102" s="149"/>
      <c r="FY102" s="211">
        <v>97</v>
      </c>
      <c r="FZ102">
        <v>26.433167442351575</v>
      </c>
      <c r="GA102">
        <v>49.631961540498104</v>
      </c>
      <c r="GB102">
        <v>52.579310953649667</v>
      </c>
      <c r="GC102">
        <v>27.066847287987621</v>
      </c>
      <c r="GD102">
        <v>14.642543604330083</v>
      </c>
      <c r="GE102">
        <v>24.458798369062457</v>
      </c>
      <c r="GF102">
        <v>17.205840827974171</v>
      </c>
      <c r="GG102">
        <v>3.6734284318194277</v>
      </c>
      <c r="GH102">
        <v>10.580258904336814</v>
      </c>
      <c r="GI102">
        <v>31.784682265161639</v>
      </c>
      <c r="GJ102"/>
      <c r="GK102"/>
      <c r="GL102"/>
      <c r="GM102"/>
    </row>
    <row r="103" spans="1:195" s="7" customFormat="1">
      <c r="A103" s="1"/>
      <c r="B103" s="76">
        <f ca="1">IF(C103="", "", RAND())</f>
        <v>0.18372431126807331</v>
      </c>
      <c r="C103">
        <v>4</v>
      </c>
      <c r="D103">
        <v>39673</v>
      </c>
      <c r="E103">
        <v>0</v>
      </c>
      <c r="F103">
        <v>0</v>
      </c>
      <c r="G103">
        <v>0</v>
      </c>
      <c r="H103">
        <v>84.375</v>
      </c>
      <c r="I103">
        <v>20.833333333333332</v>
      </c>
      <c r="J103">
        <v>10.416666666666666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212.04078937047979</v>
      </c>
      <c r="AO103">
        <v>75.847040959867826</v>
      </c>
      <c r="AP103">
        <v>601.8469361353466</v>
      </c>
      <c r="AQ103">
        <v>493.66272518338133</v>
      </c>
      <c r="AR103">
        <v>73.179522759666071</v>
      </c>
      <c r="AS103">
        <v>346.97672491160353</v>
      </c>
      <c r="AT103">
        <v>37.679722157557968</v>
      </c>
      <c r="AU103">
        <v>-20.707474352635707</v>
      </c>
      <c r="AV103"/>
      <c r="AW103"/>
      <c r="AX103" s="146"/>
      <c r="AY103" s="76">
        <f ca="1">IF(AZ103="", "", RAND())</f>
        <v>0.1884683675155856</v>
      </c>
      <c r="AZ103">
        <v>6</v>
      </c>
      <c r="BA103" s="129">
        <f t="shared" si="125"/>
        <v>39673</v>
      </c>
      <c r="BB103">
        <v>0</v>
      </c>
      <c r="BC103"/>
      <c r="BD103"/>
      <c r="BE103">
        <v>1</v>
      </c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8"/>
        <v>9.8736108038786519E-2</v>
      </c>
      <c r="CL103" s="179">
        <f t="shared" si="89"/>
        <v>6</v>
      </c>
      <c r="CM103" s="180">
        <f t="shared" si="90"/>
        <v>39673</v>
      </c>
      <c r="CN103">
        <v>0</v>
      </c>
      <c r="CO103"/>
      <c r="CP103"/>
      <c r="CQ103"/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0.28493391753035269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0</v>
      </c>
      <c r="DI103" s="161">
        <f t="shared" si="96"/>
        <v>10.416666666666666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10.416666666666666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0</v>
      </c>
      <c r="ES103" s="139">
        <f t="shared" si="57"/>
        <v>1.2374342774304989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1.2374342774304989</v>
      </c>
      <c r="FV103" s="149"/>
      <c r="FY103" s="211">
        <v>98</v>
      </c>
      <c r="FZ103">
        <v>45.713240029463648</v>
      </c>
      <c r="GA103">
        <v>42.367959803233369</v>
      </c>
      <c r="GB103">
        <v>36.529081213052713</v>
      </c>
      <c r="GC103">
        <v>20.76452956653559</v>
      </c>
      <c r="GD103">
        <v>15.995100925324689</v>
      </c>
      <c r="GE103">
        <v>24.771582184595065</v>
      </c>
      <c r="GF103">
        <v>41.093907368414364</v>
      </c>
      <c r="GG103">
        <v>37.259307068001476</v>
      </c>
      <c r="GH103">
        <v>26.637655606047144</v>
      </c>
      <c r="GI103">
        <v>38.648997053100288</v>
      </c>
      <c r="GJ103"/>
      <c r="GK103"/>
      <c r="GL103"/>
      <c r="GM103"/>
    </row>
    <row r="104" spans="1:195" s="7" customFormat="1">
      <c r="A104" s="1"/>
      <c r="B104" s="76">
        <f ca="1">IF(C104="", "", RAND())</f>
        <v>0.33782085420786578</v>
      </c>
      <c r="C104">
        <v>1</v>
      </c>
      <c r="D104">
        <v>39673</v>
      </c>
      <c r="E104">
        <v>0</v>
      </c>
      <c r="F104">
        <v>0</v>
      </c>
      <c r="G104">
        <v>0</v>
      </c>
      <c r="H104">
        <v>10.416666666666666</v>
      </c>
      <c r="I104">
        <v>20.833333333333332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197.95853592575466</v>
      </c>
      <c r="AO104">
        <v>68.750421204088809</v>
      </c>
      <c r="AP104">
        <v>515.86494762236759</v>
      </c>
      <c r="AQ104">
        <v>394.1753923815416</v>
      </c>
      <c r="AR104">
        <v>67.547907127577986</v>
      </c>
      <c r="AS104">
        <v>326.90944752719599</v>
      </c>
      <c r="AT104">
        <v>31.329932978536959</v>
      </c>
      <c r="AU104">
        <v>33.059903512392296</v>
      </c>
      <c r="AV104"/>
      <c r="AW104"/>
      <c r="AX104" s="146"/>
      <c r="AY104" s="76">
        <f ca="1">IF(AZ104="", "", RAND())</f>
        <v>0.21918090357795084</v>
      </c>
      <c r="AZ104">
        <v>7</v>
      </c>
      <c r="BA104" s="129">
        <f t="shared" si="125"/>
        <v>39673</v>
      </c>
      <c r="BB104">
        <v>0</v>
      </c>
      <c r="BC104"/>
      <c r="BD104"/>
      <c r="BE104">
        <v>1</v>
      </c>
      <c r="BF104">
        <v>4</v>
      </c>
      <c r="BG104">
        <v>2</v>
      </c>
      <c r="BH104">
        <v>1</v>
      </c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8"/>
        <v>0.73678953029982885</v>
      </c>
      <c r="CL104" s="179">
        <f t="shared" si="89"/>
        <v>7</v>
      </c>
      <c r="CM104" s="180">
        <f t="shared" si="90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0.94371478077866566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10.416666666666666</v>
      </c>
      <c r="DJ104" s="161">
        <f t="shared" si="97"/>
        <v>41.666666666666664</v>
      </c>
      <c r="DK104" s="161">
        <f t="shared" si="98"/>
        <v>20.833333333333332</v>
      </c>
      <c r="DL104" s="161">
        <f t="shared" si="99"/>
        <v>10.416666666666666</v>
      </c>
      <c r="DM104" s="161">
        <f t="shared" si="100"/>
        <v>0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83.333333333333329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1.2374342774304989</v>
      </c>
      <c r="ET104" s="139">
        <f t="shared" si="58"/>
        <v>10.837154173037563</v>
      </c>
      <c r="EU104" s="139">
        <f t="shared" si="59"/>
        <v>9.9510322011773749</v>
      </c>
      <c r="EV104" s="139">
        <f t="shared" si="60"/>
        <v>8.1757546524457592</v>
      </c>
      <c r="EW104" s="139">
        <f t="shared" si="61"/>
        <v>0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30.201375304091194</v>
      </c>
      <c r="FV104" s="149"/>
      <c r="FY104" s="211">
        <v>99</v>
      </c>
      <c r="FZ104">
        <v>84.590230569612118</v>
      </c>
      <c r="GA104">
        <v>92.321668705274533</v>
      </c>
      <c r="GB104">
        <v>53.553876640274659</v>
      </c>
      <c r="GC104">
        <v>29.749104506398908</v>
      </c>
      <c r="GD104">
        <v>18.117435846749736</v>
      </c>
      <c r="GE104">
        <v>31.109583599684534</v>
      </c>
      <c r="GF104">
        <v>39.547621299974644</v>
      </c>
      <c r="GG104">
        <v>29.249873469974769</v>
      </c>
      <c r="GH104">
        <v>28.025945666914112</v>
      </c>
      <c r="GI104">
        <v>50.010536266350776</v>
      </c>
      <c r="GJ104"/>
      <c r="GK104"/>
      <c r="GL104"/>
      <c r="GM104"/>
    </row>
    <row r="105" spans="1:195" s="7" customFormat="1">
      <c r="A105" s="1"/>
      <c r="B105" s="76">
        <f ca="1">IF(C105="", "", RAND())</f>
        <v>0.60427114723157249</v>
      </c>
      <c r="C105">
        <v>10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75</v>
      </c>
      <c r="J105">
        <v>300</v>
      </c>
      <c r="K105">
        <v>372.61904761904759</v>
      </c>
      <c r="L105">
        <v>131.25</v>
      </c>
      <c r="M105">
        <v>0</v>
      </c>
      <c r="N105">
        <v>112.5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185.91727501313287</v>
      </c>
      <c r="AO105">
        <v>51.197136080355101</v>
      </c>
      <c r="AP105">
        <v>361.46765017899378</v>
      </c>
      <c r="AQ105">
        <v>288.97112585505005</v>
      </c>
      <c r="AR105">
        <v>49.82735102132321</v>
      </c>
      <c r="AS105">
        <v>247.95953814478588</v>
      </c>
      <c r="AT105">
        <v>22.108253538501174</v>
      </c>
      <c r="AU105">
        <v>4.2126232788757854</v>
      </c>
      <c r="AV105"/>
      <c r="AW105"/>
      <c r="AX105" s="146"/>
      <c r="AY105" s="76">
        <f ca="1">IF(AZ105="", "", RAND())</f>
        <v>0.1930456237765581</v>
      </c>
      <c r="AZ105">
        <v>8</v>
      </c>
      <c r="BA105" s="129">
        <f t="shared" si="125"/>
        <v>39673</v>
      </c>
      <c r="BB105">
        <v>0</v>
      </c>
      <c r="BC105" s="216"/>
      <c r="BD105" s="216">
        <v>0</v>
      </c>
      <c r="BE105" s="216">
        <v>1</v>
      </c>
      <c r="BF105" s="216"/>
      <c r="BG105" s="216"/>
      <c r="BH105" s="216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8"/>
        <v>0.58285268825296765</v>
      </c>
      <c r="CL105" s="179">
        <f t="shared" si="89"/>
        <v>8</v>
      </c>
      <c r="CM105" s="180">
        <f t="shared" si="90"/>
        <v>39673</v>
      </c>
      <c r="CN105" s="224">
        <v>0</v>
      </c>
      <c r="CO105" s="224"/>
      <c r="CP105" s="224"/>
      <c r="CQ105" s="224"/>
      <c r="CR105" s="224"/>
      <c r="CS105" s="224"/>
      <c r="CT105"/>
      <c r="CU105"/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0.23768165786863449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0</v>
      </c>
      <c r="DH105" s="161">
        <f t="shared" si="95"/>
        <v>0</v>
      </c>
      <c r="DI105" s="161">
        <f t="shared" si="96"/>
        <v>10.416666666666666</v>
      </c>
      <c r="DJ105" s="161">
        <f t="shared" si="97"/>
        <v>0</v>
      </c>
      <c r="DK105" s="161">
        <f t="shared" si="98"/>
        <v>0</v>
      </c>
      <c r="DL105" s="161">
        <f t="shared" si="99"/>
        <v>0</v>
      </c>
      <c r="DM105" s="161">
        <f t="shared" si="100"/>
        <v>0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10.416666666666666</v>
      </c>
      <c r="EL105" s="149"/>
      <c r="EN105" s="146"/>
      <c r="EO105" s="146"/>
      <c r="EP105" s="139">
        <f t="shared" si="54"/>
        <v>0</v>
      </c>
      <c r="EQ105" s="139">
        <f t="shared" si="55"/>
        <v>0</v>
      </c>
      <c r="ER105" s="139">
        <f t="shared" si="56"/>
        <v>0</v>
      </c>
      <c r="ES105" s="139">
        <f t="shared" si="57"/>
        <v>1.2374342774304989</v>
      </c>
      <c r="ET105" s="139">
        <f t="shared" si="58"/>
        <v>0</v>
      </c>
      <c r="EU105" s="139">
        <f t="shared" si="59"/>
        <v>0</v>
      </c>
      <c r="EV105" s="139">
        <f t="shared" si="60"/>
        <v>0</v>
      </c>
      <c r="EW105" s="139">
        <f t="shared" si="61"/>
        <v>0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1.2374342774304989</v>
      </c>
      <c r="FV105" s="149"/>
      <c r="FY105" s="211">
        <v>100</v>
      </c>
      <c r="FZ105">
        <v>118.55566409353872</v>
      </c>
      <c r="GA105">
        <v>128.65610127727359</v>
      </c>
      <c r="GB105">
        <v>34.352644835548702</v>
      </c>
      <c r="GC105">
        <v>19.265258526454424</v>
      </c>
      <c r="GD105">
        <v>9.9052841974850292</v>
      </c>
      <c r="GE105">
        <v>16.260946092963916</v>
      </c>
      <c r="GF105">
        <v>27.129941421314417</v>
      </c>
      <c r="GG105">
        <v>17.810892436480163</v>
      </c>
      <c r="GH105">
        <v>30.427531385716062</v>
      </c>
      <c r="GI105">
        <v>42.673083618698293</v>
      </c>
      <c r="GJ105"/>
      <c r="GK105"/>
      <c r="GL105"/>
      <c r="GM105"/>
    </row>
    <row r="106" spans="1:195" s="7" customFormat="1">
      <c r="A106" s="1"/>
      <c r="B106" s="76">
        <f ca="1">IF(C106="", "", RAND())</f>
        <v>5.5966444006747551E-3</v>
      </c>
      <c r="C106">
        <v>6</v>
      </c>
      <c r="D106">
        <v>39673</v>
      </c>
      <c r="E106">
        <v>0</v>
      </c>
      <c r="F106">
        <v>0</v>
      </c>
      <c r="G106">
        <v>0</v>
      </c>
      <c r="H106">
        <v>10.416666666666666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181.07603197480373</v>
      </c>
      <c r="AO106">
        <v>62.613008518646346</v>
      </c>
      <c r="AP106">
        <v>506.95596384237547</v>
      </c>
      <c r="AQ106">
        <v>396.27787871187172</v>
      </c>
      <c r="AR106">
        <v>60.929856632444135</v>
      </c>
      <c r="AS106">
        <v>288.88550290007572</v>
      </c>
      <c r="AT106">
        <v>31.374935367754972</v>
      </c>
      <c r="AU106">
        <v>-9.4458074221355375</v>
      </c>
      <c r="AV106"/>
      <c r="AW106"/>
      <c r="AX106" s="146"/>
      <c r="AY106" s="76">
        <f t="shared" ca="1" si="86"/>
        <v>0.73400808049564525</v>
      </c>
      <c r="AZ106">
        <v>9</v>
      </c>
      <c r="BA106" s="129">
        <f t="shared" si="125"/>
        <v>39673</v>
      </c>
      <c r="BB106">
        <v>0</v>
      </c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8"/>
        <v>0.46696583331078134</v>
      </c>
      <c r="CL106" s="179">
        <f t="shared" si="89"/>
        <v>9</v>
      </c>
      <c r="CM106" s="180">
        <f t="shared" si="90"/>
        <v>39673</v>
      </c>
      <c r="CN106">
        <v>0</v>
      </c>
      <c r="CO106"/>
      <c r="CP106"/>
      <c r="CQ106"/>
      <c r="CR106">
        <v>1</v>
      </c>
      <c r="CS106"/>
      <c r="CT106"/>
      <c r="CU106"/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0.13676046804794595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0</v>
      </c>
      <c r="DH106" s="161">
        <f t="shared" si="95"/>
        <v>0</v>
      </c>
      <c r="DI106" s="161">
        <f t="shared" si="96"/>
        <v>0</v>
      </c>
      <c r="DJ106" s="161">
        <f t="shared" si="97"/>
        <v>10.416666666666666</v>
      </c>
      <c r="DK106" s="161">
        <f t="shared" si="98"/>
        <v>0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10.416666666666666</v>
      </c>
      <c r="EL106" s="149"/>
      <c r="EN106" s="146"/>
      <c r="EO106" s="146"/>
      <c r="EP106" s="139">
        <f t="shared" si="54"/>
        <v>0</v>
      </c>
      <c r="EQ106" s="139">
        <f t="shared" si="55"/>
        <v>0</v>
      </c>
      <c r="ER106" s="139">
        <f t="shared" si="56"/>
        <v>0</v>
      </c>
      <c r="ES106" s="139">
        <f t="shared" si="57"/>
        <v>0</v>
      </c>
      <c r="ET106" s="139">
        <f t="shared" si="58"/>
        <v>2.7092885432593907</v>
      </c>
      <c r="EU106" s="139">
        <f t="shared" si="59"/>
        <v>0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2.7092885432593907</v>
      </c>
      <c r="FV106" s="149"/>
      <c r="FY106" s="211">
        <v>101</v>
      </c>
      <c r="FZ106">
        <v>86.539375720300427</v>
      </c>
      <c r="GA106">
        <v>95.958792887154658</v>
      </c>
      <c r="GB106">
        <v>52.90185524205117</v>
      </c>
      <c r="GC106">
        <v>27.861679440977976</v>
      </c>
      <c r="GD106">
        <v>14.988747031906207</v>
      </c>
      <c r="GE106">
        <v>24.520010452746973</v>
      </c>
      <c r="GF106">
        <v>43.052393417910487</v>
      </c>
      <c r="GG106">
        <v>28.891210414555175</v>
      </c>
      <c r="GH106">
        <v>17.423375852269693</v>
      </c>
      <c r="GI106">
        <v>47.149683237401192</v>
      </c>
      <c r="GJ106"/>
      <c r="GK106"/>
      <c r="GL106"/>
      <c r="GM106"/>
    </row>
    <row r="107" spans="1:195" s="7" customFormat="1">
      <c r="A107" s="1"/>
      <c r="B107" s="76">
        <f ca="1">IF(C107="", "", RAND())</f>
        <v>0.72869398396856444</v>
      </c>
      <c r="C107">
        <v>8</v>
      </c>
      <c r="D107">
        <v>39673</v>
      </c>
      <c r="E107">
        <v>0</v>
      </c>
      <c r="F107">
        <v>0</v>
      </c>
      <c r="G107">
        <v>0</v>
      </c>
      <c r="H107">
        <v>10.416666666666666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205.38011353181938</v>
      </c>
      <c r="AO107">
        <v>78.983897602840543</v>
      </c>
      <c r="AP107">
        <v>598.59779412253374</v>
      </c>
      <c r="AQ107">
        <v>473.69122981177634</v>
      </c>
      <c r="AR107">
        <v>77.165496704047214</v>
      </c>
      <c r="AS107">
        <v>393.00285725354053</v>
      </c>
      <c r="AT107">
        <v>38.822992667701698</v>
      </c>
      <c r="AU107">
        <v>77.815742899527578</v>
      </c>
      <c r="AV107"/>
      <c r="AW107"/>
      <c r="AX107" s="146"/>
      <c r="AY107" s="76">
        <f t="shared" ca="1" si="86"/>
        <v>2.5343212850854613E-2</v>
      </c>
      <c r="AZ107">
        <v>10</v>
      </c>
      <c r="BA107" s="129">
        <f t="shared" si="125"/>
        <v>39673</v>
      </c>
      <c r="BB107">
        <v>0</v>
      </c>
      <c r="BC107"/>
      <c r="BD107"/>
      <c r="BE107"/>
      <c r="BF107">
        <v>4</v>
      </c>
      <c r="BG107">
        <v>16</v>
      </c>
      <c r="BH107">
        <v>4</v>
      </c>
      <c r="BI107">
        <v>7</v>
      </c>
      <c r="BJ107"/>
      <c r="BK107">
        <v>6</v>
      </c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8"/>
        <v>0.50566186595253826</v>
      </c>
      <c r="CL107" s="179">
        <f t="shared" si="89"/>
        <v>10</v>
      </c>
      <c r="CM107" s="180">
        <f t="shared" si="90"/>
        <v>39673</v>
      </c>
      <c r="CN107">
        <v>0</v>
      </c>
      <c r="CO107"/>
      <c r="CP107"/>
      <c r="CQ107"/>
      <c r="CR107"/>
      <c r="CS107"/>
      <c r="CT107">
        <v>2</v>
      </c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0.55303170712227789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0</v>
      </c>
      <c r="DI107" s="161">
        <f t="shared" si="96"/>
        <v>0</v>
      </c>
      <c r="DJ107" s="161">
        <f t="shared" si="97"/>
        <v>75</v>
      </c>
      <c r="DK107" s="161">
        <f t="shared" si="98"/>
        <v>300</v>
      </c>
      <c r="DL107" s="161">
        <f t="shared" si="99"/>
        <v>372.61904761904759</v>
      </c>
      <c r="DM107" s="161">
        <f t="shared" si="100"/>
        <v>131.25</v>
      </c>
      <c r="DN107" s="161">
        <f t="shared" si="101"/>
        <v>0</v>
      </c>
      <c r="DO107" s="161">
        <f t="shared" si="102"/>
        <v>112.5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991.36904761904759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0</v>
      </c>
      <c r="ES107" s="139">
        <f t="shared" si="57"/>
        <v>0</v>
      </c>
      <c r="ET107" s="139">
        <f t="shared" si="58"/>
        <v>19.506877511467614</v>
      </c>
      <c r="EU107" s="139">
        <f t="shared" si="59"/>
        <v>143.2948636969542</v>
      </c>
      <c r="EV107" s="139">
        <f t="shared" si="60"/>
        <v>292.4584235674883</v>
      </c>
      <c r="EW107" s="139">
        <f t="shared" si="61"/>
        <v>156.76945561320582</v>
      </c>
      <c r="EX107" s="139">
        <f t="shared" si="62"/>
        <v>0</v>
      </c>
      <c r="EY107" s="139">
        <f t="shared" si="63"/>
        <v>266.45519705737763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878.48481744649359</v>
      </c>
      <c r="FV107" s="149"/>
      <c r="FY107" s="211">
        <v>102</v>
      </c>
      <c r="FZ107">
        <v>39.921400168968539</v>
      </c>
      <c r="GA107">
        <v>32.15069895933194</v>
      </c>
      <c r="GB107">
        <v>41.546924370464005</v>
      </c>
      <c r="GC107">
        <v>23.71853056712408</v>
      </c>
      <c r="GD107">
        <v>15.801285918515516</v>
      </c>
      <c r="GE107">
        <v>26.080954033463964</v>
      </c>
      <c r="GF107">
        <v>35.133656163313674</v>
      </c>
      <c r="GG107">
        <v>23.403891777644574</v>
      </c>
      <c r="GH107">
        <v>13.671842957379283</v>
      </c>
      <c r="GI107">
        <v>35.752429488912995</v>
      </c>
      <c r="GJ107"/>
      <c r="GK107"/>
      <c r="GL107"/>
      <c r="GM107"/>
    </row>
    <row r="108" spans="1:195" s="7" customFormat="1">
      <c r="A108" s="128"/>
      <c r="B108" s="76">
        <f ca="1">IF(C108="", "", RAND())</f>
        <v>0.30763497687142571</v>
      </c>
      <c r="C108">
        <v>5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20.833333333333332</v>
      </c>
      <c r="J108">
        <v>31.25</v>
      </c>
      <c r="K108">
        <v>72.916666666666671</v>
      </c>
      <c r="L108">
        <v>10.416666666666666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226.25800599890422</v>
      </c>
      <c r="AO108">
        <v>69.26148650491541</v>
      </c>
      <c r="AP108">
        <v>571.32069320148128</v>
      </c>
      <c r="AQ108">
        <v>451.47417676340763</v>
      </c>
      <c r="AR108">
        <v>66.359353052726107</v>
      </c>
      <c r="AS108">
        <v>317.44976217110769</v>
      </c>
      <c r="AT108">
        <v>32.793409945709712</v>
      </c>
      <c r="AU108">
        <v>-35.856492106590025</v>
      </c>
      <c r="AV108"/>
      <c r="AW108"/>
      <c r="AX108" s="128"/>
      <c r="AY108" s="76">
        <f t="shared" ca="1" si="86"/>
        <v>0.44633876872919664</v>
      </c>
      <c r="AZ108">
        <v>1</v>
      </c>
      <c r="BA108" s="129">
        <f>IF(AZ108="", "",$C$6)</f>
        <v>39714</v>
      </c>
      <c r="BB108">
        <v>0</v>
      </c>
      <c r="BC108"/>
      <c r="BD108"/>
      <c r="BE108"/>
      <c r="BF108"/>
      <c r="BG108">
        <v>2</v>
      </c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8"/>
        <v>0.13773627983497239</v>
      </c>
      <c r="CL108" s="179">
        <f t="shared" si="89"/>
        <v>1</v>
      </c>
      <c r="CM108" s="180">
        <f t="shared" si="90"/>
        <v>39714</v>
      </c>
      <c r="CN108">
        <v>0</v>
      </c>
      <c r="CO108">
        <v>1</v>
      </c>
      <c r="CP108">
        <v>1</v>
      </c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0.49016382047478757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65.104166666666671</v>
      </c>
      <c r="DH108" s="161">
        <f t="shared" si="95"/>
        <v>65.104166666666671</v>
      </c>
      <c r="DI108" s="161">
        <f t="shared" si="96"/>
        <v>0</v>
      </c>
      <c r="DJ108" s="161">
        <f t="shared" si="97"/>
        <v>0</v>
      </c>
      <c r="DK108" s="161">
        <f t="shared" si="98"/>
        <v>20.833333333333332</v>
      </c>
      <c r="DL108" s="161">
        <f t="shared" si="99"/>
        <v>0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151.04166666666669</v>
      </c>
      <c r="EL108" s="149"/>
      <c r="EN108" s="146"/>
      <c r="EO108" s="146"/>
      <c r="EP108" s="139">
        <f t="shared" si="54"/>
        <v>0</v>
      </c>
      <c r="EQ108" s="139">
        <f t="shared" si="55"/>
        <v>0.38790364583333331</v>
      </c>
      <c r="ER108" s="139">
        <f t="shared" si="56"/>
        <v>2.5628876579270869</v>
      </c>
      <c r="ES108" s="139">
        <f t="shared" si="57"/>
        <v>0</v>
      </c>
      <c r="ET108" s="139">
        <f t="shared" si="58"/>
        <v>0</v>
      </c>
      <c r="EU108" s="139">
        <f t="shared" si="59"/>
        <v>9.9510322011773749</v>
      </c>
      <c r="EV108" s="139">
        <f t="shared" si="60"/>
        <v>0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12.901823504937795</v>
      </c>
      <c r="FV108" s="149"/>
      <c r="FY108" s="211">
        <v>103</v>
      </c>
      <c r="FZ108">
        <v>29.463069499096257</v>
      </c>
      <c r="GA108">
        <v>46.75561037621528</v>
      </c>
      <c r="GB108">
        <v>47.949039303322067</v>
      </c>
      <c r="GC108">
        <v>26.58616869851522</v>
      </c>
      <c r="GD108">
        <v>13.359807928625075</v>
      </c>
      <c r="GE108">
        <v>22.404926894079114</v>
      </c>
      <c r="GF108">
        <v>51.28095023006977</v>
      </c>
      <c r="GG108">
        <v>36.603949842834915</v>
      </c>
      <c r="GH108">
        <v>14.937273315605577</v>
      </c>
      <c r="GI108">
        <v>37.669267684583779</v>
      </c>
      <c r="GJ108"/>
      <c r="GK108"/>
      <c r="GL108"/>
      <c r="GM108"/>
    </row>
    <row r="109" spans="1:195" s="7" customFormat="1">
      <c r="A109" s="1"/>
      <c r="B109" s="76">
        <f ca="1">IF(C109="", "", RAND())</f>
        <v>0.31667561937598476</v>
      </c>
      <c r="C109">
        <v>3</v>
      </c>
      <c r="D109">
        <v>39714</v>
      </c>
      <c r="E109">
        <v>0</v>
      </c>
      <c r="F109">
        <v>97.65625</v>
      </c>
      <c r="G109">
        <v>97.65625</v>
      </c>
      <c r="H109">
        <v>0</v>
      </c>
      <c r="I109">
        <v>20.833333333333332</v>
      </c>
      <c r="J109">
        <v>93.75</v>
      </c>
      <c r="K109">
        <v>10.416666666666666</v>
      </c>
      <c r="L109">
        <v>20.833333333333332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244.87953129878929</v>
      </c>
      <c r="AO109">
        <v>85.47358579480445</v>
      </c>
      <c r="AP109">
        <v>748.79123291589644</v>
      </c>
      <c r="AQ109">
        <v>604.32165569618905</v>
      </c>
      <c r="AR109">
        <v>83.133959576335101</v>
      </c>
      <c r="AS109">
        <v>412.28871524458094</v>
      </c>
      <c r="AT109">
        <v>45.345291801811356</v>
      </c>
      <c r="AU109">
        <v>-16.419125704397928</v>
      </c>
      <c r="AV109"/>
      <c r="AW109"/>
      <c r="AX109" s="146"/>
      <c r="AY109" s="76">
        <f t="shared" ca="1" si="86"/>
        <v>0.28789904645402142</v>
      </c>
      <c r="AZ109">
        <v>2</v>
      </c>
      <c r="BA109" s="129">
        <f t="shared" ref="BA109:BA117" si="127">IF(AZ109="", "",$C$6)</f>
        <v>39714</v>
      </c>
      <c r="BB109">
        <v>0</v>
      </c>
      <c r="BC109"/>
      <c r="BD109"/>
      <c r="BE109"/>
      <c r="BF109"/>
      <c r="BG109"/>
      <c r="BH109">
        <v>5</v>
      </c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8"/>
        <v>0.83211879453331483</v>
      </c>
      <c r="CL109" s="179">
        <f t="shared" si="89"/>
        <v>2</v>
      </c>
      <c r="CM109" s="180">
        <f t="shared" si="90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0.51877237385475561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0</v>
      </c>
      <c r="DI109" s="161">
        <f t="shared" si="96"/>
        <v>0</v>
      </c>
      <c r="DJ109" s="161">
        <f t="shared" si="97"/>
        <v>0</v>
      </c>
      <c r="DK109" s="161">
        <f t="shared" si="98"/>
        <v>0</v>
      </c>
      <c r="DL109" s="161">
        <f t="shared" si="99"/>
        <v>52.083333333333336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52.083333333333336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</v>
      </c>
      <c r="ES109" s="139">
        <f t="shared" si="57"/>
        <v>0</v>
      </c>
      <c r="ET109" s="139">
        <f t="shared" si="58"/>
        <v>0</v>
      </c>
      <c r="EU109" s="139">
        <f t="shared" si="59"/>
        <v>0</v>
      </c>
      <c r="EV109" s="139">
        <f t="shared" si="60"/>
        <v>40.878773262228798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40.878773262228798</v>
      </c>
      <c r="FV109" s="149"/>
      <c r="FY109" s="211">
        <v>104</v>
      </c>
      <c r="FZ109">
        <v>57.299127227972178</v>
      </c>
      <c r="GA109">
        <v>92.979203534667604</v>
      </c>
      <c r="GB109">
        <v>35.265092155699691</v>
      </c>
      <c r="GC109">
        <v>16.792797070652671</v>
      </c>
      <c r="GD109">
        <v>11.650529033727913</v>
      </c>
      <c r="GE109">
        <v>21.243254749804318</v>
      </c>
      <c r="GF109">
        <v>38.703325522210406</v>
      </c>
      <c r="GG109">
        <v>27.680318117071565</v>
      </c>
      <c r="GH109">
        <v>28.21304253608983</v>
      </c>
      <c r="GI109">
        <v>37.059862871848829</v>
      </c>
      <c r="GJ109"/>
      <c r="GK109"/>
      <c r="GL109"/>
      <c r="GM109"/>
    </row>
    <row r="110" spans="1:195" s="7" customFormat="1">
      <c r="A110" s="1"/>
      <c r="B110" s="76">
        <f ca="1">IF(C110="", "", RAND())</f>
        <v>0.32527249268895631</v>
      </c>
      <c r="C110">
        <v>4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10.416666666666666</v>
      </c>
      <c r="K110">
        <v>20.833333333333332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142.11603276688754</v>
      </c>
      <c r="AO110">
        <v>42.898407376663101</v>
      </c>
      <c r="AP110">
        <v>335.93735408564066</v>
      </c>
      <c r="AQ110">
        <v>257.01528675308941</v>
      </c>
      <c r="AR110">
        <v>43.61450628516635</v>
      </c>
      <c r="AS110">
        <v>208.66970694429881</v>
      </c>
      <c r="AT110">
        <v>21.622087120180414</v>
      </c>
      <c r="AU110">
        <v>11.159404022444669</v>
      </c>
      <c r="AV110"/>
      <c r="AW110"/>
      <c r="AX110" s="146"/>
      <c r="AY110" s="76">
        <f t="shared" ca="1" si="86"/>
        <v>4.069564663359504E-3</v>
      </c>
      <c r="AZ110">
        <v>3</v>
      </c>
      <c r="BA110" s="129">
        <f t="shared" si="127"/>
        <v>39714</v>
      </c>
      <c r="BB110">
        <v>0</v>
      </c>
      <c r="BC110"/>
      <c r="BD110"/>
      <c r="BE110"/>
      <c r="BF110">
        <v>2</v>
      </c>
      <c r="BG110">
        <v>9</v>
      </c>
      <c r="BH110">
        <v>1</v>
      </c>
      <c r="BI110">
        <v>2</v>
      </c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8"/>
        <v>0.67113103378959149</v>
      </c>
      <c r="CL110" s="179">
        <f t="shared" si="89"/>
        <v>3</v>
      </c>
      <c r="CM110" s="180">
        <f t="shared" si="90"/>
        <v>39714</v>
      </c>
      <c r="CN110">
        <v>0</v>
      </c>
      <c r="CO110">
        <v>1</v>
      </c>
      <c r="CP110">
        <v>1</v>
      </c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0.6181838951374008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97.65625</v>
      </c>
      <c r="DH110" s="161">
        <f t="shared" si="95"/>
        <v>97.65625</v>
      </c>
      <c r="DI110" s="161">
        <f t="shared" si="96"/>
        <v>0</v>
      </c>
      <c r="DJ110" s="161">
        <f t="shared" si="97"/>
        <v>20.833333333333332</v>
      </c>
      <c r="DK110" s="161">
        <f t="shared" si="98"/>
        <v>93.75</v>
      </c>
      <c r="DL110" s="161">
        <f t="shared" si="99"/>
        <v>10.416666666666666</v>
      </c>
      <c r="DM110" s="161">
        <f t="shared" si="100"/>
        <v>20.833333333333332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341.14583333333337</v>
      </c>
      <c r="EL110" s="149"/>
      <c r="EN110" s="146"/>
      <c r="EO110" s="146"/>
      <c r="EP110" s="139">
        <f t="shared" si="54"/>
        <v>0</v>
      </c>
      <c r="EQ110" s="139">
        <f t="shared" si="55"/>
        <v>0.58185546874999994</v>
      </c>
      <c r="ER110" s="139">
        <f t="shared" si="56"/>
        <v>3.8443314868906304</v>
      </c>
      <c r="ES110" s="139">
        <f t="shared" si="57"/>
        <v>0</v>
      </c>
      <c r="ET110" s="139">
        <f t="shared" si="58"/>
        <v>5.4185770865187814</v>
      </c>
      <c r="EU110" s="139">
        <f t="shared" si="59"/>
        <v>44.779644905298191</v>
      </c>
      <c r="EV110" s="139">
        <f t="shared" si="60"/>
        <v>8.1757546524457592</v>
      </c>
      <c r="EW110" s="139">
        <f t="shared" si="61"/>
        <v>24.884040573524732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87.6842041734281</v>
      </c>
      <c r="FV110" s="149"/>
      <c r="FY110" s="211">
        <v>105</v>
      </c>
      <c r="FZ110">
        <v>31.583072221945031</v>
      </c>
      <c r="GA110">
        <v>38.720988415741516</v>
      </c>
      <c r="GB110">
        <v>47.784394965746735</v>
      </c>
      <c r="GC110">
        <v>26.958168211207933</v>
      </c>
      <c r="GD110">
        <v>18.964803578952822</v>
      </c>
      <c r="GE110">
        <v>38.29275012314239</v>
      </c>
      <c r="GF110">
        <v>28.027466644053931</v>
      </c>
      <c r="GG110">
        <v>9.9636035309397677</v>
      </c>
      <c r="GH110">
        <v>24.25998546774467</v>
      </c>
      <c r="GI110">
        <v>38.200686828523239</v>
      </c>
      <c r="GJ110"/>
      <c r="GK110"/>
      <c r="GL110"/>
      <c r="GM110"/>
    </row>
    <row r="111" spans="1:195" s="7" customFormat="1">
      <c r="A111" s="1"/>
      <c r="B111" s="76">
        <f ca="1">IF(C111="", "", RAND())</f>
        <v>0.75518637896431828</v>
      </c>
      <c r="C111">
        <v>9</v>
      </c>
      <c r="D111">
        <v>39714</v>
      </c>
      <c r="E111">
        <v>0</v>
      </c>
      <c r="F111">
        <v>201.61290322580646</v>
      </c>
      <c r="G111">
        <v>201.61290322580646</v>
      </c>
      <c r="H111">
        <v>10.416666666666666</v>
      </c>
      <c r="I111">
        <v>0</v>
      </c>
      <c r="J111">
        <v>83.333333333333329</v>
      </c>
      <c r="K111">
        <v>72.916666666666671</v>
      </c>
      <c r="L111">
        <v>0</v>
      </c>
      <c r="M111">
        <v>10.416666666666666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243.26565706642299</v>
      </c>
      <c r="AO111">
        <v>61.795088027450689</v>
      </c>
      <c r="AP111">
        <v>483.73372887509004</v>
      </c>
      <c r="AQ111">
        <v>370.13067382395292</v>
      </c>
      <c r="AR111">
        <v>59.688281888078222</v>
      </c>
      <c r="AS111">
        <v>304.02524793724666</v>
      </c>
      <c r="AT111">
        <v>27.636331422479159</v>
      </c>
      <c r="AU111">
        <v>16.875878808746911</v>
      </c>
      <c r="AV111"/>
      <c r="AW111"/>
      <c r="AX111" s="146"/>
      <c r="AY111" s="76">
        <f t="shared" ca="1" si="86"/>
        <v>0.48455496494387873</v>
      </c>
      <c r="AZ111">
        <v>4</v>
      </c>
      <c r="BA111" s="129">
        <f t="shared" si="127"/>
        <v>39714</v>
      </c>
      <c r="BB111">
        <v>0</v>
      </c>
      <c r="BC111"/>
      <c r="BD111"/>
      <c r="BE111"/>
      <c r="BF111"/>
      <c r="BG111">
        <v>1</v>
      </c>
      <c r="BH111">
        <v>2</v>
      </c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8"/>
        <v>0.14083640098792838</v>
      </c>
      <c r="CL111" s="179">
        <f t="shared" si="89"/>
        <v>4</v>
      </c>
      <c r="CM111" s="180">
        <f t="shared" si="90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0.40020369396775113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0</v>
      </c>
      <c r="DI111" s="161">
        <f t="shared" si="96"/>
        <v>0</v>
      </c>
      <c r="DJ111" s="161">
        <f t="shared" si="97"/>
        <v>0</v>
      </c>
      <c r="DK111" s="161">
        <f t="shared" si="98"/>
        <v>10.416666666666666</v>
      </c>
      <c r="DL111" s="161">
        <f t="shared" si="99"/>
        <v>20.833333333333332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31.25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</v>
      </c>
      <c r="ES111" s="139">
        <f t="shared" si="57"/>
        <v>0</v>
      </c>
      <c r="ET111" s="139">
        <f t="shared" si="58"/>
        <v>0</v>
      </c>
      <c r="EU111" s="139">
        <f t="shared" si="59"/>
        <v>4.9755161005886874</v>
      </c>
      <c r="EV111" s="139">
        <f t="shared" si="60"/>
        <v>16.351509304891518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21.327025405480207</v>
      </c>
      <c r="FV111" s="149"/>
      <c r="FY111" s="211">
        <v>106</v>
      </c>
      <c r="FZ111">
        <v>36.350925063248475</v>
      </c>
      <c r="GA111">
        <v>49.014685885050682</v>
      </c>
      <c r="GB111">
        <v>51.551332311819635</v>
      </c>
      <c r="GC111">
        <v>24.384404755790403</v>
      </c>
      <c r="GD111">
        <v>10.953974653508729</v>
      </c>
      <c r="GE111">
        <v>24.464783792771634</v>
      </c>
      <c r="GF111">
        <v>41.931171165126486</v>
      </c>
      <c r="GG111">
        <v>24.994352602879701</v>
      </c>
      <c r="GH111">
        <v>20.56873319221085</v>
      </c>
      <c r="GI111">
        <v>37.138964172488215</v>
      </c>
      <c r="GJ111"/>
      <c r="GK111"/>
      <c r="GL111"/>
      <c r="GM111"/>
    </row>
    <row r="112" spans="1:195" s="7" customFormat="1">
      <c r="A112" s="1"/>
      <c r="B112" s="76">
        <f ca="1">IF(C112="", "", RAND())</f>
        <v>0.56164410657631469</v>
      </c>
      <c r="C112">
        <v>10</v>
      </c>
      <c r="D112">
        <v>39714</v>
      </c>
      <c r="E112">
        <v>0</v>
      </c>
      <c r="F112">
        <v>0</v>
      </c>
      <c r="G112">
        <v>89.285714285714278</v>
      </c>
      <c r="H112">
        <v>0</v>
      </c>
      <c r="I112">
        <v>10.416666666666666</v>
      </c>
      <c r="J112">
        <v>62.5</v>
      </c>
      <c r="K112">
        <v>31.25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187.12808658961998</v>
      </c>
      <c r="AO112">
        <v>55.160667151801043</v>
      </c>
      <c r="AP112">
        <v>399.61368734475394</v>
      </c>
      <c r="AQ112">
        <v>317.14159593482617</v>
      </c>
      <c r="AR112">
        <v>55.108718187655157</v>
      </c>
      <c r="AS112">
        <v>279.34974365934175</v>
      </c>
      <c r="AT112">
        <v>24.885321235711071</v>
      </c>
      <c r="AU112">
        <v>48.323684972507472</v>
      </c>
      <c r="AV112"/>
      <c r="AW112"/>
      <c r="AX112" s="146"/>
      <c r="AY112" s="76">
        <f t="shared" ca="1" si="86"/>
        <v>0.60132829683721134</v>
      </c>
      <c r="AZ112">
        <v>5</v>
      </c>
      <c r="BA112" s="129">
        <f t="shared" si="127"/>
        <v>39714</v>
      </c>
      <c r="BB112">
        <v>0</v>
      </c>
      <c r="BC112"/>
      <c r="BD112"/>
      <c r="BE112"/>
      <c r="BF112">
        <v>2</v>
      </c>
      <c r="BG112">
        <v>3</v>
      </c>
      <c r="BH112">
        <v>7</v>
      </c>
      <c r="BI112">
        <v>1</v>
      </c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8"/>
        <v>0.58973748444085117</v>
      </c>
      <c r="CL112" s="179">
        <f t="shared" si="89"/>
        <v>5</v>
      </c>
      <c r="CM112" s="180">
        <f t="shared" si="90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0.63890993663506346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0</v>
      </c>
      <c r="DJ112" s="161">
        <f t="shared" si="97"/>
        <v>20.833333333333332</v>
      </c>
      <c r="DK112" s="161">
        <f t="shared" si="98"/>
        <v>31.25</v>
      </c>
      <c r="DL112" s="161">
        <f t="shared" si="99"/>
        <v>72.916666666666671</v>
      </c>
      <c r="DM112" s="161">
        <f t="shared" si="100"/>
        <v>10.416666666666666</v>
      </c>
      <c r="DN112" s="161">
        <f t="shared" si="101"/>
        <v>0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135.41666666666666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0</v>
      </c>
      <c r="ET112" s="139">
        <f t="shared" si="58"/>
        <v>5.4185770865187814</v>
      </c>
      <c r="EU112" s="139">
        <f t="shared" si="59"/>
        <v>14.926548301766063</v>
      </c>
      <c r="EV112" s="139">
        <f t="shared" si="60"/>
        <v>57.230282567120319</v>
      </c>
      <c r="EW112" s="139">
        <f t="shared" si="61"/>
        <v>12.442020286762366</v>
      </c>
      <c r="EX112" s="139">
        <f t="shared" si="62"/>
        <v>0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90.01742824216754</v>
      </c>
      <c r="FV112" s="149"/>
      <c r="FY112" s="211">
        <v>107</v>
      </c>
      <c r="FZ112">
        <v>167.29110321619345</v>
      </c>
      <c r="GA112">
        <v>176.51040591124337</v>
      </c>
      <c r="GB112">
        <v>49.561297995273279</v>
      </c>
      <c r="GC112">
        <v>35.273695470469704</v>
      </c>
      <c r="GD112">
        <v>23.101284322198289</v>
      </c>
      <c r="GE112">
        <v>34.313102458983067</v>
      </c>
      <c r="GF112">
        <v>46.590217750713194</v>
      </c>
      <c r="GG112">
        <v>33.192179158001736</v>
      </c>
      <c r="GH112">
        <v>26.750751989789805</v>
      </c>
      <c r="GI112">
        <v>65.38735568325427</v>
      </c>
      <c r="GJ112"/>
      <c r="GK112"/>
      <c r="GL112"/>
      <c r="GM112"/>
    </row>
    <row r="113" spans="1:195" s="7" customFormat="1">
      <c r="A113" s="1"/>
      <c r="B113" s="76">
        <f ca="1">IF(C113="", "", RAND())</f>
        <v>0.50533810174115734</v>
      </c>
      <c r="C113">
        <v>2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52.083333333333336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170.9372441157837</v>
      </c>
      <c r="AO113">
        <v>46.943530100766949</v>
      </c>
      <c r="AP113">
        <v>324.25333464389109</v>
      </c>
      <c r="AQ113">
        <v>258.05683962717154</v>
      </c>
      <c r="AR113">
        <v>45.243726834475069</v>
      </c>
      <c r="AS113">
        <v>212.00705260887827</v>
      </c>
      <c r="AT113">
        <v>20.752603090082747</v>
      </c>
      <c r="AU113">
        <v>-11.408719311997686</v>
      </c>
      <c r="AV113"/>
      <c r="AW113"/>
      <c r="AX113" s="146"/>
      <c r="AY113" s="76">
        <f t="shared" ca="1" si="86"/>
        <v>0.16447093317213568</v>
      </c>
      <c r="AZ113">
        <v>6</v>
      </c>
      <c r="BA113" s="129">
        <f t="shared" si="127"/>
        <v>39714</v>
      </c>
      <c r="BB113">
        <v>0</v>
      </c>
      <c r="BC113"/>
      <c r="BD113"/>
      <c r="BE113"/>
      <c r="BF113">
        <v>1</v>
      </c>
      <c r="BG113">
        <v>1</v>
      </c>
      <c r="BH113">
        <v>1</v>
      </c>
      <c r="BI113">
        <v>2</v>
      </c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8"/>
        <v>0.26148487011758403</v>
      </c>
      <c r="CL113" s="179">
        <f t="shared" si="89"/>
        <v>6</v>
      </c>
      <c r="CM113" s="180">
        <f t="shared" si="90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0.1174466702851289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0</v>
      </c>
      <c r="DJ113" s="161">
        <f t="shared" si="97"/>
        <v>10.416666666666666</v>
      </c>
      <c r="DK113" s="161">
        <f t="shared" si="98"/>
        <v>10.416666666666666</v>
      </c>
      <c r="DL113" s="161">
        <f t="shared" si="99"/>
        <v>10.416666666666666</v>
      </c>
      <c r="DM113" s="161">
        <f t="shared" si="100"/>
        <v>20.833333333333332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52.083333333333329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0</v>
      </c>
      <c r="ET113" s="139">
        <f t="shared" si="58"/>
        <v>2.7092885432593907</v>
      </c>
      <c r="EU113" s="139">
        <f t="shared" si="59"/>
        <v>4.9755161005886874</v>
      </c>
      <c r="EV113" s="139">
        <f t="shared" si="60"/>
        <v>8.1757546524457592</v>
      </c>
      <c r="EW113" s="139">
        <f t="shared" si="61"/>
        <v>24.884040573524732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40.744599869818572</v>
      </c>
      <c r="FV113" s="149"/>
      <c r="FY113" s="211">
        <v>108</v>
      </c>
      <c r="FZ113">
        <v>73.074297047371275</v>
      </c>
      <c r="GA113">
        <v>102.47743468939335</v>
      </c>
      <c r="GB113">
        <v>55.080874017270872</v>
      </c>
      <c r="GC113">
        <v>29.935623168523097</v>
      </c>
      <c r="GD113">
        <v>17.273070080917069</v>
      </c>
      <c r="GE113">
        <v>25.096992793358574</v>
      </c>
      <c r="GF113">
        <v>32.48528687165291</v>
      </c>
      <c r="GG113">
        <v>23.556249699959402</v>
      </c>
      <c r="GH113">
        <v>17.46172029249243</v>
      </c>
      <c r="GI113">
        <v>45.214215327727473</v>
      </c>
      <c r="GJ113"/>
      <c r="GK113"/>
      <c r="GL113"/>
      <c r="GM113"/>
    </row>
    <row r="114" spans="1:195" s="7" customFormat="1">
      <c r="A114" s="1"/>
      <c r="B114" s="76">
        <f ca="1">IF(C114="", "", RAND())</f>
        <v>0.92032993569464727</v>
      </c>
      <c r="C114">
        <v>8</v>
      </c>
      <c r="D114">
        <v>39714</v>
      </c>
      <c r="E114">
        <v>0</v>
      </c>
      <c r="F114">
        <v>0</v>
      </c>
      <c r="G114">
        <v>0</v>
      </c>
      <c r="H114">
        <v>10.416666666666666</v>
      </c>
      <c r="I114">
        <v>0</v>
      </c>
      <c r="J114">
        <v>31.25</v>
      </c>
      <c r="K114">
        <v>62.5</v>
      </c>
      <c r="L114">
        <v>0</v>
      </c>
      <c r="M114">
        <v>31.25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202.06578101423415</v>
      </c>
      <c r="AO114">
        <v>55.49483736665703</v>
      </c>
      <c r="AP114">
        <v>416.81565481743678</v>
      </c>
      <c r="AQ114">
        <v>329.78136081776836</v>
      </c>
      <c r="AR114">
        <v>55.714013467533889</v>
      </c>
      <c r="AS114">
        <v>270.22144208408594</v>
      </c>
      <c r="AT114">
        <v>26.038026120444925</v>
      </c>
      <c r="AU114">
        <v>20.282663704849675</v>
      </c>
      <c r="AV114"/>
      <c r="AW114"/>
      <c r="AX114" s="146"/>
      <c r="AY114" s="76">
        <f t="shared" ca="1" si="86"/>
        <v>0.61153394694796193</v>
      </c>
      <c r="AZ114">
        <v>7</v>
      </c>
      <c r="BA114" s="129">
        <f t="shared" si="127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8"/>
        <v>0.30456768979622684</v>
      </c>
      <c r="CL114" s="179">
        <f t="shared" si="89"/>
        <v>7</v>
      </c>
      <c r="CM114" s="180">
        <f t="shared" si="90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0.75357784023960983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1">
        <v>109</v>
      </c>
      <c r="FZ114">
        <v>75.292518994799337</v>
      </c>
      <c r="GA114">
        <v>85.284351219567682</v>
      </c>
      <c r="GB114">
        <v>33.844247969819101</v>
      </c>
      <c r="GC114">
        <v>23.838370702441122</v>
      </c>
      <c r="GD114">
        <v>15.76860643905078</v>
      </c>
      <c r="GE114">
        <v>24.94840423458762</v>
      </c>
      <c r="GF114">
        <v>55.804631794153011</v>
      </c>
      <c r="GG114">
        <v>41.697557374155544</v>
      </c>
      <c r="GH114">
        <v>21.490105317143222</v>
      </c>
      <c r="GI114">
        <v>44.375211925625592</v>
      </c>
      <c r="GJ114"/>
      <c r="GK114"/>
      <c r="GL114"/>
      <c r="GM114"/>
    </row>
    <row r="115" spans="1:195" s="7" customFormat="1">
      <c r="A115" s="1"/>
      <c r="B115" s="76">
        <f ca="1">IF(C115="", "", RAND())</f>
        <v>0.53355384606538192</v>
      </c>
      <c r="C115">
        <v>6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10.416666666666666</v>
      </c>
      <c r="J115">
        <v>10.416666666666666</v>
      </c>
      <c r="K115">
        <v>10.416666666666666</v>
      </c>
      <c r="L115">
        <v>20.833333333333332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218.36722521207633</v>
      </c>
      <c r="AO115">
        <v>73.314174660482223</v>
      </c>
      <c r="AP115">
        <v>573.9602798399593</v>
      </c>
      <c r="AQ115">
        <v>456.27587657120876</v>
      </c>
      <c r="AR115">
        <v>72.052420517670356</v>
      </c>
      <c r="AS115">
        <v>328.8423488587668</v>
      </c>
      <c r="AT115">
        <v>36.900603308603202</v>
      </c>
      <c r="AU115">
        <v>21.582417745323347</v>
      </c>
      <c r="AV115"/>
      <c r="AW115"/>
      <c r="AX115" s="146"/>
      <c r="AY115" s="76">
        <f t="shared" ca="1" si="86"/>
        <v>0.44384544895510647</v>
      </c>
      <c r="AZ115">
        <v>8</v>
      </c>
      <c r="BA115" s="129">
        <f t="shared" si="127"/>
        <v>39714</v>
      </c>
      <c r="BB115">
        <v>0</v>
      </c>
      <c r="BC115"/>
      <c r="BD115"/>
      <c r="BE115">
        <v>1</v>
      </c>
      <c r="BF115"/>
      <c r="BG115">
        <v>3</v>
      </c>
      <c r="BH115">
        <v>6</v>
      </c>
      <c r="BI115"/>
      <c r="BJ115">
        <v>3</v>
      </c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8"/>
        <v>0.19539148366315851</v>
      </c>
      <c r="CL115" s="179">
        <f t="shared" si="89"/>
        <v>8</v>
      </c>
      <c r="CM115" s="180">
        <f t="shared" si="90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0.44137048230743581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0</v>
      </c>
      <c r="DI115" s="161">
        <f t="shared" si="96"/>
        <v>10.416666666666666</v>
      </c>
      <c r="DJ115" s="161">
        <f t="shared" si="97"/>
        <v>0</v>
      </c>
      <c r="DK115" s="161">
        <f t="shared" si="98"/>
        <v>31.25</v>
      </c>
      <c r="DL115" s="161">
        <f t="shared" si="99"/>
        <v>62.5</v>
      </c>
      <c r="DM115" s="161">
        <f t="shared" si="100"/>
        <v>0</v>
      </c>
      <c r="DN115" s="161">
        <f t="shared" si="101"/>
        <v>31.25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135.41666666666666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</v>
      </c>
      <c r="ES115" s="139">
        <f t="shared" si="57"/>
        <v>1.2374342774304989</v>
      </c>
      <c r="ET115" s="139">
        <f t="shared" si="58"/>
        <v>0</v>
      </c>
      <c r="EU115" s="139">
        <f t="shared" si="59"/>
        <v>14.926548301766063</v>
      </c>
      <c r="EV115" s="139">
        <f t="shared" si="60"/>
        <v>49.054527914674559</v>
      </c>
      <c r="EW115" s="139">
        <f t="shared" si="61"/>
        <v>0</v>
      </c>
      <c r="EX115" s="139">
        <f t="shared" si="62"/>
        <v>53.700981497859892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118.91949199173101</v>
      </c>
      <c r="FV115" s="149"/>
      <c r="FY115" s="211">
        <v>110</v>
      </c>
      <c r="FZ115">
        <v>26.408027872142277</v>
      </c>
      <c r="GA115">
        <v>40.885953472988746</v>
      </c>
      <c r="GB115">
        <v>51.208869591700307</v>
      </c>
      <c r="GC115">
        <v>26.854897934921819</v>
      </c>
      <c r="GD115">
        <v>13.780004976258947</v>
      </c>
      <c r="GE115">
        <v>27.939259734462375</v>
      </c>
      <c r="GF115">
        <v>37.478929376815771</v>
      </c>
      <c r="GG115">
        <v>17.976730414808326</v>
      </c>
      <c r="GH115">
        <v>20.034565594846391</v>
      </c>
      <c r="GI115">
        <v>36.222189356174347</v>
      </c>
      <c r="GJ115"/>
      <c r="GK115"/>
      <c r="GL115"/>
      <c r="GM115"/>
    </row>
    <row r="116" spans="1:195" s="7" customFormat="1">
      <c r="A116" s="1"/>
      <c r="B116" s="76">
        <f ca="1">IF(C116="", "", RAND())</f>
        <v>0.25930929199765096</v>
      </c>
      <c r="C116">
        <v>7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168.55469182690504</v>
      </c>
      <c r="AO116">
        <v>61.3615994318925</v>
      </c>
      <c r="AP116">
        <v>554.77085027053045</v>
      </c>
      <c r="AQ116">
        <v>445.03734788547331</v>
      </c>
      <c r="AR116">
        <v>61.494459862039569</v>
      </c>
      <c r="AS116">
        <v>288.76322107414813</v>
      </c>
      <c r="AT116">
        <v>36.087723278325527</v>
      </c>
      <c r="AU116">
        <v>13.002269299266445</v>
      </c>
      <c r="AV116"/>
      <c r="AW116"/>
      <c r="AX116" s="146"/>
      <c r="AY116" s="76">
        <f t="shared" ca="1" si="86"/>
        <v>0.25499719326079817</v>
      </c>
      <c r="AZ116">
        <v>9</v>
      </c>
      <c r="BA116" s="129">
        <f t="shared" si="127"/>
        <v>39714</v>
      </c>
      <c r="BB116">
        <v>0</v>
      </c>
      <c r="BC116"/>
      <c r="BD116"/>
      <c r="BE116">
        <v>1</v>
      </c>
      <c r="BF116"/>
      <c r="BG116">
        <v>8</v>
      </c>
      <c r="BH116">
        <v>7</v>
      </c>
      <c r="BI116"/>
      <c r="BJ116">
        <v>1</v>
      </c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8"/>
        <v>0.10139424450807244</v>
      </c>
      <c r="CL116" s="179">
        <f t="shared" si="89"/>
        <v>9</v>
      </c>
      <c r="CM116" s="180">
        <f t="shared" si="90"/>
        <v>39714</v>
      </c>
      <c r="CN116" s="221">
        <v>0</v>
      </c>
      <c r="CO116" s="221">
        <v>2</v>
      </c>
      <c r="CP116" s="221">
        <v>2</v>
      </c>
      <c r="CQ116" s="221"/>
      <c r="CR116" s="221"/>
      <c r="CS116" s="221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6.4591042442773805E-2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201.61290322580646</v>
      </c>
      <c r="DH116" s="161">
        <f t="shared" si="95"/>
        <v>201.61290322580646</v>
      </c>
      <c r="DI116" s="161">
        <f t="shared" si="96"/>
        <v>10.416666666666666</v>
      </c>
      <c r="DJ116" s="161">
        <f t="shared" si="97"/>
        <v>0</v>
      </c>
      <c r="DK116" s="161">
        <f t="shared" si="98"/>
        <v>83.333333333333329</v>
      </c>
      <c r="DL116" s="161">
        <f t="shared" si="99"/>
        <v>72.916666666666671</v>
      </c>
      <c r="DM116" s="161">
        <f t="shared" si="100"/>
        <v>0</v>
      </c>
      <c r="DN116" s="161">
        <f t="shared" si="101"/>
        <v>10.416666666666666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580.30913978494618</v>
      </c>
      <c r="EL116" s="149"/>
      <c r="EN116" s="146"/>
      <c r="EO116" s="146"/>
      <c r="EP116" s="139">
        <f t="shared" si="54"/>
        <v>0</v>
      </c>
      <c r="EQ116" s="139">
        <f t="shared" si="55"/>
        <v>1.2012499999999999</v>
      </c>
      <c r="ER116" s="139">
        <f t="shared" si="56"/>
        <v>7.9366843600322694</v>
      </c>
      <c r="ES116" s="139">
        <f t="shared" si="57"/>
        <v>1.2374342774304989</v>
      </c>
      <c r="ET116" s="139">
        <f t="shared" si="58"/>
        <v>0</v>
      </c>
      <c r="EU116" s="139">
        <f t="shared" si="59"/>
        <v>39.804128804709499</v>
      </c>
      <c r="EV116" s="139">
        <f t="shared" si="60"/>
        <v>57.230282567120319</v>
      </c>
      <c r="EW116" s="139">
        <f t="shared" si="61"/>
        <v>0</v>
      </c>
      <c r="EX116" s="139">
        <f t="shared" si="62"/>
        <v>17.900327165953296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125.31010717524588</v>
      </c>
      <c r="FV116" s="149"/>
      <c r="FY116" s="211">
        <v>111</v>
      </c>
      <c r="FZ116">
        <v>75.447761645946116</v>
      </c>
      <c r="GA116">
        <v>106.55306017784363</v>
      </c>
      <c r="GB116">
        <v>57.969573179655093</v>
      </c>
      <c r="GC116">
        <v>27.4791466047865</v>
      </c>
      <c r="GD116">
        <v>15.245898167305752</v>
      </c>
      <c r="GE116">
        <v>28.535468026753879</v>
      </c>
      <c r="GF116">
        <v>64.451125791757676</v>
      </c>
      <c r="GG116">
        <v>49.711767023320384</v>
      </c>
      <c r="GH116">
        <v>31.288487877817374</v>
      </c>
      <c r="GI116">
        <v>53.396521135645521</v>
      </c>
      <c r="GJ116"/>
      <c r="GK116"/>
      <c r="GL116"/>
      <c r="GM116"/>
    </row>
    <row r="117" spans="1:195" s="7" customFormat="1">
      <c r="A117" s="1"/>
      <c r="B117" s="76">
        <f ca="1">IF(C117="", "", RAND())</f>
        <v>0.79507542109415708</v>
      </c>
      <c r="C117">
        <v>1</v>
      </c>
      <c r="D117">
        <v>39714</v>
      </c>
      <c r="E117">
        <v>0</v>
      </c>
      <c r="F117">
        <v>65.104166666666671</v>
      </c>
      <c r="G117">
        <v>65.104166666666671</v>
      </c>
      <c r="H117">
        <v>0</v>
      </c>
      <c r="I117">
        <v>0</v>
      </c>
      <c r="J117">
        <v>20.833333333333332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230.51116619860028</v>
      </c>
      <c r="AO117">
        <v>68.861422697085828</v>
      </c>
      <c r="AP117">
        <v>556.07503974670215</v>
      </c>
      <c r="AQ117">
        <v>439.28712369727396</v>
      </c>
      <c r="AR117">
        <v>67.78564246101017</v>
      </c>
      <c r="AS117">
        <v>316.3012308886772</v>
      </c>
      <c r="AT117">
        <v>32.839226626177457</v>
      </c>
      <c r="AU117">
        <v>30.440635130057487</v>
      </c>
      <c r="AV117"/>
      <c r="AW117"/>
      <c r="AX117" s="146"/>
      <c r="AY117" s="76">
        <f t="shared" ca="1" si="86"/>
        <v>0.65620806276848054</v>
      </c>
      <c r="AZ117">
        <v>10</v>
      </c>
      <c r="BA117" s="129">
        <f t="shared" si="127"/>
        <v>39714</v>
      </c>
      <c r="BB117">
        <v>0</v>
      </c>
      <c r="BC117"/>
      <c r="BD117"/>
      <c r="BE117"/>
      <c r="BF117">
        <v>1</v>
      </c>
      <c r="BG117">
        <v>6</v>
      </c>
      <c r="BH117">
        <v>3</v>
      </c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8"/>
        <v>0.13646220926709418</v>
      </c>
      <c r="CL117" s="179">
        <f t="shared" si="89"/>
        <v>10</v>
      </c>
      <c r="CM117" s="180">
        <f t="shared" si="90"/>
        <v>39714</v>
      </c>
      <c r="CN117">
        <v>0</v>
      </c>
      <c r="CO117"/>
      <c r="CP117">
        <v>1</v>
      </c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0.72338735461544346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0</v>
      </c>
      <c r="DH117" s="161">
        <f t="shared" si="95"/>
        <v>89.285714285714278</v>
      </c>
      <c r="DI117" s="161">
        <f t="shared" si="96"/>
        <v>0</v>
      </c>
      <c r="DJ117" s="161">
        <f t="shared" si="97"/>
        <v>10.416666666666666</v>
      </c>
      <c r="DK117" s="161">
        <f t="shared" si="98"/>
        <v>62.5</v>
      </c>
      <c r="DL117" s="161">
        <f t="shared" si="99"/>
        <v>31.25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193.45238095238096</v>
      </c>
      <c r="EL117" s="149"/>
      <c r="EN117" s="146"/>
      <c r="EO117" s="146"/>
      <c r="EP117" s="139">
        <f t="shared" si="54"/>
        <v>0</v>
      </c>
      <c r="EQ117" s="139">
        <f t="shared" si="55"/>
        <v>0</v>
      </c>
      <c r="ER117" s="139">
        <f t="shared" si="56"/>
        <v>3.5148173594428616</v>
      </c>
      <c r="ES117" s="139">
        <f t="shared" si="57"/>
        <v>0</v>
      </c>
      <c r="ET117" s="139">
        <f t="shared" si="58"/>
        <v>2.7092885432593907</v>
      </c>
      <c r="EU117" s="139">
        <f t="shared" si="59"/>
        <v>29.853096603532126</v>
      </c>
      <c r="EV117" s="139">
        <f t="shared" si="60"/>
        <v>24.527263957337279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60.604466463571654</v>
      </c>
      <c r="FV117" s="149"/>
      <c r="FY117" s="211">
        <v>112</v>
      </c>
      <c r="FZ117">
        <v>84.97963217848104</v>
      </c>
      <c r="GA117">
        <v>100.0339111534158</v>
      </c>
      <c r="GB117">
        <v>44.887565655291745</v>
      </c>
      <c r="GC117">
        <v>28.705038583341572</v>
      </c>
      <c r="GD117">
        <v>16.558173711401935</v>
      </c>
      <c r="GE117">
        <v>22.101697209849505</v>
      </c>
      <c r="GF117">
        <v>61.305437683004314</v>
      </c>
      <c r="GG117">
        <v>40.063472373258293</v>
      </c>
      <c r="GH117">
        <v>9.4196705374933245</v>
      </c>
      <c r="GI117">
        <v>48.112122428817827</v>
      </c>
      <c r="GJ117"/>
      <c r="GK117"/>
      <c r="GL117"/>
      <c r="GM117"/>
    </row>
    <row r="118" spans="1:195" s="7" customFormat="1">
      <c r="A118" s="128"/>
      <c r="B118" s="76">
        <f ca="1">IF(C118="", "", RAND())</f>
        <v>3.7611143777423806E-2</v>
      </c>
      <c r="C118">
        <v>10</v>
      </c>
      <c r="D118">
        <v>39747</v>
      </c>
      <c r="E118">
        <v>0</v>
      </c>
      <c r="F118">
        <v>195.3125</v>
      </c>
      <c r="G118">
        <v>130.20833333333334</v>
      </c>
      <c r="H118">
        <v>0</v>
      </c>
      <c r="I118">
        <v>130.20833333333334</v>
      </c>
      <c r="J118">
        <v>10.416666666666666</v>
      </c>
      <c r="K118">
        <v>72.916666666666671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156.02435527101798</v>
      </c>
      <c r="AO118">
        <v>51.419280531250934</v>
      </c>
      <c r="AP118">
        <v>361.2235828998879</v>
      </c>
      <c r="AQ118">
        <v>287.18161440511852</v>
      </c>
      <c r="AR118">
        <v>51.309334425836816</v>
      </c>
      <c r="AS118">
        <v>245.9537795428289</v>
      </c>
      <c r="AT118">
        <v>24.739557157740332</v>
      </c>
      <c r="AU118">
        <v>-2.5144106864979747</v>
      </c>
      <c r="AV118"/>
      <c r="AW118"/>
      <c r="AX118" s="128"/>
      <c r="AY118" s="76">
        <f t="shared" ca="1" si="86"/>
        <v>0.59864495305902299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8"/>
        <v>0.48127800982992075</v>
      </c>
      <c r="CL118" s="179">
        <f t="shared" si="89"/>
        <v>1</v>
      </c>
      <c r="CM118" s="180">
        <f t="shared" si="90"/>
        <v>39747</v>
      </c>
      <c r="CN118">
        <v>0</v>
      </c>
      <c r="CO118"/>
      <c r="CP118"/>
      <c r="CQ118">
        <v>1</v>
      </c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3.2396406339917583E-2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0</v>
      </c>
      <c r="DH118" s="161">
        <f t="shared" si="95"/>
        <v>0</v>
      </c>
      <c r="DI118" s="161">
        <f t="shared" si="96"/>
        <v>86.805555555555557</v>
      </c>
      <c r="DJ118" s="161">
        <f t="shared" si="97"/>
        <v>0</v>
      </c>
      <c r="DK118" s="161">
        <f t="shared" si="98"/>
        <v>0</v>
      </c>
      <c r="DL118" s="161">
        <f t="shared" si="99"/>
        <v>0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86.805555555555557</v>
      </c>
      <c r="EL118" s="149"/>
      <c r="EN118" s="146"/>
      <c r="EO118" s="146"/>
      <c r="EP118" s="139">
        <f t="shared" si="54"/>
        <v>0</v>
      </c>
      <c r="EQ118" s="139">
        <f t="shared" si="55"/>
        <v>0</v>
      </c>
      <c r="ER118" s="139">
        <f t="shared" si="56"/>
        <v>0</v>
      </c>
      <c r="ES118" s="139">
        <f t="shared" si="57"/>
        <v>10.311952311920825</v>
      </c>
      <c r="ET118" s="139">
        <f t="shared" si="58"/>
        <v>0</v>
      </c>
      <c r="EU118" s="139">
        <f t="shared" si="59"/>
        <v>0</v>
      </c>
      <c r="EV118" s="139">
        <f t="shared" si="60"/>
        <v>0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10.311952311920825</v>
      </c>
      <c r="FV118" s="149"/>
      <c r="FY118" s="211">
        <v>113</v>
      </c>
      <c r="FZ118">
        <v>33.675533821803526</v>
      </c>
      <c r="GA118">
        <v>50.299782345246065</v>
      </c>
      <c r="GB118">
        <v>41.779281887384904</v>
      </c>
      <c r="GC118">
        <v>21.131586049630904</v>
      </c>
      <c r="GD118">
        <v>11.511472192590334</v>
      </c>
      <c r="GE118">
        <v>19.013114392686482</v>
      </c>
      <c r="GF118">
        <v>37.452370709156206</v>
      </c>
      <c r="GG118">
        <v>30.674694263742232</v>
      </c>
      <c r="GH118">
        <v>21.858067108697711</v>
      </c>
      <c r="GI118">
        <v>34.058236719915605</v>
      </c>
      <c r="GJ118"/>
      <c r="GK118"/>
      <c r="GL118"/>
      <c r="GM118"/>
    </row>
    <row r="119" spans="1:195" s="7" customFormat="1">
      <c r="A119" s="1"/>
      <c r="B119" s="76">
        <f ca="1">IF(C119="", "", RAND())</f>
        <v>0.54407287509943547</v>
      </c>
      <c r="C119">
        <v>3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183.49938141225095</v>
      </c>
      <c r="AO119">
        <v>56.452111759556843</v>
      </c>
      <c r="AP119">
        <v>428.49233432450325</v>
      </c>
      <c r="AQ119">
        <v>327.01006377294709</v>
      </c>
      <c r="AR119">
        <v>53.93688970520725</v>
      </c>
      <c r="AS119">
        <v>263.72726943621268</v>
      </c>
      <c r="AT119">
        <v>24.856341193647612</v>
      </c>
      <c r="AU119">
        <v>-0.38292621286426964</v>
      </c>
      <c r="AV119"/>
      <c r="AW119"/>
      <c r="AX119" s="146"/>
      <c r="AY119" s="76">
        <f t="shared" ca="1" si="86"/>
        <v>0.33171008881746999</v>
      </c>
      <c r="AZ119">
        <v>2</v>
      </c>
      <c r="BA119" s="129">
        <f t="shared" ref="BA119:BA127" si="129">IF(AZ119="", "",$C$7)</f>
        <v>39747</v>
      </c>
      <c r="BB119">
        <v>0</v>
      </c>
      <c r="BC119"/>
      <c r="BD119"/>
      <c r="BE119">
        <v>1</v>
      </c>
      <c r="BF119">
        <v>1</v>
      </c>
      <c r="BG119">
        <v>6</v>
      </c>
      <c r="BH119">
        <v>5</v>
      </c>
      <c r="BI119"/>
      <c r="BJ119">
        <v>1</v>
      </c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8"/>
        <v>0.48833456490447102</v>
      </c>
      <c r="CL119" s="179">
        <f t="shared" si="89"/>
        <v>2</v>
      </c>
      <c r="CM119" s="180">
        <f t="shared" si="90"/>
        <v>39747</v>
      </c>
      <c r="CN119">
        <v>0</v>
      </c>
      <c r="CO119"/>
      <c r="CP119"/>
      <c r="CQ119">
        <v>2</v>
      </c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0.84397341321005981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0</v>
      </c>
      <c r="DI119" s="161">
        <f t="shared" si="96"/>
        <v>208.33333333333334</v>
      </c>
      <c r="DJ119" s="161">
        <f t="shared" si="97"/>
        <v>26.041666666666668</v>
      </c>
      <c r="DK119" s="161">
        <f t="shared" si="98"/>
        <v>156.25</v>
      </c>
      <c r="DL119" s="161">
        <f t="shared" si="99"/>
        <v>130.20833333333334</v>
      </c>
      <c r="DM119" s="161">
        <f t="shared" si="100"/>
        <v>0</v>
      </c>
      <c r="DN119" s="161">
        <f t="shared" si="101"/>
        <v>26.041666666666668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546.875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0</v>
      </c>
      <c r="ES119" s="139">
        <f t="shared" si="57"/>
        <v>24.748685548609984</v>
      </c>
      <c r="ET119" s="139">
        <f t="shared" si="58"/>
        <v>6.7732213581484766</v>
      </c>
      <c r="EU119" s="139">
        <f t="shared" si="59"/>
        <v>74.632741508830321</v>
      </c>
      <c r="EV119" s="139">
        <f t="shared" si="60"/>
        <v>102.19693315557201</v>
      </c>
      <c r="EW119" s="139">
        <f t="shared" si="61"/>
        <v>0</v>
      </c>
      <c r="EX119" s="139">
        <f t="shared" si="62"/>
        <v>44.75081791488325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253.10239948604405</v>
      </c>
      <c r="FV119" s="149"/>
      <c r="FY119" s="211">
        <v>114</v>
      </c>
      <c r="FZ119">
        <v>41.983578111247624</v>
      </c>
      <c r="GA119">
        <v>38.334830428754699</v>
      </c>
      <c r="GB119">
        <v>37.220415672330489</v>
      </c>
      <c r="GC119">
        <v>16.631708296347647</v>
      </c>
      <c r="GD119">
        <v>10.868307772968464</v>
      </c>
      <c r="GE119">
        <v>23.89587499341296</v>
      </c>
      <c r="GF119">
        <v>47.734245349643935</v>
      </c>
      <c r="GG119">
        <v>38.082141314488062</v>
      </c>
      <c r="GH119">
        <v>25.661312134067636</v>
      </c>
      <c r="GI119">
        <v>36.148225943494644</v>
      </c>
      <c r="GJ119"/>
      <c r="GK119"/>
      <c r="GL119"/>
      <c r="GM119"/>
    </row>
    <row r="120" spans="1:195" s="7" customFormat="1">
      <c r="A120" s="1"/>
      <c r="B120" s="76">
        <f ca="1">IF(C120="", "", RAND())</f>
        <v>4.1990885937690514E-2</v>
      </c>
      <c r="C120">
        <v>9</v>
      </c>
      <c r="D120">
        <v>39747</v>
      </c>
      <c r="E120">
        <v>0</v>
      </c>
      <c r="F120">
        <v>0</v>
      </c>
      <c r="G120">
        <v>0</v>
      </c>
      <c r="H120">
        <v>88.922764227642276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178.36132291451435</v>
      </c>
      <c r="AO120">
        <v>55.139556993454335</v>
      </c>
      <c r="AP120">
        <v>468.46895676618215</v>
      </c>
      <c r="AQ120">
        <v>366.88655281974502</v>
      </c>
      <c r="AR120">
        <v>53.083421999306978</v>
      </c>
      <c r="AS120">
        <v>255.08316552648176</v>
      </c>
      <c r="AT120">
        <v>28.272967291887898</v>
      </c>
      <c r="AU120">
        <v>-47.409301269388429</v>
      </c>
      <c r="AV120"/>
      <c r="AW120"/>
      <c r="AX120" s="146"/>
      <c r="AY120" s="76">
        <f t="shared" ca="1" si="86"/>
        <v>0.38829369888372689</v>
      </c>
      <c r="AZ120">
        <v>3</v>
      </c>
      <c r="BA120" s="129">
        <f t="shared" si="129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8"/>
        <v>0.36938794613163628</v>
      </c>
      <c r="CL120" s="179">
        <f t="shared" si="89"/>
        <v>3</v>
      </c>
      <c r="CM120" s="180">
        <f t="shared" si="90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0.33150268566019214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0</v>
      </c>
      <c r="DJ120" s="161">
        <f t="shared" si="97"/>
        <v>0</v>
      </c>
      <c r="DK120" s="161">
        <f t="shared" si="98"/>
        <v>0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51" si="130">IF(DF120="", "", SUM(DF120:EJ120))</f>
        <v>0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0</v>
      </c>
      <c r="ET120" s="139">
        <f t="shared" ref="ET120:ET151" si="135">IF(DJ120="", "", DJ120*K$36)</f>
        <v>0</v>
      </c>
      <c r="EU120" s="139">
        <f t="shared" ref="EU120:EU151" si="136">IF(DK120="", "", DK120*L$36)</f>
        <v>0</v>
      </c>
      <c r="EV120" s="139">
        <f t="shared" ref="EV120:EV151" si="137">IF(DL120="", "", DL120*M$36)</f>
        <v>0</v>
      </c>
      <c r="EW120" s="139">
        <f t="shared" ref="EW120:EW151" si="138">IF(DM120="", "", DM120*N$36)</f>
        <v>0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0</v>
      </c>
      <c r="FV120" s="149"/>
      <c r="FY120" s="211">
        <v>115</v>
      </c>
      <c r="FZ120">
        <v>73.179540926859474</v>
      </c>
      <c r="GA120">
        <v>82.56380827255667</v>
      </c>
      <c r="GB120">
        <v>50.580737844501499</v>
      </c>
      <c r="GC120">
        <v>31.97615906035206</v>
      </c>
      <c r="GD120">
        <v>17.2149805047545</v>
      </c>
      <c r="GE120">
        <v>19.813154093788917</v>
      </c>
      <c r="GF120">
        <v>7.9372617101333152</v>
      </c>
      <c r="GG120">
        <v>7.1369943803648788</v>
      </c>
      <c r="GH120">
        <v>20.668991794117453</v>
      </c>
      <c r="GI120">
        <v>39.437264668169085</v>
      </c>
      <c r="GJ120"/>
      <c r="GK120"/>
      <c r="GL120"/>
      <c r="GM120"/>
    </row>
    <row r="121" spans="1:195" s="7" customFormat="1">
      <c r="A121" s="1"/>
      <c r="B121" s="76">
        <f ca="1">IF(C121="", "", RAND())</f>
        <v>0.93324984218109341</v>
      </c>
      <c r="C121">
        <v>2</v>
      </c>
      <c r="D121">
        <v>39747</v>
      </c>
      <c r="E121">
        <v>0</v>
      </c>
      <c r="F121">
        <v>0</v>
      </c>
      <c r="G121">
        <v>0</v>
      </c>
      <c r="H121">
        <v>208.33333333333334</v>
      </c>
      <c r="I121">
        <v>26.041666666666668</v>
      </c>
      <c r="J121">
        <v>156.25</v>
      </c>
      <c r="K121">
        <v>130.20833333333334</v>
      </c>
      <c r="L121">
        <v>0</v>
      </c>
      <c r="M121">
        <v>26.041666666666668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208.01544079091659</v>
      </c>
      <c r="AO121">
        <v>55.170289695367117</v>
      </c>
      <c r="AP121">
        <v>367.63546231935902</v>
      </c>
      <c r="AQ121">
        <v>302.75591998799808</v>
      </c>
      <c r="AR121">
        <v>53.83016786933981</v>
      </c>
      <c r="AS121">
        <v>267.78717399031336</v>
      </c>
      <c r="AT121">
        <v>25.403087241892052</v>
      </c>
      <c r="AU121">
        <v>5.0223843915604576</v>
      </c>
      <c r="AV121"/>
      <c r="AW121"/>
      <c r="AX121" s="146"/>
      <c r="AY121" s="76">
        <f t="shared" ca="1" si="86"/>
        <v>5.1264739962621597E-2</v>
      </c>
      <c r="AZ121">
        <v>4</v>
      </c>
      <c r="BA121" s="129">
        <f t="shared" si="129"/>
        <v>39747</v>
      </c>
      <c r="BB121">
        <v>0</v>
      </c>
      <c r="BC121"/>
      <c r="BD121"/>
      <c r="BE121"/>
      <c r="BF121"/>
      <c r="BG121"/>
      <c r="BH121">
        <v>1</v>
      </c>
      <c r="BI121">
        <v>5</v>
      </c>
      <c r="BJ121">
        <v>2</v>
      </c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8"/>
        <v>0.17737454939857789</v>
      </c>
      <c r="CL121" s="179">
        <f t="shared" si="89"/>
        <v>4</v>
      </c>
      <c r="CM121" s="180">
        <f t="shared" si="90"/>
        <v>39747</v>
      </c>
      <c r="CN121">
        <v>0</v>
      </c>
      <c r="CO121">
        <v>3</v>
      </c>
      <c r="CP121">
        <v>3</v>
      </c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0.12059316678464693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188.57758620689654</v>
      </c>
      <c r="DH121" s="161">
        <f t="shared" si="95"/>
        <v>188.57758620689654</v>
      </c>
      <c r="DI121" s="161">
        <f t="shared" si="96"/>
        <v>0</v>
      </c>
      <c r="DJ121" s="161">
        <f t="shared" si="97"/>
        <v>0</v>
      </c>
      <c r="DK121" s="161">
        <f t="shared" si="98"/>
        <v>0</v>
      </c>
      <c r="DL121" s="161">
        <f t="shared" si="99"/>
        <v>28.409090909090907</v>
      </c>
      <c r="DM121" s="161">
        <f t="shared" si="100"/>
        <v>142.04545454545453</v>
      </c>
      <c r="DN121" s="161">
        <f t="shared" si="101"/>
        <v>56.818181818181813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604.42789968652028</v>
      </c>
      <c r="EL121" s="149"/>
      <c r="EN121" s="146"/>
      <c r="EO121" s="146"/>
      <c r="EP121" s="139">
        <f t="shared" si="131"/>
        <v>0</v>
      </c>
      <c r="EQ121" s="139">
        <f t="shared" si="132"/>
        <v>1.1235829741379308</v>
      </c>
      <c r="ER121" s="139">
        <f t="shared" si="133"/>
        <v>7.4235366643405269</v>
      </c>
      <c r="ES121" s="139">
        <f t="shared" si="134"/>
        <v>0</v>
      </c>
      <c r="ET121" s="139">
        <f t="shared" si="135"/>
        <v>0</v>
      </c>
      <c r="EU121" s="139">
        <f t="shared" si="136"/>
        <v>0</v>
      </c>
      <c r="EV121" s="139">
        <f t="shared" si="137"/>
        <v>22.297512688488435</v>
      </c>
      <c r="EW121" s="139">
        <f t="shared" si="138"/>
        <v>169.66391300130499</v>
      </c>
      <c r="EX121" s="139">
        <f t="shared" si="139"/>
        <v>97.638148177927064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298.14669350619897</v>
      </c>
      <c r="FV121" s="149"/>
      <c r="FY121" s="211">
        <v>116</v>
      </c>
      <c r="FZ121">
        <v>109.65291975830019</v>
      </c>
      <c r="GA121">
        <v>144.92406517768384</v>
      </c>
      <c r="GB121">
        <v>52.575504092277043</v>
      </c>
      <c r="GC121">
        <v>24.330388540289331</v>
      </c>
      <c r="GD121">
        <v>11.610008746980242</v>
      </c>
      <c r="GE121">
        <v>20.222517947973135</v>
      </c>
      <c r="GF121">
        <v>52.477537804485081</v>
      </c>
      <c r="GG121">
        <v>38.412265697948804</v>
      </c>
      <c r="GH121">
        <v>24.254964887090701</v>
      </c>
      <c r="GI121">
        <v>51.187682284462568</v>
      </c>
      <c r="GJ121"/>
      <c r="GK121"/>
      <c r="GL121"/>
      <c r="GM121"/>
    </row>
    <row r="122" spans="1:195" s="7" customFormat="1">
      <c r="A122" s="1"/>
      <c r="B122" s="76">
        <f ca="1">IF(C122="", "", RAND())</f>
        <v>0.45340551409203567</v>
      </c>
      <c r="C122">
        <v>7</v>
      </c>
      <c r="D122">
        <v>39747</v>
      </c>
      <c r="E122">
        <v>0</v>
      </c>
      <c r="F122">
        <v>0</v>
      </c>
      <c r="G122">
        <v>223.21428571428572</v>
      </c>
      <c r="H122">
        <v>0</v>
      </c>
      <c r="I122">
        <v>74.404761904761912</v>
      </c>
      <c r="J122">
        <v>0</v>
      </c>
      <c r="K122">
        <v>10.416666666666666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198.92126173614599</v>
      </c>
      <c r="AO122">
        <v>54.010880326605943</v>
      </c>
      <c r="AP122">
        <v>421.60580318327538</v>
      </c>
      <c r="AQ122">
        <v>321.35332759489484</v>
      </c>
      <c r="AR122">
        <v>52.746201300885133</v>
      </c>
      <c r="AS122">
        <v>271.20989520292198</v>
      </c>
      <c r="AT122">
        <v>24.97701801694161</v>
      </c>
      <c r="AU122">
        <v>10.411031813979776</v>
      </c>
      <c r="AV122"/>
      <c r="AW122"/>
      <c r="AX122" s="146"/>
      <c r="AY122" s="76">
        <f t="shared" ca="1" si="86"/>
        <v>0.59892941740136441</v>
      </c>
      <c r="AZ122">
        <v>5</v>
      </c>
      <c r="BA122" s="129">
        <f t="shared" si="129"/>
        <v>39747</v>
      </c>
      <c r="BB122">
        <v>0</v>
      </c>
      <c r="BC122"/>
      <c r="BD122"/>
      <c r="BE122"/>
      <c r="BF122"/>
      <c r="BG122"/>
      <c r="BH122">
        <v>7</v>
      </c>
      <c r="BI122">
        <v>1</v>
      </c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8"/>
        <v>3.8336393311317885E-2</v>
      </c>
      <c r="CL122" s="179">
        <f t="shared" si="89"/>
        <v>5</v>
      </c>
      <c r="CM122" s="180">
        <f t="shared" si="90"/>
        <v>39747</v>
      </c>
      <c r="CN122">
        <v>0</v>
      </c>
      <c r="CO122"/>
      <c r="CP122"/>
      <c r="CQ122"/>
      <c r="CR122"/>
      <c r="CS122">
        <v>1</v>
      </c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0.65804890378289915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0</v>
      </c>
      <c r="DI122" s="161">
        <f t="shared" si="96"/>
        <v>0</v>
      </c>
      <c r="DJ122" s="161">
        <f t="shared" si="97"/>
        <v>0</v>
      </c>
      <c r="DK122" s="161">
        <f t="shared" si="98"/>
        <v>110.47979797979797</v>
      </c>
      <c r="DL122" s="161">
        <f t="shared" si="99"/>
        <v>72.916666666666671</v>
      </c>
      <c r="DM122" s="161">
        <f t="shared" si="100"/>
        <v>10.416666666666666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193.81313131313129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0</v>
      </c>
      <c r="ES122" s="139">
        <f t="shared" si="134"/>
        <v>0</v>
      </c>
      <c r="ET122" s="139">
        <f t="shared" si="135"/>
        <v>0</v>
      </c>
      <c r="EU122" s="139">
        <f t="shared" si="136"/>
        <v>52.770625309273953</v>
      </c>
      <c r="EV122" s="139">
        <f t="shared" si="137"/>
        <v>57.230282567120319</v>
      </c>
      <c r="EW122" s="139">
        <f t="shared" si="138"/>
        <v>12.442020286762366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122.44292816315665</v>
      </c>
      <c r="FV122" s="149"/>
      <c r="FY122" s="211">
        <v>117</v>
      </c>
      <c r="FZ122">
        <v>22.210428478124495</v>
      </c>
      <c r="GA122">
        <v>31.914198331228764</v>
      </c>
      <c r="GB122">
        <v>41.043667166841459</v>
      </c>
      <c r="GC122">
        <v>30.796096549155031</v>
      </c>
      <c r="GD122">
        <v>18.655929826254013</v>
      </c>
      <c r="GE122">
        <v>19.69243670281751</v>
      </c>
      <c r="GF122">
        <v>22.991154684893136</v>
      </c>
      <c r="GG122">
        <v>16.26213817241311</v>
      </c>
      <c r="GH122">
        <v>11.568747361841931</v>
      </c>
      <c r="GI122">
        <v>32.008450371530941</v>
      </c>
      <c r="GJ122"/>
      <c r="GK122"/>
      <c r="GL122"/>
      <c r="GM122"/>
    </row>
    <row r="123" spans="1:195" s="7" customFormat="1">
      <c r="A123" s="1"/>
      <c r="B123" s="76">
        <f ca="1">IF(C123="", "", RAND())</f>
        <v>0.6371546461318458</v>
      </c>
      <c r="C123">
        <v>4</v>
      </c>
      <c r="D123">
        <v>39747</v>
      </c>
      <c r="E123">
        <v>0</v>
      </c>
      <c r="F123">
        <v>188.57758620689654</v>
      </c>
      <c r="G123">
        <v>188.57758620689654</v>
      </c>
      <c r="H123">
        <v>0</v>
      </c>
      <c r="I123">
        <v>0</v>
      </c>
      <c r="J123">
        <v>0</v>
      </c>
      <c r="K123">
        <v>28.409090909090907</v>
      </c>
      <c r="L123">
        <v>142.04545454545453</v>
      </c>
      <c r="M123">
        <v>56.818181818181813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289.98287570760323</v>
      </c>
      <c r="AO123">
        <v>97.314180401723007</v>
      </c>
      <c r="AP123">
        <v>801.11250277238116</v>
      </c>
      <c r="AQ123">
        <v>657.97139395612021</v>
      </c>
      <c r="AR123">
        <v>94.414552794816871</v>
      </c>
      <c r="AS123">
        <v>457.86408216036176</v>
      </c>
      <c r="AT123">
        <v>50.678128295636505</v>
      </c>
      <c r="AU123">
        <v>22.109929528764305</v>
      </c>
      <c r="AV123"/>
      <c r="AW123"/>
      <c r="AX123" s="146"/>
      <c r="AY123" s="76">
        <f t="shared" ca="1" si="86"/>
        <v>0.70275098885599263</v>
      </c>
      <c r="AZ123">
        <v>6</v>
      </c>
      <c r="BA123" s="129">
        <f t="shared" si="129"/>
        <v>39747</v>
      </c>
      <c r="BB123">
        <v>0</v>
      </c>
      <c r="BC123"/>
      <c r="BD123"/>
      <c r="BE123"/>
      <c r="BF123"/>
      <c r="BG123">
        <v>1</v>
      </c>
      <c r="BH123">
        <v>4</v>
      </c>
      <c r="BI123">
        <v>1</v>
      </c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8"/>
        <v>0.86457720922983894</v>
      </c>
      <c r="CL123" s="179">
        <f t="shared" si="89"/>
        <v>6</v>
      </c>
      <c r="CM123" s="180">
        <f t="shared" si="90"/>
        <v>39747</v>
      </c>
      <c r="CN123" s="219">
        <v>0</v>
      </c>
      <c r="CO123" s="219"/>
      <c r="CP123" s="219"/>
      <c r="CQ123" s="219">
        <v>2</v>
      </c>
      <c r="CR123" s="219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0.82396167891419925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0</v>
      </c>
      <c r="DH123" s="161">
        <f t="shared" si="95"/>
        <v>0</v>
      </c>
      <c r="DI123" s="161">
        <f t="shared" si="96"/>
        <v>130.20833333333334</v>
      </c>
      <c r="DJ123" s="161">
        <f t="shared" si="97"/>
        <v>0</v>
      </c>
      <c r="DK123" s="161">
        <f t="shared" si="98"/>
        <v>10.416666666666666</v>
      </c>
      <c r="DL123" s="161">
        <f t="shared" si="99"/>
        <v>41.666666666666664</v>
      </c>
      <c r="DM123" s="161">
        <f t="shared" si="100"/>
        <v>10.416666666666666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192.70833333333331</v>
      </c>
      <c r="EL123" s="149"/>
      <c r="EN123" s="146"/>
      <c r="EO123" s="146"/>
      <c r="EP123" s="139">
        <f t="shared" si="131"/>
        <v>0</v>
      </c>
      <c r="EQ123" s="139">
        <f t="shared" si="132"/>
        <v>0</v>
      </c>
      <c r="ER123" s="139">
        <f t="shared" si="133"/>
        <v>0</v>
      </c>
      <c r="ES123" s="139">
        <f t="shared" si="134"/>
        <v>15.46792846788124</v>
      </c>
      <c r="ET123" s="139">
        <f t="shared" si="135"/>
        <v>0</v>
      </c>
      <c r="EU123" s="139">
        <f t="shared" si="136"/>
        <v>4.9755161005886874</v>
      </c>
      <c r="EV123" s="139">
        <f t="shared" si="137"/>
        <v>32.703018609783037</v>
      </c>
      <c r="EW123" s="139">
        <f t="shared" si="138"/>
        <v>12.442020286762366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65.588483465015329</v>
      </c>
      <c r="FV123" s="149"/>
      <c r="FY123" s="211">
        <v>118</v>
      </c>
      <c r="FZ123">
        <v>78.182578516730132</v>
      </c>
      <c r="GA123">
        <v>97.032961836787607</v>
      </c>
      <c r="GB123">
        <v>49.546040262479821</v>
      </c>
      <c r="GC123">
        <v>25.095923164773577</v>
      </c>
      <c r="GD123">
        <v>12.97759741746898</v>
      </c>
      <c r="GE123">
        <v>18.435347548861241</v>
      </c>
      <c r="GF123">
        <v>33.502184895434873</v>
      </c>
      <c r="GG123">
        <v>23.556354852574096</v>
      </c>
      <c r="GH123">
        <v>17.529098447705834</v>
      </c>
      <c r="GI123">
        <v>41.961930915409496</v>
      </c>
      <c r="GJ123"/>
      <c r="GK123"/>
      <c r="GL123"/>
      <c r="GM123"/>
    </row>
    <row r="124" spans="1:195" s="7" customFormat="1">
      <c r="A124" s="1"/>
      <c r="B124" s="76">
        <f ca="1">IF(C124="", "", RAND())</f>
        <v>0.72557651982484717</v>
      </c>
      <c r="C124">
        <v>8</v>
      </c>
      <c r="D124">
        <v>39747</v>
      </c>
      <c r="E124">
        <v>0</v>
      </c>
      <c r="F124">
        <v>0</v>
      </c>
      <c r="G124">
        <v>280.44871794871796</v>
      </c>
      <c r="H124">
        <v>140.22435897435898</v>
      </c>
      <c r="I124">
        <v>70.112179487179489</v>
      </c>
      <c r="J124">
        <v>31.25</v>
      </c>
      <c r="K124">
        <v>41.666666666666664</v>
      </c>
      <c r="L124">
        <v>0</v>
      </c>
      <c r="M124">
        <v>20.833333333333332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215.21864681884412</v>
      </c>
      <c r="AO124">
        <v>68.180482235674717</v>
      </c>
      <c r="AP124">
        <v>535.96117652298813</v>
      </c>
      <c r="AQ124">
        <v>421.65576398866648</v>
      </c>
      <c r="AR124">
        <v>65.429669651602111</v>
      </c>
      <c r="AS124">
        <v>326.71772187763275</v>
      </c>
      <c r="AT124">
        <v>31.786638630983845</v>
      </c>
      <c r="AU124">
        <v>-30.253745228239083</v>
      </c>
      <c r="AV124"/>
      <c r="AW124"/>
      <c r="AX124" s="146"/>
      <c r="AY124" s="76">
        <f t="shared" ca="1" si="86"/>
        <v>0.6296804859937446</v>
      </c>
      <c r="AZ124">
        <v>7</v>
      </c>
      <c r="BA124" s="129">
        <f t="shared" si="129"/>
        <v>39747</v>
      </c>
      <c r="BB124">
        <v>0</v>
      </c>
      <c r="BC124"/>
      <c r="BD124"/>
      <c r="BE124"/>
      <c r="BF124"/>
      <c r="BG124"/>
      <c r="BH124">
        <v>1</v>
      </c>
      <c r="BI124">
        <v>0</v>
      </c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8"/>
        <v>0.25278870055951241</v>
      </c>
      <c r="CL124" s="179">
        <f t="shared" si="89"/>
        <v>7</v>
      </c>
      <c r="CM124" s="180">
        <f t="shared" si="90"/>
        <v>39747</v>
      </c>
      <c r="CN124">
        <v>0</v>
      </c>
      <c r="CO124"/>
      <c r="CP124">
        <v>3</v>
      </c>
      <c r="CQ124"/>
      <c r="CR124">
        <v>1</v>
      </c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3.9068199548104587E-3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0</v>
      </c>
      <c r="DH124" s="161">
        <f t="shared" si="95"/>
        <v>223.21428571428572</v>
      </c>
      <c r="DI124" s="161">
        <f t="shared" si="96"/>
        <v>0</v>
      </c>
      <c r="DJ124" s="161">
        <f t="shared" si="97"/>
        <v>74.404761904761912</v>
      </c>
      <c r="DK124" s="161">
        <f t="shared" si="98"/>
        <v>0</v>
      </c>
      <c r="DL124" s="161">
        <f t="shared" si="99"/>
        <v>10.416666666666666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308.03571428571433</v>
      </c>
      <c r="EL124" s="149"/>
      <c r="EN124" s="146"/>
      <c r="EO124" s="146"/>
      <c r="EP124" s="139">
        <f t="shared" si="131"/>
        <v>0</v>
      </c>
      <c r="EQ124" s="139">
        <f t="shared" si="132"/>
        <v>0</v>
      </c>
      <c r="ER124" s="139">
        <f t="shared" si="133"/>
        <v>8.787043398607155</v>
      </c>
      <c r="ES124" s="139">
        <f t="shared" si="134"/>
        <v>0</v>
      </c>
      <c r="ET124" s="139">
        <f t="shared" si="135"/>
        <v>19.352061023281365</v>
      </c>
      <c r="EU124" s="139">
        <f t="shared" si="136"/>
        <v>0</v>
      </c>
      <c r="EV124" s="139">
        <f t="shared" si="137"/>
        <v>8.1757546524457592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36.314859074334279</v>
      </c>
      <c r="FV124" s="149"/>
      <c r="FY124" s="211">
        <v>119</v>
      </c>
      <c r="FZ124">
        <v>101.43768012467757</v>
      </c>
      <c r="GA124">
        <v>135.45206939733259</v>
      </c>
      <c r="GB124">
        <v>52.757365044697849</v>
      </c>
      <c r="GC124">
        <v>28.999689485611661</v>
      </c>
      <c r="GD124">
        <v>12.367868875079324</v>
      </c>
      <c r="GE124">
        <v>22.417111856899187</v>
      </c>
      <c r="GF124">
        <v>55.307280634239852</v>
      </c>
      <c r="GG124">
        <v>40.87340876277662</v>
      </c>
      <c r="GH124">
        <v>25.924557414568625</v>
      </c>
      <c r="GI124">
        <v>51.287384786023544</v>
      </c>
      <c r="GJ124"/>
      <c r="GK124"/>
      <c r="GL124"/>
      <c r="GM124"/>
    </row>
    <row r="125" spans="1:195" s="7" customFormat="1">
      <c r="A125" s="1"/>
      <c r="B125" s="76">
        <f ca="1">IF(C125="", "", RAND())</f>
        <v>0.82768192354717751</v>
      </c>
      <c r="C125">
        <v>1</v>
      </c>
      <c r="D125">
        <v>39747</v>
      </c>
      <c r="E125">
        <v>0</v>
      </c>
      <c r="F125">
        <v>0</v>
      </c>
      <c r="G125">
        <v>0</v>
      </c>
      <c r="H125">
        <v>86.805555555555557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227.67367618142893</v>
      </c>
      <c r="AO125">
        <v>66.455233262859053</v>
      </c>
      <c r="AP125">
        <v>534.50905724431937</v>
      </c>
      <c r="AQ125">
        <v>422.34400597134305</v>
      </c>
      <c r="AR125">
        <v>63.82087990010659</v>
      </c>
      <c r="AS125">
        <v>312.9899038821361</v>
      </c>
      <c r="AT125">
        <v>31.537252498414627</v>
      </c>
      <c r="AU125">
        <v>7.797566162752652</v>
      </c>
      <c r="AV125"/>
      <c r="AW125"/>
      <c r="AX125" s="146"/>
      <c r="AY125" s="76">
        <f t="shared" ca="1" si="86"/>
        <v>0.13427827648796331</v>
      </c>
      <c r="AZ125">
        <v>8</v>
      </c>
      <c r="BA125" s="129">
        <f t="shared" si="129"/>
        <v>39747</v>
      </c>
      <c r="BB125">
        <v>0</v>
      </c>
      <c r="BC125"/>
      <c r="BD125"/>
      <c r="BE125"/>
      <c r="BF125"/>
      <c r="BG125">
        <v>3</v>
      </c>
      <c r="BH125">
        <v>4</v>
      </c>
      <c r="BI125"/>
      <c r="BJ125">
        <v>2</v>
      </c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8"/>
        <v>0.17934998681463687</v>
      </c>
      <c r="CL125" s="179">
        <f t="shared" si="89"/>
        <v>8</v>
      </c>
      <c r="CM125" s="180">
        <f t="shared" si="90"/>
        <v>39747</v>
      </c>
      <c r="CN125">
        <v>0</v>
      </c>
      <c r="CO125"/>
      <c r="CP125">
        <v>4</v>
      </c>
      <c r="CQ125">
        <v>2</v>
      </c>
      <c r="CR125">
        <v>1</v>
      </c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0.37975582323764212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0</v>
      </c>
      <c r="DH125" s="161">
        <f t="shared" si="95"/>
        <v>280.44871794871796</v>
      </c>
      <c r="DI125" s="161">
        <f t="shared" si="96"/>
        <v>140.22435897435898</v>
      </c>
      <c r="DJ125" s="161">
        <f t="shared" si="97"/>
        <v>70.112179487179489</v>
      </c>
      <c r="DK125" s="161">
        <f t="shared" si="98"/>
        <v>31.25</v>
      </c>
      <c r="DL125" s="161">
        <f t="shared" si="99"/>
        <v>41.666666666666664</v>
      </c>
      <c r="DM125" s="161">
        <f t="shared" si="100"/>
        <v>0</v>
      </c>
      <c r="DN125" s="161">
        <f t="shared" si="101"/>
        <v>20.833333333333332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584.53525641025635</v>
      </c>
      <c r="EL125" s="149"/>
      <c r="EN125" s="146"/>
      <c r="EO125" s="146"/>
      <c r="EP125" s="139">
        <f t="shared" si="131"/>
        <v>0</v>
      </c>
      <c r="EQ125" s="139">
        <f t="shared" si="132"/>
        <v>0</v>
      </c>
      <c r="ER125" s="139">
        <f t="shared" si="133"/>
        <v>11.040131449532067</v>
      </c>
      <c r="ES125" s="139">
        <f t="shared" si="134"/>
        <v>16.65776911925672</v>
      </c>
      <c r="ET125" s="139">
        <f t="shared" si="135"/>
        <v>18.235595964245899</v>
      </c>
      <c r="EU125" s="139">
        <f t="shared" si="136"/>
        <v>14.926548301766063</v>
      </c>
      <c r="EV125" s="139">
        <f t="shared" si="137"/>
        <v>32.703018609783037</v>
      </c>
      <c r="EW125" s="139">
        <f t="shared" si="138"/>
        <v>0</v>
      </c>
      <c r="EX125" s="139">
        <f t="shared" si="139"/>
        <v>35.800654331906593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129.36371777649038</v>
      </c>
      <c r="FV125" s="149"/>
      <c r="FY125" s="211">
        <v>120</v>
      </c>
      <c r="FZ125">
        <v>65.412967845667168</v>
      </c>
      <c r="GA125">
        <v>93.942765922294484</v>
      </c>
      <c r="GB125">
        <v>43.916874637993025</v>
      </c>
      <c r="GC125">
        <v>25.12929224038924</v>
      </c>
      <c r="GD125">
        <v>19.847134035622652</v>
      </c>
      <c r="GE125">
        <v>31.997913566478299</v>
      </c>
      <c r="GF125">
        <v>44.382858695210459</v>
      </c>
      <c r="GG125">
        <v>27.720629961105061</v>
      </c>
      <c r="GH125">
        <v>14.452399764370067</v>
      </c>
      <c r="GI125">
        <v>44.875685915509003</v>
      </c>
      <c r="GJ125"/>
      <c r="GK125"/>
      <c r="GL125"/>
      <c r="GM125"/>
    </row>
    <row r="126" spans="1:195" s="7" customFormat="1">
      <c r="A126" s="1"/>
      <c r="B126" s="76">
        <f ca="1">IF(C126="", "", RAND())</f>
        <v>0.37698465130864389</v>
      </c>
      <c r="C126">
        <v>5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110.47979797979797</v>
      </c>
      <c r="K126">
        <v>72.916666666666671</v>
      </c>
      <c r="L126">
        <v>10.416666666666666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180.50325884478917</v>
      </c>
      <c r="AO126">
        <v>52.836972106657562</v>
      </c>
      <c r="AP126">
        <v>384.03721045392808</v>
      </c>
      <c r="AQ126">
        <v>298.78942832511927</v>
      </c>
      <c r="AR126">
        <v>51.299361075095689</v>
      </c>
      <c r="AS126">
        <v>260.6828942976781</v>
      </c>
      <c r="AT126">
        <v>23.574668208785159</v>
      </c>
      <c r="AU126">
        <v>-4.2952424822349187</v>
      </c>
      <c r="AV126"/>
      <c r="AW126"/>
      <c r="AX126" s="146"/>
      <c r="AY126" s="76">
        <f t="shared" ca="1" si="86"/>
        <v>0.81504401384192882</v>
      </c>
      <c r="AZ126">
        <v>9</v>
      </c>
      <c r="BA126" s="129">
        <f t="shared" si="129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8"/>
        <v>0.82014599883335393</v>
      </c>
      <c r="CL126" s="179">
        <f t="shared" si="89"/>
        <v>9</v>
      </c>
      <c r="CM126" s="180">
        <f t="shared" si="90"/>
        <v>39747</v>
      </c>
      <c r="CN126">
        <v>0</v>
      </c>
      <c r="CO126"/>
      <c r="CP126"/>
      <c r="CQ126">
        <v>1</v>
      </c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7.6588430130873242E-2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88.922764227642276</v>
      </c>
      <c r="DJ126" s="161">
        <f t="shared" si="97"/>
        <v>0</v>
      </c>
      <c r="DK126" s="161">
        <f t="shared" si="98"/>
        <v>0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88.922764227642276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10.563463343918894</v>
      </c>
      <c r="ET126" s="139">
        <f t="shared" si="135"/>
        <v>0</v>
      </c>
      <c r="EU126" s="139">
        <f t="shared" si="136"/>
        <v>0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10.563463343918894</v>
      </c>
      <c r="FV126" s="149"/>
      <c r="FY126" s="211">
        <v>121</v>
      </c>
      <c r="FZ126">
        <v>124.87548596801201</v>
      </c>
      <c r="GA126">
        <v>154.52797241682433</v>
      </c>
      <c r="GB126">
        <v>59.07949044989531</v>
      </c>
      <c r="GC126">
        <v>26.821237536294383</v>
      </c>
      <c r="GD126">
        <v>10.303181773486262</v>
      </c>
      <c r="GE126">
        <v>13.228411992874531</v>
      </c>
      <c r="GF126">
        <v>23.936775817749847</v>
      </c>
      <c r="GG126">
        <v>16.949586702479717</v>
      </c>
      <c r="GH126">
        <v>18.182142800607675</v>
      </c>
      <c r="GI126">
        <v>47.632290311921523</v>
      </c>
      <c r="GJ126"/>
      <c r="GK126"/>
      <c r="GL126"/>
      <c r="GM126"/>
    </row>
    <row r="127" spans="1:195" s="7" customFormat="1">
      <c r="A127" s="1"/>
      <c r="B127" s="76">
        <f ca="1">IF(C127="", "", RAND())</f>
        <v>3.7503972581454992E-2</v>
      </c>
      <c r="C127">
        <v>6</v>
      </c>
      <c r="D127">
        <v>39747</v>
      </c>
      <c r="E127">
        <v>0</v>
      </c>
      <c r="F127">
        <v>0</v>
      </c>
      <c r="G127">
        <v>0</v>
      </c>
      <c r="H127">
        <v>130.20833333333334</v>
      </c>
      <c r="I127">
        <v>0</v>
      </c>
      <c r="J127">
        <v>10.416666666666666</v>
      </c>
      <c r="K127">
        <v>41.666666666666664</v>
      </c>
      <c r="L127">
        <v>10.416666666666666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259.08054584611079</v>
      </c>
      <c r="AO127">
        <v>79.082805283778981</v>
      </c>
      <c r="AP127">
        <v>660.0704282333412</v>
      </c>
      <c r="AQ127">
        <v>510.07880963083193</v>
      </c>
      <c r="AR127">
        <v>76.80221134781813</v>
      </c>
      <c r="AS127">
        <v>378.62617408490502</v>
      </c>
      <c r="AT127">
        <v>38.359685393165385</v>
      </c>
      <c r="AU127">
        <v>-15.799743891478634</v>
      </c>
      <c r="AV127"/>
      <c r="AW127"/>
      <c r="AX127" s="146"/>
      <c r="AY127" s="76">
        <f t="shared" ca="1" si="86"/>
        <v>0.48050676250105817</v>
      </c>
      <c r="AZ127">
        <v>10</v>
      </c>
      <c r="BA127" s="129">
        <f t="shared" si="129"/>
        <v>39747</v>
      </c>
      <c r="BB127">
        <v>0</v>
      </c>
      <c r="BC127"/>
      <c r="BD127"/>
      <c r="BE127"/>
      <c r="BF127"/>
      <c r="BG127">
        <v>1</v>
      </c>
      <c r="BH127">
        <v>7</v>
      </c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8"/>
        <v>0.1251576521934048</v>
      </c>
      <c r="CL127" s="179">
        <f t="shared" si="89"/>
        <v>10</v>
      </c>
      <c r="CM127" s="180">
        <f t="shared" si="90"/>
        <v>39747</v>
      </c>
      <c r="CN127">
        <v>0</v>
      </c>
      <c r="CO127">
        <v>3</v>
      </c>
      <c r="CP127">
        <v>2</v>
      </c>
      <c r="CQ127"/>
      <c r="CR127">
        <v>2</v>
      </c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0.96991717781407805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195.3125</v>
      </c>
      <c r="DH127" s="161">
        <f t="shared" si="95"/>
        <v>130.20833333333334</v>
      </c>
      <c r="DI127" s="161">
        <f t="shared" si="96"/>
        <v>0</v>
      </c>
      <c r="DJ127" s="161">
        <f t="shared" si="97"/>
        <v>130.20833333333334</v>
      </c>
      <c r="DK127" s="161">
        <f t="shared" si="98"/>
        <v>10.416666666666666</v>
      </c>
      <c r="DL127" s="161">
        <f t="shared" si="99"/>
        <v>72.916666666666671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539.06250000000011</v>
      </c>
      <c r="EL127" s="149"/>
      <c r="EN127" s="146"/>
      <c r="EO127" s="146"/>
      <c r="EP127" s="139">
        <f t="shared" si="131"/>
        <v>0</v>
      </c>
      <c r="EQ127" s="139">
        <f t="shared" si="132"/>
        <v>1.1637109374999999</v>
      </c>
      <c r="ER127" s="139">
        <f t="shared" si="133"/>
        <v>5.1257753158541739</v>
      </c>
      <c r="ES127" s="139">
        <f t="shared" si="134"/>
        <v>0</v>
      </c>
      <c r="ET127" s="139">
        <f t="shared" si="135"/>
        <v>33.866106790742386</v>
      </c>
      <c r="EU127" s="139">
        <f t="shared" si="136"/>
        <v>4.9755161005886874</v>
      </c>
      <c r="EV127" s="139">
        <f t="shared" si="137"/>
        <v>57.230282567120319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102.36139171180557</v>
      </c>
      <c r="FV127" s="149"/>
      <c r="FY127" s="211">
        <v>122</v>
      </c>
      <c r="FZ127">
        <v>150.2113005972476</v>
      </c>
      <c r="GA127">
        <v>178.52638050450904</v>
      </c>
      <c r="GB127">
        <v>32.469206481584223</v>
      </c>
      <c r="GC127">
        <v>18.969977030252707</v>
      </c>
      <c r="GD127">
        <v>15.093334552983437</v>
      </c>
      <c r="GE127">
        <v>25.302882842187515</v>
      </c>
      <c r="GF127">
        <v>65.672524898667746</v>
      </c>
      <c r="GG127">
        <v>55.188463550157749</v>
      </c>
      <c r="GH127">
        <v>21.897689734285876</v>
      </c>
      <c r="GI127">
        <v>56.611307136061171</v>
      </c>
      <c r="GJ127"/>
      <c r="GK127"/>
      <c r="GL127"/>
      <c r="GM127"/>
    </row>
    <row r="128" spans="1:195" s="7" customFormat="1">
      <c r="A128" s="128"/>
      <c r="B128" s="76">
        <f ca="1">IF(C128="", "", RAND())</f>
        <v>0.97518372066012571</v>
      </c>
      <c r="C128">
        <v>5</v>
      </c>
      <c r="D128">
        <v>39775</v>
      </c>
      <c r="E128">
        <v>0</v>
      </c>
      <c r="F128">
        <v>0</v>
      </c>
      <c r="G128">
        <v>148.80952380952382</v>
      </c>
      <c r="H128">
        <v>29.761904761904763</v>
      </c>
      <c r="I128">
        <v>0</v>
      </c>
      <c r="J128">
        <v>0</v>
      </c>
      <c r="K128">
        <v>41.666666666666664</v>
      </c>
      <c r="L128">
        <v>31.25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246.49015174349447</v>
      </c>
      <c r="AO128">
        <v>71.299171077781963</v>
      </c>
      <c r="AP128">
        <v>578.72022323892679</v>
      </c>
      <c r="AQ128">
        <v>456.16672151435534</v>
      </c>
      <c r="AR128">
        <v>69.071641814622637</v>
      </c>
      <c r="AS128">
        <v>339.56374316853146</v>
      </c>
      <c r="AT128">
        <v>34.093639248501894</v>
      </c>
      <c r="AU128">
        <v>-11.42979663886819</v>
      </c>
      <c r="AV128"/>
      <c r="AW128"/>
      <c r="AX128" s="128"/>
      <c r="AY128" s="76">
        <f t="shared" ca="1" si="86"/>
        <v>0.58593927790331612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8"/>
        <v>0.43236931835410708</v>
      </c>
      <c r="CL128" s="179">
        <f t="shared" si="89"/>
        <v>1</v>
      </c>
      <c r="CM128" s="180">
        <f t="shared" si="90"/>
        <v>39775</v>
      </c>
      <c r="CN128">
        <v>0</v>
      </c>
      <c r="CO128"/>
      <c r="CP128">
        <v>2</v>
      </c>
      <c r="CQ128">
        <v>1</v>
      </c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0.72035996092269894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0</v>
      </c>
      <c r="DH128" s="161">
        <f t="shared" si="95"/>
        <v>43.75</v>
      </c>
      <c r="DI128" s="161">
        <f t="shared" si="96"/>
        <v>21.875</v>
      </c>
      <c r="DJ128" s="161">
        <f t="shared" si="97"/>
        <v>0</v>
      </c>
      <c r="DK128" s="161">
        <f t="shared" si="98"/>
        <v>0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65.625</v>
      </c>
      <c r="EL128" s="149"/>
      <c r="EN128" s="146"/>
      <c r="EO128" s="146"/>
      <c r="EP128" s="139">
        <f t="shared" si="131"/>
        <v>0</v>
      </c>
      <c r="EQ128" s="139">
        <f t="shared" si="132"/>
        <v>0</v>
      </c>
      <c r="ER128" s="139">
        <f t="shared" si="133"/>
        <v>1.7222605061270024</v>
      </c>
      <c r="ES128" s="139">
        <f t="shared" si="134"/>
        <v>2.5986119826040479</v>
      </c>
      <c r="ET128" s="139">
        <f t="shared" si="135"/>
        <v>0</v>
      </c>
      <c r="EU128" s="139">
        <f t="shared" si="136"/>
        <v>0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4.3208724887310499</v>
      </c>
      <c r="FV128" s="149"/>
      <c r="FY128" s="211">
        <v>123</v>
      </c>
      <c r="FZ128">
        <v>130.85730093442953</v>
      </c>
      <c r="GA128">
        <v>135.19778701918963</v>
      </c>
      <c r="GB128">
        <v>39.22773541538055</v>
      </c>
      <c r="GC128">
        <v>28.844644794738187</v>
      </c>
      <c r="GD128">
        <v>17.189825933429347</v>
      </c>
      <c r="GE128">
        <v>19.868596587954496</v>
      </c>
      <c r="GF128">
        <v>67.004336220105941</v>
      </c>
      <c r="GG128">
        <v>57.233055715978431</v>
      </c>
      <c r="GH128">
        <v>34.29944704508587</v>
      </c>
      <c r="GI128">
        <v>58.773215018511259</v>
      </c>
      <c r="GJ128"/>
      <c r="GK128"/>
      <c r="GL128"/>
      <c r="GM128"/>
    </row>
    <row r="129" spans="1:195" s="7" customFormat="1">
      <c r="A129" s="1"/>
      <c r="B129" s="76">
        <f ca="1">IF(C129="", "", RAND())</f>
        <v>0.99924835944056967</v>
      </c>
      <c r="C129">
        <v>10</v>
      </c>
      <c r="D129">
        <v>39775</v>
      </c>
      <c r="E129">
        <v>0</v>
      </c>
      <c r="F129">
        <v>31.25</v>
      </c>
      <c r="G129">
        <v>104.16666666666667</v>
      </c>
      <c r="H129">
        <v>20.833333333333332</v>
      </c>
      <c r="I129">
        <v>0</v>
      </c>
      <c r="J129">
        <v>10.416666666666666</v>
      </c>
      <c r="K129">
        <v>10.416666666666666</v>
      </c>
      <c r="L129">
        <v>20.833333333333332</v>
      </c>
      <c r="M129">
        <v>10.416666666666666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159.239282749838</v>
      </c>
      <c r="AO129">
        <v>50.467559397260416</v>
      </c>
      <c r="AP129">
        <v>396.23166127663961</v>
      </c>
      <c r="AQ129">
        <v>301.45413949085395</v>
      </c>
      <c r="AR129">
        <v>49.026194001579448</v>
      </c>
      <c r="AS129">
        <v>246.9271268669755</v>
      </c>
      <c r="AT129">
        <v>23.838752699633616</v>
      </c>
      <c r="AU129">
        <v>100.81499626204105</v>
      </c>
      <c r="AV129"/>
      <c r="AW129"/>
      <c r="AX129" s="146"/>
      <c r="AY129" s="76">
        <f t="shared" ca="1" si="86"/>
        <v>0.44265557841255565</v>
      </c>
      <c r="AZ129">
        <v>2</v>
      </c>
      <c r="BA129" s="129">
        <f t="shared" ref="BA129:BA137" si="164">IF(AZ129="", "",$C$8)</f>
        <v>39775</v>
      </c>
      <c r="BB129">
        <v>0</v>
      </c>
      <c r="BC129"/>
      <c r="BD129"/>
      <c r="BE129"/>
      <c r="BF129"/>
      <c r="BG129">
        <v>4</v>
      </c>
      <c r="BH129">
        <v>2</v>
      </c>
      <c r="BI129">
        <v>1</v>
      </c>
      <c r="BJ129">
        <v>1</v>
      </c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8"/>
        <v>0.76160422450133591</v>
      </c>
      <c r="CL129" s="179">
        <f t="shared" si="89"/>
        <v>2</v>
      </c>
      <c r="CM129" s="180">
        <f t="shared" si="90"/>
        <v>39775</v>
      </c>
      <c r="CN129">
        <v>0</v>
      </c>
      <c r="CO129"/>
      <c r="CP129">
        <v>6</v>
      </c>
      <c r="CQ129">
        <v>1</v>
      </c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0.91543035965084574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113.63636363636363</v>
      </c>
      <c r="DI129" s="161">
        <f t="shared" si="96"/>
        <v>18.939393939393938</v>
      </c>
      <c r="DJ129" s="161">
        <f t="shared" si="97"/>
        <v>0</v>
      </c>
      <c r="DK129" s="161">
        <f t="shared" si="98"/>
        <v>41.666666666666664</v>
      </c>
      <c r="DL129" s="161">
        <f t="shared" si="99"/>
        <v>20.833333333333332</v>
      </c>
      <c r="DM129" s="161">
        <f t="shared" si="100"/>
        <v>10.416666666666666</v>
      </c>
      <c r="DN129" s="161">
        <f t="shared" si="101"/>
        <v>10.416666666666666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215.90909090909088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4.4734039120181874</v>
      </c>
      <c r="ES129" s="139">
        <f t="shared" si="134"/>
        <v>2.2498805044190888</v>
      </c>
      <c r="ET129" s="139">
        <f t="shared" si="135"/>
        <v>0</v>
      </c>
      <c r="EU129" s="139">
        <f t="shared" si="136"/>
        <v>19.90206440235475</v>
      </c>
      <c r="EV129" s="139">
        <f t="shared" si="137"/>
        <v>16.351509304891518</v>
      </c>
      <c r="EW129" s="139">
        <f t="shared" si="138"/>
        <v>12.442020286762366</v>
      </c>
      <c r="EX129" s="139">
        <f t="shared" si="139"/>
        <v>17.900327165953296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73.319205576399199</v>
      </c>
      <c r="FV129" s="149"/>
      <c r="FY129" s="211">
        <v>124</v>
      </c>
      <c r="FZ129">
        <v>102.44870701441808</v>
      </c>
      <c r="GA129">
        <v>132.94022316248899</v>
      </c>
      <c r="GB129">
        <v>35.35008042517461</v>
      </c>
      <c r="GC129">
        <v>21.892635097901831</v>
      </c>
      <c r="GD129">
        <v>14.244675653874447</v>
      </c>
      <c r="GE129">
        <v>25.000937200944769</v>
      </c>
      <c r="GF129">
        <v>66.705646765181967</v>
      </c>
      <c r="GG129">
        <v>48.267100542288539</v>
      </c>
      <c r="GH129">
        <v>20.461654261381398</v>
      </c>
      <c r="GI129">
        <v>49.605836768337333</v>
      </c>
      <c r="GJ129"/>
      <c r="GK129"/>
      <c r="GL129"/>
      <c r="GM129"/>
    </row>
    <row r="130" spans="1:195" s="7" customFormat="1">
      <c r="A130" s="1"/>
      <c r="B130" s="76">
        <f ca="1">IF(C130="", "", RAND())</f>
        <v>0.6893546080864672</v>
      </c>
      <c r="C130">
        <v>1</v>
      </c>
      <c r="D130">
        <v>39775</v>
      </c>
      <c r="E130">
        <v>0</v>
      </c>
      <c r="F130">
        <v>0</v>
      </c>
      <c r="G130">
        <v>43.75</v>
      </c>
      <c r="H130">
        <v>21.875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179.17076936239204</v>
      </c>
      <c r="AO130">
        <v>51.222696248819624</v>
      </c>
      <c r="AP130">
        <v>409.96962629302146</v>
      </c>
      <c r="AQ130">
        <v>316.56064001675617</v>
      </c>
      <c r="AR130">
        <v>51.674231052589079</v>
      </c>
      <c r="AS130">
        <v>249.14257231462798</v>
      </c>
      <c r="AT130">
        <v>25.856498494506951</v>
      </c>
      <c r="AU130">
        <v>29.295393201305476</v>
      </c>
      <c r="AV130"/>
      <c r="AW130"/>
      <c r="AX130" s="146"/>
      <c r="AY130" s="76">
        <f t="shared" ca="1" si="86"/>
        <v>0.49549688575010098</v>
      </c>
      <c r="AZ130">
        <v>3</v>
      </c>
      <c r="BA130" s="129">
        <f t="shared" si="164"/>
        <v>39775</v>
      </c>
      <c r="BB130">
        <v>0</v>
      </c>
      <c r="BC130"/>
      <c r="BD130"/>
      <c r="BE130">
        <v>1</v>
      </c>
      <c r="BF130">
        <v>1</v>
      </c>
      <c r="BG130"/>
      <c r="BH130"/>
      <c r="BI130">
        <v>5</v>
      </c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8"/>
        <v>0.62304121338933527</v>
      </c>
      <c r="CL130" s="179">
        <f t="shared" si="89"/>
        <v>3</v>
      </c>
      <c r="CM130" s="180">
        <f t="shared" si="90"/>
        <v>39775</v>
      </c>
      <c r="CN130" s="226">
        <v>0</v>
      </c>
      <c r="CO130" s="226">
        <v>1</v>
      </c>
      <c r="CP130" s="226">
        <v>18</v>
      </c>
      <c r="CQ130" s="226">
        <v>1</v>
      </c>
      <c r="CR130" s="226">
        <v>2</v>
      </c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3.8253732650309402E-2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52.083333333333336</v>
      </c>
      <c r="DH130" s="161">
        <f t="shared" si="95"/>
        <v>937.5</v>
      </c>
      <c r="DI130" s="161">
        <f t="shared" si="96"/>
        <v>62.5</v>
      </c>
      <c r="DJ130" s="161">
        <f t="shared" si="97"/>
        <v>114.58333333333333</v>
      </c>
      <c r="DK130" s="161">
        <f t="shared" si="98"/>
        <v>0</v>
      </c>
      <c r="DL130" s="161">
        <f t="shared" si="99"/>
        <v>0</v>
      </c>
      <c r="DM130" s="161">
        <f t="shared" si="100"/>
        <v>52.083333333333336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1218.75</v>
      </c>
      <c r="EL130" s="149"/>
      <c r="EN130" s="146"/>
      <c r="EO130" s="146"/>
      <c r="EP130" s="139">
        <f t="shared" si="131"/>
        <v>0</v>
      </c>
      <c r="EQ130" s="139">
        <f t="shared" si="132"/>
        <v>0.31032291666666667</v>
      </c>
      <c r="ER130" s="139">
        <f t="shared" si="133"/>
        <v>36.905582274150049</v>
      </c>
      <c r="ES130" s="139">
        <f t="shared" si="134"/>
        <v>7.4246056645829945</v>
      </c>
      <c r="ET130" s="139">
        <f t="shared" si="135"/>
        <v>29.802173975853297</v>
      </c>
      <c r="EU130" s="139">
        <f t="shared" si="136"/>
        <v>0</v>
      </c>
      <c r="EV130" s="139">
        <f t="shared" si="137"/>
        <v>0</v>
      </c>
      <c r="EW130" s="139">
        <f t="shared" si="138"/>
        <v>62.210101433811836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136.65278626506483</v>
      </c>
      <c r="FV130" s="149"/>
      <c r="FY130" s="211">
        <v>125</v>
      </c>
      <c r="FZ130">
        <v>34.277794168814573</v>
      </c>
      <c r="GA130">
        <v>46.027206375406053</v>
      </c>
      <c r="GB130">
        <v>37.825724770362228</v>
      </c>
      <c r="GC130">
        <v>17.979284779538613</v>
      </c>
      <c r="GD130">
        <v>6.7769588915323942</v>
      </c>
      <c r="GE130">
        <v>9.9315958054907014</v>
      </c>
      <c r="GF130">
        <v>21.232446189307819</v>
      </c>
      <c r="GG130">
        <v>20.202982675902422</v>
      </c>
      <c r="GH130">
        <v>27.511107108175246</v>
      </c>
      <c r="GI130">
        <v>27.621833510608468</v>
      </c>
      <c r="GJ130"/>
      <c r="GK130"/>
      <c r="GL130"/>
      <c r="GM130"/>
    </row>
    <row r="131" spans="1:195" s="7" customFormat="1">
      <c r="A131" s="1"/>
      <c r="B131" s="76">
        <f ca="1">IF(C131="", "", RAND())</f>
        <v>0.49664613078559849</v>
      </c>
      <c r="C131">
        <v>4</v>
      </c>
      <c r="D131">
        <v>39775</v>
      </c>
      <c r="E131">
        <v>0</v>
      </c>
      <c r="F131">
        <v>0</v>
      </c>
      <c r="G131">
        <v>72.916666666666671</v>
      </c>
      <c r="H131">
        <v>20.833333333333332</v>
      </c>
      <c r="I131">
        <v>0</v>
      </c>
      <c r="J131">
        <v>0</v>
      </c>
      <c r="K131">
        <v>20.833333333333332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177.02150679091352</v>
      </c>
      <c r="AO131">
        <v>58.097007206763649</v>
      </c>
      <c r="AP131">
        <v>430.71201897443893</v>
      </c>
      <c r="AQ131">
        <v>350.50889325559785</v>
      </c>
      <c r="AR131">
        <v>57.118541620252678</v>
      </c>
      <c r="AS131">
        <v>269.87838435428137</v>
      </c>
      <c r="AT131" t="e">
        <v>#DIV/0!</v>
      </c>
      <c r="AU131" t="e">
        <v>#DIV/0!</v>
      </c>
      <c r="AV131"/>
      <c r="AW131"/>
      <c r="AX131" s="146"/>
      <c r="AY131" s="76">
        <f t="shared" ca="1" si="86"/>
        <v>0.41526139181852351</v>
      </c>
      <c r="AZ131">
        <v>4</v>
      </c>
      <c r="BA131" s="129">
        <f t="shared" si="164"/>
        <v>39775</v>
      </c>
      <c r="BB131">
        <v>0</v>
      </c>
      <c r="BC131"/>
      <c r="BD131"/>
      <c r="BE131">
        <v>1</v>
      </c>
      <c r="BF131"/>
      <c r="BG131"/>
      <c r="BH131">
        <v>2</v>
      </c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8"/>
        <v>0.30507568910129468</v>
      </c>
      <c r="CL131" s="179">
        <f t="shared" si="89"/>
        <v>4</v>
      </c>
      <c r="CM131" s="180">
        <f t="shared" si="90"/>
        <v>39775</v>
      </c>
      <c r="CN131">
        <v>0</v>
      </c>
      <c r="CO131"/>
      <c r="CP131">
        <v>7</v>
      </c>
      <c r="CQ131">
        <v>1</v>
      </c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0.97665181621081132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0</v>
      </c>
      <c r="DH131" s="161">
        <f t="shared" si="95"/>
        <v>72.916666666666671</v>
      </c>
      <c r="DI131" s="161">
        <f t="shared" si="96"/>
        <v>20.833333333333332</v>
      </c>
      <c r="DJ131" s="161">
        <f t="shared" si="97"/>
        <v>0</v>
      </c>
      <c r="DK131" s="161">
        <f t="shared" si="98"/>
        <v>0</v>
      </c>
      <c r="DL131" s="161">
        <f t="shared" si="99"/>
        <v>20.833333333333332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114.58333333333333</v>
      </c>
      <c r="EL131" s="149"/>
      <c r="EN131" s="146"/>
      <c r="EO131" s="146"/>
      <c r="EP131" s="139">
        <f t="shared" si="131"/>
        <v>0</v>
      </c>
      <c r="EQ131" s="139">
        <f t="shared" si="132"/>
        <v>0</v>
      </c>
      <c r="ER131" s="139">
        <f t="shared" si="133"/>
        <v>2.8704341768783372</v>
      </c>
      <c r="ES131" s="139">
        <f t="shared" si="134"/>
        <v>2.4748685548609979</v>
      </c>
      <c r="ET131" s="139">
        <f t="shared" si="135"/>
        <v>0</v>
      </c>
      <c r="EU131" s="139">
        <f t="shared" si="136"/>
        <v>0</v>
      </c>
      <c r="EV131" s="139">
        <f t="shared" si="137"/>
        <v>16.351509304891518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21.696812036630853</v>
      </c>
      <c r="FV131" s="149"/>
      <c r="FY131" s="211">
        <v>126</v>
      </c>
      <c r="FZ131">
        <v>84.42414051429688</v>
      </c>
      <c r="GA131">
        <v>90.368675139527369</v>
      </c>
      <c r="GB131">
        <v>51.184370743762003</v>
      </c>
      <c r="GC131">
        <v>29.729105543069075</v>
      </c>
      <c r="GD131">
        <v>16.34556936906251</v>
      </c>
      <c r="GE131">
        <v>24.36775773193683</v>
      </c>
      <c r="GF131">
        <v>36.03636800813954</v>
      </c>
      <c r="GG131">
        <v>30.646981455235547</v>
      </c>
      <c r="GH131">
        <v>20.443514158976363</v>
      </c>
      <c r="GI131">
        <v>46.440213994614481</v>
      </c>
      <c r="GJ131"/>
      <c r="GK131"/>
      <c r="GL131"/>
      <c r="GM131"/>
    </row>
    <row r="132" spans="1:195" s="7" customFormat="1">
      <c r="A132" s="1"/>
      <c r="B132" s="76">
        <f ca="1">IF(C132="", "", RAND())</f>
        <v>0.3412878614548438</v>
      </c>
      <c r="C132">
        <v>9</v>
      </c>
      <c r="D132">
        <v>39775</v>
      </c>
      <c r="E132">
        <v>0</v>
      </c>
      <c r="F132">
        <v>0</v>
      </c>
      <c r="G132">
        <v>52.083333333333336</v>
      </c>
      <c r="H132">
        <v>31.25</v>
      </c>
      <c r="I132">
        <v>20.833333333333332</v>
      </c>
      <c r="J132">
        <v>0</v>
      </c>
      <c r="K132">
        <v>20.833333333333332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261.12666171705968</v>
      </c>
      <c r="AO132">
        <v>76.233746921451257</v>
      </c>
      <c r="AP132">
        <v>682.92948167843554</v>
      </c>
      <c r="AQ132">
        <v>529.64785493749093</v>
      </c>
      <c r="AR132">
        <v>73.996958940797953</v>
      </c>
      <c r="AS132">
        <v>366.14728185724061</v>
      </c>
      <c r="AT132">
        <v>37.210694664264885</v>
      </c>
      <c r="AU132">
        <v>-36.822888770197011</v>
      </c>
      <c r="AV132"/>
      <c r="AW132"/>
      <c r="AX132" s="146"/>
      <c r="AY132" s="76">
        <f t="shared" ca="1" si="86"/>
        <v>0.32793432191011451</v>
      </c>
      <c r="AZ132">
        <v>5</v>
      </c>
      <c r="BA132" s="129">
        <f t="shared" si="164"/>
        <v>39775</v>
      </c>
      <c r="BB132">
        <v>0</v>
      </c>
      <c r="BC132"/>
      <c r="BD132"/>
      <c r="BE132"/>
      <c r="BF132"/>
      <c r="BG132"/>
      <c r="BH132">
        <v>4</v>
      </c>
      <c r="BI132">
        <v>3</v>
      </c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8"/>
        <v>3.3531202897595591E-2</v>
      </c>
      <c r="CL132" s="179">
        <f t="shared" si="89"/>
        <v>5</v>
      </c>
      <c r="CM132" s="180">
        <f t="shared" si="90"/>
        <v>39775</v>
      </c>
      <c r="CN132">
        <v>0</v>
      </c>
      <c r="CO132"/>
      <c r="CP132">
        <v>5</v>
      </c>
      <c r="CQ132">
        <v>1</v>
      </c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0.78333444698306054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0</v>
      </c>
      <c r="DH132" s="161">
        <f t="shared" si="95"/>
        <v>148.80952380952382</v>
      </c>
      <c r="DI132" s="161">
        <f t="shared" si="96"/>
        <v>29.761904761904763</v>
      </c>
      <c r="DJ132" s="161">
        <f t="shared" si="97"/>
        <v>0</v>
      </c>
      <c r="DK132" s="161">
        <f t="shared" si="98"/>
        <v>0</v>
      </c>
      <c r="DL132" s="161">
        <f t="shared" si="99"/>
        <v>41.666666666666664</v>
      </c>
      <c r="DM132" s="161">
        <f t="shared" si="100"/>
        <v>31.25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251.48809523809524</v>
      </c>
      <c r="EL132" s="149"/>
      <c r="EN132" s="146"/>
      <c r="EO132" s="146"/>
      <c r="EP132" s="139">
        <f t="shared" si="131"/>
        <v>0</v>
      </c>
      <c r="EQ132" s="139">
        <f t="shared" si="132"/>
        <v>0</v>
      </c>
      <c r="ER132" s="139">
        <f t="shared" si="133"/>
        <v>5.8580289324047703</v>
      </c>
      <c r="ES132" s="139">
        <f t="shared" si="134"/>
        <v>3.5355265069442834</v>
      </c>
      <c r="ET132" s="139">
        <f t="shared" si="135"/>
        <v>0</v>
      </c>
      <c r="EU132" s="139">
        <f t="shared" si="136"/>
        <v>0</v>
      </c>
      <c r="EV132" s="139">
        <f t="shared" si="137"/>
        <v>32.703018609783037</v>
      </c>
      <c r="EW132" s="139">
        <f t="shared" si="138"/>
        <v>37.3260608602871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79.422634909419187</v>
      </c>
      <c r="FV132" s="149"/>
      <c r="FY132" s="211">
        <v>127</v>
      </c>
      <c r="FZ132">
        <v>75.163549341009983</v>
      </c>
      <c r="GA132">
        <v>88.922629388393247</v>
      </c>
      <c r="GB132">
        <v>54.821442010320638</v>
      </c>
      <c r="GC132">
        <v>29.270247597828941</v>
      </c>
      <c r="GD132">
        <v>14.708627777018027</v>
      </c>
      <c r="GE132">
        <v>23.073649320362879</v>
      </c>
      <c r="GF132">
        <v>55.07392526161965</v>
      </c>
      <c r="GG132">
        <v>50.503200494418024</v>
      </c>
      <c r="GH132">
        <v>32.410377024546456</v>
      </c>
      <c r="GI132">
        <v>50.680659378877955</v>
      </c>
      <c r="GJ132"/>
      <c r="GK132"/>
      <c r="GL132"/>
      <c r="GM132"/>
    </row>
    <row r="133" spans="1:195" s="7" customFormat="1">
      <c r="A133" s="1"/>
      <c r="B133" s="76">
        <f ca="1">IF(C133="", "", RAND())</f>
        <v>0.93428920607659549</v>
      </c>
      <c r="C133">
        <v>7</v>
      </c>
      <c r="D133">
        <v>39775</v>
      </c>
      <c r="E133">
        <v>0</v>
      </c>
      <c r="F133">
        <v>0</v>
      </c>
      <c r="G133">
        <v>69.444444444444443</v>
      </c>
      <c r="H133">
        <v>138.88888888888889</v>
      </c>
      <c r="I133">
        <v>14.204545454545453</v>
      </c>
      <c r="J133">
        <v>0</v>
      </c>
      <c r="K133">
        <v>56.818181818181813</v>
      </c>
      <c r="L133">
        <v>14.204545454545453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204.46802441443128</v>
      </c>
      <c r="AO133">
        <v>47.537948120484671</v>
      </c>
      <c r="AP133">
        <v>302.09903037518592</v>
      </c>
      <c r="AQ133">
        <v>247.14324764510036</v>
      </c>
      <c r="AR133">
        <v>45.903281273801326</v>
      </c>
      <c r="AS133">
        <v>243.01392209007415</v>
      </c>
      <c r="AT133">
        <v>20.667769955029911</v>
      </c>
      <c r="AU133">
        <v>-21.032485431282083</v>
      </c>
      <c r="AV133"/>
      <c r="AW133"/>
      <c r="AX133" s="146"/>
      <c r="AY133" s="76">
        <f t="shared" ca="1" si="86"/>
        <v>0.83803652960074082</v>
      </c>
      <c r="AZ133">
        <v>6</v>
      </c>
      <c r="BA133" s="129">
        <f t="shared" si="164"/>
        <v>39775</v>
      </c>
      <c r="BB133">
        <v>0</v>
      </c>
      <c r="BC133"/>
      <c r="BD133"/>
      <c r="BE133"/>
      <c r="BF133"/>
      <c r="BG133">
        <v>1</v>
      </c>
      <c r="BH133">
        <v>1</v>
      </c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8"/>
        <v>0.6510490601389467</v>
      </c>
      <c r="CL133" s="179">
        <f t="shared" si="89"/>
        <v>6</v>
      </c>
      <c r="CM133" s="180">
        <f t="shared" si="90"/>
        <v>39775</v>
      </c>
      <c r="CN133">
        <v>0</v>
      </c>
      <c r="CO133"/>
      <c r="CP133">
        <v>1</v>
      </c>
      <c r="CQ133">
        <v>5</v>
      </c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0.56042280064580341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0</v>
      </c>
      <c r="DH133" s="161">
        <f t="shared" si="95"/>
        <v>10.416666666666666</v>
      </c>
      <c r="DI133" s="161">
        <f t="shared" si="96"/>
        <v>52.083333333333336</v>
      </c>
      <c r="DJ133" s="161">
        <f t="shared" si="97"/>
        <v>0</v>
      </c>
      <c r="DK133" s="161">
        <f t="shared" si="98"/>
        <v>10.416666666666666</v>
      </c>
      <c r="DL133" s="161">
        <f t="shared" si="99"/>
        <v>10.416666666666666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83.333333333333343</v>
      </c>
      <c r="EL133" s="149"/>
      <c r="EN133" s="146"/>
      <c r="EO133" s="146"/>
      <c r="EP133" s="139">
        <f t="shared" si="131"/>
        <v>0</v>
      </c>
      <c r="EQ133" s="139">
        <f t="shared" si="132"/>
        <v>0</v>
      </c>
      <c r="ER133" s="139">
        <f t="shared" si="133"/>
        <v>0.41006202526833385</v>
      </c>
      <c r="ES133" s="139">
        <f t="shared" si="134"/>
        <v>6.187171387152496</v>
      </c>
      <c r="ET133" s="139">
        <f t="shared" si="135"/>
        <v>0</v>
      </c>
      <c r="EU133" s="139">
        <f t="shared" si="136"/>
        <v>4.9755161005886874</v>
      </c>
      <c r="EV133" s="139">
        <f t="shared" si="137"/>
        <v>8.1757546524457592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19.748504165455277</v>
      </c>
      <c r="FV133" s="149"/>
      <c r="FY133" s="211">
        <v>128</v>
      </c>
      <c r="FZ133">
        <v>45.669215274628399</v>
      </c>
      <c r="GA133">
        <v>44.920526927138781</v>
      </c>
      <c r="GB133">
        <v>33.791297270312967</v>
      </c>
      <c r="GC133">
        <v>26.530681282115058</v>
      </c>
      <c r="GD133">
        <v>20.909612863401517</v>
      </c>
      <c r="GE133">
        <v>29.554984489390389</v>
      </c>
      <c r="GF133">
        <v>43.994038040831327</v>
      </c>
      <c r="GG133">
        <v>32.029749336438414</v>
      </c>
      <c r="GH133">
        <v>19.673964776499876</v>
      </c>
      <c r="GI133">
        <v>40.586821699176312</v>
      </c>
      <c r="GJ133"/>
      <c r="GK133"/>
      <c r="GL133"/>
      <c r="GM133"/>
    </row>
    <row r="134" spans="1:195" s="7" customFormat="1">
      <c r="A134" s="1"/>
      <c r="B134" s="76">
        <f ca="1">IF(C134="", "", RAND())</f>
        <v>6.0509629637619078E-2</v>
      </c>
      <c r="C134">
        <v>2</v>
      </c>
      <c r="D134">
        <v>39775</v>
      </c>
      <c r="E134">
        <v>0</v>
      </c>
      <c r="F134">
        <v>0</v>
      </c>
      <c r="G134">
        <v>113.63636363636363</v>
      </c>
      <c r="H134">
        <v>18.939393939393938</v>
      </c>
      <c r="I134">
        <v>0</v>
      </c>
      <c r="J134">
        <v>41.666666666666664</v>
      </c>
      <c r="K134">
        <v>20.833333333333332</v>
      </c>
      <c r="L134">
        <v>10.416666666666666</v>
      </c>
      <c r="M134">
        <v>10.416666666666666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190.73294323540281</v>
      </c>
      <c r="AO134">
        <v>61.387088599581816</v>
      </c>
      <c r="AP134">
        <v>508.75428730794863</v>
      </c>
      <c r="AQ134">
        <v>397.82001785822564</v>
      </c>
      <c r="AR134">
        <v>60.659290431918727</v>
      </c>
      <c r="AS134">
        <v>278.06340183547428</v>
      </c>
      <c r="AT134">
        <v>30.696455885299841</v>
      </c>
      <c r="AU134">
        <v>-4.1668852556930815</v>
      </c>
      <c r="AV134"/>
      <c r="AW134"/>
      <c r="AX134" s="146"/>
      <c r="AY134" s="76">
        <f t="shared" ca="1" si="86"/>
        <v>0.80333715359685254</v>
      </c>
      <c r="AZ134">
        <v>7</v>
      </c>
      <c r="BA134" s="129">
        <f t="shared" si="164"/>
        <v>39775</v>
      </c>
      <c r="BB134">
        <v>0</v>
      </c>
      <c r="BC134"/>
      <c r="BD134"/>
      <c r="BE134"/>
      <c r="BF134">
        <v>1</v>
      </c>
      <c r="BG134"/>
      <c r="BH134">
        <v>4</v>
      </c>
      <c r="BI134">
        <v>1</v>
      </c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8"/>
        <v>0.67811853070103911</v>
      </c>
      <c r="CL134" s="179">
        <f t="shared" si="89"/>
        <v>7</v>
      </c>
      <c r="CM134" s="180">
        <f t="shared" si="90"/>
        <v>39775</v>
      </c>
      <c r="CN134">
        <v>0</v>
      </c>
      <c r="CO134"/>
      <c r="CP134">
        <v>3</v>
      </c>
      <c r="CQ134">
        <v>6</v>
      </c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0.51667334753287442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69.444444444444443</v>
      </c>
      <c r="DI134" s="161">
        <f t="shared" si="96"/>
        <v>138.88888888888889</v>
      </c>
      <c r="DJ134" s="161">
        <f t="shared" si="97"/>
        <v>14.204545454545453</v>
      </c>
      <c r="DK134" s="161">
        <f t="shared" si="98"/>
        <v>0</v>
      </c>
      <c r="DL134" s="161">
        <f t="shared" si="99"/>
        <v>56.818181818181813</v>
      </c>
      <c r="DM134" s="161">
        <f t="shared" si="100"/>
        <v>14.204545454545453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293.56060606060601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2.733746835122226</v>
      </c>
      <c r="ES134" s="139">
        <f t="shared" si="134"/>
        <v>16.499123699073319</v>
      </c>
      <c r="ET134" s="139">
        <f t="shared" si="135"/>
        <v>3.694484377171896</v>
      </c>
      <c r="EU134" s="139">
        <f t="shared" si="136"/>
        <v>0</v>
      </c>
      <c r="EV134" s="139">
        <f t="shared" si="137"/>
        <v>44.595025376976871</v>
      </c>
      <c r="EW134" s="139">
        <f t="shared" si="138"/>
        <v>16.9663913001305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84.488771588474805</v>
      </c>
      <c r="FV134" s="149"/>
      <c r="FY134" s="211">
        <v>129</v>
      </c>
      <c r="FZ134">
        <v>60.098588824061068</v>
      </c>
      <c r="GA134">
        <v>83.302861115063109</v>
      </c>
      <c r="GB134">
        <v>38.541497045249628</v>
      </c>
      <c r="GC134">
        <v>18.341979786102151</v>
      </c>
      <c r="GD134">
        <v>14.577097889566076</v>
      </c>
      <c r="GE134">
        <v>28.323625865521475</v>
      </c>
      <c r="GF134">
        <v>48.256261087425678</v>
      </c>
      <c r="GG134">
        <v>41.270244464490531</v>
      </c>
      <c r="GH134">
        <v>20.687364562985529</v>
      </c>
      <c r="GI134">
        <v>40.953299284256282</v>
      </c>
      <c r="GJ134"/>
      <c r="GK134"/>
      <c r="GL134"/>
      <c r="GM134"/>
    </row>
    <row r="135" spans="1:195" s="7" customFormat="1">
      <c r="A135" s="1"/>
      <c r="B135" s="76">
        <f ca="1">IF(C135="", "", RAND())</f>
        <v>0.88928630127961839</v>
      </c>
      <c r="C135">
        <v>3</v>
      </c>
      <c r="D135">
        <v>39775</v>
      </c>
      <c r="E135">
        <v>0</v>
      </c>
      <c r="F135">
        <v>52.083333333333336</v>
      </c>
      <c r="G135">
        <v>937.5</v>
      </c>
      <c r="H135">
        <v>62.5</v>
      </c>
      <c r="I135">
        <v>114.58333333333333</v>
      </c>
      <c r="J135">
        <v>0</v>
      </c>
      <c r="K135">
        <v>0</v>
      </c>
      <c r="L135">
        <v>52.083333333333336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234.87579053664172</v>
      </c>
      <c r="AO135">
        <v>77.878124599177468</v>
      </c>
      <c r="AP135">
        <v>676.21019975797969</v>
      </c>
      <c r="AQ135">
        <v>526.82441638190687</v>
      </c>
      <c r="AR135">
        <v>73.833931694834362</v>
      </c>
      <c r="AS135">
        <v>372.46561732782925</v>
      </c>
      <c r="AT135">
        <v>39.9149380559356</v>
      </c>
      <c r="AU135">
        <v>42.120514997349154</v>
      </c>
      <c r="AV135"/>
      <c r="AW135"/>
      <c r="AX135" s="146"/>
      <c r="AY135" s="76">
        <f t="shared" ca="1" si="86"/>
        <v>0.37455325814302132</v>
      </c>
      <c r="AZ135">
        <v>8</v>
      </c>
      <c r="BA135" s="129">
        <f t="shared" si="164"/>
        <v>39775</v>
      </c>
      <c r="BB135">
        <v>0</v>
      </c>
      <c r="BC135"/>
      <c r="BD135"/>
      <c r="BE135"/>
      <c r="BF135"/>
      <c r="BG135">
        <v>1</v>
      </c>
      <c r="BH135">
        <v>2</v>
      </c>
      <c r="BI135">
        <v>1</v>
      </c>
      <c r="BJ135">
        <v>1</v>
      </c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8"/>
        <v>0.6245741671657099</v>
      </c>
      <c r="CL135" s="179">
        <f t="shared" si="89"/>
        <v>8</v>
      </c>
      <c r="CM135" s="180">
        <f t="shared" si="90"/>
        <v>39775</v>
      </c>
      <c r="CN135">
        <v>0</v>
      </c>
      <c r="CO135"/>
      <c r="CP135">
        <v>3</v>
      </c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0.39074392799628654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0</v>
      </c>
      <c r="DH135" s="161">
        <f t="shared" si="95"/>
        <v>156.25</v>
      </c>
      <c r="DI135" s="161">
        <f t="shared" si="96"/>
        <v>0</v>
      </c>
      <c r="DJ135" s="161">
        <f t="shared" si="97"/>
        <v>0</v>
      </c>
      <c r="DK135" s="161">
        <f t="shared" si="98"/>
        <v>34.722222222222221</v>
      </c>
      <c r="DL135" s="161">
        <f t="shared" si="99"/>
        <v>69.444444444444443</v>
      </c>
      <c r="DM135" s="161">
        <f t="shared" si="100"/>
        <v>34.722222222222221</v>
      </c>
      <c r="DN135" s="161">
        <f t="shared" si="101"/>
        <v>34.722222222222221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329.86111111111114</v>
      </c>
      <c r="EL135" s="149"/>
      <c r="EN135" s="146"/>
      <c r="EO135" s="146"/>
      <c r="EP135" s="139">
        <f t="shared" si="131"/>
        <v>0</v>
      </c>
      <c r="EQ135" s="139">
        <f t="shared" si="132"/>
        <v>0</v>
      </c>
      <c r="ER135" s="139">
        <f t="shared" si="133"/>
        <v>6.1509303790250085</v>
      </c>
      <c r="ES135" s="139">
        <f t="shared" si="134"/>
        <v>0</v>
      </c>
      <c r="ET135" s="139">
        <f t="shared" si="135"/>
        <v>0</v>
      </c>
      <c r="EU135" s="139">
        <f t="shared" si="136"/>
        <v>16.585053668628959</v>
      </c>
      <c r="EV135" s="139">
        <f t="shared" si="137"/>
        <v>54.505031016305061</v>
      </c>
      <c r="EW135" s="139">
        <f t="shared" si="138"/>
        <v>41.473400955874553</v>
      </c>
      <c r="EX135" s="139">
        <f t="shared" si="139"/>
        <v>59.667757219844326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178.38217323967791</v>
      </c>
      <c r="FV135" s="149"/>
      <c r="FY135" s="211">
        <v>130</v>
      </c>
      <c r="FZ135">
        <v>105.22835878391899</v>
      </c>
      <c r="GA135">
        <v>131.2434435015191</v>
      </c>
      <c r="GB135">
        <v>54.528365004956903</v>
      </c>
      <c r="GC135">
        <v>26.755512467189661</v>
      </c>
      <c r="GD135">
        <v>14.991678104261766</v>
      </c>
      <c r="GE135">
        <v>33.546819303035882</v>
      </c>
      <c r="GF135">
        <v>49.744114809544762</v>
      </c>
      <c r="GG135">
        <v>30.738555809413977</v>
      </c>
      <c r="GH135">
        <v>23.62602302003604</v>
      </c>
      <c r="GI135">
        <v>52.640514519835314</v>
      </c>
      <c r="GJ135"/>
      <c r="GK135"/>
      <c r="GL135"/>
      <c r="GM135"/>
    </row>
    <row r="136" spans="1:195" s="7" customFormat="1">
      <c r="A136" s="1"/>
      <c r="B136" s="76">
        <f ca="1">IF(C136="", "", RAND())</f>
        <v>0.1855851102684305</v>
      </c>
      <c r="C136">
        <v>6</v>
      </c>
      <c r="D136">
        <v>39775</v>
      </c>
      <c r="E136">
        <v>0</v>
      </c>
      <c r="F136">
        <v>0</v>
      </c>
      <c r="G136">
        <v>10.416666666666666</v>
      </c>
      <c r="H136">
        <v>52.083333333333336</v>
      </c>
      <c r="I136">
        <v>0</v>
      </c>
      <c r="J136">
        <v>10.416666666666666</v>
      </c>
      <c r="K136">
        <v>10.416666666666666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222.23634090025294</v>
      </c>
      <c r="AO136">
        <v>67.579165034716539</v>
      </c>
      <c r="AP136">
        <v>516.16743533647923</v>
      </c>
      <c r="AQ136">
        <v>411.67852258463944</v>
      </c>
      <c r="AR136">
        <v>64.595637743482527</v>
      </c>
      <c r="AS136">
        <v>335.74987967471208</v>
      </c>
      <c r="AT136">
        <v>30.792694107303774</v>
      </c>
      <c r="AU136">
        <v>-18.580781880561709</v>
      </c>
      <c r="AV136"/>
      <c r="AW136"/>
      <c r="AX136" s="146"/>
      <c r="AY136" s="76">
        <f t="shared" ca="1" si="86"/>
        <v>0.51539222027463882</v>
      </c>
      <c r="AZ136">
        <v>9</v>
      </c>
      <c r="BA136" s="129">
        <f t="shared" si="164"/>
        <v>39775</v>
      </c>
      <c r="BB136">
        <v>0</v>
      </c>
      <c r="BC136"/>
      <c r="BD136"/>
      <c r="BE136"/>
      <c r="BF136">
        <v>2</v>
      </c>
      <c r="BG136"/>
      <c r="BH136">
        <v>2</v>
      </c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8"/>
        <v>0.50548263188310472</v>
      </c>
      <c r="CL136" s="179">
        <f t="shared" si="89"/>
        <v>9</v>
      </c>
      <c r="CM136" s="180">
        <f t="shared" si="90"/>
        <v>39775</v>
      </c>
      <c r="CN136" s="207">
        <v>0</v>
      </c>
      <c r="CO136"/>
      <c r="CP136">
        <v>5</v>
      </c>
      <c r="CQ136">
        <v>3</v>
      </c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0.75029780125459133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52.083333333333336</v>
      </c>
      <c r="DI136" s="161">
        <f t="shared" si="96"/>
        <v>31.25</v>
      </c>
      <c r="DJ136" s="161">
        <f t="shared" si="97"/>
        <v>20.833333333333332</v>
      </c>
      <c r="DK136" s="161">
        <f t="shared" si="98"/>
        <v>0</v>
      </c>
      <c r="DL136" s="161">
        <f t="shared" si="99"/>
        <v>20.833333333333332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125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2.0503101263416696</v>
      </c>
      <c r="ES136" s="139">
        <f t="shared" si="134"/>
        <v>3.7123028322914973</v>
      </c>
      <c r="ET136" s="139">
        <f t="shared" si="135"/>
        <v>5.4185770865187814</v>
      </c>
      <c r="EU136" s="139">
        <f t="shared" si="136"/>
        <v>0</v>
      </c>
      <c r="EV136" s="139">
        <f t="shared" si="137"/>
        <v>16.351509304891518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27.532699350043465</v>
      </c>
      <c r="FV136" s="149"/>
      <c r="FY136" s="211">
        <v>131</v>
      </c>
      <c r="FZ136">
        <v>76.466998816851287</v>
      </c>
      <c r="GA136">
        <v>96.273149591287563</v>
      </c>
      <c r="GB136">
        <v>37.945862328266458</v>
      </c>
      <c r="GC136">
        <v>23.070244585564179</v>
      </c>
      <c r="GD136">
        <v>11.601898666518071</v>
      </c>
      <c r="GE136">
        <v>18.188335219999082</v>
      </c>
      <c r="GF136">
        <v>29.746756837845115</v>
      </c>
      <c r="GG136">
        <v>14.617291454906571</v>
      </c>
      <c r="GH136">
        <v>18.289864985967718</v>
      </c>
      <c r="GI136">
        <v>37.26180953631517</v>
      </c>
      <c r="GJ136"/>
      <c r="GK136"/>
      <c r="GL136"/>
      <c r="GM136"/>
    </row>
    <row r="137" spans="1:195" s="7" customFormat="1">
      <c r="A137" s="1"/>
      <c r="B137" s="76">
        <f ca="1">IF(C137="", "", RAND())</f>
        <v>0.61467618674569291</v>
      </c>
      <c r="C137">
        <v>8</v>
      </c>
      <c r="D137">
        <v>39775</v>
      </c>
      <c r="E137">
        <v>0</v>
      </c>
      <c r="F137">
        <v>0</v>
      </c>
      <c r="G137">
        <v>156.25</v>
      </c>
      <c r="H137">
        <v>0</v>
      </c>
      <c r="I137">
        <v>0</v>
      </c>
      <c r="J137">
        <v>34.722222222222221</v>
      </c>
      <c r="K137">
        <v>69.444444444444443</v>
      </c>
      <c r="L137">
        <v>34.722222222222221</v>
      </c>
      <c r="M137">
        <v>34.722222222222221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204.76018988727026</v>
      </c>
      <c r="AO137">
        <v>70.042841858812508</v>
      </c>
      <c r="AP137">
        <v>632.39894743900618</v>
      </c>
      <c r="AQ137">
        <v>495.53657577014559</v>
      </c>
      <c r="AR137">
        <v>69.025642737824995</v>
      </c>
      <c r="AS137">
        <v>316.88203859597411</v>
      </c>
      <c r="AT137">
        <v>36.287298610620539</v>
      </c>
      <c r="AU137">
        <v>-31.796234294647114</v>
      </c>
      <c r="AV137"/>
      <c r="AW137"/>
      <c r="AX137" s="146"/>
      <c r="AY137" s="76">
        <f t="shared" ca="1" si="86"/>
        <v>0.81243392352691846</v>
      </c>
      <c r="AZ137">
        <v>10</v>
      </c>
      <c r="BA137" s="129">
        <f t="shared" si="164"/>
        <v>39775</v>
      </c>
      <c r="BB137">
        <v>0</v>
      </c>
      <c r="BC137"/>
      <c r="BD137"/>
      <c r="BE137"/>
      <c r="BF137"/>
      <c r="BG137">
        <v>1</v>
      </c>
      <c r="BH137">
        <v>1</v>
      </c>
      <c r="BI137">
        <v>2</v>
      </c>
      <c r="BJ137">
        <v>1</v>
      </c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8"/>
        <v>0.10391949883853169</v>
      </c>
      <c r="CL137" s="179">
        <f t="shared" si="89"/>
        <v>10</v>
      </c>
      <c r="CM137" s="180">
        <f t="shared" si="90"/>
        <v>39775</v>
      </c>
      <c r="CN137" s="225">
        <v>0</v>
      </c>
      <c r="CO137" s="225">
        <v>3</v>
      </c>
      <c r="CP137" s="225">
        <v>10</v>
      </c>
      <c r="CQ137" s="225">
        <v>2</v>
      </c>
      <c r="CR137" s="225"/>
      <c r="CS137"/>
      <c r="CT137"/>
      <c r="CU137"/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3.6182848825260905E-2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31.25</v>
      </c>
      <c r="DH137" s="161">
        <f t="shared" si="95"/>
        <v>104.16666666666667</v>
      </c>
      <c r="DI137" s="161">
        <f t="shared" si="96"/>
        <v>20.833333333333332</v>
      </c>
      <c r="DJ137" s="161">
        <f t="shared" si="97"/>
        <v>0</v>
      </c>
      <c r="DK137" s="161">
        <f t="shared" si="98"/>
        <v>10.416666666666666</v>
      </c>
      <c r="DL137" s="161">
        <f t="shared" si="99"/>
        <v>10.416666666666666</v>
      </c>
      <c r="DM137" s="161">
        <f t="shared" si="100"/>
        <v>20.833333333333332</v>
      </c>
      <c r="DN137" s="161">
        <f t="shared" si="101"/>
        <v>10.416666666666666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208.33333333333334</v>
      </c>
      <c r="EL137" s="149"/>
      <c r="EN137" s="146"/>
      <c r="EO137" s="146"/>
      <c r="EP137" s="139">
        <f t="shared" si="131"/>
        <v>0</v>
      </c>
      <c r="EQ137" s="139">
        <f t="shared" si="132"/>
        <v>0.18619374999999999</v>
      </c>
      <c r="ER137" s="139">
        <f t="shared" si="133"/>
        <v>4.1006202526833393</v>
      </c>
      <c r="ES137" s="139">
        <f t="shared" si="134"/>
        <v>2.4748685548609979</v>
      </c>
      <c r="ET137" s="139">
        <f t="shared" si="135"/>
        <v>0</v>
      </c>
      <c r="EU137" s="139">
        <f t="shared" si="136"/>
        <v>4.9755161005886874</v>
      </c>
      <c r="EV137" s="139">
        <f t="shared" si="137"/>
        <v>8.1757546524457592</v>
      </c>
      <c r="EW137" s="139">
        <f t="shared" si="138"/>
        <v>24.884040573524732</v>
      </c>
      <c r="EX137" s="139">
        <f t="shared" si="139"/>
        <v>17.900327165953296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62.697321050056814</v>
      </c>
      <c r="FV137" s="149"/>
      <c r="FY137" s="211">
        <v>132</v>
      </c>
      <c r="FZ137">
        <v>61.994372202291153</v>
      </c>
      <c r="GA137">
        <v>87.763329440015397</v>
      </c>
      <c r="GB137">
        <v>31.432229521587136</v>
      </c>
      <c r="GC137">
        <v>19.478158277628047</v>
      </c>
      <c r="GD137">
        <v>14.91343328687126</v>
      </c>
      <c r="GE137">
        <v>27.266638777277482</v>
      </c>
      <c r="GF137">
        <v>63.53946751582275</v>
      </c>
      <c r="GG137">
        <v>46.977816855558949</v>
      </c>
      <c r="GH137">
        <v>25.974480765893368</v>
      </c>
      <c r="GI137">
        <v>43.23972772371809</v>
      </c>
      <c r="GJ137"/>
      <c r="GK137"/>
      <c r="GL137"/>
      <c r="GM137"/>
    </row>
    <row r="138" spans="1:195" s="7" customFormat="1">
      <c r="A138" s="128"/>
      <c r="B138" s="76">
        <f ca="1">IF(C138="", "", RAND())</f>
        <v>0.34775457989289915</v>
      </c>
      <c r="C138">
        <v>4</v>
      </c>
      <c r="D138">
        <v>39799</v>
      </c>
      <c r="E138">
        <v>0</v>
      </c>
      <c r="F138">
        <v>0</v>
      </c>
      <c r="G138">
        <v>584.89304812834223</v>
      </c>
      <c r="H138">
        <v>0</v>
      </c>
      <c r="I138">
        <v>0</v>
      </c>
      <c r="J138">
        <v>0</v>
      </c>
      <c r="K138">
        <v>0</v>
      </c>
      <c r="L138">
        <v>151.5151515151515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234.27787531990521</v>
      </c>
      <c r="AO138">
        <v>86.489875974914611</v>
      </c>
      <c r="AP138">
        <v>782.52567473308397</v>
      </c>
      <c r="AQ138">
        <v>619.94306732793711</v>
      </c>
      <c r="AR138">
        <v>82.404988681842298</v>
      </c>
      <c r="AS138">
        <v>425.42386663998258</v>
      </c>
      <c r="AT138">
        <v>45.835625406521906</v>
      </c>
      <c r="AU138">
        <v>582.38117503670583</v>
      </c>
      <c r="AV138"/>
      <c r="AW138"/>
      <c r="AX138" s="128"/>
      <c r="AY138" s="76">
        <f t="shared" ca="1" si="86"/>
        <v>9.5115528096278545E-2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>
        <v>5</v>
      </c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8"/>
        <v>5.4384316923015374E-2</v>
      </c>
      <c r="CL138" s="179">
        <f t="shared" si="89"/>
        <v>1</v>
      </c>
      <c r="CM138" s="180">
        <f t="shared" si="90"/>
        <v>39799</v>
      </c>
      <c r="CN138">
        <v>0</v>
      </c>
      <c r="CO138"/>
      <c r="CP138"/>
      <c r="CQ138">
        <v>1</v>
      </c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0.71845259513599236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0</v>
      </c>
      <c r="DI138" s="161">
        <f t="shared" si="96"/>
        <v>83.333333333333329</v>
      </c>
      <c r="DJ138" s="161">
        <f t="shared" si="97"/>
        <v>0</v>
      </c>
      <c r="DK138" s="161">
        <f t="shared" si="98"/>
        <v>0</v>
      </c>
      <c r="DL138" s="161">
        <f t="shared" si="99"/>
        <v>0</v>
      </c>
      <c r="DM138" s="161">
        <f t="shared" si="100"/>
        <v>52.083333333333336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135.41666666666666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0</v>
      </c>
      <c r="ES138" s="139">
        <f t="shared" si="134"/>
        <v>9.8994742194439915</v>
      </c>
      <c r="ET138" s="139">
        <f t="shared" si="135"/>
        <v>0</v>
      </c>
      <c r="EU138" s="139">
        <f t="shared" si="136"/>
        <v>0</v>
      </c>
      <c r="EV138" s="139">
        <f t="shared" si="137"/>
        <v>0</v>
      </c>
      <c r="EW138" s="139">
        <f t="shared" si="138"/>
        <v>62.210101433811836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72.109575653255831</v>
      </c>
      <c r="FV138" s="149"/>
      <c r="FY138" s="211">
        <v>133</v>
      </c>
      <c r="FZ138">
        <v>36.852955729902767</v>
      </c>
      <c r="GA138">
        <v>22.621888250440268</v>
      </c>
      <c r="GB138">
        <v>40.966418828586477</v>
      </c>
      <c r="GC138">
        <v>31.825256356567301</v>
      </c>
      <c r="GD138">
        <v>19.750077743731442</v>
      </c>
      <c r="GE138">
        <v>29.106463597466725</v>
      </c>
      <c r="GF138">
        <v>42.452746919347547</v>
      </c>
      <c r="GG138">
        <v>24.675148332539525</v>
      </c>
      <c r="GH138">
        <v>17.848358999749745</v>
      </c>
      <c r="GI138">
        <v>39.742644300405331</v>
      </c>
      <c r="GJ138"/>
      <c r="GK138"/>
      <c r="GL138"/>
      <c r="GM138"/>
    </row>
    <row r="139" spans="1:195" s="7" customFormat="1">
      <c r="A139" s="1"/>
      <c r="B139" s="76">
        <f ca="1">IF(C139="", "", RAND())</f>
        <v>6.5338066332050637E-2</v>
      </c>
      <c r="C139">
        <v>6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271.6542300189775</v>
      </c>
      <c r="AO139">
        <v>85.906462072980773</v>
      </c>
      <c r="AP139">
        <v>740.1162583207738</v>
      </c>
      <c r="AQ139">
        <v>588.49594468480313</v>
      </c>
      <c r="AR139">
        <v>84.917356927843372</v>
      </c>
      <c r="AS139">
        <v>411.12427908810065</v>
      </c>
      <c r="AT139">
        <v>46.401017494758442</v>
      </c>
      <c r="AU139">
        <v>16.443763393840932</v>
      </c>
      <c r="AV139"/>
      <c r="AW139"/>
      <c r="AX139" s="146"/>
      <c r="AY139" s="76">
        <f t="shared" ca="1" si="86"/>
        <v>0.92058641796154306</v>
      </c>
      <c r="AZ139">
        <v>2</v>
      </c>
      <c r="BA139" s="129">
        <f t="shared" ref="BA139:BA147" si="166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8"/>
        <v>0.3939094414036548</v>
      </c>
      <c r="CL139" s="179">
        <f t="shared" si="89"/>
        <v>2</v>
      </c>
      <c r="CM139" s="180">
        <f t="shared" si="90"/>
        <v>39799</v>
      </c>
      <c r="CN139">
        <v>0</v>
      </c>
      <c r="CO139">
        <v>1</v>
      </c>
      <c r="CP139">
        <v>10</v>
      </c>
      <c r="CQ139">
        <v>4</v>
      </c>
      <c r="CR139">
        <v>1</v>
      </c>
      <c r="CS139"/>
      <c r="CT139"/>
      <c r="CU139"/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0.6940802929591392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10.416666666666666</v>
      </c>
      <c r="DH139" s="161">
        <f t="shared" si="95"/>
        <v>104.16666666666667</v>
      </c>
      <c r="DI139" s="161">
        <f t="shared" si="96"/>
        <v>41.666666666666664</v>
      </c>
      <c r="DJ139" s="161">
        <f t="shared" si="97"/>
        <v>10.416666666666666</v>
      </c>
      <c r="DK139" s="161">
        <f t="shared" si="98"/>
        <v>0</v>
      </c>
      <c r="DL139" s="161">
        <f t="shared" si="99"/>
        <v>0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166.66666666666666</v>
      </c>
      <c r="EL139" s="149"/>
      <c r="EN139" s="146"/>
      <c r="EO139" s="146"/>
      <c r="EP139" s="139">
        <f t="shared" si="131"/>
        <v>0</v>
      </c>
      <c r="EQ139" s="139">
        <f t="shared" si="132"/>
        <v>6.2064583333333326E-2</v>
      </c>
      <c r="ER139" s="139">
        <f t="shared" si="133"/>
        <v>4.1006202526833393</v>
      </c>
      <c r="ES139" s="139">
        <f t="shared" si="134"/>
        <v>4.9497371097219958</v>
      </c>
      <c r="ET139" s="139">
        <f t="shared" si="135"/>
        <v>2.7092885432593907</v>
      </c>
      <c r="EU139" s="139">
        <f t="shared" si="136"/>
        <v>0</v>
      </c>
      <c r="EV139" s="139">
        <f t="shared" si="137"/>
        <v>0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11.821710488998058</v>
      </c>
      <c r="FV139" s="149"/>
      <c r="FY139" s="211">
        <v>134</v>
      </c>
      <c r="FZ139">
        <v>73.871453333047313</v>
      </c>
      <c r="GA139">
        <v>96.289015959934488</v>
      </c>
      <c r="GB139">
        <v>59.218391427839371</v>
      </c>
      <c r="GC139">
        <v>28.710199299165016</v>
      </c>
      <c r="GD139">
        <v>10.227692520643657</v>
      </c>
      <c r="GE139">
        <v>15.009001188547508</v>
      </c>
      <c r="GF139">
        <v>29.042884560641838</v>
      </c>
      <c r="GG139">
        <v>30.079548550326884</v>
      </c>
      <c r="GH139">
        <v>31.19258160472932</v>
      </c>
      <c r="GI139">
        <v>43.462415910749428</v>
      </c>
      <c r="GJ139"/>
      <c r="GK139"/>
      <c r="GL139"/>
      <c r="GM139"/>
    </row>
    <row r="140" spans="1:195" s="7" customFormat="1">
      <c r="A140" s="1"/>
      <c r="B140" s="76">
        <f ca="1">IF(C140="", "", RAND())</f>
        <v>0.68786313613878491</v>
      </c>
      <c r="C140">
        <v>7</v>
      </c>
      <c r="D140">
        <v>39799</v>
      </c>
      <c r="E140">
        <v>0</v>
      </c>
      <c r="F140">
        <v>0</v>
      </c>
      <c r="G140">
        <v>60.763888888888886</v>
      </c>
      <c r="H140">
        <v>0</v>
      </c>
      <c r="I140">
        <v>0</v>
      </c>
      <c r="J140">
        <v>0</v>
      </c>
      <c r="K140">
        <v>10.416666666666666</v>
      </c>
      <c r="L140">
        <v>0</v>
      </c>
      <c r="M140">
        <v>0</v>
      </c>
      <c r="N140">
        <v>10.416666666666666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208.37177890405218</v>
      </c>
      <c r="AO140">
        <v>75.422703158166996</v>
      </c>
      <c r="AP140">
        <v>653.91129933893194</v>
      </c>
      <c r="AQ140">
        <v>516.91749689199196</v>
      </c>
      <c r="AR140">
        <v>71.48575837079099</v>
      </c>
      <c r="AS140">
        <v>346.45924726338552</v>
      </c>
      <c r="AT140">
        <v>38.005174994633293</v>
      </c>
      <c r="AU140">
        <v>-28.547858923493195</v>
      </c>
      <c r="AV140"/>
      <c r="AW140"/>
      <c r="AX140" s="146"/>
      <c r="AY140" s="76">
        <f t="shared" ca="1" si="86"/>
        <v>0.63013663793182628</v>
      </c>
      <c r="AZ140">
        <v>3</v>
      </c>
      <c r="BA140" s="129">
        <f t="shared" si="166"/>
        <v>39799</v>
      </c>
      <c r="BB140">
        <v>0</v>
      </c>
      <c r="BC140"/>
      <c r="BD140"/>
      <c r="BE140"/>
      <c r="BF140"/>
      <c r="BG140">
        <v>1</v>
      </c>
      <c r="BH140">
        <v>3</v>
      </c>
      <c r="BI140">
        <v>1</v>
      </c>
      <c r="BJ140">
        <v>1</v>
      </c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8"/>
        <v>0.93457970000175639</v>
      </c>
      <c r="CL140" s="179">
        <f t="shared" si="89"/>
        <v>3</v>
      </c>
      <c r="CM140" s="180">
        <f t="shared" si="90"/>
        <v>39799</v>
      </c>
      <c r="CN140">
        <v>0</v>
      </c>
      <c r="CO140"/>
      <c r="CP140">
        <v>6</v>
      </c>
      <c r="CQ140"/>
      <c r="CR140"/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0.7110377087849038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500</v>
      </c>
      <c r="DI140" s="161">
        <f t="shared" si="96"/>
        <v>0</v>
      </c>
      <c r="DJ140" s="161">
        <f t="shared" si="97"/>
        <v>0</v>
      </c>
      <c r="DK140" s="161">
        <f t="shared" si="98"/>
        <v>24.038461538461537</v>
      </c>
      <c r="DL140" s="161">
        <f t="shared" si="99"/>
        <v>72.115384615384613</v>
      </c>
      <c r="DM140" s="161">
        <f t="shared" si="100"/>
        <v>24.038461538461537</v>
      </c>
      <c r="DN140" s="161">
        <f t="shared" si="101"/>
        <v>24.038461538461537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644.23076923076928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19.682977212880026</v>
      </c>
      <c r="ES140" s="139">
        <f t="shared" si="134"/>
        <v>0</v>
      </c>
      <c r="ET140" s="139">
        <f t="shared" si="135"/>
        <v>0</v>
      </c>
      <c r="EU140" s="139">
        <f t="shared" si="136"/>
        <v>11.48196023212774</v>
      </c>
      <c r="EV140" s="139">
        <f t="shared" si="137"/>
        <v>56.601378363086027</v>
      </c>
      <c r="EW140" s="139">
        <f t="shared" si="138"/>
        <v>28.712354507913151</v>
      </c>
      <c r="EX140" s="139">
        <f t="shared" si="139"/>
        <v>41.30844730604607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157.78711762205302</v>
      </c>
      <c r="FV140" s="149"/>
      <c r="FY140" s="211">
        <v>135</v>
      </c>
      <c r="FZ140">
        <v>116.48656076845728</v>
      </c>
      <c r="GA140">
        <v>132.86138147490553</v>
      </c>
      <c r="GB140">
        <v>52.37943632489452</v>
      </c>
      <c r="GC140">
        <v>30.57965510028934</v>
      </c>
      <c r="GD140">
        <v>15.062505113904296</v>
      </c>
      <c r="GE140">
        <v>18.449086510650609</v>
      </c>
      <c r="GF140">
        <v>6.7276810289511664</v>
      </c>
      <c r="GG140">
        <v>11.704563551367386</v>
      </c>
      <c r="GH140">
        <v>43.423646826022754</v>
      </c>
      <c r="GI140">
        <v>48.281210055365527</v>
      </c>
      <c r="GJ140"/>
      <c r="GK140"/>
      <c r="GL140"/>
      <c r="GM140"/>
    </row>
    <row r="141" spans="1:195" s="7" customFormat="1">
      <c r="A141" s="1"/>
      <c r="B141" s="76">
        <f ca="1">IF(C141="", "", RAND())</f>
        <v>1.1131901329288763E-3</v>
      </c>
      <c r="C141">
        <v>2</v>
      </c>
      <c r="D141">
        <v>39799</v>
      </c>
      <c r="E141">
        <v>0</v>
      </c>
      <c r="F141">
        <v>10.416666666666666</v>
      </c>
      <c r="G141">
        <v>104.16666666666667</v>
      </c>
      <c r="H141">
        <v>41.666666666666664</v>
      </c>
      <c r="I141">
        <v>10.416666666666666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120.36753495558132</v>
      </c>
      <c r="AO141">
        <v>39.437401498931855</v>
      </c>
      <c r="AP141">
        <v>328.92149369014987</v>
      </c>
      <c r="AQ141">
        <v>249.38693427513851</v>
      </c>
      <c r="AR141">
        <v>39.737474967401752</v>
      </c>
      <c r="AS141">
        <v>183.60801472489203</v>
      </c>
      <c r="AT141">
        <v>19.309482267443343</v>
      </c>
      <c r="AU141">
        <v>-7.9678786711837439</v>
      </c>
      <c r="AV141"/>
      <c r="AW141"/>
      <c r="AX141" s="146"/>
      <c r="AY141" s="76">
        <f t="shared" ca="1" si="86"/>
        <v>0.77808045390392877</v>
      </c>
      <c r="AZ141">
        <v>4</v>
      </c>
      <c r="BA141" s="129">
        <f t="shared" si="166"/>
        <v>39799</v>
      </c>
      <c r="BB141">
        <v>0</v>
      </c>
      <c r="BC141"/>
      <c r="BD141"/>
      <c r="BE141"/>
      <c r="BF141"/>
      <c r="BG141"/>
      <c r="BH141"/>
      <c r="BI141">
        <v>4</v>
      </c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8"/>
        <v>0.61169877241127057</v>
      </c>
      <c r="CL141" s="179">
        <f t="shared" si="89"/>
        <v>4</v>
      </c>
      <c r="CM141" s="180">
        <f t="shared" si="90"/>
        <v>39799</v>
      </c>
      <c r="CN141">
        <v>0</v>
      </c>
      <c r="CO141"/>
      <c r="CP141">
        <v>2</v>
      </c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0.39521504906593075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0</v>
      </c>
      <c r="DH141" s="161">
        <f t="shared" si="95"/>
        <v>584.89304812834223</v>
      </c>
      <c r="DI141" s="161">
        <f t="shared" si="96"/>
        <v>0</v>
      </c>
      <c r="DJ141" s="161">
        <f t="shared" si="97"/>
        <v>0</v>
      </c>
      <c r="DK141" s="161">
        <f t="shared" si="98"/>
        <v>0</v>
      </c>
      <c r="DL141" s="161">
        <f t="shared" si="99"/>
        <v>0</v>
      </c>
      <c r="DM141" s="161">
        <f t="shared" si="100"/>
        <v>151.5151515151515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736.40819964349373</v>
      </c>
      <c r="EL141" s="149"/>
      <c r="EN141" s="146"/>
      <c r="EO141" s="146"/>
      <c r="EP141" s="139">
        <f t="shared" si="131"/>
        <v>0</v>
      </c>
      <c r="EQ141" s="139">
        <f t="shared" si="132"/>
        <v>0</v>
      </c>
      <c r="ER141" s="139">
        <f t="shared" si="133"/>
        <v>23.024873076564202</v>
      </c>
      <c r="ES141" s="139">
        <f t="shared" si="134"/>
        <v>0</v>
      </c>
      <c r="ET141" s="139">
        <f t="shared" si="135"/>
        <v>0</v>
      </c>
      <c r="EU141" s="139">
        <f t="shared" si="136"/>
        <v>0</v>
      </c>
      <c r="EV141" s="139">
        <f t="shared" si="137"/>
        <v>0</v>
      </c>
      <c r="EW141" s="139">
        <f t="shared" si="138"/>
        <v>180.9748405347253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203.99971361128951</v>
      </c>
      <c r="FV141" s="149"/>
      <c r="FY141" s="211">
        <v>136</v>
      </c>
      <c r="FZ141">
        <v>79.824212826655895</v>
      </c>
      <c r="GA141">
        <v>94.42821542657255</v>
      </c>
      <c r="GB141">
        <v>54.490145327063445</v>
      </c>
      <c r="GC141">
        <v>28.441412035216892</v>
      </c>
      <c r="GD141">
        <v>13.863504369849309</v>
      </c>
      <c r="GE141">
        <v>19.118198672100256</v>
      </c>
      <c r="GF141">
        <v>45.843665073258599</v>
      </c>
      <c r="GG141">
        <v>38.150526033902949</v>
      </c>
      <c r="GH141">
        <v>14.424103586744959</v>
      </c>
      <c r="GI141">
        <v>46.01254338537494</v>
      </c>
      <c r="GJ141"/>
      <c r="GK141"/>
      <c r="GL141"/>
      <c r="GM141"/>
    </row>
    <row r="142" spans="1:195" s="7" customFormat="1">
      <c r="A142" s="1"/>
      <c r="B142" s="76">
        <f ca="1">IF(C142="", "", RAND())</f>
        <v>0.95829641655863318</v>
      </c>
      <c r="C142">
        <v>8</v>
      </c>
      <c r="D142">
        <v>39799</v>
      </c>
      <c r="E142">
        <v>0</v>
      </c>
      <c r="F142">
        <v>223.21428571428572</v>
      </c>
      <c r="G142">
        <v>74.404761904761912</v>
      </c>
      <c r="H142">
        <v>0</v>
      </c>
      <c r="I142">
        <v>0</v>
      </c>
      <c r="J142">
        <v>10.416666666666666</v>
      </c>
      <c r="K142">
        <v>20.833333333333332</v>
      </c>
      <c r="L142">
        <v>10.416666666666666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192.36894230773095</v>
      </c>
      <c r="AO142">
        <v>68.714806160653353</v>
      </c>
      <c r="AP142">
        <v>540.96912133014962</v>
      </c>
      <c r="AQ142">
        <v>429.98669665862064</v>
      </c>
      <c r="AR142">
        <v>67.214554754248766</v>
      </c>
      <c r="AS142">
        <v>335.82178777462428</v>
      </c>
      <c r="AT142">
        <v>34.674042562485099</v>
      </c>
      <c r="AU142">
        <v>12.733803582057128</v>
      </c>
      <c r="AV142"/>
      <c r="AW142"/>
      <c r="AX142" s="146"/>
      <c r="AY142" s="76">
        <f t="shared" ca="1" si="86"/>
        <v>3.4318011836818485E-2</v>
      </c>
      <c r="AZ142">
        <v>5</v>
      </c>
      <c r="BA142" s="129">
        <f t="shared" si="166"/>
        <v>39799</v>
      </c>
      <c r="BB142">
        <v>0</v>
      </c>
      <c r="BC142"/>
      <c r="BD142"/>
      <c r="BE142"/>
      <c r="BF142"/>
      <c r="BG142">
        <v>1</v>
      </c>
      <c r="BH142">
        <v>1</v>
      </c>
      <c r="BI142">
        <v>3</v>
      </c>
      <c r="BJ142">
        <v>1</v>
      </c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8"/>
        <v>0.39282349161685404</v>
      </c>
      <c r="CL142" s="179">
        <f t="shared" si="89"/>
        <v>5</v>
      </c>
      <c r="CM142" s="180">
        <f t="shared" si="90"/>
        <v>39799</v>
      </c>
      <c r="CN142">
        <v>2</v>
      </c>
      <c r="CO142">
        <v>6</v>
      </c>
      <c r="CP142">
        <v>2</v>
      </c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0.49759465002659486</v>
      </c>
      <c r="DD142">
        <f t="shared" si="92"/>
        <v>5</v>
      </c>
      <c r="DE142" s="129">
        <f t="shared" si="165"/>
        <v>39799</v>
      </c>
      <c r="DF142" s="161">
        <f t="shared" si="93"/>
        <v>140.22435897435898</v>
      </c>
      <c r="DG142" s="161">
        <f t="shared" si="94"/>
        <v>420.67307692307696</v>
      </c>
      <c r="DH142" s="161">
        <f t="shared" si="95"/>
        <v>140.22435897435898</v>
      </c>
      <c r="DI142" s="161">
        <f t="shared" si="96"/>
        <v>0</v>
      </c>
      <c r="DJ142" s="161">
        <f t="shared" si="97"/>
        <v>0</v>
      </c>
      <c r="DK142" s="161">
        <f t="shared" si="98"/>
        <v>10.416666666666666</v>
      </c>
      <c r="DL142" s="161">
        <f t="shared" si="99"/>
        <v>10.416666666666666</v>
      </c>
      <c r="DM142" s="161">
        <f t="shared" si="100"/>
        <v>31.25</v>
      </c>
      <c r="DN142" s="161">
        <f t="shared" si="101"/>
        <v>10.416666666666666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763.6217948717948</v>
      </c>
      <c r="EL142" s="149"/>
      <c r="EN142" s="146"/>
      <c r="EO142" s="146"/>
      <c r="EP142" s="139">
        <f t="shared" si="131"/>
        <v>0.12645407593539493</v>
      </c>
      <c r="EQ142" s="139">
        <f t="shared" si="132"/>
        <v>2.5064543269230768</v>
      </c>
      <c r="ER142" s="139">
        <f t="shared" si="133"/>
        <v>5.5200657247660336</v>
      </c>
      <c r="ES142" s="139">
        <f t="shared" si="134"/>
        <v>0</v>
      </c>
      <c r="ET142" s="139">
        <f t="shared" si="135"/>
        <v>0</v>
      </c>
      <c r="EU142" s="139">
        <f t="shared" si="136"/>
        <v>4.9755161005886874</v>
      </c>
      <c r="EV142" s="139">
        <f t="shared" si="137"/>
        <v>8.1757546524457592</v>
      </c>
      <c r="EW142" s="139">
        <f t="shared" si="138"/>
        <v>37.3260608602871</v>
      </c>
      <c r="EX142" s="139">
        <f t="shared" si="139"/>
        <v>17.900327165953296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76.530632906899342</v>
      </c>
      <c r="FV142" s="149"/>
      <c r="FY142" s="211">
        <v>137</v>
      </c>
      <c r="FZ142">
        <v>81.654387882520112</v>
      </c>
      <c r="GA142">
        <v>85.089836028646872</v>
      </c>
      <c r="GB142">
        <v>42.56328820660201</v>
      </c>
      <c r="GC142">
        <v>26.041892227368347</v>
      </c>
      <c r="GD142">
        <v>15.111822681720382</v>
      </c>
      <c r="GE142">
        <v>17.116428969983986</v>
      </c>
      <c r="GF142">
        <v>14.208677738302841</v>
      </c>
      <c r="GG142">
        <v>10.715272854969603</v>
      </c>
      <c r="GH142">
        <v>17.663524070661179</v>
      </c>
      <c r="GI142">
        <v>38.203903665902956</v>
      </c>
      <c r="GJ142"/>
      <c r="GK142"/>
      <c r="GL142"/>
      <c r="GM142"/>
    </row>
    <row r="143" spans="1:195" s="7" customFormat="1">
      <c r="A143" s="1"/>
      <c r="B143" s="76">
        <f ca="1">IF(C143="", "", RAND())</f>
        <v>0.50811193866797399</v>
      </c>
      <c r="C143">
        <v>9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241.67172846870639</v>
      </c>
      <c r="AO143">
        <v>75.160086372971548</v>
      </c>
      <c r="AP143">
        <v>617.69060603063474</v>
      </c>
      <c r="AQ143">
        <v>474.62830759439584</v>
      </c>
      <c r="AR143">
        <v>73.576869430586953</v>
      </c>
      <c r="AS143">
        <v>333.44979256968014</v>
      </c>
      <c r="AT143">
        <v>35.85393559053319</v>
      </c>
      <c r="AU143">
        <v>17.218564541451865</v>
      </c>
      <c r="AV143"/>
      <c r="AW143"/>
      <c r="AX143" s="146"/>
      <c r="AY143" s="76">
        <f t="shared" ca="1" si="86"/>
        <v>0.67385210960025566</v>
      </c>
      <c r="AZ143">
        <v>6</v>
      </c>
      <c r="BA143" s="129">
        <f t="shared" si="166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8"/>
        <v>0.37042242237513801</v>
      </c>
      <c r="CL143" s="179">
        <f t="shared" si="89"/>
        <v>6</v>
      </c>
      <c r="CM143" s="180">
        <f t="shared" si="90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0.47171211297144144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0</v>
      </c>
      <c r="DK143" s="161">
        <f t="shared" si="98"/>
        <v>0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0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</v>
      </c>
      <c r="EU143" s="139">
        <f t="shared" si="136"/>
        <v>0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0</v>
      </c>
      <c r="FV143" s="149"/>
      <c r="FY143" s="211">
        <v>138</v>
      </c>
      <c r="FZ143">
        <v>73.360977341658867</v>
      </c>
      <c r="GA143">
        <v>84.865016929180058</v>
      </c>
      <c r="GB143">
        <v>57.619950765228907</v>
      </c>
      <c r="GC143">
        <v>33.604613150979453</v>
      </c>
      <c r="GD143">
        <v>14.753563779927543</v>
      </c>
      <c r="GE143">
        <v>25.161516404887003</v>
      </c>
      <c r="GF143">
        <v>24.819044881029338</v>
      </c>
      <c r="GG143">
        <v>15.072219964583224</v>
      </c>
      <c r="GH143">
        <v>29.699081914089064</v>
      </c>
      <c r="GI143">
        <v>44.625619476916526</v>
      </c>
      <c r="GJ143"/>
      <c r="GK143"/>
      <c r="GL143"/>
      <c r="GM143"/>
    </row>
    <row r="144" spans="1:195" s="7" customFormat="1">
      <c r="A144" s="1"/>
      <c r="B144" s="76">
        <f ca="1">IF(C144="", "", RAND())</f>
        <v>0.24583729077805883</v>
      </c>
      <c r="C144">
        <v>5</v>
      </c>
      <c r="D144">
        <v>39799</v>
      </c>
      <c r="E144">
        <v>140.22435897435898</v>
      </c>
      <c r="F144">
        <v>420.67307692307696</v>
      </c>
      <c r="G144">
        <v>140.22435897435898</v>
      </c>
      <c r="H144">
        <v>0</v>
      </c>
      <c r="I144">
        <v>0</v>
      </c>
      <c r="J144">
        <v>10.416666666666666</v>
      </c>
      <c r="K144">
        <v>10.416666666666666</v>
      </c>
      <c r="L144">
        <v>31.25</v>
      </c>
      <c r="M144">
        <v>10.416666666666666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244.56281128437007</v>
      </c>
      <c r="AO144">
        <v>59.346957053591964</v>
      </c>
      <c r="AP144">
        <v>411.40452075106896</v>
      </c>
      <c r="AQ144">
        <v>337.66089195993305</v>
      </c>
      <c r="AR144">
        <v>58.065520855323733</v>
      </c>
      <c r="AS144">
        <v>296.95614865375995</v>
      </c>
      <c r="AT144">
        <v>26.728895531046529</v>
      </c>
      <c r="AU144">
        <v>6.0556603607103057</v>
      </c>
      <c r="AV144"/>
      <c r="AW144"/>
      <c r="AX144" s="146"/>
      <c r="AY144" s="76">
        <f t="shared" ca="1" si="86"/>
        <v>0.43864669075652651</v>
      </c>
      <c r="AZ144">
        <v>7</v>
      </c>
      <c r="BA144" s="129">
        <f t="shared" si="166"/>
        <v>39799</v>
      </c>
      <c r="BB144">
        <v>0</v>
      </c>
      <c r="BC144"/>
      <c r="BD144"/>
      <c r="BE144"/>
      <c r="BF144"/>
      <c r="BG144"/>
      <c r="BH144">
        <v>1</v>
      </c>
      <c r="BI144"/>
      <c r="BJ144"/>
      <c r="BK144">
        <v>1</v>
      </c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8"/>
        <v>0.12957486175231026</v>
      </c>
      <c r="CL144" s="179">
        <f t="shared" si="89"/>
        <v>7</v>
      </c>
      <c r="CM144" s="180">
        <f t="shared" si="90"/>
        <v>39799</v>
      </c>
      <c r="CN144">
        <v>0</v>
      </c>
      <c r="CO144"/>
      <c r="CP144">
        <v>1</v>
      </c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0.27273743082744351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60.763888888888886</v>
      </c>
      <c r="DI144" s="161">
        <f t="shared" si="96"/>
        <v>0</v>
      </c>
      <c r="DJ144" s="161">
        <f t="shared" si="97"/>
        <v>0</v>
      </c>
      <c r="DK144" s="161">
        <f t="shared" si="98"/>
        <v>0</v>
      </c>
      <c r="DL144" s="161">
        <f t="shared" si="99"/>
        <v>10.416666666666666</v>
      </c>
      <c r="DM144" s="161">
        <f t="shared" si="100"/>
        <v>0</v>
      </c>
      <c r="DN144" s="161">
        <f t="shared" si="101"/>
        <v>0</v>
      </c>
      <c r="DO144" s="161">
        <f t="shared" si="102"/>
        <v>10.416666666666666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81.597222222222229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2.3920284807319474</v>
      </c>
      <c r="ES144" s="139">
        <f t="shared" si="134"/>
        <v>0</v>
      </c>
      <c r="ET144" s="139">
        <f t="shared" si="135"/>
        <v>0</v>
      </c>
      <c r="EU144" s="139">
        <f t="shared" si="136"/>
        <v>0</v>
      </c>
      <c r="EV144" s="139">
        <f t="shared" si="137"/>
        <v>8.1757546524457592</v>
      </c>
      <c r="EW144" s="139">
        <f t="shared" si="138"/>
        <v>0</v>
      </c>
      <c r="EX144" s="139">
        <f t="shared" si="139"/>
        <v>0</v>
      </c>
      <c r="EY144" s="139">
        <f t="shared" si="140"/>
        <v>24.67177750531274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35.239560638490445</v>
      </c>
      <c r="FV144" s="149"/>
      <c r="FY144" s="211">
        <v>139</v>
      </c>
      <c r="FZ144">
        <v>96.270389863373524</v>
      </c>
      <c r="GA144">
        <v>91.404942123641376</v>
      </c>
      <c r="GB144">
        <v>53.058366182686008</v>
      </c>
      <c r="GC144">
        <v>32.764029130125408</v>
      </c>
      <c r="GD144">
        <v>17.775899106513197</v>
      </c>
      <c r="GE144">
        <v>29.003656321362456</v>
      </c>
      <c r="GF144">
        <v>87.293864719202801</v>
      </c>
      <c r="GG144">
        <v>71.206153305006822</v>
      </c>
      <c r="GH144">
        <v>20.166094648517713</v>
      </c>
      <c r="GI144">
        <v>59.861152249116792</v>
      </c>
      <c r="GJ144"/>
      <c r="GK144"/>
      <c r="GL144"/>
      <c r="GM144"/>
    </row>
    <row r="145" spans="1:195" s="7" customFormat="1">
      <c r="A145" s="1"/>
      <c r="B145" s="76">
        <f ca="1">IF(C145="", "", RAND())</f>
        <v>0.69992228904292264</v>
      </c>
      <c r="C145">
        <v>3</v>
      </c>
      <c r="D145">
        <v>39799</v>
      </c>
      <c r="E145">
        <v>0</v>
      </c>
      <c r="F145">
        <v>0</v>
      </c>
      <c r="G145">
        <v>500</v>
      </c>
      <c r="H145">
        <v>0</v>
      </c>
      <c r="I145">
        <v>0</v>
      </c>
      <c r="J145">
        <v>24.038461538461537</v>
      </c>
      <c r="K145">
        <v>72.115384615384613</v>
      </c>
      <c r="L145">
        <v>24.038461538461537</v>
      </c>
      <c r="M145">
        <v>24.038461538461537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221.59894253774905</v>
      </c>
      <c r="AO145">
        <v>61.896512794457308</v>
      </c>
      <c r="AP145">
        <v>501.18655985803701</v>
      </c>
      <c r="AQ145">
        <v>394.35281992472153</v>
      </c>
      <c r="AR145">
        <v>59.053239989374241</v>
      </c>
      <c r="AS145">
        <v>286.13376898877044</v>
      </c>
      <c r="AT145">
        <v>29.248481913387014</v>
      </c>
      <c r="AU145">
        <v>31.820971462419774</v>
      </c>
      <c r="AV145"/>
      <c r="AW145"/>
      <c r="AX145" s="146"/>
      <c r="AY145" s="76">
        <f t="shared" ca="1" si="86"/>
        <v>0.5672046379563298</v>
      </c>
      <c r="AZ145">
        <v>8</v>
      </c>
      <c r="BA145" s="129">
        <f t="shared" si="166"/>
        <v>39799</v>
      </c>
      <c r="BB145">
        <v>0</v>
      </c>
      <c r="BC145"/>
      <c r="BD145"/>
      <c r="BE145"/>
      <c r="BF145"/>
      <c r="BG145">
        <v>1</v>
      </c>
      <c r="BH145">
        <v>2</v>
      </c>
      <c r="BI145">
        <v>1</v>
      </c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8"/>
        <v>0.31200061218220787</v>
      </c>
      <c r="CL145" s="179">
        <f t="shared" si="89"/>
        <v>8</v>
      </c>
      <c r="CM145" s="180">
        <f t="shared" si="90"/>
        <v>39799</v>
      </c>
      <c r="CN145">
        <v>0</v>
      </c>
      <c r="CO145">
        <v>3</v>
      </c>
      <c r="CP145">
        <v>1</v>
      </c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0.18560445998703945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223.21428571428572</v>
      </c>
      <c r="DH145" s="161">
        <f t="shared" si="95"/>
        <v>74.404761904761912</v>
      </c>
      <c r="DI145" s="161">
        <f t="shared" si="96"/>
        <v>0</v>
      </c>
      <c r="DJ145" s="161">
        <f t="shared" si="97"/>
        <v>0</v>
      </c>
      <c r="DK145" s="161">
        <f t="shared" si="98"/>
        <v>10.416666666666666</v>
      </c>
      <c r="DL145" s="161">
        <f t="shared" si="99"/>
        <v>20.833333333333332</v>
      </c>
      <c r="DM145" s="161">
        <f t="shared" si="100"/>
        <v>10.416666666666666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339.28571428571433</v>
      </c>
      <c r="EL145" s="149"/>
      <c r="EN145" s="146"/>
      <c r="EO145" s="146"/>
      <c r="EP145" s="139">
        <f t="shared" si="131"/>
        <v>0</v>
      </c>
      <c r="EQ145" s="139">
        <f t="shared" si="132"/>
        <v>1.3299553571428571</v>
      </c>
      <c r="ER145" s="139">
        <f t="shared" si="133"/>
        <v>2.9290144662023851</v>
      </c>
      <c r="ES145" s="139">
        <f t="shared" si="134"/>
        <v>0</v>
      </c>
      <c r="ET145" s="139">
        <f t="shared" si="135"/>
        <v>0</v>
      </c>
      <c r="EU145" s="139">
        <f t="shared" si="136"/>
        <v>4.9755161005886874</v>
      </c>
      <c r="EV145" s="139">
        <f t="shared" si="137"/>
        <v>16.351509304891518</v>
      </c>
      <c r="EW145" s="139">
        <f t="shared" si="138"/>
        <v>12.442020286762366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38.028015515587811</v>
      </c>
      <c r="FV145" s="149"/>
      <c r="FY145" s="211">
        <v>140</v>
      </c>
      <c r="FZ145">
        <v>37.027845380379866</v>
      </c>
      <c r="GA145">
        <v>44.48587908997294</v>
      </c>
      <c r="GB145">
        <v>48.4971201518971</v>
      </c>
      <c r="GC145">
        <v>24.747060338064919</v>
      </c>
      <c r="GD145">
        <v>16.486432847699355</v>
      </c>
      <c r="GE145">
        <v>32.584993473823275</v>
      </c>
      <c r="GF145">
        <v>74.410235299392255</v>
      </c>
      <c r="GG145">
        <v>62.776463643095447</v>
      </c>
      <c r="GH145">
        <v>39.833551944602291</v>
      </c>
      <c r="GI145">
        <v>49.482435845673777</v>
      </c>
      <c r="GJ145"/>
      <c r="GK145"/>
      <c r="GL145"/>
      <c r="GM145"/>
    </row>
    <row r="146" spans="1:195" s="7" customFormat="1">
      <c r="A146" s="1"/>
      <c r="B146" s="76">
        <f ca="1">IF(C146="", "", RAND())</f>
        <v>0.59990598847094367</v>
      </c>
      <c r="C146">
        <v>1</v>
      </c>
      <c r="D146">
        <v>39799</v>
      </c>
      <c r="E146">
        <v>0</v>
      </c>
      <c r="F146">
        <v>0</v>
      </c>
      <c r="G146">
        <v>0</v>
      </c>
      <c r="H146">
        <v>83.333333333333329</v>
      </c>
      <c r="I146">
        <v>0</v>
      </c>
      <c r="J146">
        <v>0</v>
      </c>
      <c r="K146">
        <v>0</v>
      </c>
      <c r="L146">
        <v>52.083333333333336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245.89648107219438</v>
      </c>
      <c r="AO146">
        <v>78.933521540008599</v>
      </c>
      <c r="AP146">
        <v>661.25467469926434</v>
      </c>
      <c r="AQ146">
        <v>523.04338532371241</v>
      </c>
      <c r="AR146">
        <v>75.732919526273378</v>
      </c>
      <c r="AS146">
        <v>345.14756551681864</v>
      </c>
      <c r="AT146">
        <v>39.185337028765595</v>
      </c>
      <c r="AU146">
        <v>-18.345964228183725</v>
      </c>
      <c r="AV146"/>
      <c r="AW146"/>
      <c r="AX146" s="146"/>
      <c r="AY146" s="76">
        <f t="shared" ca="1" si="86"/>
        <v>0.26019558940482401</v>
      </c>
      <c r="AZ146">
        <v>9</v>
      </c>
      <c r="BA146" s="129">
        <f t="shared" si="166"/>
        <v>39799</v>
      </c>
      <c r="BB146">
        <v>0</v>
      </c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8"/>
        <v>0.5025345244503292</v>
      </c>
      <c r="CL146" s="179">
        <f t="shared" si="89"/>
        <v>9</v>
      </c>
      <c r="CM146" s="180">
        <f t="shared" si="90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0.39776554642837803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0</v>
      </c>
      <c r="DJ146" s="161">
        <f t="shared" si="97"/>
        <v>0</v>
      </c>
      <c r="DK146" s="161">
        <f t="shared" si="98"/>
        <v>0</v>
      </c>
      <c r="DL146" s="161">
        <f t="shared" si="99"/>
        <v>0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0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</v>
      </c>
      <c r="ET146" s="139">
        <f t="shared" si="135"/>
        <v>0</v>
      </c>
      <c r="EU146" s="139">
        <f t="shared" si="136"/>
        <v>0</v>
      </c>
      <c r="EV146" s="139">
        <f t="shared" si="137"/>
        <v>0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0</v>
      </c>
      <c r="FV146" s="149"/>
      <c r="FY146" s="211">
        <v>141</v>
      </c>
      <c r="FZ146">
        <v>39.255135521045361</v>
      </c>
      <c r="GA146">
        <v>50.20324633794548</v>
      </c>
      <c r="GB146">
        <v>36.100633422310068</v>
      </c>
      <c r="GC146">
        <v>19.553920154561759</v>
      </c>
      <c r="GD146">
        <v>10.811737979443102</v>
      </c>
      <c r="GE146">
        <v>20.006669662717847</v>
      </c>
      <c r="GF146">
        <v>73.035464281032858</v>
      </c>
      <c r="GG146">
        <v>60.78955132205094</v>
      </c>
      <c r="GH146">
        <v>25.457091250489952</v>
      </c>
      <c r="GI146">
        <v>40.584110682521661</v>
      </c>
      <c r="GJ146"/>
      <c r="GK146"/>
      <c r="GL146"/>
      <c r="GM146"/>
    </row>
    <row r="147" spans="1:195" s="7" customFormat="1">
      <c r="A147" s="1"/>
      <c r="B147" s="76">
        <f ca="1">IF(C147="", "", RAND())</f>
        <v>0.84665613454878685</v>
      </c>
      <c r="C147">
        <v>10</v>
      </c>
      <c r="D147">
        <v>39799</v>
      </c>
      <c r="E147">
        <v>10.416666666666666</v>
      </c>
      <c r="F147">
        <v>20.833333333333332</v>
      </c>
      <c r="G147">
        <v>10.416666666666666</v>
      </c>
      <c r="H147">
        <v>0</v>
      </c>
      <c r="I147">
        <v>0</v>
      </c>
      <c r="J147">
        <v>10.416666666666666</v>
      </c>
      <c r="K147">
        <v>41.666666666666664</v>
      </c>
      <c r="L147">
        <v>31.25</v>
      </c>
      <c r="M147">
        <v>20.833333333333332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156.61444471234671</v>
      </c>
      <c r="AO147">
        <v>55.279353757708222</v>
      </c>
      <c r="AP147">
        <v>457.74898078080901</v>
      </c>
      <c r="AQ147">
        <v>363.46221202352126</v>
      </c>
      <c r="AR147">
        <v>53.187537870107199</v>
      </c>
      <c r="AS147">
        <v>236.14358678667372</v>
      </c>
      <c r="AT147">
        <v>27.300226248299612</v>
      </c>
      <c r="AU147">
        <v>11.073384937560768</v>
      </c>
      <c r="AV147"/>
      <c r="AW147"/>
      <c r="AX147" s="146"/>
      <c r="AY147" s="76">
        <f t="shared" ca="1" si="86"/>
        <v>0.16891158914520066</v>
      </c>
      <c r="AZ147">
        <v>10</v>
      </c>
      <c r="BA147" s="129">
        <f t="shared" si="166"/>
        <v>39799</v>
      </c>
      <c r="BB147">
        <v>0</v>
      </c>
      <c r="BC147"/>
      <c r="BD147"/>
      <c r="BE147"/>
      <c r="BF147"/>
      <c r="BG147">
        <v>1</v>
      </c>
      <c r="BH147">
        <v>4</v>
      </c>
      <c r="BI147">
        <v>3</v>
      </c>
      <c r="BJ147">
        <v>2</v>
      </c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8"/>
        <v>0.29028449475192453</v>
      </c>
      <c r="CL147" s="179">
        <f t="shared" si="89"/>
        <v>10</v>
      </c>
      <c r="CM147" s="180">
        <f t="shared" si="90"/>
        <v>39799</v>
      </c>
      <c r="CN147">
        <v>1</v>
      </c>
      <c r="CO147">
        <v>2</v>
      </c>
      <c r="CP147">
        <v>1</v>
      </c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0.63978769927599366</v>
      </c>
      <c r="DD147">
        <f t="shared" si="92"/>
        <v>10</v>
      </c>
      <c r="DE147" s="129">
        <f t="shared" si="165"/>
        <v>39799</v>
      </c>
      <c r="DF147" s="161">
        <f t="shared" si="93"/>
        <v>10.416666666666666</v>
      </c>
      <c r="DG147" s="161">
        <f t="shared" si="94"/>
        <v>20.833333333333332</v>
      </c>
      <c r="DH147" s="161">
        <f t="shared" si="95"/>
        <v>10.416666666666666</v>
      </c>
      <c r="DI147" s="161">
        <f t="shared" si="96"/>
        <v>0</v>
      </c>
      <c r="DJ147" s="161">
        <f t="shared" si="97"/>
        <v>0</v>
      </c>
      <c r="DK147" s="161">
        <f t="shared" si="98"/>
        <v>10.416666666666666</v>
      </c>
      <c r="DL147" s="161">
        <f t="shared" si="99"/>
        <v>41.666666666666664</v>
      </c>
      <c r="DM147" s="161">
        <f t="shared" si="100"/>
        <v>31.25</v>
      </c>
      <c r="DN147" s="161">
        <f t="shared" si="101"/>
        <v>20.833333333333332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145.83333333333334</v>
      </c>
      <c r="EL147" s="149"/>
      <c r="EN147" s="146"/>
      <c r="EO147" s="146"/>
      <c r="EP147" s="139">
        <f t="shared" si="131"/>
        <v>9.3937313552007653E-3</v>
      </c>
      <c r="EQ147" s="139">
        <f t="shared" si="132"/>
        <v>0.12412916666666665</v>
      </c>
      <c r="ER147" s="139">
        <f t="shared" si="133"/>
        <v>0.41006202526833385</v>
      </c>
      <c r="ES147" s="139">
        <f t="shared" si="134"/>
        <v>0</v>
      </c>
      <c r="ET147" s="139">
        <f t="shared" si="135"/>
        <v>0</v>
      </c>
      <c r="EU147" s="139">
        <f t="shared" si="136"/>
        <v>4.9755161005886874</v>
      </c>
      <c r="EV147" s="139">
        <f t="shared" si="137"/>
        <v>32.703018609783037</v>
      </c>
      <c r="EW147" s="139">
        <f t="shared" si="138"/>
        <v>37.3260608602871</v>
      </c>
      <c r="EX147" s="139">
        <f t="shared" si="139"/>
        <v>35.800654331906593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111.34883482585562</v>
      </c>
      <c r="FV147" s="149"/>
      <c r="FY147" s="211">
        <v>142</v>
      </c>
      <c r="FZ147">
        <v>76.789210784277543</v>
      </c>
      <c r="GA147">
        <v>84.494625016312554</v>
      </c>
      <c r="GB147">
        <v>43.24812574849399</v>
      </c>
      <c r="GC147">
        <v>28.990471912176073</v>
      </c>
      <c r="GD147">
        <v>18.369491111319025</v>
      </c>
      <c r="GE147">
        <v>27.918621581931482</v>
      </c>
      <c r="GF147">
        <v>19.241156261273709</v>
      </c>
      <c r="GG147">
        <v>2.7916961589266727</v>
      </c>
      <c r="GH147">
        <v>16.297901020885973</v>
      </c>
      <c r="GI147">
        <v>40.278636500308728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269.13785877467819</v>
      </c>
      <c r="AO148">
        <v>65.03204275535515</v>
      </c>
      <c r="AP148">
        <v>534.53672011958395</v>
      </c>
      <c r="AQ148">
        <v>422.57965436666365</v>
      </c>
      <c r="AR148">
        <v>61.711552403435554</v>
      </c>
      <c r="AS148">
        <v>308.12224578606742</v>
      </c>
      <c r="AT148">
        <v>29.693126676049335</v>
      </c>
      <c r="AU148">
        <v>47.011075683578284</v>
      </c>
      <c r="AV148"/>
      <c r="AW148"/>
      <c r="AX148" s="128"/>
      <c r="AY148" s="76">
        <f t="shared" ca="1" si="86"/>
        <v>0.91195287586325691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/>
      <c r="BG148"/>
      <c r="BH148">
        <v>1</v>
      </c>
      <c r="BI148">
        <v>5</v>
      </c>
      <c r="BJ148">
        <v>1</v>
      </c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8"/>
        <v>6.1682268417397879E-2</v>
      </c>
      <c r="CL148" s="179">
        <f t="shared" si="89"/>
        <v>1</v>
      </c>
      <c r="CM148" s="180">
        <f t="shared" si="90"/>
        <v>39847</v>
      </c>
      <c r="CN148">
        <v>0</v>
      </c>
      <c r="CO148">
        <v>2</v>
      </c>
      <c r="CP148">
        <v>3</v>
      </c>
      <c r="CQ148">
        <v>1</v>
      </c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1"/>
        <v>9.6000000000000002E-2</v>
      </c>
      <c r="DB148" s="128"/>
      <c r="DC148" s="76">
        <f t="shared" ca="1" si="49"/>
        <v>0.69504655254556713</v>
      </c>
      <c r="DD148">
        <f t="shared" si="92"/>
        <v>1</v>
      </c>
      <c r="DE148" s="129">
        <f t="shared" ref="DE148:DE157" si="167">IF((DD148)="", "", $C$10)</f>
        <v>39847</v>
      </c>
      <c r="DF148" s="161">
        <f t="shared" si="93"/>
        <v>0</v>
      </c>
      <c r="DG148" s="161">
        <f t="shared" si="94"/>
        <v>20.833333333333332</v>
      </c>
      <c r="DH148" s="161">
        <f t="shared" si="95"/>
        <v>31.25</v>
      </c>
      <c r="DI148" s="161">
        <f t="shared" si="96"/>
        <v>10.416666666666666</v>
      </c>
      <c r="DJ148" s="161">
        <f t="shared" si="97"/>
        <v>0</v>
      </c>
      <c r="DK148" s="161">
        <f t="shared" si="98"/>
        <v>0</v>
      </c>
      <c r="DL148" s="161">
        <f t="shared" si="99"/>
        <v>10.416666666666666</v>
      </c>
      <c r="DM148" s="161">
        <f t="shared" si="100"/>
        <v>52.083333333333336</v>
      </c>
      <c r="DN148" s="161">
        <f t="shared" si="101"/>
        <v>10.416666666666666</v>
      </c>
      <c r="DO148" s="161">
        <f t="shared" si="102"/>
        <v>0</v>
      </c>
      <c r="DP148" s="161">
        <f t="shared" si="103"/>
        <v>0</v>
      </c>
      <c r="DQ148" s="161">
        <f t="shared" si="104"/>
        <v>0</v>
      </c>
      <c r="DR148" s="161">
        <f t="shared" si="105"/>
        <v>0</v>
      </c>
      <c r="DS148" s="161">
        <f t="shared" si="106"/>
        <v>0</v>
      </c>
      <c r="DT148" s="161">
        <f t="shared" si="107"/>
        <v>0</v>
      </c>
      <c r="DU148" s="161">
        <f t="shared" si="108"/>
        <v>0</v>
      </c>
      <c r="DV148" s="161">
        <f t="shared" si="109"/>
        <v>0</v>
      </c>
      <c r="DW148" s="161">
        <f t="shared" si="110"/>
        <v>0</v>
      </c>
      <c r="DX148" s="161">
        <f t="shared" si="111"/>
        <v>0</v>
      </c>
      <c r="DY148" s="161">
        <f t="shared" si="112"/>
        <v>0</v>
      </c>
      <c r="DZ148" s="161">
        <f t="shared" si="113"/>
        <v>0</v>
      </c>
      <c r="EA148" s="161">
        <f t="shared" si="114"/>
        <v>0</v>
      </c>
      <c r="EB148" s="161">
        <f t="shared" si="115"/>
        <v>0</v>
      </c>
      <c r="EC148" s="161">
        <f t="shared" si="116"/>
        <v>0</v>
      </c>
      <c r="ED148" s="161">
        <f t="shared" si="117"/>
        <v>0</v>
      </c>
      <c r="EE148" s="161">
        <f t="shared" si="118"/>
        <v>0</v>
      </c>
      <c r="EF148" s="161">
        <f t="shared" si="119"/>
        <v>0</v>
      </c>
      <c r="EG148" s="161">
        <f t="shared" si="120"/>
        <v>0</v>
      </c>
      <c r="EH148" s="161">
        <f t="shared" si="121"/>
        <v>0</v>
      </c>
      <c r="EI148" s="161">
        <f t="shared" si="122"/>
        <v>0</v>
      </c>
      <c r="EJ148" s="161">
        <f t="shared" si="123"/>
        <v>0</v>
      </c>
      <c r="EK148" s="147">
        <f t="shared" si="130"/>
        <v>135.41666666666666</v>
      </c>
      <c r="EL148" s="149"/>
      <c r="EN148" s="146"/>
      <c r="EO148" s="146"/>
      <c r="EP148" s="139">
        <f t="shared" si="131"/>
        <v>0</v>
      </c>
      <c r="EQ148" s="139">
        <f t="shared" si="132"/>
        <v>0.12412916666666665</v>
      </c>
      <c r="ER148" s="139">
        <f t="shared" si="133"/>
        <v>1.2301860758050016</v>
      </c>
      <c r="ES148" s="139">
        <f t="shared" si="134"/>
        <v>1.2374342774304989</v>
      </c>
      <c r="ET148" s="139">
        <f t="shared" si="135"/>
        <v>0</v>
      </c>
      <c r="EU148" s="139">
        <f t="shared" si="136"/>
        <v>0</v>
      </c>
      <c r="EV148" s="139">
        <f t="shared" si="137"/>
        <v>8.1757546524457592</v>
      </c>
      <c r="EW148" s="139">
        <f t="shared" si="138"/>
        <v>62.210101433811836</v>
      </c>
      <c r="EX148" s="139">
        <f t="shared" si="139"/>
        <v>17.900327165953296</v>
      </c>
      <c r="EY148" s="139">
        <f t="shared" si="140"/>
        <v>0</v>
      </c>
      <c r="EZ148" s="139">
        <f t="shared" si="141"/>
        <v>0</v>
      </c>
      <c r="FA148" s="139">
        <f t="shared" si="142"/>
        <v>0</v>
      </c>
      <c r="FB148" s="139">
        <f t="shared" si="143"/>
        <v>0</v>
      </c>
      <c r="FC148" s="139">
        <f t="shared" si="144"/>
        <v>0</v>
      </c>
      <c r="FD148" s="139">
        <f t="shared" si="145"/>
        <v>0</v>
      </c>
      <c r="FE148" s="139">
        <f t="shared" si="146"/>
        <v>0</v>
      </c>
      <c r="FF148" s="139">
        <f t="shared" si="147"/>
        <v>0</v>
      </c>
      <c r="FG148" s="139">
        <f t="shared" si="148"/>
        <v>0</v>
      </c>
      <c r="FH148" s="139">
        <f t="shared" si="149"/>
        <v>0</v>
      </c>
      <c r="FI148" s="139">
        <f t="shared" si="150"/>
        <v>0</v>
      </c>
      <c r="FJ148" s="139">
        <f t="shared" si="151"/>
        <v>0</v>
      </c>
      <c r="FK148" s="139">
        <f t="shared" si="152"/>
        <v>0</v>
      </c>
      <c r="FL148" s="139">
        <f t="shared" si="153"/>
        <v>0</v>
      </c>
      <c r="FM148" s="139">
        <f t="shared" si="154"/>
        <v>0</v>
      </c>
      <c r="FN148" s="139">
        <f t="shared" si="155"/>
        <v>0</v>
      </c>
      <c r="FO148" s="139">
        <f t="shared" si="156"/>
        <v>0</v>
      </c>
      <c r="FP148" s="139">
        <f t="shared" si="157"/>
        <v>0</v>
      </c>
      <c r="FQ148" s="139">
        <f t="shared" si="158"/>
        <v>0</v>
      </c>
      <c r="FR148" s="139">
        <f t="shared" si="159"/>
        <v>0</v>
      </c>
      <c r="FS148" s="139">
        <f t="shared" si="160"/>
        <v>0</v>
      </c>
      <c r="FT148" s="139">
        <f t="shared" si="161"/>
        <v>0</v>
      </c>
      <c r="FU148" s="148">
        <f t="shared" si="162"/>
        <v>90.877932772113056</v>
      </c>
      <c r="FV148" s="149"/>
      <c r="FY148" s="211">
        <v>143</v>
      </c>
      <c r="FZ148">
        <v>30.064234022815501</v>
      </c>
      <c r="GA148">
        <v>45.54481402020707</v>
      </c>
      <c r="GB148">
        <v>46.201147478466495</v>
      </c>
      <c r="GC148">
        <v>25.232086746570403</v>
      </c>
      <c r="GD148">
        <v>17.57248773580746</v>
      </c>
      <c r="GE148">
        <v>26.886707406446131</v>
      </c>
      <c r="GF148">
        <v>28.473108200228502</v>
      </c>
      <c r="GG148">
        <v>17.456429640135557</v>
      </c>
      <c r="GH148">
        <v>13.940167087492275</v>
      </c>
      <c r="GI148">
        <v>35.551464948455781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219.78742790458136</v>
      </c>
      <c r="AO149">
        <v>57.554665451718435</v>
      </c>
      <c r="AP149">
        <v>379.19007347418813</v>
      </c>
      <c r="AQ149">
        <v>305.84195905873719</v>
      </c>
      <c r="AR149">
        <v>56.78513066807443</v>
      </c>
      <c r="AS149">
        <v>296.29336478923824</v>
      </c>
      <c r="AT149">
        <v>25.045164204020761</v>
      </c>
      <c r="AU149">
        <v>19.414784877104381</v>
      </c>
      <c r="AV149"/>
      <c r="AW149"/>
      <c r="AX149" s="151"/>
      <c r="AY149" s="76">
        <f t="shared" ca="1" si="86"/>
        <v>0.37015636680483333</v>
      </c>
      <c r="AZ149">
        <v>2</v>
      </c>
      <c r="BA149" s="129">
        <f t="shared" ref="BA149:BA157" si="168">IF(AZ149="", "",$C$10)</f>
        <v>39847</v>
      </c>
      <c r="BB149">
        <v>0</v>
      </c>
      <c r="BC149"/>
      <c r="BD149"/>
      <c r="BE149"/>
      <c r="BF149">
        <v>1</v>
      </c>
      <c r="BG149"/>
      <c r="BH149"/>
      <c r="BI149">
        <v>2</v>
      </c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8"/>
        <v>0.4809353747580829</v>
      </c>
      <c r="CL149" s="179">
        <f t="shared" si="89"/>
        <v>2</v>
      </c>
      <c r="CM149" s="180">
        <f t="shared" si="90"/>
        <v>39847</v>
      </c>
      <c r="CN149">
        <v>0</v>
      </c>
      <c r="CO149"/>
      <c r="CP149">
        <v>5</v>
      </c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0.45843326891069935</v>
      </c>
      <c r="DD149">
        <f t="shared" si="92"/>
        <v>2</v>
      </c>
      <c r="DE149" s="129">
        <f t="shared" si="167"/>
        <v>39847</v>
      </c>
      <c r="DF149" s="161">
        <f t="shared" si="93"/>
        <v>0</v>
      </c>
      <c r="DG149" s="161">
        <f t="shared" si="94"/>
        <v>0</v>
      </c>
      <c r="DH149" s="161">
        <f t="shared" si="95"/>
        <v>569.66145833333337</v>
      </c>
      <c r="DI149" s="161">
        <f t="shared" si="96"/>
        <v>0</v>
      </c>
      <c r="DJ149" s="161">
        <f t="shared" si="97"/>
        <v>34.722222222222221</v>
      </c>
      <c r="DK149" s="161">
        <f t="shared" si="98"/>
        <v>0</v>
      </c>
      <c r="DL149" s="161">
        <f t="shared" si="99"/>
        <v>0</v>
      </c>
      <c r="DM149" s="161">
        <f t="shared" si="100"/>
        <v>69.444444444444443</v>
      </c>
      <c r="DN149" s="161">
        <f t="shared" si="101"/>
        <v>0</v>
      </c>
      <c r="DO149" s="161">
        <f t="shared" si="102"/>
        <v>0</v>
      </c>
      <c r="DP149" s="161">
        <f t="shared" si="103"/>
        <v>0</v>
      </c>
      <c r="DQ149" s="161">
        <f t="shared" si="104"/>
        <v>0</v>
      </c>
      <c r="DR149" s="161">
        <f t="shared" si="105"/>
        <v>0</v>
      </c>
      <c r="DS149" s="161">
        <f t="shared" si="106"/>
        <v>0</v>
      </c>
      <c r="DT149" s="161">
        <f t="shared" si="107"/>
        <v>0</v>
      </c>
      <c r="DU149" s="161">
        <f t="shared" si="108"/>
        <v>0</v>
      </c>
      <c r="DV149" s="161">
        <f t="shared" si="109"/>
        <v>0</v>
      </c>
      <c r="DW149" s="161">
        <f t="shared" si="110"/>
        <v>0</v>
      </c>
      <c r="DX149" s="161">
        <f t="shared" si="111"/>
        <v>0</v>
      </c>
      <c r="DY149" s="161">
        <f t="shared" si="112"/>
        <v>0</v>
      </c>
      <c r="DZ149" s="161">
        <f t="shared" si="113"/>
        <v>0</v>
      </c>
      <c r="EA149" s="161">
        <f t="shared" si="114"/>
        <v>0</v>
      </c>
      <c r="EB149" s="161">
        <f t="shared" si="115"/>
        <v>0</v>
      </c>
      <c r="EC149" s="161">
        <f t="shared" si="116"/>
        <v>0</v>
      </c>
      <c r="ED149" s="161">
        <f t="shared" si="117"/>
        <v>0</v>
      </c>
      <c r="EE149" s="161">
        <f t="shared" si="118"/>
        <v>0</v>
      </c>
      <c r="EF149" s="161">
        <f t="shared" si="119"/>
        <v>0</v>
      </c>
      <c r="EG149" s="161">
        <f t="shared" si="120"/>
        <v>0</v>
      </c>
      <c r="EH149" s="161">
        <f t="shared" si="121"/>
        <v>0</v>
      </c>
      <c r="EI149" s="161">
        <f t="shared" si="122"/>
        <v>0</v>
      </c>
      <c r="EJ149" s="161">
        <f t="shared" si="123"/>
        <v>0</v>
      </c>
      <c r="EK149" s="147">
        <f t="shared" si="130"/>
        <v>673.828125</v>
      </c>
      <c r="EL149" s="149"/>
      <c r="EN149" s="151"/>
      <c r="EO149" s="151"/>
      <c r="EP149" s="139">
        <f t="shared" si="131"/>
        <v>0</v>
      </c>
      <c r="EQ149" s="139">
        <f t="shared" si="132"/>
        <v>0</v>
      </c>
      <c r="ER149" s="139">
        <f t="shared" si="133"/>
        <v>22.425267006862011</v>
      </c>
      <c r="ES149" s="139">
        <f t="shared" si="134"/>
        <v>0</v>
      </c>
      <c r="ET149" s="139">
        <f t="shared" si="135"/>
        <v>9.0309618108646355</v>
      </c>
      <c r="EU149" s="139">
        <f t="shared" si="136"/>
        <v>0</v>
      </c>
      <c r="EV149" s="139">
        <f t="shared" si="137"/>
        <v>0</v>
      </c>
      <c r="EW149" s="139">
        <f t="shared" si="138"/>
        <v>82.946801911749105</v>
      </c>
      <c r="EX149" s="139">
        <f t="shared" si="139"/>
        <v>0</v>
      </c>
      <c r="EY149" s="139">
        <f t="shared" si="140"/>
        <v>0</v>
      </c>
      <c r="EZ149" s="139">
        <f t="shared" si="141"/>
        <v>0</v>
      </c>
      <c r="FA149" s="139">
        <f t="shared" si="142"/>
        <v>0</v>
      </c>
      <c r="FB149" s="139">
        <f t="shared" si="143"/>
        <v>0</v>
      </c>
      <c r="FC149" s="139">
        <f t="shared" si="144"/>
        <v>0</v>
      </c>
      <c r="FD149" s="139">
        <f t="shared" si="145"/>
        <v>0</v>
      </c>
      <c r="FE149" s="139">
        <f t="shared" si="146"/>
        <v>0</v>
      </c>
      <c r="FF149" s="139">
        <f t="shared" si="147"/>
        <v>0</v>
      </c>
      <c r="FG149" s="139">
        <f t="shared" si="148"/>
        <v>0</v>
      </c>
      <c r="FH149" s="139">
        <f t="shared" si="149"/>
        <v>0</v>
      </c>
      <c r="FI149" s="139">
        <f t="shared" si="150"/>
        <v>0</v>
      </c>
      <c r="FJ149" s="139">
        <f t="shared" si="151"/>
        <v>0</v>
      </c>
      <c r="FK149" s="139">
        <f t="shared" si="152"/>
        <v>0</v>
      </c>
      <c r="FL149" s="139">
        <f t="shared" si="153"/>
        <v>0</v>
      </c>
      <c r="FM149" s="139">
        <f t="shared" si="154"/>
        <v>0</v>
      </c>
      <c r="FN149" s="139">
        <f t="shared" si="155"/>
        <v>0</v>
      </c>
      <c r="FO149" s="139">
        <f t="shared" si="156"/>
        <v>0</v>
      </c>
      <c r="FP149" s="139">
        <f t="shared" si="157"/>
        <v>0</v>
      </c>
      <c r="FQ149" s="139">
        <f t="shared" si="158"/>
        <v>0</v>
      </c>
      <c r="FR149" s="139">
        <f t="shared" si="159"/>
        <v>0</v>
      </c>
      <c r="FS149" s="139">
        <f t="shared" si="160"/>
        <v>0</v>
      </c>
      <c r="FT149" s="139">
        <f t="shared" si="161"/>
        <v>0</v>
      </c>
      <c r="FU149" s="148">
        <f t="shared" si="162"/>
        <v>114.40303072947574</v>
      </c>
      <c r="FV149" s="149"/>
      <c r="FY149" s="211">
        <v>144</v>
      </c>
      <c r="FZ149">
        <v>36.656053317896308</v>
      </c>
      <c r="GA149">
        <v>43.287867733153796</v>
      </c>
      <c r="GB149">
        <v>45.016864379749663</v>
      </c>
      <c r="GC149">
        <v>24.701301529003562</v>
      </c>
      <c r="GD149">
        <v>11.055178526394938</v>
      </c>
      <c r="GE149">
        <v>14.773179453504774</v>
      </c>
      <c r="GF149">
        <v>38.630836044439462</v>
      </c>
      <c r="GG149">
        <v>26.487459901761969</v>
      </c>
      <c r="GH149">
        <v>19.255660832919084</v>
      </c>
      <c r="GI149">
        <v>34.5498946260415</v>
      </c>
      <c r="GJ149"/>
      <c r="GK149"/>
      <c r="GL149"/>
      <c r="GM149"/>
    </row>
    <row r="150" spans="1:195" s="7" customFormat="1">
      <c r="A150" s="77"/>
      <c r="B150" s="76">
        <f ca="1">IF(C150="", "", RAND())</f>
        <v>9.8832063598645437E-2</v>
      </c>
      <c r="C150">
        <v>7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10.416666666666666</v>
      </c>
      <c r="L150">
        <v>10.416666666666666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183.51805422619191</v>
      </c>
      <c r="AO150">
        <v>64.676841092315271</v>
      </c>
      <c r="AP150">
        <v>548.76233018541939</v>
      </c>
      <c r="AQ150">
        <v>417.10318435562482</v>
      </c>
      <c r="AR150">
        <v>63.175584074632724</v>
      </c>
      <c r="AS150">
        <v>289.48622783691241</v>
      </c>
      <c r="AT150">
        <v>31.620328108134085</v>
      </c>
      <c r="AU150">
        <v>-9.1891705100368881</v>
      </c>
      <c r="AV150"/>
      <c r="AW150"/>
      <c r="AX150" s="151"/>
      <c r="AY150" s="76"/>
      <c r="AZ150"/>
      <c r="BA150" s="129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/>
      <c r="CL150" s="179"/>
      <c r="CM150" s="180"/>
      <c r="CN150"/>
      <c r="CO150"/>
      <c r="CP150"/>
      <c r="CQ150"/>
      <c r="CR150"/>
      <c r="CS150"/>
      <c r="CT150"/>
      <c r="CU150"/>
      <c r="CV150" s="160"/>
      <c r="CW150"/>
      <c r="CX150"/>
      <c r="CY150" s="160"/>
      <c r="CZ150" s="177"/>
      <c r="DB150" s="151"/>
      <c r="DC150" s="76" t="str">
        <f t="shared" ca="1" si="49"/>
        <v/>
      </c>
      <c r="DD150" t="str">
        <f t="shared" si="92"/>
        <v/>
      </c>
      <c r="DE150" s="129" t="str">
        <f t="shared" si="167"/>
        <v/>
      </c>
      <c r="DF150" s="161" t="str">
        <f t="shared" si="93"/>
        <v/>
      </c>
      <c r="DG150" s="161" t="str">
        <f t="shared" si="94"/>
        <v/>
      </c>
      <c r="DH150" s="161" t="str">
        <f t="shared" si="95"/>
        <v/>
      </c>
      <c r="DI150" s="161" t="str">
        <f t="shared" si="96"/>
        <v/>
      </c>
      <c r="DJ150" s="161" t="str">
        <f t="shared" si="97"/>
        <v/>
      </c>
      <c r="DK150" s="161" t="str">
        <f t="shared" si="98"/>
        <v/>
      </c>
      <c r="DL150" s="161" t="str">
        <f t="shared" si="99"/>
        <v/>
      </c>
      <c r="DM150" s="161" t="str">
        <f t="shared" si="100"/>
        <v/>
      </c>
      <c r="DN150" s="161" t="str">
        <f t="shared" si="101"/>
        <v/>
      </c>
      <c r="DO150" s="161" t="str">
        <f t="shared" si="102"/>
        <v/>
      </c>
      <c r="DP150" s="161" t="str">
        <f t="shared" si="103"/>
        <v/>
      </c>
      <c r="DQ150" s="161" t="str">
        <f t="shared" si="104"/>
        <v/>
      </c>
      <c r="DR150" s="161" t="str">
        <f t="shared" si="105"/>
        <v/>
      </c>
      <c r="DS150" s="161" t="str">
        <f t="shared" si="106"/>
        <v/>
      </c>
      <c r="DT150" s="161" t="str">
        <f t="shared" si="107"/>
        <v/>
      </c>
      <c r="DU150" s="161" t="str">
        <f t="shared" si="108"/>
        <v/>
      </c>
      <c r="DV150" s="161" t="str">
        <f t="shared" si="109"/>
        <v/>
      </c>
      <c r="DW150" s="161" t="str">
        <f t="shared" si="110"/>
        <v/>
      </c>
      <c r="DX150" s="161" t="str">
        <f t="shared" si="111"/>
        <v/>
      </c>
      <c r="DY150" s="161" t="str">
        <f t="shared" si="112"/>
        <v/>
      </c>
      <c r="DZ150" s="161" t="str">
        <f t="shared" si="113"/>
        <v/>
      </c>
      <c r="EA150" s="161" t="str">
        <f t="shared" si="114"/>
        <v/>
      </c>
      <c r="EB150" s="161" t="str">
        <f t="shared" si="115"/>
        <v/>
      </c>
      <c r="EC150" s="161" t="str">
        <f t="shared" si="116"/>
        <v/>
      </c>
      <c r="ED150" s="161" t="str">
        <f t="shared" si="117"/>
        <v/>
      </c>
      <c r="EE150" s="161" t="str">
        <f t="shared" si="118"/>
        <v/>
      </c>
      <c r="EF150" s="161" t="str">
        <f t="shared" si="119"/>
        <v/>
      </c>
      <c r="EG150" s="161" t="str">
        <f t="shared" si="120"/>
        <v/>
      </c>
      <c r="EH150" s="161" t="str">
        <f t="shared" si="121"/>
        <v/>
      </c>
      <c r="EI150" s="161" t="str">
        <f t="shared" si="122"/>
        <v/>
      </c>
      <c r="EJ150" s="161" t="str">
        <f t="shared" si="123"/>
        <v/>
      </c>
      <c r="EK150" s="147" t="str">
        <f t="shared" si="130"/>
        <v/>
      </c>
      <c r="EL150" s="149"/>
      <c r="EN150" s="151"/>
      <c r="EO150" s="151"/>
      <c r="EP150" s="139" t="str">
        <f t="shared" si="131"/>
        <v/>
      </c>
      <c r="EQ150" s="139" t="str">
        <f t="shared" si="132"/>
        <v/>
      </c>
      <c r="ER150" s="139" t="str">
        <f t="shared" si="133"/>
        <v/>
      </c>
      <c r="ES150" s="139" t="str">
        <f t="shared" si="134"/>
        <v/>
      </c>
      <c r="ET150" s="139" t="str">
        <f t="shared" si="135"/>
        <v/>
      </c>
      <c r="EU150" s="139" t="str">
        <f t="shared" si="136"/>
        <v/>
      </c>
      <c r="EV150" s="139" t="str">
        <f t="shared" si="137"/>
        <v/>
      </c>
      <c r="EW150" s="139" t="str">
        <f t="shared" si="138"/>
        <v/>
      </c>
      <c r="EX150" s="139" t="str">
        <f t="shared" si="139"/>
        <v/>
      </c>
      <c r="EY150" s="139" t="str">
        <f t="shared" si="140"/>
        <v/>
      </c>
      <c r="EZ150" s="139" t="str">
        <f t="shared" si="141"/>
        <v/>
      </c>
      <c r="FA150" s="139" t="str">
        <f t="shared" si="142"/>
        <v/>
      </c>
      <c r="FB150" s="139" t="str">
        <f t="shared" si="143"/>
        <v/>
      </c>
      <c r="FC150" s="139" t="str">
        <f t="shared" si="144"/>
        <v/>
      </c>
      <c r="FD150" s="139" t="str">
        <f t="shared" si="145"/>
        <v/>
      </c>
      <c r="FE150" s="139" t="str">
        <f t="shared" si="146"/>
        <v/>
      </c>
      <c r="FF150" s="139" t="str">
        <f t="shared" si="147"/>
        <v/>
      </c>
      <c r="FG150" s="139" t="str">
        <f t="shared" si="148"/>
        <v/>
      </c>
      <c r="FH150" s="139" t="str">
        <f t="shared" si="149"/>
        <v/>
      </c>
      <c r="FI150" s="139" t="str">
        <f t="shared" si="150"/>
        <v/>
      </c>
      <c r="FJ150" s="139" t="str">
        <f t="shared" si="151"/>
        <v/>
      </c>
      <c r="FK150" s="139" t="str">
        <f t="shared" si="152"/>
        <v/>
      </c>
      <c r="FL150" s="139" t="str">
        <f t="shared" si="153"/>
        <v/>
      </c>
      <c r="FM150" s="139" t="str">
        <f t="shared" si="154"/>
        <v/>
      </c>
      <c r="FN150" s="139" t="str">
        <f t="shared" si="155"/>
        <v/>
      </c>
      <c r="FO150" s="139" t="str">
        <f t="shared" si="156"/>
        <v/>
      </c>
      <c r="FP150" s="139" t="str">
        <f t="shared" si="157"/>
        <v/>
      </c>
      <c r="FQ150" s="139" t="str">
        <f t="shared" si="158"/>
        <v/>
      </c>
      <c r="FR150" s="139" t="str">
        <f t="shared" si="159"/>
        <v/>
      </c>
      <c r="FS150" s="139" t="str">
        <f t="shared" si="160"/>
        <v/>
      </c>
      <c r="FT150" s="139" t="str">
        <f t="shared" si="161"/>
        <v/>
      </c>
      <c r="FU150" s="148" t="str">
        <f t="shared" si="162"/>
        <v/>
      </c>
      <c r="FV150" s="149"/>
      <c r="FY150" s="211">
        <v>145</v>
      </c>
      <c r="FZ150">
        <v>113.84180391646805</v>
      </c>
      <c r="GA150">
        <v>130.009500884121</v>
      </c>
      <c r="GB150">
        <v>55.661611687674664</v>
      </c>
      <c r="GC150">
        <v>29.180627297040989</v>
      </c>
      <c r="GD150">
        <v>10.271706861902459</v>
      </c>
      <c r="GE150">
        <v>16.116701412794885</v>
      </c>
      <c r="GF150">
        <v>61.658821403920697</v>
      </c>
      <c r="GG150">
        <v>55.411095681302811</v>
      </c>
      <c r="GH150">
        <v>27.315600982269778</v>
      </c>
      <c r="GI150">
        <v>54.10310381464069</v>
      </c>
      <c r="GJ150"/>
      <c r="GK150"/>
      <c r="GL150"/>
      <c r="GM150"/>
    </row>
    <row r="151" spans="1:195" s="7" customFormat="1">
      <c r="A151" s="77"/>
      <c r="B151" s="76">
        <f ca="1">IF(C151="", "", RAND())</f>
        <v>0.96962735945836975</v>
      </c>
      <c r="C151">
        <v>6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10.416666666666666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183.28307459858598</v>
      </c>
      <c r="AO151">
        <v>70.004043971639646</v>
      </c>
      <c r="AP151">
        <v>587.0800062711736</v>
      </c>
      <c r="AQ151">
        <v>475.95572675480844</v>
      </c>
      <c r="AR151">
        <v>70.01251903257004</v>
      </c>
      <c r="AS151">
        <v>321.6052112494508</v>
      </c>
      <c r="AT151">
        <v>39.261457801794499</v>
      </c>
      <c r="AU151">
        <v>-6.6355539412225824</v>
      </c>
      <c r="AV151"/>
      <c r="AW151"/>
      <c r="AX151" s="151"/>
      <c r="AY151" s="76"/>
      <c r="AZ151"/>
      <c r="BA151" s="129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/>
      <c r="CL151" s="179"/>
      <c r="CM151" s="180"/>
      <c r="CN151"/>
      <c r="CO151"/>
      <c r="CP151"/>
      <c r="CQ151"/>
      <c r="CR151"/>
      <c r="CS151"/>
      <c r="CT151"/>
      <c r="CU151"/>
      <c r="CV151" s="160"/>
      <c r="CW151"/>
      <c r="CX151"/>
      <c r="CY151" s="160"/>
      <c r="CZ151" s="177"/>
      <c r="DB151" s="151"/>
      <c r="DC151" s="76" t="str">
        <f t="shared" ca="1" si="49"/>
        <v/>
      </c>
      <c r="DD151" t="str">
        <f t="shared" si="92"/>
        <v/>
      </c>
      <c r="DE151" s="129" t="str">
        <f t="shared" si="167"/>
        <v/>
      </c>
      <c r="DF151" s="161" t="str">
        <f t="shared" si="93"/>
        <v/>
      </c>
      <c r="DG151" s="161" t="str">
        <f t="shared" si="94"/>
        <v/>
      </c>
      <c r="DH151" s="161" t="str">
        <f t="shared" si="95"/>
        <v/>
      </c>
      <c r="DI151" s="161" t="str">
        <f t="shared" si="96"/>
        <v/>
      </c>
      <c r="DJ151" s="161" t="str">
        <f t="shared" si="97"/>
        <v/>
      </c>
      <c r="DK151" s="161" t="str">
        <f t="shared" si="98"/>
        <v/>
      </c>
      <c r="DL151" s="161" t="str">
        <f t="shared" si="99"/>
        <v/>
      </c>
      <c r="DM151" s="161" t="str">
        <f t="shared" si="100"/>
        <v/>
      </c>
      <c r="DN151" s="161" t="str">
        <f t="shared" si="101"/>
        <v/>
      </c>
      <c r="DO151" s="161" t="str">
        <f t="shared" si="102"/>
        <v/>
      </c>
      <c r="DP151" s="161" t="str">
        <f t="shared" si="103"/>
        <v/>
      </c>
      <c r="DQ151" s="161" t="str">
        <f t="shared" si="104"/>
        <v/>
      </c>
      <c r="DR151" s="161" t="str">
        <f t="shared" si="105"/>
        <v/>
      </c>
      <c r="DS151" s="161" t="str">
        <f t="shared" si="106"/>
        <v/>
      </c>
      <c r="DT151" s="161" t="str">
        <f t="shared" si="107"/>
        <v/>
      </c>
      <c r="DU151" s="161" t="str">
        <f t="shared" si="108"/>
        <v/>
      </c>
      <c r="DV151" s="161" t="str">
        <f t="shared" si="109"/>
        <v/>
      </c>
      <c r="DW151" s="161" t="str">
        <f t="shared" si="110"/>
        <v/>
      </c>
      <c r="DX151" s="161" t="str">
        <f t="shared" si="111"/>
        <v/>
      </c>
      <c r="DY151" s="161" t="str">
        <f t="shared" si="112"/>
        <v/>
      </c>
      <c r="DZ151" s="161" t="str">
        <f t="shared" si="113"/>
        <v/>
      </c>
      <c r="EA151" s="161" t="str">
        <f t="shared" si="114"/>
        <v/>
      </c>
      <c r="EB151" s="161" t="str">
        <f t="shared" si="115"/>
        <v/>
      </c>
      <c r="EC151" s="161" t="str">
        <f t="shared" si="116"/>
        <v/>
      </c>
      <c r="ED151" s="161" t="str">
        <f t="shared" si="117"/>
        <v/>
      </c>
      <c r="EE151" s="161" t="str">
        <f t="shared" si="118"/>
        <v/>
      </c>
      <c r="EF151" s="161" t="str">
        <f t="shared" si="119"/>
        <v/>
      </c>
      <c r="EG151" s="161" t="str">
        <f t="shared" si="120"/>
        <v/>
      </c>
      <c r="EH151" s="161" t="str">
        <f t="shared" si="121"/>
        <v/>
      </c>
      <c r="EI151" s="161" t="str">
        <f t="shared" si="122"/>
        <v/>
      </c>
      <c r="EJ151" s="161" t="str">
        <f t="shared" si="123"/>
        <v/>
      </c>
      <c r="EK151" s="147" t="str">
        <f t="shared" si="130"/>
        <v/>
      </c>
      <c r="EL151" s="149"/>
      <c r="EN151" s="151"/>
      <c r="EO151" s="151"/>
      <c r="EP151" s="139" t="str">
        <f t="shared" si="131"/>
        <v/>
      </c>
      <c r="EQ151" s="139" t="str">
        <f t="shared" si="132"/>
        <v/>
      </c>
      <c r="ER151" s="139" t="str">
        <f t="shared" si="133"/>
        <v/>
      </c>
      <c r="ES151" s="139" t="str">
        <f t="shared" si="134"/>
        <v/>
      </c>
      <c r="ET151" s="139" t="str">
        <f t="shared" si="135"/>
        <v/>
      </c>
      <c r="EU151" s="139" t="str">
        <f t="shared" si="136"/>
        <v/>
      </c>
      <c r="EV151" s="139" t="str">
        <f t="shared" si="137"/>
        <v/>
      </c>
      <c r="EW151" s="139" t="str">
        <f t="shared" si="138"/>
        <v/>
      </c>
      <c r="EX151" s="139" t="str">
        <f t="shared" si="139"/>
        <v/>
      </c>
      <c r="EY151" s="139" t="str">
        <f t="shared" si="140"/>
        <v/>
      </c>
      <c r="EZ151" s="139" t="str">
        <f t="shared" si="141"/>
        <v/>
      </c>
      <c r="FA151" s="139" t="str">
        <f t="shared" si="142"/>
        <v/>
      </c>
      <c r="FB151" s="139" t="str">
        <f t="shared" si="143"/>
        <v/>
      </c>
      <c r="FC151" s="139" t="str">
        <f t="shared" si="144"/>
        <v/>
      </c>
      <c r="FD151" s="139" t="str">
        <f t="shared" si="145"/>
        <v/>
      </c>
      <c r="FE151" s="139" t="str">
        <f t="shared" si="146"/>
        <v/>
      </c>
      <c r="FF151" s="139" t="str">
        <f t="shared" si="147"/>
        <v/>
      </c>
      <c r="FG151" s="139" t="str">
        <f t="shared" si="148"/>
        <v/>
      </c>
      <c r="FH151" s="139" t="str">
        <f t="shared" si="149"/>
        <v/>
      </c>
      <c r="FI151" s="139" t="str">
        <f t="shared" si="150"/>
        <v/>
      </c>
      <c r="FJ151" s="139" t="str">
        <f t="shared" si="151"/>
        <v/>
      </c>
      <c r="FK151" s="139" t="str">
        <f t="shared" si="152"/>
        <v/>
      </c>
      <c r="FL151" s="139" t="str">
        <f t="shared" si="153"/>
        <v/>
      </c>
      <c r="FM151" s="139" t="str">
        <f t="shared" si="154"/>
        <v/>
      </c>
      <c r="FN151" s="139" t="str">
        <f t="shared" si="155"/>
        <v/>
      </c>
      <c r="FO151" s="139" t="str">
        <f t="shared" si="156"/>
        <v/>
      </c>
      <c r="FP151" s="139" t="str">
        <f t="shared" si="157"/>
        <v/>
      </c>
      <c r="FQ151" s="139" t="str">
        <f t="shared" si="158"/>
        <v/>
      </c>
      <c r="FR151" s="139" t="str">
        <f t="shared" si="159"/>
        <v/>
      </c>
      <c r="FS151" s="139" t="str">
        <f t="shared" si="160"/>
        <v/>
      </c>
      <c r="FT151" s="139" t="str">
        <f t="shared" si="161"/>
        <v/>
      </c>
      <c r="FU151" s="148" t="str">
        <f t="shared" si="162"/>
        <v/>
      </c>
      <c r="FV151" s="149"/>
      <c r="FY151" s="211">
        <v>146</v>
      </c>
      <c r="FZ151">
        <v>67.789156493371109</v>
      </c>
      <c r="GA151">
        <v>99.469781512493427</v>
      </c>
      <c r="GB151">
        <v>69.679924250837985</v>
      </c>
      <c r="GC151">
        <v>37.116922605128167</v>
      </c>
      <c r="GD151">
        <v>16.015696083033117</v>
      </c>
      <c r="GE151">
        <v>21.511714509199752</v>
      </c>
      <c r="GF151">
        <v>34.776960814692423</v>
      </c>
      <c r="GG151">
        <v>28.566487000212316</v>
      </c>
      <c r="GH151">
        <v>23.808038092710461</v>
      </c>
      <c r="GI151">
        <v>48.813178969142797</v>
      </c>
      <c r="GJ151"/>
      <c r="GK151"/>
      <c r="GL151"/>
      <c r="GM151"/>
    </row>
    <row r="152" spans="1:195" s="7" customFormat="1">
      <c r="A152" s="77"/>
      <c r="B152" s="76">
        <f ca="1">IF(C152="", "", RAND())</f>
        <v>0.37158290498105773</v>
      </c>
      <c r="C152">
        <v>5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10.416666666666666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214.67665933739931</v>
      </c>
      <c r="AO152">
        <v>68.552694539808883</v>
      </c>
      <c r="AP152">
        <v>562.04046527276876</v>
      </c>
      <c r="AQ152">
        <v>434.5965267367398</v>
      </c>
      <c r="AR152">
        <v>66.746179430453537</v>
      </c>
      <c r="AS152">
        <v>312.98071605661153</v>
      </c>
      <c r="AT152">
        <v>31.370545384105068</v>
      </c>
      <c r="AU152">
        <v>22.198523852261431</v>
      </c>
      <c r="AV152"/>
      <c r="AW152"/>
      <c r="AX152" s="151"/>
      <c r="AY152" s="76">
        <f t="shared" ref="AY152:AY207" ca="1" si="169">IF(AZ152="", "", RAND())</f>
        <v>0.18353393412888241</v>
      </c>
      <c r="AZ152">
        <v>5</v>
      </c>
      <c r="BA152" s="129">
        <f t="shared" si="168"/>
        <v>39847</v>
      </c>
      <c r="BB152">
        <v>0</v>
      </c>
      <c r="BC152"/>
      <c r="BD152"/>
      <c r="BE152"/>
      <c r="BF152"/>
      <c r="BG152"/>
      <c r="BH152"/>
      <c r="BI152"/>
      <c r="BJ152"/>
      <c r="BK152">
        <v>1</v>
      </c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8"/>
        <v>0.7764401760834776</v>
      </c>
      <c r="CL152" s="179">
        <f t="shared" si="89"/>
        <v>5</v>
      </c>
      <c r="CM152" s="180">
        <f t="shared" si="90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170">IF(DD152="", "", RAND())</f>
        <v>0.80314343564146307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0</v>
      </c>
      <c r="DJ152" s="161">
        <f t="shared" si="97"/>
        <v>0</v>
      </c>
      <c r="DK152" s="161">
        <f t="shared" si="98"/>
        <v>0</v>
      </c>
      <c r="DL152" s="161">
        <f t="shared" si="99"/>
        <v>0</v>
      </c>
      <c r="DM152" s="161">
        <f t="shared" si="100"/>
        <v>0</v>
      </c>
      <c r="DN152" s="161">
        <f t="shared" si="101"/>
        <v>0</v>
      </c>
      <c r="DO152" s="161">
        <f t="shared" si="102"/>
        <v>10.416666666666666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171">IF(DF152="", "", SUM(DF152:EJ152))</f>
        <v>10.416666666666666</v>
      </c>
      <c r="EL152" s="149"/>
      <c r="EN152" s="151"/>
      <c r="EO152" s="151"/>
      <c r="EP152" s="139">
        <f t="shared" ref="EP152:EP183" si="172">IF(DF152="", "", DF152*G$36)</f>
        <v>0</v>
      </c>
      <c r="EQ152" s="139">
        <f t="shared" ref="EQ152:EQ183" si="173">IF(DG152="", "", DG152*H$36)</f>
        <v>0</v>
      </c>
      <c r="ER152" s="139">
        <f t="shared" ref="ER152:ER183" si="174">IF(DH152="", "", DH152*I$36)</f>
        <v>0</v>
      </c>
      <c r="ES152" s="139">
        <f t="shared" ref="ES152:ES183" si="175">IF(DI152="", "", DI152*J$36)</f>
        <v>0</v>
      </c>
      <c r="ET152" s="139">
        <f t="shared" ref="ET152:ET183" si="176">IF(DJ152="", "", DJ152*K$36)</f>
        <v>0</v>
      </c>
      <c r="EU152" s="139">
        <f t="shared" ref="EU152:EU183" si="177">IF(DK152="", "", DK152*L$36)</f>
        <v>0</v>
      </c>
      <c r="EV152" s="139">
        <f t="shared" ref="EV152:EV183" si="178">IF(DL152="", "", DL152*M$36)</f>
        <v>0</v>
      </c>
      <c r="EW152" s="139">
        <f t="shared" ref="EW152:EW183" si="179">IF(DM152="", "", DM152*N$36)</f>
        <v>0</v>
      </c>
      <c r="EX152" s="139">
        <f t="shared" ref="EX152:EX183" si="180">IF(DN152="", "", DN152*O$36)</f>
        <v>0</v>
      </c>
      <c r="EY152" s="139">
        <f t="shared" ref="EY152:EY183" si="181">IF(DO152="", "", DO152*P$36)</f>
        <v>24.67177750531274</v>
      </c>
      <c r="EZ152" s="139">
        <f t="shared" ref="EZ152:EZ183" si="182">IF(DP152="", "", DP152*Q$36)</f>
        <v>0</v>
      </c>
      <c r="FA152" s="139">
        <f t="shared" ref="FA152:FA183" si="183">IF(DQ152="", "", DQ152*R$36)</f>
        <v>0</v>
      </c>
      <c r="FB152" s="139">
        <f t="shared" ref="FB152:FB183" si="184">IF(DR152="", "", DR152*S$36)</f>
        <v>0</v>
      </c>
      <c r="FC152" s="139">
        <f t="shared" ref="FC152:FC183" si="185">IF(DS152="", "", DS152*T$36)</f>
        <v>0</v>
      </c>
      <c r="FD152" s="139">
        <f t="shared" ref="FD152:FD183" si="186">IF(DT152="", "", DT152*U$36)</f>
        <v>0</v>
      </c>
      <c r="FE152" s="139">
        <f t="shared" ref="FE152:FE183" si="187">IF(DU152="", "", DU152*V$36)</f>
        <v>0</v>
      </c>
      <c r="FF152" s="139">
        <f t="shared" ref="FF152:FF183" si="188">IF(DV152="", "", DV152*W$36)</f>
        <v>0</v>
      </c>
      <c r="FG152" s="139">
        <f t="shared" ref="FG152:FG183" si="189">IF(DW152="", "", DW152*X$36)</f>
        <v>0</v>
      </c>
      <c r="FH152" s="139">
        <f t="shared" ref="FH152:FH183" si="190">IF(DX152="", "", DX152*Y$36)</f>
        <v>0</v>
      </c>
      <c r="FI152" s="139">
        <f t="shared" ref="FI152:FI183" si="191">IF(DY152="", "", DY152*Z$36)</f>
        <v>0</v>
      </c>
      <c r="FJ152" s="139">
        <f t="shared" ref="FJ152:FJ183" si="192">IF(DZ152="", "", DZ152*AA$36)</f>
        <v>0</v>
      </c>
      <c r="FK152" s="139">
        <f t="shared" ref="FK152:FK183" si="193">IF(EA152="", "", EA152*AB$36)</f>
        <v>0</v>
      </c>
      <c r="FL152" s="139">
        <f t="shared" ref="FL152:FL183" si="194">IF(EB152="", "", EB152*AC$36)</f>
        <v>0</v>
      </c>
      <c r="FM152" s="139">
        <f t="shared" ref="FM152:FM183" si="195">IF(EC152="", "", EC152*AD$36)</f>
        <v>0</v>
      </c>
      <c r="FN152" s="139">
        <f t="shared" ref="FN152:FN183" si="196">IF(ED152="", "", ED152*AE$36)</f>
        <v>0</v>
      </c>
      <c r="FO152" s="139">
        <f t="shared" ref="FO152:FO183" si="197">IF(EE152="", "", EE152*AF$36)</f>
        <v>0</v>
      </c>
      <c r="FP152" s="139">
        <f t="shared" ref="FP152:FP183" si="198">IF(EF152="", "", EF152*AG$36)</f>
        <v>0</v>
      </c>
      <c r="FQ152" s="139">
        <f t="shared" ref="FQ152:FQ183" si="199">IF(EG152="", "", EG152*AH$36)</f>
        <v>0</v>
      </c>
      <c r="FR152" s="139">
        <f t="shared" ref="FR152:FR183" si="200">IF(EH152="", "", EH152*AI$36)</f>
        <v>0</v>
      </c>
      <c r="FS152" s="139">
        <f t="shared" ref="FS152:FS183" si="201">IF(EI152="", "", EI152*AJ$36)</f>
        <v>0</v>
      </c>
      <c r="FT152" s="139">
        <f t="shared" ref="FT152:FT183" si="202">IF(EJ152="", "", EJ152*AK$36)</f>
        <v>0</v>
      </c>
      <c r="FU152" s="148">
        <f t="shared" ref="FU152:FU183" si="203">IF(EP152="","",SUM(EP152:FT152))</f>
        <v>24.67177750531274</v>
      </c>
      <c r="FV152" s="149"/>
      <c r="FY152" s="211">
        <v>147</v>
      </c>
      <c r="FZ152">
        <v>119.95566831864465</v>
      </c>
      <c r="GA152">
        <v>143.10675936820957</v>
      </c>
      <c r="GB152">
        <v>36.257106264211714</v>
      </c>
      <c r="GC152">
        <v>23.704455476213123</v>
      </c>
      <c r="GD152">
        <v>20.10056105143558</v>
      </c>
      <c r="GE152">
        <v>28.747233379471147</v>
      </c>
      <c r="GF152">
        <v>41.475449422684513</v>
      </c>
      <c r="GG152">
        <v>32.066181739693974</v>
      </c>
      <c r="GH152">
        <v>25.214179069072756</v>
      </c>
      <c r="GI152">
        <v>52.138950819528958</v>
      </c>
      <c r="GJ152"/>
      <c r="GK152"/>
      <c r="GL152"/>
      <c r="GM152"/>
    </row>
    <row r="153" spans="1:195" s="7" customFormat="1">
      <c r="A153" s="77"/>
      <c r="B153" s="76">
        <f ca="1">IF(C153="", "", RAND())</f>
        <v>0.51543206851058088</v>
      </c>
      <c r="C153">
        <v>2</v>
      </c>
      <c r="D153">
        <v>39847</v>
      </c>
      <c r="E153">
        <v>0</v>
      </c>
      <c r="F153">
        <v>0</v>
      </c>
      <c r="G153">
        <v>569.66145833333337</v>
      </c>
      <c r="H153">
        <v>0</v>
      </c>
      <c r="I153">
        <v>34.722222222222221</v>
      </c>
      <c r="J153">
        <v>0</v>
      </c>
      <c r="K153">
        <v>0</v>
      </c>
      <c r="L153">
        <v>69.444444444444443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173.44982348741999</v>
      </c>
      <c r="AO153">
        <v>55.013033861588873</v>
      </c>
      <c r="AP153">
        <v>428.33248336070119</v>
      </c>
      <c r="AQ153">
        <v>348.36903432667833</v>
      </c>
      <c r="AR153">
        <v>55.259745716824249</v>
      </c>
      <c r="AS153">
        <v>274.19982571719532</v>
      </c>
      <c r="AT153">
        <v>28.447035878946689</v>
      </c>
      <c r="AU153">
        <v>57.444978888681057</v>
      </c>
      <c r="AV153"/>
      <c r="AW153"/>
      <c r="AX153" s="151"/>
      <c r="AY153" s="76">
        <f t="shared" ca="1" si="169"/>
        <v>0.93913411541263314</v>
      </c>
      <c r="AZ153">
        <v>6</v>
      </c>
      <c r="BA153" s="129">
        <f t="shared" si="168"/>
        <v>39847</v>
      </c>
      <c r="BB153">
        <v>0</v>
      </c>
      <c r="BC153"/>
      <c r="BD153"/>
      <c r="BE153"/>
      <c r="BF153"/>
      <c r="BG153"/>
      <c r="BH153"/>
      <c r="BI153"/>
      <c r="BJ153">
        <v>1</v>
      </c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4">IF(AZ153="", "", RAND())</f>
        <v>0.66396340179558422</v>
      </c>
      <c r="CL153" s="179">
        <f t="shared" ref="CL153:CL207" si="205">IF(AZ153="", "", AZ153)</f>
        <v>6</v>
      </c>
      <c r="CM153" s="180">
        <f t="shared" ref="CM153:CM207" si="206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07">IF(AZ153="", "", $G$15)</f>
        <v>9.6000000000000002E-2</v>
      </c>
      <c r="DB153" s="151"/>
      <c r="DC153" s="76">
        <f t="shared" ca="1" si="170"/>
        <v>0.89715595842530949</v>
      </c>
      <c r="DD153">
        <f t="shared" ref="DD153:DD207" si="208">IF(AZ153="", "", AZ153)</f>
        <v>6</v>
      </c>
      <c r="DE153" s="129">
        <f t="shared" si="167"/>
        <v>39847</v>
      </c>
      <c r="DF153" s="161">
        <f t="shared" ref="DF153:DF187" si="209">IF($AZ153="", "", ((BB153*$CW153)+(CN153*$CX153))/$CZ153)</f>
        <v>0</v>
      </c>
      <c r="DG153" s="161">
        <f t="shared" ref="DG153:DG187" si="210">IF($AZ153="", "", ((BC153*$CW153)+(CO153*$CX153))/$CZ153)</f>
        <v>0</v>
      </c>
      <c r="DH153" s="161">
        <f t="shared" ref="DH153:DH187" si="211">IF($AZ153="", "", ((BD153*$CW153)+(CP153*$CX153))/$CZ153)</f>
        <v>0</v>
      </c>
      <c r="DI153" s="161">
        <f t="shared" ref="DI153:DI187" si="212">IF($AZ153="", "", ((BE153*$CW153)+(CQ153*$CX153))/$CZ153)</f>
        <v>0</v>
      </c>
      <c r="DJ153" s="161">
        <f t="shared" ref="DJ153:DJ187" si="213">IF($AZ153="", "", ((BF153*$CW153)+(CR153*$CX153))/$CZ153)</f>
        <v>0</v>
      </c>
      <c r="DK153" s="161">
        <f t="shared" ref="DK153:DK187" si="214">IF($AZ153="", "", ((BG153*$CW153)+(CS153*$CX153))/$CZ153)</f>
        <v>0</v>
      </c>
      <c r="DL153" s="161">
        <f t="shared" ref="DL153:DL187" si="215">IF($AZ153="", "", ((BH153*$CW153)+(CT153*$CX153))/$CZ153)</f>
        <v>0</v>
      </c>
      <c r="DM153" s="161">
        <f t="shared" ref="DM153:DM187" si="216">IF($AZ153="", "", ((BI153*$CW153)+(CU153*$CX153))/$CZ153)</f>
        <v>0</v>
      </c>
      <c r="DN153" s="161">
        <f t="shared" ref="DN153:DN187" si="217">IF($AZ153="", "", (BJ153*$CW153)/$CZ153)</f>
        <v>10.416666666666666</v>
      </c>
      <c r="DO153" s="161">
        <f t="shared" ref="DO153:DO187" si="218">IF($AZ153="", "", (BK153*$CW153)/$CZ153)</f>
        <v>0</v>
      </c>
      <c r="DP153" s="161">
        <f t="shared" ref="DP153:DP187" si="219">IF($AZ153="", "", (BL153*$CW153)/$CZ153)</f>
        <v>0</v>
      </c>
      <c r="DQ153" s="161">
        <f t="shared" ref="DQ153:DQ187" si="220">IF($AZ153="", "", (BM153*$CW153)/$CZ153)</f>
        <v>0</v>
      </c>
      <c r="DR153" s="161">
        <f t="shared" ref="DR153:DR187" si="221">IF($AZ153="", "", (BN153*$CW153)/$CZ153)</f>
        <v>0</v>
      </c>
      <c r="DS153" s="161">
        <f t="shared" ref="DS153:DS187" si="222">IF($AZ153="", "", (BO153*$CW153)/$CZ153)</f>
        <v>0</v>
      </c>
      <c r="DT153" s="161">
        <f t="shared" ref="DT153:DT187" si="223">IF($AZ153="", "", (BP153*$CW153)/$CZ153)</f>
        <v>0</v>
      </c>
      <c r="DU153" s="161">
        <f t="shared" ref="DU153:DU187" si="224">IF($AZ153="", "", (BQ153*$CW153)/$CZ153)</f>
        <v>0</v>
      </c>
      <c r="DV153" s="161">
        <f t="shared" ref="DV153:DV187" si="225">IF($AZ153="", "", (BR153*$CW153)/$CZ153)</f>
        <v>0</v>
      </c>
      <c r="DW153" s="161">
        <f t="shared" ref="DW153:DW187" si="226">IF($AZ153="", "", (BS153*$CW153)/$CZ153)</f>
        <v>0</v>
      </c>
      <c r="DX153" s="161">
        <f t="shared" ref="DX153:DX187" si="227">IF($AZ153="", "", (BT153*$CW153)/$CZ153)</f>
        <v>0</v>
      </c>
      <c r="DY153" s="161">
        <f t="shared" ref="DY153:DY187" si="228">IF($AZ153="", "", (BU153*$CW153)/$CZ153)</f>
        <v>0</v>
      </c>
      <c r="DZ153" s="161">
        <f t="shared" ref="DZ153:DZ187" si="229">IF($AZ153="", "", (BV153*$CW153)/$CZ153)</f>
        <v>0</v>
      </c>
      <c r="EA153" s="161">
        <f t="shared" ref="EA153:EA187" si="230">IF($AZ153="", "", (BW153*$CW153)/$CZ153)</f>
        <v>0</v>
      </c>
      <c r="EB153" s="161">
        <f t="shared" ref="EB153:EB187" si="231">IF($AZ153="", "", (BX153*$CW153)/$CZ153)</f>
        <v>0</v>
      </c>
      <c r="EC153" s="161">
        <f t="shared" ref="EC153:EC187" si="232">IF($AZ153="", "", (BY153*$CW153)/$CZ153)</f>
        <v>0</v>
      </c>
      <c r="ED153" s="161">
        <f t="shared" ref="ED153:ED187" si="233">IF($AZ153="", "", (BZ153*$CW153)/$CZ153)</f>
        <v>0</v>
      </c>
      <c r="EE153" s="161">
        <f t="shared" ref="EE153:EE187" si="234">IF($AZ153="", "", (CA153*$CW153)/$CZ153)</f>
        <v>0</v>
      </c>
      <c r="EF153" s="161">
        <f t="shared" ref="EF153:EF187" si="235">IF($AZ153="", "", (CB153*$CW153)/$CZ153)</f>
        <v>0</v>
      </c>
      <c r="EG153" s="161">
        <f t="shared" ref="EG153:EG187" si="236">IF($AZ153="", "", (CC153*$CW153)/$CZ153)</f>
        <v>0</v>
      </c>
      <c r="EH153" s="161">
        <f t="shared" ref="EH153:EH187" si="237">IF($AZ153="", "", (CD153*$CW153)/$CZ153)</f>
        <v>0</v>
      </c>
      <c r="EI153" s="161">
        <f t="shared" ref="EI153:EI187" si="238">IF($AZ153="", "", (CE153*$CW153)/$CZ153)</f>
        <v>0</v>
      </c>
      <c r="EJ153" s="161">
        <f t="shared" ref="EJ153:EJ187" si="239">IF($AZ153="", "", (CF153*$CW153)/$CZ153)</f>
        <v>0</v>
      </c>
      <c r="EK153" s="147">
        <f t="shared" si="171"/>
        <v>10.416666666666666</v>
      </c>
      <c r="EL153" s="149"/>
      <c r="EN153" s="151"/>
      <c r="EO153" s="151"/>
      <c r="EP153" s="139">
        <f t="shared" si="172"/>
        <v>0</v>
      </c>
      <c r="EQ153" s="139">
        <f t="shared" si="173"/>
        <v>0</v>
      </c>
      <c r="ER153" s="139">
        <f t="shared" si="174"/>
        <v>0</v>
      </c>
      <c r="ES153" s="139">
        <f t="shared" si="175"/>
        <v>0</v>
      </c>
      <c r="ET153" s="139">
        <f t="shared" si="176"/>
        <v>0</v>
      </c>
      <c r="EU153" s="139">
        <f t="shared" si="177"/>
        <v>0</v>
      </c>
      <c r="EV153" s="139">
        <f t="shared" si="178"/>
        <v>0</v>
      </c>
      <c r="EW153" s="139">
        <f t="shared" si="179"/>
        <v>0</v>
      </c>
      <c r="EX153" s="139">
        <f t="shared" si="180"/>
        <v>17.900327165953296</v>
      </c>
      <c r="EY153" s="139">
        <f t="shared" si="181"/>
        <v>0</v>
      </c>
      <c r="EZ153" s="139">
        <f t="shared" si="182"/>
        <v>0</v>
      </c>
      <c r="FA153" s="139">
        <f t="shared" si="183"/>
        <v>0</v>
      </c>
      <c r="FB153" s="139">
        <f t="shared" si="184"/>
        <v>0</v>
      </c>
      <c r="FC153" s="139">
        <f t="shared" si="185"/>
        <v>0</v>
      </c>
      <c r="FD153" s="139">
        <f t="shared" si="186"/>
        <v>0</v>
      </c>
      <c r="FE153" s="139">
        <f t="shared" si="187"/>
        <v>0</v>
      </c>
      <c r="FF153" s="139">
        <f t="shared" si="188"/>
        <v>0</v>
      </c>
      <c r="FG153" s="139">
        <f t="shared" si="189"/>
        <v>0</v>
      </c>
      <c r="FH153" s="139">
        <f t="shared" si="190"/>
        <v>0</v>
      </c>
      <c r="FI153" s="139">
        <f t="shared" si="191"/>
        <v>0</v>
      </c>
      <c r="FJ153" s="139">
        <f t="shared" si="192"/>
        <v>0</v>
      </c>
      <c r="FK153" s="139">
        <f t="shared" si="193"/>
        <v>0</v>
      </c>
      <c r="FL153" s="139">
        <f t="shared" si="194"/>
        <v>0</v>
      </c>
      <c r="FM153" s="139">
        <f t="shared" si="195"/>
        <v>0</v>
      </c>
      <c r="FN153" s="139">
        <f t="shared" si="196"/>
        <v>0</v>
      </c>
      <c r="FO153" s="139">
        <f t="shared" si="197"/>
        <v>0</v>
      </c>
      <c r="FP153" s="139">
        <f t="shared" si="198"/>
        <v>0</v>
      </c>
      <c r="FQ153" s="139">
        <f t="shared" si="199"/>
        <v>0</v>
      </c>
      <c r="FR153" s="139">
        <f t="shared" si="200"/>
        <v>0</v>
      </c>
      <c r="FS153" s="139">
        <f t="shared" si="201"/>
        <v>0</v>
      </c>
      <c r="FT153" s="139">
        <f t="shared" si="202"/>
        <v>0</v>
      </c>
      <c r="FU153" s="148">
        <f t="shared" si="203"/>
        <v>17.900327165953296</v>
      </c>
      <c r="FV153" s="149"/>
      <c r="FY153" s="211">
        <v>148</v>
      </c>
      <c r="FZ153">
        <v>40.467510924617024</v>
      </c>
      <c r="GA153">
        <v>38.062026801543283</v>
      </c>
      <c r="GB153">
        <v>42.79499711207913</v>
      </c>
      <c r="GC153">
        <v>22.100410667433209</v>
      </c>
      <c r="GD153">
        <v>10.852413418288769</v>
      </c>
      <c r="GE153">
        <v>22.538612387722928</v>
      </c>
      <c r="GF153">
        <v>51.291261894248507</v>
      </c>
      <c r="GG153">
        <v>35.143010850909846</v>
      </c>
      <c r="GH153">
        <v>19.824858543800243</v>
      </c>
      <c r="GI153">
        <v>37.024872878380855</v>
      </c>
      <c r="GJ153"/>
      <c r="GK153"/>
      <c r="GL153"/>
      <c r="GM153"/>
    </row>
    <row r="154" spans="1:195" s="7" customFormat="1">
      <c r="A154" s="77"/>
      <c r="B154" s="76">
        <f ca="1">IF(C154="", "", RAND())</f>
        <v>0.48146119333295179</v>
      </c>
      <c r="C154">
        <v>8</v>
      </c>
      <c r="D154">
        <v>39847</v>
      </c>
      <c r="E154">
        <v>0</v>
      </c>
      <c r="F154">
        <v>0</v>
      </c>
      <c r="G154">
        <v>0</v>
      </c>
      <c r="H154">
        <v>69.444444444444443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189.24481752609765</v>
      </c>
      <c r="AO154">
        <v>65.942417032751436</v>
      </c>
      <c r="AP154">
        <v>509.37747760271861</v>
      </c>
      <c r="AQ154">
        <v>403.58160460847995</v>
      </c>
      <c r="AR154">
        <v>64.22615181952041</v>
      </c>
      <c r="AS154">
        <v>290.34790951729502</v>
      </c>
      <c r="AT154">
        <v>31.324170740157545</v>
      </c>
      <c r="AU154">
        <v>-30.921807196527354</v>
      </c>
      <c r="AV154"/>
      <c r="AW154"/>
      <c r="AX154" s="151"/>
      <c r="AY154" s="76">
        <f t="shared" ca="1" si="169"/>
        <v>0.76963122575540233</v>
      </c>
      <c r="AZ154">
        <v>7</v>
      </c>
      <c r="BA154" s="129">
        <f t="shared" si="168"/>
        <v>39847</v>
      </c>
      <c r="BB154">
        <v>0</v>
      </c>
      <c r="BC154"/>
      <c r="BD154"/>
      <c r="BE154"/>
      <c r="BF154"/>
      <c r="BG154"/>
      <c r="BH154">
        <v>1</v>
      </c>
      <c r="BI154">
        <v>1</v>
      </c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4"/>
        <v>0.67403269934513421</v>
      </c>
      <c r="CL154" s="179">
        <f t="shared" si="205"/>
        <v>7</v>
      </c>
      <c r="CM154" s="180">
        <f t="shared" si="206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07"/>
        <v>9.6000000000000002E-2</v>
      </c>
      <c r="DB154" s="151"/>
      <c r="DC154" s="76">
        <f t="shared" ca="1" si="170"/>
        <v>0.60633440154075213</v>
      </c>
      <c r="DD154">
        <f t="shared" si="208"/>
        <v>7</v>
      </c>
      <c r="DE154" s="129">
        <f t="shared" si="167"/>
        <v>39847</v>
      </c>
      <c r="DF154" s="161">
        <f t="shared" si="209"/>
        <v>0</v>
      </c>
      <c r="DG154" s="161">
        <f t="shared" si="210"/>
        <v>0</v>
      </c>
      <c r="DH154" s="161">
        <f t="shared" si="211"/>
        <v>0</v>
      </c>
      <c r="DI154" s="161">
        <f t="shared" si="212"/>
        <v>0</v>
      </c>
      <c r="DJ154" s="161">
        <f t="shared" si="213"/>
        <v>0</v>
      </c>
      <c r="DK154" s="161">
        <f t="shared" si="214"/>
        <v>0</v>
      </c>
      <c r="DL154" s="161">
        <f t="shared" si="215"/>
        <v>10.416666666666666</v>
      </c>
      <c r="DM154" s="161">
        <f t="shared" si="216"/>
        <v>10.416666666666666</v>
      </c>
      <c r="DN154" s="161">
        <f t="shared" si="217"/>
        <v>0</v>
      </c>
      <c r="DO154" s="161">
        <f t="shared" si="218"/>
        <v>0</v>
      </c>
      <c r="DP154" s="161">
        <f t="shared" si="219"/>
        <v>0</v>
      </c>
      <c r="DQ154" s="161">
        <f t="shared" si="220"/>
        <v>0</v>
      </c>
      <c r="DR154" s="161">
        <f t="shared" si="221"/>
        <v>0</v>
      </c>
      <c r="DS154" s="161">
        <f t="shared" si="222"/>
        <v>0</v>
      </c>
      <c r="DT154" s="161">
        <f t="shared" si="223"/>
        <v>0</v>
      </c>
      <c r="DU154" s="161">
        <f t="shared" si="224"/>
        <v>0</v>
      </c>
      <c r="DV154" s="161">
        <f t="shared" si="225"/>
        <v>0</v>
      </c>
      <c r="DW154" s="161">
        <f t="shared" si="226"/>
        <v>0</v>
      </c>
      <c r="DX154" s="161">
        <f t="shared" si="227"/>
        <v>0</v>
      </c>
      <c r="DY154" s="161">
        <f t="shared" si="228"/>
        <v>0</v>
      </c>
      <c r="DZ154" s="161">
        <f t="shared" si="229"/>
        <v>0</v>
      </c>
      <c r="EA154" s="161">
        <f t="shared" si="230"/>
        <v>0</v>
      </c>
      <c r="EB154" s="161">
        <f t="shared" si="231"/>
        <v>0</v>
      </c>
      <c r="EC154" s="161">
        <f t="shared" si="232"/>
        <v>0</v>
      </c>
      <c r="ED154" s="161">
        <f t="shared" si="233"/>
        <v>0</v>
      </c>
      <c r="EE154" s="161">
        <f t="shared" si="234"/>
        <v>0</v>
      </c>
      <c r="EF154" s="161">
        <f t="shared" si="235"/>
        <v>0</v>
      </c>
      <c r="EG154" s="161">
        <f t="shared" si="236"/>
        <v>0</v>
      </c>
      <c r="EH154" s="161">
        <f t="shared" si="237"/>
        <v>0</v>
      </c>
      <c r="EI154" s="161">
        <f t="shared" si="238"/>
        <v>0</v>
      </c>
      <c r="EJ154" s="161">
        <f t="shared" si="239"/>
        <v>0</v>
      </c>
      <c r="EK154" s="147">
        <f t="shared" si="171"/>
        <v>20.833333333333332</v>
      </c>
      <c r="EL154" s="149"/>
      <c r="EN154" s="151"/>
      <c r="EO154" s="151"/>
      <c r="EP154" s="139">
        <f t="shared" si="172"/>
        <v>0</v>
      </c>
      <c r="EQ154" s="139">
        <f t="shared" si="173"/>
        <v>0</v>
      </c>
      <c r="ER154" s="139">
        <f t="shared" si="174"/>
        <v>0</v>
      </c>
      <c r="ES154" s="139">
        <f t="shared" si="175"/>
        <v>0</v>
      </c>
      <c r="ET154" s="139">
        <f t="shared" si="176"/>
        <v>0</v>
      </c>
      <c r="EU154" s="139">
        <f t="shared" si="177"/>
        <v>0</v>
      </c>
      <c r="EV154" s="139">
        <f t="shared" si="178"/>
        <v>8.1757546524457592</v>
      </c>
      <c r="EW154" s="139">
        <f t="shared" si="179"/>
        <v>12.442020286762366</v>
      </c>
      <c r="EX154" s="139">
        <f t="shared" si="180"/>
        <v>0</v>
      </c>
      <c r="EY154" s="139">
        <f t="shared" si="181"/>
        <v>0</v>
      </c>
      <c r="EZ154" s="139">
        <f t="shared" si="182"/>
        <v>0</v>
      </c>
      <c r="FA154" s="139">
        <f t="shared" si="183"/>
        <v>0</v>
      </c>
      <c r="FB154" s="139">
        <f t="shared" si="184"/>
        <v>0</v>
      </c>
      <c r="FC154" s="139">
        <f t="shared" si="185"/>
        <v>0</v>
      </c>
      <c r="FD154" s="139">
        <f t="shared" si="186"/>
        <v>0</v>
      </c>
      <c r="FE154" s="139">
        <f t="shared" si="187"/>
        <v>0</v>
      </c>
      <c r="FF154" s="139">
        <f t="shared" si="188"/>
        <v>0</v>
      </c>
      <c r="FG154" s="139">
        <f t="shared" si="189"/>
        <v>0</v>
      </c>
      <c r="FH154" s="139">
        <f t="shared" si="190"/>
        <v>0</v>
      </c>
      <c r="FI154" s="139">
        <f t="shared" si="191"/>
        <v>0</v>
      </c>
      <c r="FJ154" s="139">
        <f t="shared" si="192"/>
        <v>0</v>
      </c>
      <c r="FK154" s="139">
        <f t="shared" si="193"/>
        <v>0</v>
      </c>
      <c r="FL154" s="139">
        <f t="shared" si="194"/>
        <v>0</v>
      </c>
      <c r="FM154" s="139">
        <f t="shared" si="195"/>
        <v>0</v>
      </c>
      <c r="FN154" s="139">
        <f t="shared" si="196"/>
        <v>0</v>
      </c>
      <c r="FO154" s="139">
        <f t="shared" si="197"/>
        <v>0</v>
      </c>
      <c r="FP154" s="139">
        <f t="shared" si="198"/>
        <v>0</v>
      </c>
      <c r="FQ154" s="139">
        <f t="shared" si="199"/>
        <v>0</v>
      </c>
      <c r="FR154" s="139">
        <f t="shared" si="200"/>
        <v>0</v>
      </c>
      <c r="FS154" s="139">
        <f t="shared" si="201"/>
        <v>0</v>
      </c>
      <c r="FT154" s="139">
        <f t="shared" si="202"/>
        <v>0</v>
      </c>
      <c r="FU154" s="148">
        <f t="shared" si="203"/>
        <v>20.617774939208125</v>
      </c>
      <c r="FV154" s="149"/>
      <c r="FY154" s="211">
        <v>149</v>
      </c>
      <c r="FZ154">
        <v>85.613980514966215</v>
      </c>
      <c r="GA154">
        <v>94.751570075491145</v>
      </c>
      <c r="GB154">
        <v>43.806180175783631</v>
      </c>
      <c r="GC154">
        <v>22.499813192122435</v>
      </c>
      <c r="GD154">
        <v>18.451672970504166</v>
      </c>
      <c r="GE154">
        <v>33.500631533289408</v>
      </c>
      <c r="GF154">
        <v>27.908663658354893</v>
      </c>
      <c r="GG154">
        <v>23.765350086804091</v>
      </c>
      <c r="GH154">
        <v>27.434116009025665</v>
      </c>
      <c r="GI154">
        <v>45.450515201160727</v>
      </c>
      <c r="GJ154"/>
      <c r="GK154"/>
      <c r="GL154"/>
      <c r="GM154"/>
    </row>
    <row r="155" spans="1:195" s="7" customFormat="1">
      <c r="A155" s="77"/>
      <c r="B155" s="76">
        <f ca="1">IF(C155="", "", RAND())</f>
        <v>0.46716947298347744</v>
      </c>
      <c r="C155">
        <v>1</v>
      </c>
      <c r="D155">
        <v>39847</v>
      </c>
      <c r="E155">
        <v>0</v>
      </c>
      <c r="F155">
        <v>20.833333333333332</v>
      </c>
      <c r="G155">
        <v>31.25</v>
      </c>
      <c r="H155">
        <v>10.416666666666666</v>
      </c>
      <c r="I155">
        <v>0</v>
      </c>
      <c r="J155">
        <v>0</v>
      </c>
      <c r="K155">
        <v>10.416666666666666</v>
      </c>
      <c r="L155">
        <v>52.083333333333336</v>
      </c>
      <c r="M155">
        <v>10.416666666666666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270.86944091713116</v>
      </c>
      <c r="AO155">
        <v>89.199613206582427</v>
      </c>
      <c r="AP155">
        <v>724.75543319062638</v>
      </c>
      <c r="AQ155">
        <v>558.80454764954607</v>
      </c>
      <c r="AR155">
        <v>86.657593991252085</v>
      </c>
      <c r="AS155">
        <v>395.07891073130645</v>
      </c>
      <c r="AT155">
        <v>42.785771395245803</v>
      </c>
      <c r="AU155">
        <v>135.54925728949132</v>
      </c>
      <c r="AV155"/>
      <c r="AW155"/>
      <c r="AX155" s="151"/>
      <c r="AY155" s="76">
        <f t="shared" ca="1" si="169"/>
        <v>0.13650374487716466</v>
      </c>
      <c r="AZ155">
        <v>8</v>
      </c>
      <c r="BA155" s="129">
        <f t="shared" si="168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4"/>
        <v>0.20016214343918648</v>
      </c>
      <c r="CL155" s="179">
        <f t="shared" si="205"/>
        <v>8</v>
      </c>
      <c r="CM155" s="180">
        <f t="shared" si="206"/>
        <v>39847</v>
      </c>
      <c r="CN155">
        <v>0</v>
      </c>
      <c r="CO155"/>
      <c r="CP155"/>
      <c r="CQ155">
        <v>1</v>
      </c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07"/>
        <v>9.6000000000000002E-2</v>
      </c>
      <c r="DB155" s="151"/>
      <c r="DC155" s="76">
        <f t="shared" ca="1" si="170"/>
        <v>0.86997846856564287</v>
      </c>
      <c r="DD155">
        <f t="shared" si="208"/>
        <v>8</v>
      </c>
      <c r="DE155" s="129">
        <f t="shared" si="167"/>
        <v>39847</v>
      </c>
      <c r="DF155" s="161">
        <f t="shared" si="209"/>
        <v>0</v>
      </c>
      <c r="DG155" s="161">
        <f t="shared" si="210"/>
        <v>0</v>
      </c>
      <c r="DH155" s="161">
        <f t="shared" si="211"/>
        <v>0</v>
      </c>
      <c r="DI155" s="161">
        <f t="shared" si="212"/>
        <v>69.444444444444443</v>
      </c>
      <c r="DJ155" s="161">
        <f t="shared" si="213"/>
        <v>0</v>
      </c>
      <c r="DK155" s="161">
        <f t="shared" si="214"/>
        <v>0</v>
      </c>
      <c r="DL155" s="161">
        <f t="shared" si="215"/>
        <v>0</v>
      </c>
      <c r="DM155" s="161">
        <f t="shared" si="216"/>
        <v>0</v>
      </c>
      <c r="DN155" s="161">
        <f t="shared" si="217"/>
        <v>0</v>
      </c>
      <c r="DO155" s="161">
        <f t="shared" si="218"/>
        <v>0</v>
      </c>
      <c r="DP155" s="161">
        <f t="shared" si="219"/>
        <v>0</v>
      </c>
      <c r="DQ155" s="161">
        <f t="shared" si="220"/>
        <v>0</v>
      </c>
      <c r="DR155" s="161">
        <f t="shared" si="221"/>
        <v>0</v>
      </c>
      <c r="DS155" s="161">
        <f t="shared" si="222"/>
        <v>0</v>
      </c>
      <c r="DT155" s="161">
        <f t="shared" si="223"/>
        <v>0</v>
      </c>
      <c r="DU155" s="161">
        <f t="shared" si="224"/>
        <v>0</v>
      </c>
      <c r="DV155" s="161">
        <f t="shared" si="225"/>
        <v>0</v>
      </c>
      <c r="DW155" s="161">
        <f t="shared" si="226"/>
        <v>0</v>
      </c>
      <c r="DX155" s="161">
        <f t="shared" si="227"/>
        <v>0</v>
      </c>
      <c r="DY155" s="161">
        <f t="shared" si="228"/>
        <v>0</v>
      </c>
      <c r="DZ155" s="161">
        <f t="shared" si="229"/>
        <v>0</v>
      </c>
      <c r="EA155" s="161">
        <f t="shared" si="230"/>
        <v>0</v>
      </c>
      <c r="EB155" s="161">
        <f t="shared" si="231"/>
        <v>0</v>
      </c>
      <c r="EC155" s="161">
        <f t="shared" si="232"/>
        <v>0</v>
      </c>
      <c r="ED155" s="161">
        <f t="shared" si="233"/>
        <v>0</v>
      </c>
      <c r="EE155" s="161">
        <f t="shared" si="234"/>
        <v>0</v>
      </c>
      <c r="EF155" s="161">
        <f t="shared" si="235"/>
        <v>0</v>
      </c>
      <c r="EG155" s="161">
        <f t="shared" si="236"/>
        <v>0</v>
      </c>
      <c r="EH155" s="161">
        <f t="shared" si="237"/>
        <v>0</v>
      </c>
      <c r="EI155" s="161">
        <f t="shared" si="238"/>
        <v>0</v>
      </c>
      <c r="EJ155" s="161">
        <f t="shared" si="239"/>
        <v>0</v>
      </c>
      <c r="EK155" s="147">
        <f t="shared" si="171"/>
        <v>69.444444444444443</v>
      </c>
      <c r="EL155" s="149"/>
      <c r="EN155" s="151"/>
      <c r="EO155" s="151"/>
      <c r="EP155" s="139">
        <f t="shared" si="172"/>
        <v>0</v>
      </c>
      <c r="EQ155" s="139">
        <f t="shared" si="173"/>
        <v>0</v>
      </c>
      <c r="ER155" s="139">
        <f t="shared" si="174"/>
        <v>0</v>
      </c>
      <c r="ES155" s="139">
        <f t="shared" si="175"/>
        <v>8.2495618495366596</v>
      </c>
      <c r="ET155" s="139">
        <f t="shared" si="176"/>
        <v>0</v>
      </c>
      <c r="EU155" s="139">
        <f t="shared" si="177"/>
        <v>0</v>
      </c>
      <c r="EV155" s="139">
        <f t="shared" si="178"/>
        <v>0</v>
      </c>
      <c r="EW155" s="139">
        <f t="shared" si="179"/>
        <v>0</v>
      </c>
      <c r="EX155" s="139">
        <f t="shared" si="180"/>
        <v>0</v>
      </c>
      <c r="EY155" s="139">
        <f t="shared" si="181"/>
        <v>0</v>
      </c>
      <c r="EZ155" s="139">
        <f t="shared" si="182"/>
        <v>0</v>
      </c>
      <c r="FA155" s="139">
        <f t="shared" si="183"/>
        <v>0</v>
      </c>
      <c r="FB155" s="139">
        <f t="shared" si="184"/>
        <v>0</v>
      </c>
      <c r="FC155" s="139">
        <f t="shared" si="185"/>
        <v>0</v>
      </c>
      <c r="FD155" s="139">
        <f t="shared" si="186"/>
        <v>0</v>
      </c>
      <c r="FE155" s="139">
        <f t="shared" si="187"/>
        <v>0</v>
      </c>
      <c r="FF155" s="139">
        <f t="shared" si="188"/>
        <v>0</v>
      </c>
      <c r="FG155" s="139">
        <f t="shared" si="189"/>
        <v>0</v>
      </c>
      <c r="FH155" s="139">
        <f t="shared" si="190"/>
        <v>0</v>
      </c>
      <c r="FI155" s="139">
        <f t="shared" si="191"/>
        <v>0</v>
      </c>
      <c r="FJ155" s="139">
        <f t="shared" si="192"/>
        <v>0</v>
      </c>
      <c r="FK155" s="139">
        <f t="shared" si="193"/>
        <v>0</v>
      </c>
      <c r="FL155" s="139">
        <f t="shared" si="194"/>
        <v>0</v>
      </c>
      <c r="FM155" s="139">
        <f t="shared" si="195"/>
        <v>0</v>
      </c>
      <c r="FN155" s="139">
        <f t="shared" si="196"/>
        <v>0</v>
      </c>
      <c r="FO155" s="139">
        <f t="shared" si="197"/>
        <v>0</v>
      </c>
      <c r="FP155" s="139">
        <f t="shared" si="198"/>
        <v>0</v>
      </c>
      <c r="FQ155" s="139">
        <f t="shared" si="199"/>
        <v>0</v>
      </c>
      <c r="FR155" s="139">
        <f t="shared" si="200"/>
        <v>0</v>
      </c>
      <c r="FS155" s="139">
        <f t="shared" si="201"/>
        <v>0</v>
      </c>
      <c r="FT155" s="139">
        <f t="shared" si="202"/>
        <v>0</v>
      </c>
      <c r="FU155" s="148">
        <f t="shared" si="203"/>
        <v>8.2495618495366596</v>
      </c>
      <c r="FV155" s="149"/>
      <c r="FY155" s="211">
        <v>150</v>
      </c>
      <c r="FZ155">
        <v>161.27841686169299</v>
      </c>
      <c r="GA155">
        <v>188.78790925457031</v>
      </c>
      <c r="GB155">
        <v>56.543379759562413</v>
      </c>
      <c r="GC155">
        <v>30.784959413250061</v>
      </c>
      <c r="GD155">
        <v>12.786347690203357</v>
      </c>
      <c r="GE155">
        <v>24.211996111565028</v>
      </c>
      <c r="GF155">
        <v>58.935096305801409</v>
      </c>
      <c r="GG155">
        <v>37.681793637324027</v>
      </c>
      <c r="GH155">
        <v>17.721681268092428</v>
      </c>
      <c r="GI155">
        <v>60.655550982485778</v>
      </c>
      <c r="GJ155"/>
      <c r="GK155"/>
      <c r="GL155"/>
      <c r="GM155"/>
    </row>
    <row r="156" spans="1:195" s="7" customFormat="1">
      <c r="A156" s="77"/>
      <c r="B156" s="76">
        <f ca="1">IF(C156="", "", RAND())</f>
        <v>0.47459373649582837</v>
      </c>
      <c r="C156">
        <v>10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10.416666666666666</v>
      </c>
      <c r="J156">
        <v>0</v>
      </c>
      <c r="K156">
        <v>0</v>
      </c>
      <c r="L156">
        <v>0</v>
      </c>
      <c r="M156">
        <v>10.416666666666666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247.79962641128697</v>
      </c>
      <c r="AO156">
        <v>72.265161116439401</v>
      </c>
      <c r="AP156">
        <v>563.53924828692232</v>
      </c>
      <c r="AQ156">
        <v>430.33201801460115</v>
      </c>
      <c r="AR156">
        <v>70.870304344383356</v>
      </c>
      <c r="AS156">
        <v>351.38550929747811</v>
      </c>
      <c r="AT156">
        <v>32.827316283878325</v>
      </c>
      <c r="AU156">
        <v>74.605728496225481</v>
      </c>
      <c r="AV156"/>
      <c r="AW156"/>
      <c r="AX156" s="151"/>
      <c r="AY156" s="76">
        <f t="shared" ca="1" si="169"/>
        <v>0.53650963270340046</v>
      </c>
      <c r="AZ156">
        <v>9</v>
      </c>
      <c r="BA156" s="129">
        <f t="shared" si="168"/>
        <v>39847</v>
      </c>
      <c r="BB156">
        <v>0</v>
      </c>
      <c r="BC156"/>
      <c r="BD156"/>
      <c r="BE156"/>
      <c r="BF156"/>
      <c r="BG156"/>
      <c r="BH156"/>
      <c r="BI156">
        <v>4</v>
      </c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4"/>
        <v>0.9801008350829683</v>
      </c>
      <c r="CL156" s="179">
        <f t="shared" si="205"/>
        <v>9</v>
      </c>
      <c r="CM156" s="180">
        <f t="shared" si="206"/>
        <v>39847</v>
      </c>
      <c r="CN156" s="221">
        <v>0</v>
      </c>
      <c r="CO156"/>
      <c r="CP156">
        <v>2</v>
      </c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07"/>
        <v>9.6000000000000002E-2</v>
      </c>
      <c r="DB156" s="151"/>
      <c r="DC156" s="76">
        <f t="shared" ca="1" si="170"/>
        <v>0.70016549299652775</v>
      </c>
      <c r="DD156">
        <f t="shared" si="208"/>
        <v>9</v>
      </c>
      <c r="DE156" s="129">
        <f t="shared" si="167"/>
        <v>39847</v>
      </c>
      <c r="DF156" s="161">
        <f t="shared" si="209"/>
        <v>0</v>
      </c>
      <c r="DG156" s="161">
        <f t="shared" si="210"/>
        <v>0</v>
      </c>
      <c r="DH156" s="161">
        <f t="shared" si="211"/>
        <v>130.20833333333334</v>
      </c>
      <c r="DI156" s="161">
        <f t="shared" si="212"/>
        <v>0</v>
      </c>
      <c r="DJ156" s="161">
        <f t="shared" si="213"/>
        <v>0</v>
      </c>
      <c r="DK156" s="161">
        <f t="shared" si="214"/>
        <v>0</v>
      </c>
      <c r="DL156" s="161">
        <f t="shared" si="215"/>
        <v>0</v>
      </c>
      <c r="DM156" s="161">
        <f t="shared" si="216"/>
        <v>41.666666666666664</v>
      </c>
      <c r="DN156" s="161">
        <f t="shared" si="217"/>
        <v>0</v>
      </c>
      <c r="DO156" s="161">
        <f t="shared" si="218"/>
        <v>0</v>
      </c>
      <c r="DP156" s="161">
        <f t="shared" si="219"/>
        <v>0</v>
      </c>
      <c r="DQ156" s="161">
        <f t="shared" si="220"/>
        <v>0</v>
      </c>
      <c r="DR156" s="161">
        <f t="shared" si="221"/>
        <v>0</v>
      </c>
      <c r="DS156" s="161">
        <f t="shared" si="222"/>
        <v>0</v>
      </c>
      <c r="DT156" s="161">
        <f t="shared" si="223"/>
        <v>0</v>
      </c>
      <c r="DU156" s="161">
        <f t="shared" si="224"/>
        <v>0</v>
      </c>
      <c r="DV156" s="161">
        <f t="shared" si="225"/>
        <v>0</v>
      </c>
      <c r="DW156" s="161">
        <f t="shared" si="226"/>
        <v>0</v>
      </c>
      <c r="DX156" s="161">
        <f t="shared" si="227"/>
        <v>0</v>
      </c>
      <c r="DY156" s="161">
        <f t="shared" si="228"/>
        <v>0</v>
      </c>
      <c r="DZ156" s="161">
        <f t="shared" si="229"/>
        <v>0</v>
      </c>
      <c r="EA156" s="161">
        <f t="shared" si="230"/>
        <v>0</v>
      </c>
      <c r="EB156" s="161">
        <f t="shared" si="231"/>
        <v>0</v>
      </c>
      <c r="EC156" s="161">
        <f t="shared" si="232"/>
        <v>0</v>
      </c>
      <c r="ED156" s="161">
        <f t="shared" si="233"/>
        <v>0</v>
      </c>
      <c r="EE156" s="161">
        <f t="shared" si="234"/>
        <v>0</v>
      </c>
      <c r="EF156" s="161">
        <f t="shared" si="235"/>
        <v>0</v>
      </c>
      <c r="EG156" s="161">
        <f t="shared" si="236"/>
        <v>0</v>
      </c>
      <c r="EH156" s="161">
        <f t="shared" si="237"/>
        <v>0</v>
      </c>
      <c r="EI156" s="161">
        <f t="shared" si="238"/>
        <v>0</v>
      </c>
      <c r="EJ156" s="161">
        <f t="shared" si="239"/>
        <v>0</v>
      </c>
      <c r="EK156" s="147">
        <f t="shared" si="171"/>
        <v>171.875</v>
      </c>
      <c r="EL156" s="149"/>
      <c r="EN156" s="151"/>
      <c r="EO156" s="151"/>
      <c r="EP156" s="139">
        <f t="shared" si="172"/>
        <v>0</v>
      </c>
      <c r="EQ156" s="139">
        <f t="shared" si="173"/>
        <v>0</v>
      </c>
      <c r="ER156" s="139">
        <f t="shared" si="174"/>
        <v>5.1257753158541739</v>
      </c>
      <c r="ES156" s="139">
        <f t="shared" si="175"/>
        <v>0</v>
      </c>
      <c r="ET156" s="139">
        <f t="shared" si="176"/>
        <v>0</v>
      </c>
      <c r="EU156" s="139">
        <f t="shared" si="177"/>
        <v>0</v>
      </c>
      <c r="EV156" s="139">
        <f t="shared" si="178"/>
        <v>0</v>
      </c>
      <c r="EW156" s="139">
        <f t="shared" si="179"/>
        <v>49.768081147049465</v>
      </c>
      <c r="EX156" s="139">
        <f t="shared" si="180"/>
        <v>0</v>
      </c>
      <c r="EY156" s="139">
        <f t="shared" si="181"/>
        <v>0</v>
      </c>
      <c r="EZ156" s="139">
        <f t="shared" si="182"/>
        <v>0</v>
      </c>
      <c r="FA156" s="139">
        <f t="shared" si="183"/>
        <v>0</v>
      </c>
      <c r="FB156" s="139">
        <f t="shared" si="184"/>
        <v>0</v>
      </c>
      <c r="FC156" s="139">
        <f t="shared" si="185"/>
        <v>0</v>
      </c>
      <c r="FD156" s="139">
        <f t="shared" si="186"/>
        <v>0</v>
      </c>
      <c r="FE156" s="139">
        <f t="shared" si="187"/>
        <v>0</v>
      </c>
      <c r="FF156" s="139">
        <f t="shared" si="188"/>
        <v>0</v>
      </c>
      <c r="FG156" s="139">
        <f t="shared" si="189"/>
        <v>0</v>
      </c>
      <c r="FH156" s="139">
        <f t="shared" si="190"/>
        <v>0</v>
      </c>
      <c r="FI156" s="139">
        <f t="shared" si="191"/>
        <v>0</v>
      </c>
      <c r="FJ156" s="139">
        <f t="shared" si="192"/>
        <v>0</v>
      </c>
      <c r="FK156" s="139">
        <f t="shared" si="193"/>
        <v>0</v>
      </c>
      <c r="FL156" s="139">
        <f t="shared" si="194"/>
        <v>0</v>
      </c>
      <c r="FM156" s="139">
        <f t="shared" si="195"/>
        <v>0</v>
      </c>
      <c r="FN156" s="139">
        <f t="shared" si="196"/>
        <v>0</v>
      </c>
      <c r="FO156" s="139">
        <f t="shared" si="197"/>
        <v>0</v>
      </c>
      <c r="FP156" s="139">
        <f t="shared" si="198"/>
        <v>0</v>
      </c>
      <c r="FQ156" s="139">
        <f t="shared" si="199"/>
        <v>0</v>
      </c>
      <c r="FR156" s="139">
        <f t="shared" si="200"/>
        <v>0</v>
      </c>
      <c r="FS156" s="139">
        <f t="shared" si="201"/>
        <v>0</v>
      </c>
      <c r="FT156" s="139">
        <f t="shared" si="202"/>
        <v>0</v>
      </c>
      <c r="FU156" s="148">
        <f t="shared" si="203"/>
        <v>54.893856462903642</v>
      </c>
      <c r="FV156" s="149"/>
      <c r="FY156" s="211">
        <v>151</v>
      </c>
      <c r="FZ156">
        <v>75.077855409412209</v>
      </c>
      <c r="GA156">
        <v>102.15951183282046</v>
      </c>
      <c r="GB156">
        <v>58.494839114502739</v>
      </c>
      <c r="GC156">
        <v>24.71730172989232</v>
      </c>
      <c r="GD156">
        <v>15.827822433705126</v>
      </c>
      <c r="GE156">
        <v>32.183189882512032</v>
      </c>
      <c r="GF156">
        <v>61.695665810464604</v>
      </c>
      <c r="GG156">
        <v>52.201718087898804</v>
      </c>
      <c r="GH156">
        <v>25.419448034184732</v>
      </c>
      <c r="GI156">
        <v>52.592996374305656</v>
      </c>
      <c r="GJ156"/>
      <c r="GK156"/>
      <c r="GL156"/>
      <c r="GM156"/>
    </row>
    <row r="157" spans="1:195" s="7" customFormat="1">
      <c r="A157" s="77"/>
      <c r="B157" s="76">
        <f ca="1">IF(C157="", "", RAND())</f>
        <v>0.71682730668786387</v>
      </c>
      <c r="C157">
        <v>9</v>
      </c>
      <c r="D157">
        <v>39847</v>
      </c>
      <c r="E157">
        <v>0</v>
      </c>
      <c r="F157">
        <v>0</v>
      </c>
      <c r="G157">
        <v>130.20833333333334</v>
      </c>
      <c r="H157">
        <v>0</v>
      </c>
      <c r="I157">
        <v>0</v>
      </c>
      <c r="J157">
        <v>0</v>
      </c>
      <c r="K157">
        <v>0</v>
      </c>
      <c r="L157">
        <v>41.666666666666664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202.16107096034347</v>
      </c>
      <c r="AO157">
        <v>60.411343929436612</v>
      </c>
      <c r="AP157">
        <v>501.4686342924067</v>
      </c>
      <c r="AQ157">
        <v>375.79756061411905</v>
      </c>
      <c r="AR157">
        <v>58.24460336622613</v>
      </c>
      <c r="AS157">
        <v>283.93330262969408</v>
      </c>
      <c r="AT157">
        <v>27.756361695956187</v>
      </c>
      <c r="AU157">
        <v>152.86830648749924</v>
      </c>
      <c r="AV157"/>
      <c r="AW157"/>
      <c r="AX157" s="151"/>
      <c r="AY157" s="76">
        <f t="shared" ca="1" si="169"/>
        <v>0.65881897764716002</v>
      </c>
      <c r="AZ157">
        <v>10</v>
      </c>
      <c r="BA157" s="129">
        <f t="shared" si="168"/>
        <v>39847</v>
      </c>
      <c r="BB157">
        <v>0</v>
      </c>
      <c r="BC157"/>
      <c r="BD157"/>
      <c r="BE157"/>
      <c r="BF157">
        <v>1</v>
      </c>
      <c r="BG157"/>
      <c r="BH157"/>
      <c r="BI157"/>
      <c r="BJ157">
        <v>1</v>
      </c>
      <c r="BK157">
        <v>0</v>
      </c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4"/>
        <v>0.78602638709556572</v>
      </c>
      <c r="CL157" s="179">
        <f t="shared" si="205"/>
        <v>10</v>
      </c>
      <c r="CM157" s="180">
        <f t="shared" si="206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07"/>
        <v>9.6000000000000002E-2</v>
      </c>
      <c r="DB157" s="151"/>
      <c r="DC157" s="76">
        <f t="shared" ca="1" si="170"/>
        <v>0.15404706941879986</v>
      </c>
      <c r="DD157">
        <f t="shared" si="208"/>
        <v>10</v>
      </c>
      <c r="DE157" s="129">
        <f t="shared" si="167"/>
        <v>39847</v>
      </c>
      <c r="DF157" s="161">
        <f t="shared" si="209"/>
        <v>0</v>
      </c>
      <c r="DG157" s="161">
        <f t="shared" si="210"/>
        <v>0</v>
      </c>
      <c r="DH157" s="161">
        <f t="shared" si="211"/>
        <v>0</v>
      </c>
      <c r="DI157" s="161">
        <f t="shared" si="212"/>
        <v>0</v>
      </c>
      <c r="DJ157" s="161">
        <f t="shared" si="213"/>
        <v>10.416666666666666</v>
      </c>
      <c r="DK157" s="161">
        <f t="shared" si="214"/>
        <v>0</v>
      </c>
      <c r="DL157" s="161">
        <f t="shared" si="215"/>
        <v>0</v>
      </c>
      <c r="DM157" s="161">
        <f t="shared" si="216"/>
        <v>0</v>
      </c>
      <c r="DN157" s="161">
        <f t="shared" si="217"/>
        <v>10.416666666666666</v>
      </c>
      <c r="DO157" s="161">
        <f t="shared" si="218"/>
        <v>0</v>
      </c>
      <c r="DP157" s="161">
        <f t="shared" si="219"/>
        <v>0</v>
      </c>
      <c r="DQ157" s="161">
        <f t="shared" si="220"/>
        <v>0</v>
      </c>
      <c r="DR157" s="161">
        <f t="shared" si="221"/>
        <v>0</v>
      </c>
      <c r="DS157" s="161">
        <f t="shared" si="222"/>
        <v>0</v>
      </c>
      <c r="DT157" s="161">
        <f t="shared" si="223"/>
        <v>0</v>
      </c>
      <c r="DU157" s="161">
        <f t="shared" si="224"/>
        <v>0</v>
      </c>
      <c r="DV157" s="161">
        <f t="shared" si="225"/>
        <v>0</v>
      </c>
      <c r="DW157" s="161">
        <f t="shared" si="226"/>
        <v>0</v>
      </c>
      <c r="DX157" s="161">
        <f t="shared" si="227"/>
        <v>0</v>
      </c>
      <c r="DY157" s="161">
        <f t="shared" si="228"/>
        <v>0</v>
      </c>
      <c r="DZ157" s="161">
        <f t="shared" si="229"/>
        <v>0</v>
      </c>
      <c r="EA157" s="161">
        <f t="shared" si="230"/>
        <v>0</v>
      </c>
      <c r="EB157" s="161">
        <f t="shared" si="231"/>
        <v>0</v>
      </c>
      <c r="EC157" s="161">
        <f t="shared" si="232"/>
        <v>0</v>
      </c>
      <c r="ED157" s="161">
        <f t="shared" si="233"/>
        <v>0</v>
      </c>
      <c r="EE157" s="161">
        <f t="shared" si="234"/>
        <v>0</v>
      </c>
      <c r="EF157" s="161">
        <f t="shared" si="235"/>
        <v>0</v>
      </c>
      <c r="EG157" s="161">
        <f t="shared" si="236"/>
        <v>0</v>
      </c>
      <c r="EH157" s="161">
        <f t="shared" si="237"/>
        <v>0</v>
      </c>
      <c r="EI157" s="161">
        <f t="shared" si="238"/>
        <v>0</v>
      </c>
      <c r="EJ157" s="161">
        <f t="shared" si="239"/>
        <v>0</v>
      </c>
      <c r="EK157" s="147">
        <f t="shared" si="171"/>
        <v>20.833333333333332</v>
      </c>
      <c r="EL157" s="149"/>
      <c r="EN157" s="151"/>
      <c r="EO157" s="151"/>
      <c r="EP157" s="139">
        <f t="shared" si="172"/>
        <v>0</v>
      </c>
      <c r="EQ157" s="139">
        <f t="shared" si="173"/>
        <v>0</v>
      </c>
      <c r="ER157" s="139">
        <f t="shared" si="174"/>
        <v>0</v>
      </c>
      <c r="ES157" s="139">
        <f t="shared" si="175"/>
        <v>0</v>
      </c>
      <c r="ET157" s="139">
        <f t="shared" si="176"/>
        <v>2.7092885432593907</v>
      </c>
      <c r="EU157" s="139">
        <f t="shared" si="177"/>
        <v>0</v>
      </c>
      <c r="EV157" s="139">
        <f t="shared" si="178"/>
        <v>0</v>
      </c>
      <c r="EW157" s="139">
        <f t="shared" si="179"/>
        <v>0</v>
      </c>
      <c r="EX157" s="139">
        <f t="shared" si="180"/>
        <v>17.900327165953296</v>
      </c>
      <c r="EY157" s="139">
        <f t="shared" si="181"/>
        <v>0</v>
      </c>
      <c r="EZ157" s="139">
        <f t="shared" si="182"/>
        <v>0</v>
      </c>
      <c r="FA157" s="139">
        <f t="shared" si="183"/>
        <v>0</v>
      </c>
      <c r="FB157" s="139">
        <f t="shared" si="184"/>
        <v>0</v>
      </c>
      <c r="FC157" s="139">
        <f t="shared" si="185"/>
        <v>0</v>
      </c>
      <c r="FD157" s="139">
        <f t="shared" si="186"/>
        <v>0</v>
      </c>
      <c r="FE157" s="139">
        <f t="shared" si="187"/>
        <v>0</v>
      </c>
      <c r="FF157" s="139">
        <f t="shared" si="188"/>
        <v>0</v>
      </c>
      <c r="FG157" s="139">
        <f t="shared" si="189"/>
        <v>0</v>
      </c>
      <c r="FH157" s="139">
        <f t="shared" si="190"/>
        <v>0</v>
      </c>
      <c r="FI157" s="139">
        <f t="shared" si="191"/>
        <v>0</v>
      </c>
      <c r="FJ157" s="139">
        <f t="shared" si="192"/>
        <v>0</v>
      </c>
      <c r="FK157" s="139">
        <f t="shared" si="193"/>
        <v>0</v>
      </c>
      <c r="FL157" s="139">
        <f t="shared" si="194"/>
        <v>0</v>
      </c>
      <c r="FM157" s="139">
        <f t="shared" si="195"/>
        <v>0</v>
      </c>
      <c r="FN157" s="139">
        <f t="shared" si="196"/>
        <v>0</v>
      </c>
      <c r="FO157" s="139">
        <f t="shared" si="197"/>
        <v>0</v>
      </c>
      <c r="FP157" s="139">
        <f t="shared" si="198"/>
        <v>0</v>
      </c>
      <c r="FQ157" s="139">
        <f t="shared" si="199"/>
        <v>0</v>
      </c>
      <c r="FR157" s="139">
        <f t="shared" si="200"/>
        <v>0</v>
      </c>
      <c r="FS157" s="139">
        <f t="shared" si="201"/>
        <v>0</v>
      </c>
      <c r="FT157" s="139">
        <f t="shared" si="202"/>
        <v>0</v>
      </c>
      <c r="FU157" s="148">
        <f t="shared" si="203"/>
        <v>20.609615709212687</v>
      </c>
      <c r="FV157" s="149"/>
      <c r="FY157" s="211">
        <v>152</v>
      </c>
      <c r="FZ157">
        <v>40.544033489655028</v>
      </c>
      <c r="GA157">
        <v>64.114926154704918</v>
      </c>
      <c r="GB157">
        <v>29.772598189683983</v>
      </c>
      <c r="GC157">
        <v>14.252039015551041</v>
      </c>
      <c r="GD157">
        <v>15.760882433198457</v>
      </c>
      <c r="GE157">
        <v>23.475030096187524</v>
      </c>
      <c r="GF157">
        <v>69.188621430580241</v>
      </c>
      <c r="GG157">
        <v>57.585251278638374</v>
      </c>
      <c r="GH157">
        <v>16.115665003580304</v>
      </c>
      <c r="GI157">
        <v>40.230169990822624</v>
      </c>
      <c r="GJ157"/>
      <c r="GK157"/>
      <c r="GL157"/>
      <c r="GM157"/>
    </row>
    <row r="158" spans="1:195" s="7" customFormat="1">
      <c r="A158" s="128"/>
      <c r="B158" s="76">
        <f ca="1">IF(C158="", "", RAND())</f>
        <v>0.82749461027619287</v>
      </c>
      <c r="C158">
        <v>4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190.13451452482926</v>
      </c>
      <c r="AO158">
        <v>58.677710837080475</v>
      </c>
      <c r="AP158">
        <v>429.99979630622516</v>
      </c>
      <c r="AQ158">
        <v>358.41993609590577</v>
      </c>
      <c r="AR158">
        <v>57.410340526567254</v>
      </c>
      <c r="AS158">
        <v>269.4768435446328</v>
      </c>
      <c r="AT158" t="e">
        <v>#DIV/0!</v>
      </c>
      <c r="AU158" t="e">
        <v>#DIV/0!</v>
      </c>
      <c r="AV158"/>
      <c r="AW158"/>
      <c r="AX158" s="128"/>
      <c r="AY158" s="76">
        <f t="shared" ca="1" si="169"/>
        <v>0.14005007563028493</v>
      </c>
      <c r="AZ158">
        <v>1</v>
      </c>
      <c r="BA158" s="129">
        <f>IF(AZ158="", "",$C$11)</f>
        <v>39910</v>
      </c>
      <c r="BB158">
        <v>0</v>
      </c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4"/>
        <v>0.62978531207616983</v>
      </c>
      <c r="CL158" s="179">
        <f t="shared" si="205"/>
        <v>1</v>
      </c>
      <c r="CM158" s="180">
        <f t="shared" si="206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07"/>
        <v>9.6000000000000002E-2</v>
      </c>
      <c r="DB158" s="128"/>
      <c r="DC158" s="76">
        <f t="shared" ca="1" si="170"/>
        <v>0.58676689725477171</v>
      </c>
      <c r="DD158">
        <f t="shared" si="208"/>
        <v>1</v>
      </c>
      <c r="DE158" s="129">
        <f t="shared" ref="DE158:DE167" si="240">IF((DD158)="", "", $C$11)</f>
        <v>39910</v>
      </c>
      <c r="DF158" s="161">
        <f t="shared" si="209"/>
        <v>0</v>
      </c>
      <c r="DG158" s="161">
        <f t="shared" si="210"/>
        <v>0</v>
      </c>
      <c r="DH158" s="161">
        <f t="shared" si="211"/>
        <v>0</v>
      </c>
      <c r="DI158" s="161">
        <f t="shared" si="212"/>
        <v>0</v>
      </c>
      <c r="DJ158" s="161">
        <f t="shared" si="213"/>
        <v>0</v>
      </c>
      <c r="DK158" s="161">
        <f t="shared" si="214"/>
        <v>0</v>
      </c>
      <c r="DL158" s="161">
        <f t="shared" si="215"/>
        <v>0</v>
      </c>
      <c r="DM158" s="161">
        <f t="shared" si="216"/>
        <v>0</v>
      </c>
      <c r="DN158" s="161">
        <f t="shared" si="217"/>
        <v>0</v>
      </c>
      <c r="DO158" s="161">
        <f t="shared" si="218"/>
        <v>0</v>
      </c>
      <c r="DP158" s="161">
        <f t="shared" si="219"/>
        <v>0</v>
      </c>
      <c r="DQ158" s="161">
        <f t="shared" si="220"/>
        <v>0</v>
      </c>
      <c r="DR158" s="161">
        <f t="shared" si="221"/>
        <v>0</v>
      </c>
      <c r="DS158" s="161">
        <f t="shared" si="222"/>
        <v>0</v>
      </c>
      <c r="DT158" s="161">
        <f t="shared" si="223"/>
        <v>0</v>
      </c>
      <c r="DU158" s="161">
        <f t="shared" si="224"/>
        <v>0</v>
      </c>
      <c r="DV158" s="161">
        <f t="shared" si="225"/>
        <v>0</v>
      </c>
      <c r="DW158" s="161">
        <f t="shared" si="226"/>
        <v>0</v>
      </c>
      <c r="DX158" s="161">
        <f t="shared" si="227"/>
        <v>0</v>
      </c>
      <c r="DY158" s="161">
        <f t="shared" si="228"/>
        <v>0</v>
      </c>
      <c r="DZ158" s="161">
        <f t="shared" si="229"/>
        <v>0</v>
      </c>
      <c r="EA158" s="161">
        <f t="shared" si="230"/>
        <v>0</v>
      </c>
      <c r="EB158" s="161">
        <f t="shared" si="231"/>
        <v>0</v>
      </c>
      <c r="EC158" s="161">
        <f t="shared" si="232"/>
        <v>0</v>
      </c>
      <c r="ED158" s="161">
        <f t="shared" si="233"/>
        <v>0</v>
      </c>
      <c r="EE158" s="161">
        <f t="shared" si="234"/>
        <v>0</v>
      </c>
      <c r="EF158" s="161">
        <f t="shared" si="235"/>
        <v>0</v>
      </c>
      <c r="EG158" s="161">
        <f t="shared" si="236"/>
        <v>0</v>
      </c>
      <c r="EH158" s="161">
        <f t="shared" si="237"/>
        <v>0</v>
      </c>
      <c r="EI158" s="161">
        <f t="shared" si="238"/>
        <v>0</v>
      </c>
      <c r="EJ158" s="161">
        <f t="shared" si="239"/>
        <v>0</v>
      </c>
      <c r="EK158" s="147">
        <f t="shared" si="171"/>
        <v>0</v>
      </c>
      <c r="EL158" s="149"/>
      <c r="EN158" s="146"/>
      <c r="EO158" s="146"/>
      <c r="EP158" s="139">
        <f t="shared" si="172"/>
        <v>0</v>
      </c>
      <c r="EQ158" s="139">
        <f t="shared" si="173"/>
        <v>0</v>
      </c>
      <c r="ER158" s="139">
        <f t="shared" si="174"/>
        <v>0</v>
      </c>
      <c r="ES158" s="139">
        <f t="shared" si="175"/>
        <v>0</v>
      </c>
      <c r="ET158" s="139">
        <f t="shared" si="176"/>
        <v>0</v>
      </c>
      <c r="EU158" s="139">
        <f t="shared" si="177"/>
        <v>0</v>
      </c>
      <c r="EV158" s="139">
        <f t="shared" si="178"/>
        <v>0</v>
      </c>
      <c r="EW158" s="139">
        <f t="shared" si="179"/>
        <v>0</v>
      </c>
      <c r="EX158" s="139">
        <f t="shared" si="180"/>
        <v>0</v>
      </c>
      <c r="EY158" s="139">
        <f t="shared" si="181"/>
        <v>0</v>
      </c>
      <c r="EZ158" s="139">
        <f t="shared" si="182"/>
        <v>0</v>
      </c>
      <c r="FA158" s="139">
        <f t="shared" si="183"/>
        <v>0</v>
      </c>
      <c r="FB158" s="139">
        <f t="shared" si="184"/>
        <v>0</v>
      </c>
      <c r="FC158" s="139">
        <f t="shared" si="185"/>
        <v>0</v>
      </c>
      <c r="FD158" s="139">
        <f t="shared" si="186"/>
        <v>0</v>
      </c>
      <c r="FE158" s="139">
        <f t="shared" si="187"/>
        <v>0</v>
      </c>
      <c r="FF158" s="139">
        <f t="shared" si="188"/>
        <v>0</v>
      </c>
      <c r="FG158" s="139">
        <f t="shared" si="189"/>
        <v>0</v>
      </c>
      <c r="FH158" s="139">
        <f t="shared" si="190"/>
        <v>0</v>
      </c>
      <c r="FI158" s="139">
        <f t="shared" si="191"/>
        <v>0</v>
      </c>
      <c r="FJ158" s="139">
        <f t="shared" si="192"/>
        <v>0</v>
      </c>
      <c r="FK158" s="139">
        <f t="shared" si="193"/>
        <v>0</v>
      </c>
      <c r="FL158" s="139">
        <f t="shared" si="194"/>
        <v>0</v>
      </c>
      <c r="FM158" s="139">
        <f t="shared" si="195"/>
        <v>0</v>
      </c>
      <c r="FN158" s="139">
        <f t="shared" si="196"/>
        <v>0</v>
      </c>
      <c r="FO158" s="139">
        <f t="shared" si="197"/>
        <v>0</v>
      </c>
      <c r="FP158" s="139">
        <f t="shared" si="198"/>
        <v>0</v>
      </c>
      <c r="FQ158" s="139">
        <f t="shared" si="199"/>
        <v>0</v>
      </c>
      <c r="FR158" s="139">
        <f t="shared" si="200"/>
        <v>0</v>
      </c>
      <c r="FS158" s="139">
        <f t="shared" si="201"/>
        <v>0</v>
      </c>
      <c r="FT158" s="139">
        <f t="shared" si="202"/>
        <v>0</v>
      </c>
      <c r="FU158" s="148">
        <f t="shared" si="203"/>
        <v>0</v>
      </c>
      <c r="FV158" s="149"/>
      <c r="FY158" s="211">
        <v>153</v>
      </c>
      <c r="FZ158">
        <v>28.336259475673931</v>
      </c>
      <c r="GA158">
        <v>42.514075984911351</v>
      </c>
      <c r="GB158">
        <v>44.54884767099923</v>
      </c>
      <c r="GC158">
        <v>25.477913431993102</v>
      </c>
      <c r="GD158">
        <v>15.842963276147959</v>
      </c>
      <c r="GE158">
        <v>30.230804467136895</v>
      </c>
      <c r="GF158">
        <v>59.501364291059659</v>
      </c>
      <c r="GG158">
        <v>47.132861997321719</v>
      </c>
      <c r="GH158">
        <v>40.924599169044832</v>
      </c>
      <c r="GI158">
        <v>43.99735922388129</v>
      </c>
      <c r="GJ158"/>
      <c r="GK158"/>
      <c r="GL158"/>
      <c r="GM158"/>
    </row>
    <row r="159" spans="1:195" s="7" customFormat="1">
      <c r="A159" s="1"/>
      <c r="B159" s="76">
        <f ca="1">IF(C159="", "", RAND())</f>
        <v>0.22974657428048761</v>
      </c>
      <c r="C159">
        <v>1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192.23384241615472</v>
      </c>
      <c r="AO159">
        <v>52.334932080667748</v>
      </c>
      <c r="AP159">
        <v>362.69933249492135</v>
      </c>
      <c r="AQ159">
        <v>286.92264728662519</v>
      </c>
      <c r="AR159">
        <v>51.237604768923859</v>
      </c>
      <c r="AS159">
        <v>253.13599974857502</v>
      </c>
      <c r="AT159">
        <v>22.412843347635647</v>
      </c>
      <c r="AU159">
        <v>-5.2567837526965313</v>
      </c>
      <c r="AV159"/>
      <c r="AW159"/>
      <c r="AX159" s="146"/>
      <c r="AY159" s="76">
        <f t="shared" ca="1" si="169"/>
        <v>5.7178444629458092E-2</v>
      </c>
      <c r="AZ159">
        <v>2</v>
      </c>
      <c r="BA159" s="129">
        <f t="shared" ref="BA159:BA167" si="241">IF(AZ159="", "",$C$11)</f>
        <v>39910</v>
      </c>
      <c r="BB159">
        <v>0</v>
      </c>
      <c r="BC159"/>
      <c r="BD159"/>
      <c r="BE159"/>
      <c r="BF159"/>
      <c r="BG159"/>
      <c r="BH159"/>
      <c r="BI159"/>
      <c r="BJ159"/>
      <c r="BK159">
        <v>1</v>
      </c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4"/>
        <v>0.62982450907194854</v>
      </c>
      <c r="CL159" s="179">
        <f t="shared" si="205"/>
        <v>2</v>
      </c>
      <c r="CM159" s="180">
        <f t="shared" si="206"/>
        <v>39910</v>
      </c>
      <c r="CN159" s="222">
        <v>0</v>
      </c>
      <c r="CO159" s="222"/>
      <c r="CP159" s="222"/>
      <c r="CQ159" s="222">
        <v>1</v>
      </c>
      <c r="CR159" s="222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07"/>
        <v>9.6000000000000002E-2</v>
      </c>
      <c r="DB159" s="146"/>
      <c r="DC159" s="76">
        <f t="shared" ca="1" si="170"/>
        <v>0.75481448286736263</v>
      </c>
      <c r="DD159">
        <f t="shared" si="208"/>
        <v>2</v>
      </c>
      <c r="DE159" s="129">
        <f t="shared" si="240"/>
        <v>39910</v>
      </c>
      <c r="DF159" s="161">
        <f t="shared" si="209"/>
        <v>0</v>
      </c>
      <c r="DG159" s="161">
        <f t="shared" si="210"/>
        <v>0</v>
      </c>
      <c r="DH159" s="161">
        <f t="shared" si="211"/>
        <v>0</v>
      </c>
      <c r="DI159" s="161">
        <f t="shared" si="212"/>
        <v>115.94202898550724</v>
      </c>
      <c r="DJ159" s="161">
        <f t="shared" si="213"/>
        <v>0</v>
      </c>
      <c r="DK159" s="161">
        <f t="shared" si="214"/>
        <v>0</v>
      </c>
      <c r="DL159" s="161">
        <f t="shared" si="215"/>
        <v>0</v>
      </c>
      <c r="DM159" s="161">
        <f t="shared" si="216"/>
        <v>0</v>
      </c>
      <c r="DN159" s="161">
        <f t="shared" si="217"/>
        <v>0</v>
      </c>
      <c r="DO159" s="161">
        <f t="shared" si="218"/>
        <v>10.416666666666666</v>
      </c>
      <c r="DP159" s="161">
        <f t="shared" si="219"/>
        <v>0</v>
      </c>
      <c r="DQ159" s="161">
        <f t="shared" si="220"/>
        <v>0</v>
      </c>
      <c r="DR159" s="161">
        <f t="shared" si="221"/>
        <v>0</v>
      </c>
      <c r="DS159" s="161">
        <f t="shared" si="222"/>
        <v>0</v>
      </c>
      <c r="DT159" s="161">
        <f t="shared" si="223"/>
        <v>0</v>
      </c>
      <c r="DU159" s="161">
        <f t="shared" si="224"/>
        <v>0</v>
      </c>
      <c r="DV159" s="161">
        <f t="shared" si="225"/>
        <v>0</v>
      </c>
      <c r="DW159" s="161">
        <f t="shared" si="226"/>
        <v>0</v>
      </c>
      <c r="DX159" s="161">
        <f t="shared" si="227"/>
        <v>0</v>
      </c>
      <c r="DY159" s="161">
        <f t="shared" si="228"/>
        <v>0</v>
      </c>
      <c r="DZ159" s="161">
        <f t="shared" si="229"/>
        <v>0</v>
      </c>
      <c r="EA159" s="161">
        <f t="shared" si="230"/>
        <v>0</v>
      </c>
      <c r="EB159" s="161">
        <f t="shared" si="231"/>
        <v>0</v>
      </c>
      <c r="EC159" s="161">
        <f t="shared" si="232"/>
        <v>0</v>
      </c>
      <c r="ED159" s="161">
        <f t="shared" si="233"/>
        <v>0</v>
      </c>
      <c r="EE159" s="161">
        <f t="shared" si="234"/>
        <v>0</v>
      </c>
      <c r="EF159" s="161">
        <f t="shared" si="235"/>
        <v>0</v>
      </c>
      <c r="EG159" s="161">
        <f t="shared" si="236"/>
        <v>0</v>
      </c>
      <c r="EH159" s="161">
        <f t="shared" si="237"/>
        <v>0</v>
      </c>
      <c r="EI159" s="161">
        <f t="shared" si="238"/>
        <v>0</v>
      </c>
      <c r="EJ159" s="161">
        <f t="shared" si="239"/>
        <v>0</v>
      </c>
      <c r="EK159" s="147">
        <f t="shared" si="171"/>
        <v>126.35869565217391</v>
      </c>
      <c r="EL159" s="149"/>
      <c r="EN159" s="146"/>
      <c r="EO159" s="146"/>
      <c r="EP159" s="139">
        <f t="shared" si="172"/>
        <v>0</v>
      </c>
      <c r="EQ159" s="139">
        <f t="shared" si="173"/>
        <v>0</v>
      </c>
      <c r="ER159" s="139">
        <f t="shared" si="174"/>
        <v>0</v>
      </c>
      <c r="ES159" s="139">
        <f t="shared" si="175"/>
        <v>13.773181522704684</v>
      </c>
      <c r="ET159" s="139">
        <f t="shared" si="176"/>
        <v>0</v>
      </c>
      <c r="EU159" s="139">
        <f t="shared" si="177"/>
        <v>0</v>
      </c>
      <c r="EV159" s="139">
        <f t="shared" si="178"/>
        <v>0</v>
      </c>
      <c r="EW159" s="139">
        <f t="shared" si="179"/>
        <v>0</v>
      </c>
      <c r="EX159" s="139">
        <f t="shared" si="180"/>
        <v>0</v>
      </c>
      <c r="EY159" s="139">
        <f t="shared" si="181"/>
        <v>24.67177750531274</v>
      </c>
      <c r="EZ159" s="139">
        <f t="shared" si="182"/>
        <v>0</v>
      </c>
      <c r="FA159" s="139">
        <f t="shared" si="183"/>
        <v>0</v>
      </c>
      <c r="FB159" s="139">
        <f t="shared" si="184"/>
        <v>0</v>
      </c>
      <c r="FC159" s="139">
        <f t="shared" si="185"/>
        <v>0</v>
      </c>
      <c r="FD159" s="139">
        <f t="shared" si="186"/>
        <v>0</v>
      </c>
      <c r="FE159" s="139">
        <f t="shared" si="187"/>
        <v>0</v>
      </c>
      <c r="FF159" s="139">
        <f t="shared" si="188"/>
        <v>0</v>
      </c>
      <c r="FG159" s="139">
        <f t="shared" si="189"/>
        <v>0</v>
      </c>
      <c r="FH159" s="139">
        <f t="shared" si="190"/>
        <v>0</v>
      </c>
      <c r="FI159" s="139">
        <f t="shared" si="191"/>
        <v>0</v>
      </c>
      <c r="FJ159" s="139">
        <f t="shared" si="192"/>
        <v>0</v>
      </c>
      <c r="FK159" s="139">
        <f t="shared" si="193"/>
        <v>0</v>
      </c>
      <c r="FL159" s="139">
        <f t="shared" si="194"/>
        <v>0</v>
      </c>
      <c r="FM159" s="139">
        <f t="shared" si="195"/>
        <v>0</v>
      </c>
      <c r="FN159" s="139">
        <f t="shared" si="196"/>
        <v>0</v>
      </c>
      <c r="FO159" s="139">
        <f t="shared" si="197"/>
        <v>0</v>
      </c>
      <c r="FP159" s="139">
        <f t="shared" si="198"/>
        <v>0</v>
      </c>
      <c r="FQ159" s="139">
        <f t="shared" si="199"/>
        <v>0</v>
      </c>
      <c r="FR159" s="139">
        <f t="shared" si="200"/>
        <v>0</v>
      </c>
      <c r="FS159" s="139">
        <f t="shared" si="201"/>
        <v>0</v>
      </c>
      <c r="FT159" s="139">
        <f t="shared" si="202"/>
        <v>0</v>
      </c>
      <c r="FU159" s="148">
        <f t="shared" si="203"/>
        <v>38.444959028017422</v>
      </c>
      <c r="FV159" s="149"/>
      <c r="FY159" s="211">
        <v>154</v>
      </c>
      <c r="FZ159">
        <v>41.983159755463916</v>
      </c>
      <c r="GA159">
        <v>54.354055580342148</v>
      </c>
      <c r="GB159">
        <v>50.255794774164642</v>
      </c>
      <c r="GC159">
        <v>32.534201487147534</v>
      </c>
      <c r="GD159">
        <v>20.000145959472711</v>
      </c>
      <c r="GE159">
        <v>26.304739388784437</v>
      </c>
      <c r="GF159">
        <v>39.366305797450245</v>
      </c>
      <c r="GG159">
        <v>33.240585368182622</v>
      </c>
      <c r="GH159">
        <v>31.519689749420159</v>
      </c>
      <c r="GI159">
        <v>44.645231035592268</v>
      </c>
      <c r="GJ159"/>
      <c r="GK159"/>
      <c r="GL159"/>
      <c r="GM159"/>
    </row>
    <row r="160" spans="1:195" s="7" customFormat="1">
      <c r="A160" s="1"/>
      <c r="B160" s="76">
        <f ca="1">IF(C160="", "", RAND())</f>
        <v>0.25999036621585425</v>
      </c>
      <c r="C160">
        <v>3</v>
      </c>
      <c r="D160">
        <v>39910</v>
      </c>
      <c r="E160">
        <v>0</v>
      </c>
      <c r="F160">
        <v>260.41666666666669</v>
      </c>
      <c r="G160">
        <v>781.25</v>
      </c>
      <c r="H160">
        <v>288.82575757575756</v>
      </c>
      <c r="I160">
        <v>0</v>
      </c>
      <c r="J160">
        <v>0</v>
      </c>
      <c r="K160">
        <v>0</v>
      </c>
      <c r="L160">
        <v>56.818181818181813</v>
      </c>
      <c r="M160">
        <v>28.409090909090907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182.84804120327072</v>
      </c>
      <c r="AO160">
        <v>49.068654901523971</v>
      </c>
      <c r="AP160">
        <v>382.46033484815734</v>
      </c>
      <c r="AQ160">
        <v>294.41429634486508</v>
      </c>
      <c r="AR160">
        <v>49.314847078765595</v>
      </c>
      <c r="AS160">
        <v>251.77081744107733</v>
      </c>
      <c r="AT160">
        <v>23.92511441057432</v>
      </c>
      <c r="AU160">
        <v>-3.3733676728567588</v>
      </c>
      <c r="AV160"/>
      <c r="AW160"/>
      <c r="AX160" s="146"/>
      <c r="AY160" s="76">
        <f t="shared" ca="1" si="169"/>
        <v>0.56367064100280162</v>
      </c>
      <c r="AZ160">
        <v>3</v>
      </c>
      <c r="BA160" s="129">
        <f t="shared" si="241"/>
        <v>39910</v>
      </c>
      <c r="BB160">
        <v>0</v>
      </c>
      <c r="BC160"/>
      <c r="BD160"/>
      <c r="BE160">
        <v>1</v>
      </c>
      <c r="BF160"/>
      <c r="BG160"/>
      <c r="BH160"/>
      <c r="BI160">
        <v>2</v>
      </c>
      <c r="BJ160">
        <v>1</v>
      </c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4"/>
        <v>0.15026149748416628</v>
      </c>
      <c r="CL160" s="179">
        <f t="shared" si="205"/>
        <v>3</v>
      </c>
      <c r="CM160" s="180">
        <f t="shared" si="206"/>
        <v>39910</v>
      </c>
      <c r="CN160">
        <v>0</v>
      </c>
      <c r="CO160">
        <v>3</v>
      </c>
      <c r="CP160">
        <v>9</v>
      </c>
      <c r="CQ160">
        <v>3</v>
      </c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7"/>
        <v>9.6000000000000002E-2</v>
      </c>
      <c r="DB160" s="146"/>
      <c r="DC160" s="76">
        <f t="shared" ca="1" si="170"/>
        <v>0.12473312311771179</v>
      </c>
      <c r="DD160">
        <f t="shared" si="208"/>
        <v>3</v>
      </c>
      <c r="DE160" s="129">
        <f t="shared" si="240"/>
        <v>39910</v>
      </c>
      <c r="DF160" s="161">
        <f t="shared" si="209"/>
        <v>0</v>
      </c>
      <c r="DG160" s="161">
        <f t="shared" si="210"/>
        <v>260.41666666666669</v>
      </c>
      <c r="DH160" s="161">
        <f t="shared" si="211"/>
        <v>781.25</v>
      </c>
      <c r="DI160" s="161">
        <f t="shared" si="212"/>
        <v>288.82575757575756</v>
      </c>
      <c r="DJ160" s="161">
        <f t="shared" si="213"/>
        <v>0</v>
      </c>
      <c r="DK160" s="161">
        <f t="shared" si="214"/>
        <v>0</v>
      </c>
      <c r="DL160" s="161">
        <f t="shared" si="215"/>
        <v>0</v>
      </c>
      <c r="DM160" s="161">
        <f t="shared" si="216"/>
        <v>56.818181818181813</v>
      </c>
      <c r="DN160" s="161">
        <f t="shared" si="217"/>
        <v>28.409090909090907</v>
      </c>
      <c r="DO160" s="161">
        <f t="shared" si="218"/>
        <v>0</v>
      </c>
      <c r="DP160" s="161">
        <f t="shared" si="219"/>
        <v>0</v>
      </c>
      <c r="DQ160" s="161">
        <f t="shared" si="220"/>
        <v>0</v>
      </c>
      <c r="DR160" s="161">
        <f t="shared" si="221"/>
        <v>0</v>
      </c>
      <c r="DS160" s="161">
        <f t="shared" si="222"/>
        <v>0</v>
      </c>
      <c r="DT160" s="161">
        <f t="shared" si="223"/>
        <v>0</v>
      </c>
      <c r="DU160" s="161">
        <f t="shared" si="224"/>
        <v>0</v>
      </c>
      <c r="DV160" s="161">
        <f t="shared" si="225"/>
        <v>0</v>
      </c>
      <c r="DW160" s="161">
        <f t="shared" si="226"/>
        <v>0</v>
      </c>
      <c r="DX160" s="161">
        <f t="shared" si="227"/>
        <v>0</v>
      </c>
      <c r="DY160" s="161">
        <f t="shared" si="228"/>
        <v>0</v>
      </c>
      <c r="DZ160" s="161">
        <f t="shared" si="229"/>
        <v>0</v>
      </c>
      <c r="EA160" s="161">
        <f t="shared" si="230"/>
        <v>0</v>
      </c>
      <c r="EB160" s="161">
        <f t="shared" si="231"/>
        <v>0</v>
      </c>
      <c r="EC160" s="161">
        <f t="shared" si="232"/>
        <v>0</v>
      </c>
      <c r="ED160" s="161">
        <f t="shared" si="233"/>
        <v>0</v>
      </c>
      <c r="EE160" s="161">
        <f t="shared" si="234"/>
        <v>0</v>
      </c>
      <c r="EF160" s="161">
        <f t="shared" si="235"/>
        <v>0</v>
      </c>
      <c r="EG160" s="161">
        <f t="shared" si="236"/>
        <v>0</v>
      </c>
      <c r="EH160" s="161">
        <f t="shared" si="237"/>
        <v>0</v>
      </c>
      <c r="EI160" s="161">
        <f t="shared" si="238"/>
        <v>0</v>
      </c>
      <c r="EJ160" s="161">
        <f t="shared" si="239"/>
        <v>0</v>
      </c>
      <c r="EK160" s="147">
        <f t="shared" si="171"/>
        <v>1415.719696969697</v>
      </c>
      <c r="EL160" s="149"/>
      <c r="EN160" s="146"/>
      <c r="EO160" s="146"/>
      <c r="EP160" s="139">
        <f t="shared" si="172"/>
        <v>0</v>
      </c>
      <c r="EQ160" s="139">
        <f t="shared" si="173"/>
        <v>1.5516145833333332</v>
      </c>
      <c r="ER160" s="139">
        <f t="shared" si="174"/>
        <v>30.754651895125043</v>
      </c>
      <c r="ES160" s="139">
        <f t="shared" si="175"/>
        <v>34.31067769239111</v>
      </c>
      <c r="ET160" s="139">
        <f t="shared" si="176"/>
        <v>0</v>
      </c>
      <c r="EU160" s="139">
        <f t="shared" si="177"/>
        <v>0</v>
      </c>
      <c r="EV160" s="139">
        <f t="shared" si="178"/>
        <v>0</v>
      </c>
      <c r="EW160" s="139">
        <f t="shared" si="179"/>
        <v>67.865565200521999</v>
      </c>
      <c r="EX160" s="139">
        <f t="shared" si="180"/>
        <v>48.819074088963532</v>
      </c>
      <c r="EY160" s="139">
        <f t="shared" si="181"/>
        <v>0</v>
      </c>
      <c r="EZ160" s="139">
        <f t="shared" si="182"/>
        <v>0</v>
      </c>
      <c r="FA160" s="139">
        <f t="shared" si="183"/>
        <v>0</v>
      </c>
      <c r="FB160" s="139">
        <f t="shared" si="184"/>
        <v>0</v>
      </c>
      <c r="FC160" s="139">
        <f t="shared" si="185"/>
        <v>0</v>
      </c>
      <c r="FD160" s="139">
        <f t="shared" si="186"/>
        <v>0</v>
      </c>
      <c r="FE160" s="139">
        <f t="shared" si="187"/>
        <v>0</v>
      </c>
      <c r="FF160" s="139">
        <f t="shared" si="188"/>
        <v>0</v>
      </c>
      <c r="FG160" s="139">
        <f t="shared" si="189"/>
        <v>0</v>
      </c>
      <c r="FH160" s="139">
        <f t="shared" si="190"/>
        <v>0</v>
      </c>
      <c r="FI160" s="139">
        <f t="shared" si="191"/>
        <v>0</v>
      </c>
      <c r="FJ160" s="139">
        <f t="shared" si="192"/>
        <v>0</v>
      </c>
      <c r="FK160" s="139">
        <f t="shared" si="193"/>
        <v>0</v>
      </c>
      <c r="FL160" s="139">
        <f t="shared" si="194"/>
        <v>0</v>
      </c>
      <c r="FM160" s="139">
        <f t="shared" si="195"/>
        <v>0</v>
      </c>
      <c r="FN160" s="139">
        <f t="shared" si="196"/>
        <v>0</v>
      </c>
      <c r="FO160" s="139">
        <f t="shared" si="197"/>
        <v>0</v>
      </c>
      <c r="FP160" s="139">
        <f t="shared" si="198"/>
        <v>0</v>
      </c>
      <c r="FQ160" s="139">
        <f t="shared" si="199"/>
        <v>0</v>
      </c>
      <c r="FR160" s="139">
        <f t="shared" si="200"/>
        <v>0</v>
      </c>
      <c r="FS160" s="139">
        <f t="shared" si="201"/>
        <v>0</v>
      </c>
      <c r="FT160" s="139">
        <f t="shared" si="202"/>
        <v>0</v>
      </c>
      <c r="FU160" s="148">
        <f t="shared" si="203"/>
        <v>183.301583460335</v>
      </c>
      <c r="FV160" s="149"/>
      <c r="FY160" s="211">
        <v>155</v>
      </c>
      <c r="FZ160">
        <v>43.253274743577158</v>
      </c>
      <c r="GA160">
        <v>57.67217681986979</v>
      </c>
      <c r="GB160">
        <v>60.635037040120935</v>
      </c>
      <c r="GC160">
        <v>34.044504929127307</v>
      </c>
      <c r="GD160">
        <v>12.9248098904974</v>
      </c>
      <c r="GE160">
        <v>18.707272110400663</v>
      </c>
      <c r="GF160">
        <v>47.213006457647658</v>
      </c>
      <c r="GG160">
        <v>39.917742874306988</v>
      </c>
      <c r="GH160">
        <v>34.215028126358717</v>
      </c>
      <c r="GI160">
        <v>44.968480898790453</v>
      </c>
      <c r="GJ160"/>
      <c r="GK160"/>
      <c r="GL160"/>
      <c r="GM160"/>
    </row>
    <row r="161" spans="1:195" s="7" customFormat="1">
      <c r="A161" s="1"/>
      <c r="B161" s="76">
        <f ca="1">IF(C161="", "", RAND())</f>
        <v>0.60823317250951314</v>
      </c>
      <c r="C161">
        <v>2</v>
      </c>
      <c r="D161">
        <v>39910</v>
      </c>
      <c r="E161">
        <v>0</v>
      </c>
      <c r="F161">
        <v>0</v>
      </c>
      <c r="G161">
        <v>0</v>
      </c>
      <c r="H161">
        <v>115.94202898550724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10.416666666666666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242.81697172341279</v>
      </c>
      <c r="AO161">
        <v>80.82861317994508</v>
      </c>
      <c r="AP161">
        <v>721.58458646643282</v>
      </c>
      <c r="AQ161">
        <v>553.57057394213598</v>
      </c>
      <c r="AR161">
        <v>78.585001362917026</v>
      </c>
      <c r="AS161">
        <v>368.66009359827683</v>
      </c>
      <c r="AT161">
        <v>42.56166463558155</v>
      </c>
      <c r="AU161">
        <v>1.3320994999947402</v>
      </c>
      <c r="AV161"/>
      <c r="AW161"/>
      <c r="AX161" s="146"/>
      <c r="AY161" s="76">
        <f t="shared" ca="1" si="169"/>
        <v>6.8249397890168595E-2</v>
      </c>
      <c r="AZ161">
        <v>4</v>
      </c>
      <c r="BA161" s="129">
        <f t="shared" si="241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4"/>
        <v>0.6359200701603982</v>
      </c>
      <c r="CL161" s="179">
        <f t="shared" si="205"/>
        <v>4</v>
      </c>
      <c r="CM161" s="180">
        <f t="shared" si="206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07"/>
        <v>9.6000000000000002E-2</v>
      </c>
      <c r="DB161" s="146"/>
      <c r="DC161" s="76">
        <f t="shared" ca="1" si="170"/>
        <v>0.34155375258733822</v>
      </c>
      <c r="DD161">
        <f t="shared" si="208"/>
        <v>4</v>
      </c>
      <c r="DE161" s="129">
        <f t="shared" si="240"/>
        <v>39910</v>
      </c>
      <c r="DF161" s="161">
        <f t="shared" si="209"/>
        <v>0</v>
      </c>
      <c r="DG161" s="161">
        <f t="shared" si="210"/>
        <v>0</v>
      </c>
      <c r="DH161" s="161">
        <f t="shared" si="211"/>
        <v>0</v>
      </c>
      <c r="DI161" s="161">
        <f t="shared" si="212"/>
        <v>0</v>
      </c>
      <c r="DJ161" s="161">
        <f t="shared" si="213"/>
        <v>0</v>
      </c>
      <c r="DK161" s="161">
        <f t="shared" si="214"/>
        <v>0</v>
      </c>
      <c r="DL161" s="161">
        <f t="shared" si="215"/>
        <v>0</v>
      </c>
      <c r="DM161" s="161">
        <f t="shared" si="216"/>
        <v>0</v>
      </c>
      <c r="DN161" s="161">
        <f t="shared" si="217"/>
        <v>0</v>
      </c>
      <c r="DO161" s="161">
        <f t="shared" si="218"/>
        <v>0</v>
      </c>
      <c r="DP161" s="161">
        <f t="shared" si="219"/>
        <v>0</v>
      </c>
      <c r="DQ161" s="161">
        <f t="shared" si="220"/>
        <v>0</v>
      </c>
      <c r="DR161" s="161">
        <f t="shared" si="221"/>
        <v>0</v>
      </c>
      <c r="DS161" s="161">
        <f t="shared" si="222"/>
        <v>0</v>
      </c>
      <c r="DT161" s="161">
        <f t="shared" si="223"/>
        <v>0</v>
      </c>
      <c r="DU161" s="161">
        <f t="shared" si="224"/>
        <v>0</v>
      </c>
      <c r="DV161" s="161">
        <f t="shared" si="225"/>
        <v>0</v>
      </c>
      <c r="DW161" s="161">
        <f t="shared" si="226"/>
        <v>0</v>
      </c>
      <c r="DX161" s="161">
        <f t="shared" si="227"/>
        <v>0</v>
      </c>
      <c r="DY161" s="161">
        <f t="shared" si="228"/>
        <v>0</v>
      </c>
      <c r="DZ161" s="161">
        <f t="shared" si="229"/>
        <v>0</v>
      </c>
      <c r="EA161" s="161">
        <f t="shared" si="230"/>
        <v>0</v>
      </c>
      <c r="EB161" s="161">
        <f t="shared" si="231"/>
        <v>0</v>
      </c>
      <c r="EC161" s="161">
        <f t="shared" si="232"/>
        <v>0</v>
      </c>
      <c r="ED161" s="161">
        <f t="shared" si="233"/>
        <v>0</v>
      </c>
      <c r="EE161" s="161">
        <f t="shared" si="234"/>
        <v>0</v>
      </c>
      <c r="EF161" s="161">
        <f t="shared" si="235"/>
        <v>0</v>
      </c>
      <c r="EG161" s="161">
        <f t="shared" si="236"/>
        <v>0</v>
      </c>
      <c r="EH161" s="161">
        <f t="shared" si="237"/>
        <v>0</v>
      </c>
      <c r="EI161" s="161">
        <f t="shared" si="238"/>
        <v>0</v>
      </c>
      <c r="EJ161" s="161">
        <f t="shared" si="239"/>
        <v>0</v>
      </c>
      <c r="EK161" s="147">
        <f t="shared" si="171"/>
        <v>0</v>
      </c>
      <c r="EL161" s="149"/>
      <c r="EN161" s="146"/>
      <c r="EO161" s="146"/>
      <c r="EP161" s="139">
        <f t="shared" si="172"/>
        <v>0</v>
      </c>
      <c r="EQ161" s="139">
        <f t="shared" si="173"/>
        <v>0</v>
      </c>
      <c r="ER161" s="139">
        <f t="shared" si="174"/>
        <v>0</v>
      </c>
      <c r="ES161" s="139">
        <f t="shared" si="175"/>
        <v>0</v>
      </c>
      <c r="ET161" s="139">
        <f t="shared" si="176"/>
        <v>0</v>
      </c>
      <c r="EU161" s="139">
        <f t="shared" si="177"/>
        <v>0</v>
      </c>
      <c r="EV161" s="139">
        <f t="shared" si="178"/>
        <v>0</v>
      </c>
      <c r="EW161" s="139">
        <f t="shared" si="179"/>
        <v>0</v>
      </c>
      <c r="EX161" s="139">
        <f t="shared" si="180"/>
        <v>0</v>
      </c>
      <c r="EY161" s="139">
        <f t="shared" si="181"/>
        <v>0</v>
      </c>
      <c r="EZ161" s="139">
        <f t="shared" si="182"/>
        <v>0</v>
      </c>
      <c r="FA161" s="139">
        <f t="shared" si="183"/>
        <v>0</v>
      </c>
      <c r="FB161" s="139">
        <f t="shared" si="184"/>
        <v>0</v>
      </c>
      <c r="FC161" s="139">
        <f t="shared" si="185"/>
        <v>0</v>
      </c>
      <c r="FD161" s="139">
        <f t="shared" si="186"/>
        <v>0</v>
      </c>
      <c r="FE161" s="139">
        <f t="shared" si="187"/>
        <v>0</v>
      </c>
      <c r="FF161" s="139">
        <f t="shared" si="188"/>
        <v>0</v>
      </c>
      <c r="FG161" s="139">
        <f t="shared" si="189"/>
        <v>0</v>
      </c>
      <c r="FH161" s="139">
        <f t="shared" si="190"/>
        <v>0</v>
      </c>
      <c r="FI161" s="139">
        <f t="shared" si="191"/>
        <v>0</v>
      </c>
      <c r="FJ161" s="139">
        <f t="shared" si="192"/>
        <v>0</v>
      </c>
      <c r="FK161" s="139">
        <f t="shared" si="193"/>
        <v>0</v>
      </c>
      <c r="FL161" s="139">
        <f t="shared" si="194"/>
        <v>0</v>
      </c>
      <c r="FM161" s="139">
        <f t="shared" si="195"/>
        <v>0</v>
      </c>
      <c r="FN161" s="139">
        <f t="shared" si="196"/>
        <v>0</v>
      </c>
      <c r="FO161" s="139">
        <f t="shared" si="197"/>
        <v>0</v>
      </c>
      <c r="FP161" s="139">
        <f t="shared" si="198"/>
        <v>0</v>
      </c>
      <c r="FQ161" s="139">
        <f t="shared" si="199"/>
        <v>0</v>
      </c>
      <c r="FR161" s="139">
        <f t="shared" si="200"/>
        <v>0</v>
      </c>
      <c r="FS161" s="139">
        <f t="shared" si="201"/>
        <v>0</v>
      </c>
      <c r="FT161" s="139">
        <f t="shared" si="202"/>
        <v>0</v>
      </c>
      <c r="FU161" s="148">
        <f t="shared" si="203"/>
        <v>0</v>
      </c>
      <c r="FV161" s="149"/>
      <c r="FY161" s="211">
        <v>156</v>
      </c>
      <c r="FZ161">
        <v>75.233386132382947</v>
      </c>
      <c r="GA161">
        <v>80.459978097366459</v>
      </c>
      <c r="GB161">
        <v>39.879959439076259</v>
      </c>
      <c r="GC161">
        <v>28.764734427698013</v>
      </c>
      <c r="GD161">
        <v>19.837075365877624</v>
      </c>
      <c r="GE161">
        <v>28.992253769800644</v>
      </c>
      <c r="GF161">
        <v>40.527776500850393</v>
      </c>
      <c r="GG161">
        <v>27.182147662213289</v>
      </c>
      <c r="GH161">
        <v>25.396625726014786</v>
      </c>
      <c r="GI161">
        <v>45.944010476315292</v>
      </c>
      <c r="GJ161"/>
      <c r="GK161"/>
      <c r="GL161"/>
      <c r="GM161"/>
    </row>
    <row r="162" spans="1:195" s="7" customFormat="1">
      <c r="A162" s="1"/>
      <c r="B162" s="76">
        <f ca="1">IF(C162="", "", RAND())</f>
        <v>0.72032101695157436</v>
      </c>
      <c r="C162">
        <v>6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196.28153109773081</v>
      </c>
      <c r="AO162">
        <v>73.511294630384285</v>
      </c>
      <c r="AP162">
        <v>581.03043160840866</v>
      </c>
      <c r="AQ162">
        <v>447.54786033082155</v>
      </c>
      <c r="AR162">
        <v>70.780393871636633</v>
      </c>
      <c r="AS162">
        <v>336.45036337931128</v>
      </c>
      <c r="AT162">
        <v>35.28664887683594</v>
      </c>
      <c r="AU162">
        <v>-6.0251122490536702</v>
      </c>
      <c r="AV162"/>
      <c r="AW162"/>
      <c r="AX162" s="146"/>
      <c r="AY162" s="76">
        <f t="shared" ca="1" si="169"/>
        <v>0.87740975336750804</v>
      </c>
      <c r="AZ162">
        <v>5</v>
      </c>
      <c r="BA162" s="129">
        <f t="shared" si="241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4"/>
        <v>0.545369426757353</v>
      </c>
      <c r="CL162" s="179">
        <f t="shared" si="205"/>
        <v>5</v>
      </c>
      <c r="CM162" s="180">
        <f t="shared" si="206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07"/>
        <v>9.6000000000000002E-2</v>
      </c>
      <c r="DB162" s="146"/>
      <c r="DC162" s="76">
        <f t="shared" ca="1" si="170"/>
        <v>0.60355286417605569</v>
      </c>
      <c r="DD162">
        <f t="shared" si="208"/>
        <v>5</v>
      </c>
      <c r="DE162" s="129">
        <f t="shared" si="240"/>
        <v>39910</v>
      </c>
      <c r="DF162" s="161">
        <f t="shared" si="209"/>
        <v>0</v>
      </c>
      <c r="DG162" s="161">
        <f t="shared" si="210"/>
        <v>0</v>
      </c>
      <c r="DH162" s="161">
        <f t="shared" si="211"/>
        <v>0</v>
      </c>
      <c r="DI162" s="161">
        <f t="shared" si="212"/>
        <v>0</v>
      </c>
      <c r="DJ162" s="161">
        <f t="shared" si="213"/>
        <v>0</v>
      </c>
      <c r="DK162" s="161">
        <f t="shared" si="214"/>
        <v>0</v>
      </c>
      <c r="DL162" s="161">
        <f t="shared" si="215"/>
        <v>0</v>
      </c>
      <c r="DM162" s="161">
        <f t="shared" si="216"/>
        <v>0</v>
      </c>
      <c r="DN162" s="161">
        <f t="shared" si="217"/>
        <v>0</v>
      </c>
      <c r="DO162" s="161">
        <f t="shared" si="218"/>
        <v>0</v>
      </c>
      <c r="DP162" s="161">
        <f t="shared" si="219"/>
        <v>0</v>
      </c>
      <c r="DQ162" s="161">
        <f t="shared" si="220"/>
        <v>0</v>
      </c>
      <c r="DR162" s="161">
        <f t="shared" si="221"/>
        <v>0</v>
      </c>
      <c r="DS162" s="161">
        <f t="shared" si="222"/>
        <v>0</v>
      </c>
      <c r="DT162" s="161">
        <f t="shared" si="223"/>
        <v>0</v>
      </c>
      <c r="DU162" s="161">
        <f t="shared" si="224"/>
        <v>0</v>
      </c>
      <c r="DV162" s="161">
        <f t="shared" si="225"/>
        <v>0</v>
      </c>
      <c r="DW162" s="161">
        <f t="shared" si="226"/>
        <v>0</v>
      </c>
      <c r="DX162" s="161">
        <f t="shared" si="227"/>
        <v>0</v>
      </c>
      <c r="DY162" s="161">
        <f t="shared" si="228"/>
        <v>0</v>
      </c>
      <c r="DZ162" s="161">
        <f t="shared" si="229"/>
        <v>0</v>
      </c>
      <c r="EA162" s="161">
        <f t="shared" si="230"/>
        <v>0</v>
      </c>
      <c r="EB162" s="161">
        <f t="shared" si="231"/>
        <v>0</v>
      </c>
      <c r="EC162" s="161">
        <f t="shared" si="232"/>
        <v>0</v>
      </c>
      <c r="ED162" s="161">
        <f t="shared" si="233"/>
        <v>0</v>
      </c>
      <c r="EE162" s="161">
        <f t="shared" si="234"/>
        <v>0</v>
      </c>
      <c r="EF162" s="161">
        <f t="shared" si="235"/>
        <v>0</v>
      </c>
      <c r="EG162" s="161">
        <f t="shared" si="236"/>
        <v>0</v>
      </c>
      <c r="EH162" s="161">
        <f t="shared" si="237"/>
        <v>0</v>
      </c>
      <c r="EI162" s="161">
        <f t="shared" si="238"/>
        <v>0</v>
      </c>
      <c r="EJ162" s="161">
        <f t="shared" si="239"/>
        <v>0</v>
      </c>
      <c r="EK162" s="147">
        <f t="shared" si="171"/>
        <v>0</v>
      </c>
      <c r="EL162" s="149"/>
      <c r="EN162" s="146"/>
      <c r="EO162" s="146"/>
      <c r="EP162" s="139">
        <f t="shared" si="172"/>
        <v>0</v>
      </c>
      <c r="EQ162" s="139">
        <f t="shared" si="173"/>
        <v>0</v>
      </c>
      <c r="ER162" s="139">
        <f t="shared" si="174"/>
        <v>0</v>
      </c>
      <c r="ES162" s="139">
        <f t="shared" si="175"/>
        <v>0</v>
      </c>
      <c r="ET162" s="139">
        <f t="shared" si="176"/>
        <v>0</v>
      </c>
      <c r="EU162" s="139">
        <f t="shared" si="177"/>
        <v>0</v>
      </c>
      <c r="EV162" s="139">
        <f t="shared" si="178"/>
        <v>0</v>
      </c>
      <c r="EW162" s="139">
        <f t="shared" si="179"/>
        <v>0</v>
      </c>
      <c r="EX162" s="139">
        <f t="shared" si="180"/>
        <v>0</v>
      </c>
      <c r="EY162" s="139">
        <f t="shared" si="181"/>
        <v>0</v>
      </c>
      <c r="EZ162" s="139">
        <f t="shared" si="182"/>
        <v>0</v>
      </c>
      <c r="FA162" s="139">
        <f t="shared" si="183"/>
        <v>0</v>
      </c>
      <c r="FB162" s="139">
        <f t="shared" si="184"/>
        <v>0</v>
      </c>
      <c r="FC162" s="139">
        <f t="shared" si="185"/>
        <v>0</v>
      </c>
      <c r="FD162" s="139">
        <f t="shared" si="186"/>
        <v>0</v>
      </c>
      <c r="FE162" s="139">
        <f t="shared" si="187"/>
        <v>0</v>
      </c>
      <c r="FF162" s="139">
        <f t="shared" si="188"/>
        <v>0</v>
      </c>
      <c r="FG162" s="139">
        <f t="shared" si="189"/>
        <v>0</v>
      </c>
      <c r="FH162" s="139">
        <f t="shared" si="190"/>
        <v>0</v>
      </c>
      <c r="FI162" s="139">
        <f t="shared" si="191"/>
        <v>0</v>
      </c>
      <c r="FJ162" s="139">
        <f t="shared" si="192"/>
        <v>0</v>
      </c>
      <c r="FK162" s="139">
        <f t="shared" si="193"/>
        <v>0</v>
      </c>
      <c r="FL162" s="139">
        <f t="shared" si="194"/>
        <v>0</v>
      </c>
      <c r="FM162" s="139">
        <f t="shared" si="195"/>
        <v>0</v>
      </c>
      <c r="FN162" s="139">
        <f t="shared" si="196"/>
        <v>0</v>
      </c>
      <c r="FO162" s="139">
        <f t="shared" si="197"/>
        <v>0</v>
      </c>
      <c r="FP162" s="139">
        <f t="shared" si="198"/>
        <v>0</v>
      </c>
      <c r="FQ162" s="139">
        <f t="shared" si="199"/>
        <v>0</v>
      </c>
      <c r="FR162" s="139">
        <f t="shared" si="200"/>
        <v>0</v>
      </c>
      <c r="FS162" s="139">
        <f t="shared" si="201"/>
        <v>0</v>
      </c>
      <c r="FT162" s="139">
        <f t="shared" si="202"/>
        <v>0</v>
      </c>
      <c r="FU162" s="148">
        <f t="shared" si="203"/>
        <v>0</v>
      </c>
      <c r="FV162" s="149"/>
      <c r="FY162" s="211">
        <v>157</v>
      </c>
      <c r="FZ162">
        <v>119.09277691434232</v>
      </c>
      <c r="GA162">
        <v>135.98740166991089</v>
      </c>
      <c r="GB162">
        <v>58.396819701394179</v>
      </c>
      <c r="GC162">
        <v>36.808599817713521</v>
      </c>
      <c r="GD162">
        <v>18.247686705069867</v>
      </c>
      <c r="GE162">
        <v>29.365173339050834</v>
      </c>
      <c r="GF162">
        <v>62.077352830345376</v>
      </c>
      <c r="GG162">
        <v>45.927443419158323</v>
      </c>
      <c r="GH162">
        <v>22.441406202358344</v>
      </c>
      <c r="GI162">
        <v>60.170749244808107</v>
      </c>
      <c r="GJ162"/>
      <c r="GK162"/>
      <c r="GL162"/>
      <c r="GM162"/>
    </row>
    <row r="163" spans="1:195" s="7" customFormat="1">
      <c r="A163" s="1"/>
      <c r="B163" s="76">
        <f ca="1">IF(C163="", "", RAND())</f>
        <v>0.16135246333661524</v>
      </c>
      <c r="C163">
        <v>5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240.19722277125351</v>
      </c>
      <c r="AO163">
        <v>77.819932309161544</v>
      </c>
      <c r="AP163">
        <v>644.5935834718149</v>
      </c>
      <c r="AQ163">
        <v>522.76654490916599</v>
      </c>
      <c r="AR163">
        <v>75.38461226974448</v>
      </c>
      <c r="AS163">
        <v>408.14003296002687</v>
      </c>
      <c r="AT163">
        <v>38.869379092637594</v>
      </c>
      <c r="AU163">
        <v>24.576947794051947</v>
      </c>
      <c r="AV163"/>
      <c r="AW163"/>
      <c r="AX163" s="146"/>
      <c r="AY163" s="76">
        <f t="shared" ca="1" si="169"/>
        <v>0.2121315605212708</v>
      </c>
      <c r="AZ163">
        <v>6</v>
      </c>
      <c r="BA163" s="129">
        <f t="shared" si="241"/>
        <v>39910</v>
      </c>
      <c r="BB163">
        <v>0</v>
      </c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4"/>
        <v>0.4648710779378793</v>
      </c>
      <c r="CL163" s="179">
        <f t="shared" si="205"/>
        <v>6</v>
      </c>
      <c r="CM163" s="180">
        <f t="shared" si="206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07"/>
        <v>9.6000000000000002E-2</v>
      </c>
      <c r="DB163" s="146"/>
      <c r="DC163" s="76">
        <f t="shared" ca="1" si="170"/>
        <v>0.31233624605699006</v>
      </c>
      <c r="DD163">
        <f t="shared" si="208"/>
        <v>6</v>
      </c>
      <c r="DE163" s="129">
        <f t="shared" si="240"/>
        <v>39910</v>
      </c>
      <c r="DF163" s="161">
        <f t="shared" si="209"/>
        <v>0</v>
      </c>
      <c r="DG163" s="161">
        <f t="shared" si="210"/>
        <v>0</v>
      </c>
      <c r="DH163" s="161">
        <f t="shared" si="211"/>
        <v>0</v>
      </c>
      <c r="DI163" s="161">
        <f t="shared" si="212"/>
        <v>0</v>
      </c>
      <c r="DJ163" s="161">
        <f t="shared" si="213"/>
        <v>0</v>
      </c>
      <c r="DK163" s="161">
        <f t="shared" si="214"/>
        <v>0</v>
      </c>
      <c r="DL163" s="161">
        <f t="shared" si="215"/>
        <v>0</v>
      </c>
      <c r="DM163" s="161">
        <f t="shared" si="216"/>
        <v>0</v>
      </c>
      <c r="DN163" s="161">
        <f t="shared" si="217"/>
        <v>0</v>
      </c>
      <c r="DO163" s="161">
        <f t="shared" si="218"/>
        <v>0</v>
      </c>
      <c r="DP163" s="161">
        <f t="shared" si="219"/>
        <v>0</v>
      </c>
      <c r="DQ163" s="161">
        <f t="shared" si="220"/>
        <v>0</v>
      </c>
      <c r="DR163" s="161">
        <f t="shared" si="221"/>
        <v>0</v>
      </c>
      <c r="DS163" s="161">
        <f t="shared" si="222"/>
        <v>0</v>
      </c>
      <c r="DT163" s="161">
        <f t="shared" si="223"/>
        <v>0</v>
      </c>
      <c r="DU163" s="161">
        <f t="shared" si="224"/>
        <v>0</v>
      </c>
      <c r="DV163" s="161">
        <f t="shared" si="225"/>
        <v>0</v>
      </c>
      <c r="DW163" s="161">
        <f t="shared" si="226"/>
        <v>0</v>
      </c>
      <c r="DX163" s="161">
        <f t="shared" si="227"/>
        <v>0</v>
      </c>
      <c r="DY163" s="161">
        <f t="shared" si="228"/>
        <v>0</v>
      </c>
      <c r="DZ163" s="161">
        <f t="shared" si="229"/>
        <v>0</v>
      </c>
      <c r="EA163" s="161">
        <f t="shared" si="230"/>
        <v>0</v>
      </c>
      <c r="EB163" s="161">
        <f t="shared" si="231"/>
        <v>0</v>
      </c>
      <c r="EC163" s="161">
        <f t="shared" si="232"/>
        <v>0</v>
      </c>
      <c r="ED163" s="161">
        <f t="shared" si="233"/>
        <v>0</v>
      </c>
      <c r="EE163" s="161">
        <f t="shared" si="234"/>
        <v>0</v>
      </c>
      <c r="EF163" s="161">
        <f t="shared" si="235"/>
        <v>0</v>
      </c>
      <c r="EG163" s="161">
        <f t="shared" si="236"/>
        <v>0</v>
      </c>
      <c r="EH163" s="161">
        <f t="shared" si="237"/>
        <v>0</v>
      </c>
      <c r="EI163" s="161">
        <f t="shared" si="238"/>
        <v>0</v>
      </c>
      <c r="EJ163" s="161">
        <f t="shared" si="239"/>
        <v>0</v>
      </c>
      <c r="EK163" s="147">
        <f t="shared" si="171"/>
        <v>0</v>
      </c>
      <c r="EL163" s="149"/>
      <c r="EN163" s="146"/>
      <c r="EO163" s="146"/>
      <c r="EP163" s="139">
        <f t="shared" si="172"/>
        <v>0</v>
      </c>
      <c r="EQ163" s="139">
        <f t="shared" si="173"/>
        <v>0</v>
      </c>
      <c r="ER163" s="139">
        <f t="shared" si="174"/>
        <v>0</v>
      </c>
      <c r="ES163" s="139">
        <f t="shared" si="175"/>
        <v>0</v>
      </c>
      <c r="ET163" s="139">
        <f t="shared" si="176"/>
        <v>0</v>
      </c>
      <c r="EU163" s="139">
        <f t="shared" si="177"/>
        <v>0</v>
      </c>
      <c r="EV163" s="139">
        <f t="shared" si="178"/>
        <v>0</v>
      </c>
      <c r="EW163" s="139">
        <f t="shared" si="179"/>
        <v>0</v>
      </c>
      <c r="EX163" s="139">
        <f t="shared" si="180"/>
        <v>0</v>
      </c>
      <c r="EY163" s="139">
        <f t="shared" si="181"/>
        <v>0</v>
      </c>
      <c r="EZ163" s="139">
        <f t="shared" si="182"/>
        <v>0</v>
      </c>
      <c r="FA163" s="139">
        <f t="shared" si="183"/>
        <v>0</v>
      </c>
      <c r="FB163" s="139">
        <f t="shared" si="184"/>
        <v>0</v>
      </c>
      <c r="FC163" s="139">
        <f t="shared" si="185"/>
        <v>0</v>
      </c>
      <c r="FD163" s="139">
        <f t="shared" si="186"/>
        <v>0</v>
      </c>
      <c r="FE163" s="139">
        <f t="shared" si="187"/>
        <v>0</v>
      </c>
      <c r="FF163" s="139">
        <f t="shared" si="188"/>
        <v>0</v>
      </c>
      <c r="FG163" s="139">
        <f t="shared" si="189"/>
        <v>0</v>
      </c>
      <c r="FH163" s="139">
        <f t="shared" si="190"/>
        <v>0</v>
      </c>
      <c r="FI163" s="139">
        <f t="shared" si="191"/>
        <v>0</v>
      </c>
      <c r="FJ163" s="139">
        <f t="shared" si="192"/>
        <v>0</v>
      </c>
      <c r="FK163" s="139">
        <f t="shared" si="193"/>
        <v>0</v>
      </c>
      <c r="FL163" s="139">
        <f t="shared" si="194"/>
        <v>0</v>
      </c>
      <c r="FM163" s="139">
        <f t="shared" si="195"/>
        <v>0</v>
      </c>
      <c r="FN163" s="139">
        <f t="shared" si="196"/>
        <v>0</v>
      </c>
      <c r="FO163" s="139">
        <f t="shared" si="197"/>
        <v>0</v>
      </c>
      <c r="FP163" s="139">
        <f t="shared" si="198"/>
        <v>0</v>
      </c>
      <c r="FQ163" s="139">
        <f t="shared" si="199"/>
        <v>0</v>
      </c>
      <c r="FR163" s="139">
        <f t="shared" si="200"/>
        <v>0</v>
      </c>
      <c r="FS163" s="139">
        <f t="shared" si="201"/>
        <v>0</v>
      </c>
      <c r="FT163" s="139">
        <f t="shared" si="202"/>
        <v>0</v>
      </c>
      <c r="FU163" s="148">
        <f t="shared" si="203"/>
        <v>0</v>
      </c>
      <c r="FV163" s="149"/>
      <c r="FY163" s="211">
        <v>158</v>
      </c>
      <c r="FZ163">
        <v>37.70443504882968</v>
      </c>
      <c r="GA163">
        <v>44.61294414675497</v>
      </c>
      <c r="GB163">
        <v>38.250349456953195</v>
      </c>
      <c r="GC163">
        <v>26.808105481656678</v>
      </c>
      <c r="GD163">
        <v>14.467057674969855</v>
      </c>
      <c r="GE163">
        <v>16.051551970016909</v>
      </c>
      <c r="GF163">
        <v>31.419322122448847</v>
      </c>
      <c r="GG163">
        <v>26.998513304257976</v>
      </c>
      <c r="GH163">
        <v>20.22155477535134</v>
      </c>
      <c r="GI163">
        <v>34.092874480396489</v>
      </c>
      <c r="GJ163"/>
      <c r="GK163"/>
      <c r="GL163"/>
      <c r="GM163"/>
    </row>
    <row r="164" spans="1:195" s="7" customFormat="1">
      <c r="A164" s="1"/>
      <c r="B164" s="76">
        <f ca="1">IF(C164="", "", RAND())</f>
        <v>0.8694635947461502</v>
      </c>
      <c r="C164">
        <v>9</v>
      </c>
      <c r="D164">
        <v>39910</v>
      </c>
      <c r="E164">
        <v>0</v>
      </c>
      <c r="F164">
        <v>0</v>
      </c>
      <c r="G164">
        <v>405.09259259259255</v>
      </c>
      <c r="H164">
        <v>642.0138888888888</v>
      </c>
      <c r="I164">
        <v>0</v>
      </c>
      <c r="J164">
        <v>34.375</v>
      </c>
      <c r="K164">
        <v>34.375</v>
      </c>
      <c r="L164">
        <v>0</v>
      </c>
      <c r="M164">
        <v>0</v>
      </c>
      <c r="N164">
        <v>0</v>
      </c>
      <c r="O164">
        <v>34.375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193.50524194611802</v>
      </c>
      <c r="AO164">
        <v>52.981704947356285</v>
      </c>
      <c r="AP164">
        <v>416.50983011523368</v>
      </c>
      <c r="AQ164">
        <v>320.09997547902378</v>
      </c>
      <c r="AR164">
        <v>52.760559571359835</v>
      </c>
      <c r="AS164">
        <v>263.16934185786704</v>
      </c>
      <c r="AT164">
        <v>25.844839685201432</v>
      </c>
      <c r="AU164">
        <v>59.02364026369689</v>
      </c>
      <c r="AV164"/>
      <c r="AW164"/>
      <c r="AX164" s="146"/>
      <c r="AY164" s="76">
        <f t="shared" ca="1" si="169"/>
        <v>0.85393196836670882</v>
      </c>
      <c r="AZ164">
        <v>7</v>
      </c>
      <c r="BA164" s="129">
        <f t="shared" si="241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4"/>
        <v>1.4826593096355367E-2</v>
      </c>
      <c r="CL164" s="179">
        <f t="shared" si="205"/>
        <v>7</v>
      </c>
      <c r="CM164" s="180">
        <f t="shared" si="206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07"/>
        <v>9.6000000000000002E-2</v>
      </c>
      <c r="DB164" s="146"/>
      <c r="DC164" s="76">
        <f t="shared" ca="1" si="170"/>
        <v>0.594366345569733</v>
      </c>
      <c r="DD164">
        <f t="shared" si="208"/>
        <v>7</v>
      </c>
      <c r="DE164" s="129">
        <f t="shared" si="240"/>
        <v>39910</v>
      </c>
      <c r="DF164" s="161">
        <f t="shared" si="209"/>
        <v>0</v>
      </c>
      <c r="DG164" s="161">
        <f t="shared" si="210"/>
        <v>0</v>
      </c>
      <c r="DH164" s="161">
        <f t="shared" si="211"/>
        <v>0</v>
      </c>
      <c r="DI164" s="161">
        <f t="shared" si="212"/>
        <v>0</v>
      </c>
      <c r="DJ164" s="161">
        <f t="shared" si="213"/>
        <v>0</v>
      </c>
      <c r="DK164" s="161">
        <f t="shared" si="214"/>
        <v>0</v>
      </c>
      <c r="DL164" s="161">
        <f t="shared" si="215"/>
        <v>0</v>
      </c>
      <c r="DM164" s="161">
        <f t="shared" si="216"/>
        <v>0</v>
      </c>
      <c r="DN164" s="161">
        <f t="shared" si="217"/>
        <v>0</v>
      </c>
      <c r="DO164" s="161">
        <f t="shared" si="218"/>
        <v>0</v>
      </c>
      <c r="DP164" s="161">
        <f t="shared" si="219"/>
        <v>0</v>
      </c>
      <c r="DQ164" s="161">
        <f t="shared" si="220"/>
        <v>0</v>
      </c>
      <c r="DR164" s="161">
        <f t="shared" si="221"/>
        <v>0</v>
      </c>
      <c r="DS164" s="161">
        <f t="shared" si="222"/>
        <v>0</v>
      </c>
      <c r="DT164" s="161">
        <f t="shared" si="223"/>
        <v>0</v>
      </c>
      <c r="DU164" s="161">
        <f t="shared" si="224"/>
        <v>0</v>
      </c>
      <c r="DV164" s="161">
        <f t="shared" si="225"/>
        <v>0</v>
      </c>
      <c r="DW164" s="161">
        <f t="shared" si="226"/>
        <v>0</v>
      </c>
      <c r="DX164" s="161">
        <f t="shared" si="227"/>
        <v>0</v>
      </c>
      <c r="DY164" s="161">
        <f t="shared" si="228"/>
        <v>0</v>
      </c>
      <c r="DZ164" s="161">
        <f t="shared" si="229"/>
        <v>0</v>
      </c>
      <c r="EA164" s="161">
        <f t="shared" si="230"/>
        <v>0</v>
      </c>
      <c r="EB164" s="161">
        <f t="shared" si="231"/>
        <v>0</v>
      </c>
      <c r="EC164" s="161">
        <f t="shared" si="232"/>
        <v>0</v>
      </c>
      <c r="ED164" s="161">
        <f t="shared" si="233"/>
        <v>0</v>
      </c>
      <c r="EE164" s="161">
        <f t="shared" si="234"/>
        <v>0</v>
      </c>
      <c r="EF164" s="161">
        <f t="shared" si="235"/>
        <v>0</v>
      </c>
      <c r="EG164" s="161">
        <f t="shared" si="236"/>
        <v>0</v>
      </c>
      <c r="EH164" s="161">
        <f t="shared" si="237"/>
        <v>0</v>
      </c>
      <c r="EI164" s="161">
        <f t="shared" si="238"/>
        <v>0</v>
      </c>
      <c r="EJ164" s="161">
        <f t="shared" si="239"/>
        <v>0</v>
      </c>
      <c r="EK164" s="147">
        <f t="shared" si="171"/>
        <v>0</v>
      </c>
      <c r="EL164" s="149"/>
      <c r="EN164" s="146"/>
      <c r="EO164" s="146"/>
      <c r="EP164" s="139">
        <f t="shared" si="172"/>
        <v>0</v>
      </c>
      <c r="EQ164" s="139">
        <f t="shared" si="173"/>
        <v>0</v>
      </c>
      <c r="ER164" s="139">
        <f t="shared" si="174"/>
        <v>0</v>
      </c>
      <c r="ES164" s="139">
        <f t="shared" si="175"/>
        <v>0</v>
      </c>
      <c r="ET164" s="139">
        <f t="shared" si="176"/>
        <v>0</v>
      </c>
      <c r="EU164" s="139">
        <f t="shared" si="177"/>
        <v>0</v>
      </c>
      <c r="EV164" s="139">
        <f t="shared" si="178"/>
        <v>0</v>
      </c>
      <c r="EW164" s="139">
        <f t="shared" si="179"/>
        <v>0</v>
      </c>
      <c r="EX164" s="139">
        <f t="shared" si="180"/>
        <v>0</v>
      </c>
      <c r="EY164" s="139">
        <f t="shared" si="181"/>
        <v>0</v>
      </c>
      <c r="EZ164" s="139">
        <f t="shared" si="182"/>
        <v>0</v>
      </c>
      <c r="FA164" s="139">
        <f t="shared" si="183"/>
        <v>0</v>
      </c>
      <c r="FB164" s="139">
        <f t="shared" si="184"/>
        <v>0</v>
      </c>
      <c r="FC164" s="139">
        <f t="shared" si="185"/>
        <v>0</v>
      </c>
      <c r="FD164" s="139">
        <f t="shared" si="186"/>
        <v>0</v>
      </c>
      <c r="FE164" s="139">
        <f t="shared" si="187"/>
        <v>0</v>
      </c>
      <c r="FF164" s="139">
        <f t="shared" si="188"/>
        <v>0</v>
      </c>
      <c r="FG164" s="139">
        <f t="shared" si="189"/>
        <v>0</v>
      </c>
      <c r="FH164" s="139">
        <f t="shared" si="190"/>
        <v>0</v>
      </c>
      <c r="FI164" s="139">
        <f t="shared" si="191"/>
        <v>0</v>
      </c>
      <c r="FJ164" s="139">
        <f t="shared" si="192"/>
        <v>0</v>
      </c>
      <c r="FK164" s="139">
        <f t="shared" si="193"/>
        <v>0</v>
      </c>
      <c r="FL164" s="139">
        <f t="shared" si="194"/>
        <v>0</v>
      </c>
      <c r="FM164" s="139">
        <f t="shared" si="195"/>
        <v>0</v>
      </c>
      <c r="FN164" s="139">
        <f t="shared" si="196"/>
        <v>0</v>
      </c>
      <c r="FO164" s="139">
        <f t="shared" si="197"/>
        <v>0</v>
      </c>
      <c r="FP164" s="139">
        <f t="shared" si="198"/>
        <v>0</v>
      </c>
      <c r="FQ164" s="139">
        <f t="shared" si="199"/>
        <v>0</v>
      </c>
      <c r="FR164" s="139">
        <f t="shared" si="200"/>
        <v>0</v>
      </c>
      <c r="FS164" s="139">
        <f t="shared" si="201"/>
        <v>0</v>
      </c>
      <c r="FT164" s="139">
        <f t="shared" si="202"/>
        <v>0</v>
      </c>
      <c r="FU164" s="148">
        <f t="shared" si="203"/>
        <v>0</v>
      </c>
      <c r="FV164" s="149"/>
      <c r="FY164" s="211">
        <v>159</v>
      </c>
      <c r="FZ164">
        <v>79.590674658127355</v>
      </c>
      <c r="GA164">
        <v>87.729934596103874</v>
      </c>
      <c r="GB164">
        <v>39.568450440428371</v>
      </c>
      <c r="GC164">
        <v>21.725710335871604</v>
      </c>
      <c r="GD164">
        <v>14.218648802114805</v>
      </c>
      <c r="GE164">
        <v>28.052188035323567</v>
      </c>
      <c r="GF164">
        <v>28.003982397569839</v>
      </c>
      <c r="GG164">
        <v>12.146822915683753</v>
      </c>
      <c r="GH164">
        <v>19.546603876936839</v>
      </c>
      <c r="GI164">
        <v>39.44424870202824</v>
      </c>
      <c r="GJ164"/>
      <c r="GK164"/>
      <c r="GL164"/>
      <c r="GM164"/>
    </row>
    <row r="165" spans="1:195" s="7" customFormat="1">
      <c r="A165" s="1"/>
      <c r="B165" s="76">
        <f ca="1">IF(C165="", "", RAND())</f>
        <v>0.68886027059681432</v>
      </c>
      <c r="C165">
        <v>10</v>
      </c>
      <c r="D165">
        <v>39910</v>
      </c>
      <c r="E165">
        <v>0</v>
      </c>
      <c r="F165">
        <v>0</v>
      </c>
      <c r="G165">
        <v>312.5</v>
      </c>
      <c r="H165">
        <v>729.16666666666663</v>
      </c>
      <c r="I165">
        <v>0</v>
      </c>
      <c r="J165">
        <v>0</v>
      </c>
      <c r="K165">
        <v>20.833333333333332</v>
      </c>
      <c r="L165">
        <v>104.16666666666667</v>
      </c>
      <c r="M165">
        <v>83.333333333333329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201.27673662017941</v>
      </c>
      <c r="AO165">
        <v>66.620647505009231</v>
      </c>
      <c r="AP165">
        <v>516.57320009983755</v>
      </c>
      <c r="AQ165">
        <v>423.18249341750231</v>
      </c>
      <c r="AR165">
        <v>65.456560349997304</v>
      </c>
      <c r="AS165">
        <v>327.78112891285258</v>
      </c>
      <c r="AT165">
        <v>32.723451601109964</v>
      </c>
      <c r="AU165">
        <v>2.7164584769425915</v>
      </c>
      <c r="AV165"/>
      <c r="AW165"/>
      <c r="AX165" s="146"/>
      <c r="AY165" s="76">
        <f t="shared" ca="1" si="169"/>
        <v>0.79302669507466761</v>
      </c>
      <c r="AZ165">
        <v>8</v>
      </c>
      <c r="BA165" s="129">
        <f t="shared" si="241"/>
        <v>39910</v>
      </c>
      <c r="BB165">
        <v>0</v>
      </c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4"/>
        <v>0.68057567588085122</v>
      </c>
      <c r="CL165" s="179">
        <f t="shared" si="205"/>
        <v>8</v>
      </c>
      <c r="CM165" s="180">
        <f t="shared" si="206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07"/>
        <v>9.6000000000000002E-2</v>
      </c>
      <c r="DB165" s="146"/>
      <c r="DC165" s="76">
        <f t="shared" ca="1" si="170"/>
        <v>0.70087675292428653</v>
      </c>
      <c r="DD165">
        <f t="shared" si="208"/>
        <v>8</v>
      </c>
      <c r="DE165" s="129">
        <f t="shared" si="240"/>
        <v>39910</v>
      </c>
      <c r="DF165" s="161">
        <f t="shared" si="209"/>
        <v>0</v>
      </c>
      <c r="DG165" s="161">
        <f t="shared" si="210"/>
        <v>0</v>
      </c>
      <c r="DH165" s="161">
        <f t="shared" si="211"/>
        <v>0</v>
      </c>
      <c r="DI165" s="161">
        <f t="shared" si="212"/>
        <v>0</v>
      </c>
      <c r="DJ165" s="161">
        <f t="shared" si="213"/>
        <v>0</v>
      </c>
      <c r="DK165" s="161">
        <f t="shared" si="214"/>
        <v>0</v>
      </c>
      <c r="DL165" s="161">
        <f t="shared" si="215"/>
        <v>0</v>
      </c>
      <c r="DM165" s="161">
        <f t="shared" si="216"/>
        <v>0</v>
      </c>
      <c r="DN165" s="161">
        <f t="shared" si="217"/>
        <v>0</v>
      </c>
      <c r="DO165" s="161">
        <f t="shared" si="218"/>
        <v>0</v>
      </c>
      <c r="DP165" s="161">
        <f t="shared" si="219"/>
        <v>0</v>
      </c>
      <c r="DQ165" s="161">
        <f t="shared" si="220"/>
        <v>0</v>
      </c>
      <c r="DR165" s="161">
        <f t="shared" si="221"/>
        <v>0</v>
      </c>
      <c r="DS165" s="161">
        <f t="shared" si="222"/>
        <v>0</v>
      </c>
      <c r="DT165" s="161">
        <f t="shared" si="223"/>
        <v>0</v>
      </c>
      <c r="DU165" s="161">
        <f t="shared" si="224"/>
        <v>0</v>
      </c>
      <c r="DV165" s="161">
        <f t="shared" si="225"/>
        <v>0</v>
      </c>
      <c r="DW165" s="161">
        <f t="shared" si="226"/>
        <v>0</v>
      </c>
      <c r="DX165" s="161">
        <f t="shared" si="227"/>
        <v>0</v>
      </c>
      <c r="DY165" s="161">
        <f t="shared" si="228"/>
        <v>0</v>
      </c>
      <c r="DZ165" s="161">
        <f t="shared" si="229"/>
        <v>0</v>
      </c>
      <c r="EA165" s="161">
        <f t="shared" si="230"/>
        <v>0</v>
      </c>
      <c r="EB165" s="161">
        <f t="shared" si="231"/>
        <v>0</v>
      </c>
      <c r="EC165" s="161">
        <f t="shared" si="232"/>
        <v>0</v>
      </c>
      <c r="ED165" s="161">
        <f t="shared" si="233"/>
        <v>0</v>
      </c>
      <c r="EE165" s="161">
        <f t="shared" si="234"/>
        <v>0</v>
      </c>
      <c r="EF165" s="161">
        <f t="shared" si="235"/>
        <v>0</v>
      </c>
      <c r="EG165" s="161">
        <f t="shared" si="236"/>
        <v>0</v>
      </c>
      <c r="EH165" s="161">
        <f t="shared" si="237"/>
        <v>0</v>
      </c>
      <c r="EI165" s="161">
        <f t="shared" si="238"/>
        <v>0</v>
      </c>
      <c r="EJ165" s="161">
        <f t="shared" si="239"/>
        <v>0</v>
      </c>
      <c r="EK165" s="147">
        <f t="shared" si="171"/>
        <v>0</v>
      </c>
      <c r="EL165" s="149"/>
      <c r="EN165" s="146"/>
      <c r="EO165" s="146"/>
      <c r="EP165" s="139">
        <f t="shared" si="172"/>
        <v>0</v>
      </c>
      <c r="EQ165" s="139">
        <f t="shared" si="173"/>
        <v>0</v>
      </c>
      <c r="ER165" s="139">
        <f t="shared" si="174"/>
        <v>0</v>
      </c>
      <c r="ES165" s="139">
        <f t="shared" si="175"/>
        <v>0</v>
      </c>
      <c r="ET165" s="139">
        <f t="shared" si="176"/>
        <v>0</v>
      </c>
      <c r="EU165" s="139">
        <f t="shared" si="177"/>
        <v>0</v>
      </c>
      <c r="EV165" s="139">
        <f t="shared" si="178"/>
        <v>0</v>
      </c>
      <c r="EW165" s="139">
        <f t="shared" si="179"/>
        <v>0</v>
      </c>
      <c r="EX165" s="139">
        <f t="shared" si="180"/>
        <v>0</v>
      </c>
      <c r="EY165" s="139">
        <f t="shared" si="181"/>
        <v>0</v>
      </c>
      <c r="EZ165" s="139">
        <f t="shared" si="182"/>
        <v>0</v>
      </c>
      <c r="FA165" s="139">
        <f t="shared" si="183"/>
        <v>0</v>
      </c>
      <c r="FB165" s="139">
        <f t="shared" si="184"/>
        <v>0</v>
      </c>
      <c r="FC165" s="139">
        <f t="shared" si="185"/>
        <v>0</v>
      </c>
      <c r="FD165" s="139">
        <f t="shared" si="186"/>
        <v>0</v>
      </c>
      <c r="FE165" s="139">
        <f t="shared" si="187"/>
        <v>0</v>
      </c>
      <c r="FF165" s="139">
        <f t="shared" si="188"/>
        <v>0</v>
      </c>
      <c r="FG165" s="139">
        <f t="shared" si="189"/>
        <v>0</v>
      </c>
      <c r="FH165" s="139">
        <f t="shared" si="190"/>
        <v>0</v>
      </c>
      <c r="FI165" s="139">
        <f t="shared" si="191"/>
        <v>0</v>
      </c>
      <c r="FJ165" s="139">
        <f t="shared" si="192"/>
        <v>0</v>
      </c>
      <c r="FK165" s="139">
        <f t="shared" si="193"/>
        <v>0</v>
      </c>
      <c r="FL165" s="139">
        <f t="shared" si="194"/>
        <v>0</v>
      </c>
      <c r="FM165" s="139">
        <f t="shared" si="195"/>
        <v>0</v>
      </c>
      <c r="FN165" s="139">
        <f t="shared" si="196"/>
        <v>0</v>
      </c>
      <c r="FO165" s="139">
        <f t="shared" si="197"/>
        <v>0</v>
      </c>
      <c r="FP165" s="139">
        <f t="shared" si="198"/>
        <v>0</v>
      </c>
      <c r="FQ165" s="139">
        <f t="shared" si="199"/>
        <v>0</v>
      </c>
      <c r="FR165" s="139">
        <f t="shared" si="200"/>
        <v>0</v>
      </c>
      <c r="FS165" s="139">
        <f t="shared" si="201"/>
        <v>0</v>
      </c>
      <c r="FT165" s="139">
        <f t="shared" si="202"/>
        <v>0</v>
      </c>
      <c r="FU165" s="148">
        <f t="shared" si="203"/>
        <v>0</v>
      </c>
      <c r="FV165" s="149"/>
      <c r="FY165" s="211">
        <v>160</v>
      </c>
      <c r="FZ165">
        <v>35.305974088948915</v>
      </c>
      <c r="GA165">
        <v>35.12639218353565</v>
      </c>
      <c r="GB165">
        <v>37.125094473250272</v>
      </c>
      <c r="GC165">
        <v>22.518907289418127</v>
      </c>
      <c r="GD165">
        <v>12.121662620903642</v>
      </c>
      <c r="GE165">
        <v>21.731028444600643</v>
      </c>
      <c r="GF165">
        <v>52.752942503794415</v>
      </c>
      <c r="GG165">
        <v>38.486454853389304</v>
      </c>
      <c r="GH165">
        <v>22.193727121421986</v>
      </c>
      <c r="GI165">
        <v>36.204280864307492</v>
      </c>
      <c r="GJ165"/>
      <c r="GK165"/>
      <c r="GL165"/>
      <c r="GM165"/>
    </row>
    <row r="166" spans="1:195" s="7" customFormat="1">
      <c r="A166" s="1"/>
      <c r="B166" s="76">
        <f ca="1">IF(C166="", "", RAND())</f>
        <v>0.46465525212316283</v>
      </c>
      <c r="C166">
        <v>7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229.54351185633254</v>
      </c>
      <c r="AO166">
        <v>91.383788047465117</v>
      </c>
      <c r="AP166">
        <v>821.16318466456335</v>
      </c>
      <c r="AQ166">
        <v>649.38713128454788</v>
      </c>
      <c r="AR166">
        <v>87.39197355776021</v>
      </c>
      <c r="AS166">
        <v>408.3682933554781</v>
      </c>
      <c r="AT166">
        <v>48.254049572462542</v>
      </c>
      <c r="AU166">
        <v>80.406971727735751</v>
      </c>
      <c r="AV166"/>
      <c r="AW166"/>
      <c r="AX166" s="146"/>
      <c r="AY166" s="76">
        <f t="shared" ca="1" si="169"/>
        <v>6.9338555291254433E-2</v>
      </c>
      <c r="AZ166">
        <v>9</v>
      </c>
      <c r="BA166" s="129">
        <f t="shared" si="241"/>
        <v>39910</v>
      </c>
      <c r="BB166">
        <v>0</v>
      </c>
      <c r="BC166"/>
      <c r="BD166"/>
      <c r="BE166">
        <v>1</v>
      </c>
      <c r="BF166"/>
      <c r="BG166">
        <v>1</v>
      </c>
      <c r="BH166">
        <v>1</v>
      </c>
      <c r="BI166"/>
      <c r="BJ166"/>
      <c r="BK166"/>
      <c r="BL166">
        <v>1</v>
      </c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4"/>
        <v>0.77412990010283522</v>
      </c>
      <c r="CL166" s="179">
        <f t="shared" si="205"/>
        <v>9</v>
      </c>
      <c r="CM166" s="180">
        <f t="shared" si="206"/>
        <v>39910</v>
      </c>
      <c r="CN166">
        <v>0</v>
      </c>
      <c r="CO166"/>
      <c r="CP166">
        <v>4</v>
      </c>
      <c r="CQ166">
        <v>6</v>
      </c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07"/>
        <v>9.6000000000000002E-2</v>
      </c>
      <c r="DB166" s="146"/>
      <c r="DC166" s="76">
        <f t="shared" ca="1" si="170"/>
        <v>0.24127238494972425</v>
      </c>
      <c r="DD166">
        <f t="shared" si="208"/>
        <v>9</v>
      </c>
      <c r="DE166" s="129">
        <f t="shared" si="240"/>
        <v>39910</v>
      </c>
      <c r="DF166" s="161">
        <f t="shared" si="209"/>
        <v>0</v>
      </c>
      <c r="DG166" s="161">
        <f t="shared" si="210"/>
        <v>0</v>
      </c>
      <c r="DH166" s="161">
        <f t="shared" si="211"/>
        <v>405.09259259259255</v>
      </c>
      <c r="DI166" s="161">
        <f t="shared" si="212"/>
        <v>642.0138888888888</v>
      </c>
      <c r="DJ166" s="161">
        <f t="shared" si="213"/>
        <v>0</v>
      </c>
      <c r="DK166" s="161">
        <f t="shared" si="214"/>
        <v>34.375</v>
      </c>
      <c r="DL166" s="161">
        <f t="shared" si="215"/>
        <v>34.375</v>
      </c>
      <c r="DM166" s="161">
        <f t="shared" si="216"/>
        <v>0</v>
      </c>
      <c r="DN166" s="161">
        <f t="shared" si="217"/>
        <v>0</v>
      </c>
      <c r="DO166" s="161">
        <f t="shared" si="218"/>
        <v>0</v>
      </c>
      <c r="DP166" s="161">
        <f t="shared" si="219"/>
        <v>34.375</v>
      </c>
      <c r="DQ166" s="161">
        <f t="shared" si="220"/>
        <v>0</v>
      </c>
      <c r="DR166" s="161">
        <f t="shared" si="221"/>
        <v>0</v>
      </c>
      <c r="DS166" s="161">
        <f t="shared" si="222"/>
        <v>0</v>
      </c>
      <c r="DT166" s="161">
        <f t="shared" si="223"/>
        <v>0</v>
      </c>
      <c r="DU166" s="161">
        <f t="shared" si="224"/>
        <v>0</v>
      </c>
      <c r="DV166" s="161">
        <f t="shared" si="225"/>
        <v>0</v>
      </c>
      <c r="DW166" s="161">
        <f t="shared" si="226"/>
        <v>0</v>
      </c>
      <c r="DX166" s="161">
        <f t="shared" si="227"/>
        <v>0</v>
      </c>
      <c r="DY166" s="161">
        <f t="shared" si="228"/>
        <v>0</v>
      </c>
      <c r="DZ166" s="161">
        <f t="shared" si="229"/>
        <v>0</v>
      </c>
      <c r="EA166" s="161">
        <f t="shared" si="230"/>
        <v>0</v>
      </c>
      <c r="EB166" s="161">
        <f t="shared" si="231"/>
        <v>0</v>
      </c>
      <c r="EC166" s="161">
        <f t="shared" si="232"/>
        <v>0</v>
      </c>
      <c r="ED166" s="161">
        <f t="shared" si="233"/>
        <v>0</v>
      </c>
      <c r="EE166" s="161">
        <f t="shared" si="234"/>
        <v>0</v>
      </c>
      <c r="EF166" s="161">
        <f t="shared" si="235"/>
        <v>0</v>
      </c>
      <c r="EG166" s="161">
        <f t="shared" si="236"/>
        <v>0</v>
      </c>
      <c r="EH166" s="161">
        <f t="shared" si="237"/>
        <v>0</v>
      </c>
      <c r="EI166" s="161">
        <f t="shared" si="238"/>
        <v>0</v>
      </c>
      <c r="EJ166" s="161">
        <f t="shared" si="239"/>
        <v>0</v>
      </c>
      <c r="EK166" s="147">
        <f t="shared" si="171"/>
        <v>1150.2314814814813</v>
      </c>
      <c r="EL166" s="149"/>
      <c r="EN166" s="146"/>
      <c r="EO166" s="146"/>
      <c r="EP166" s="139">
        <f t="shared" si="172"/>
        <v>0</v>
      </c>
      <c r="EQ166" s="139">
        <f t="shared" si="173"/>
        <v>0</v>
      </c>
      <c r="ER166" s="139">
        <f t="shared" si="174"/>
        <v>15.946856538212984</v>
      </c>
      <c r="ES166" s="139">
        <f t="shared" si="175"/>
        <v>76.267199298966418</v>
      </c>
      <c r="ET166" s="139">
        <f t="shared" si="176"/>
        <v>0</v>
      </c>
      <c r="EU166" s="139">
        <f t="shared" si="177"/>
        <v>16.41920313194267</v>
      </c>
      <c r="EV166" s="139">
        <f t="shared" si="178"/>
        <v>26.979990353071006</v>
      </c>
      <c r="EW166" s="139">
        <f t="shared" si="179"/>
        <v>0</v>
      </c>
      <c r="EX166" s="139">
        <f t="shared" si="180"/>
        <v>0</v>
      </c>
      <c r="EY166" s="139">
        <f t="shared" si="181"/>
        <v>0</v>
      </c>
      <c r="EZ166" s="139">
        <f t="shared" si="182"/>
        <v>108.48202514171268</v>
      </c>
      <c r="FA166" s="139">
        <f t="shared" si="183"/>
        <v>0</v>
      </c>
      <c r="FB166" s="139">
        <f t="shared" si="184"/>
        <v>0</v>
      </c>
      <c r="FC166" s="139">
        <f t="shared" si="185"/>
        <v>0</v>
      </c>
      <c r="FD166" s="139">
        <f t="shared" si="186"/>
        <v>0</v>
      </c>
      <c r="FE166" s="139">
        <f t="shared" si="187"/>
        <v>0</v>
      </c>
      <c r="FF166" s="139">
        <f t="shared" si="188"/>
        <v>0</v>
      </c>
      <c r="FG166" s="139">
        <f t="shared" si="189"/>
        <v>0</v>
      </c>
      <c r="FH166" s="139">
        <f t="shared" si="190"/>
        <v>0</v>
      </c>
      <c r="FI166" s="139">
        <f t="shared" si="191"/>
        <v>0</v>
      </c>
      <c r="FJ166" s="139">
        <f t="shared" si="192"/>
        <v>0</v>
      </c>
      <c r="FK166" s="139">
        <f t="shared" si="193"/>
        <v>0</v>
      </c>
      <c r="FL166" s="139">
        <f t="shared" si="194"/>
        <v>0</v>
      </c>
      <c r="FM166" s="139">
        <f t="shared" si="195"/>
        <v>0</v>
      </c>
      <c r="FN166" s="139">
        <f t="shared" si="196"/>
        <v>0</v>
      </c>
      <c r="FO166" s="139">
        <f t="shared" si="197"/>
        <v>0</v>
      </c>
      <c r="FP166" s="139">
        <f t="shared" si="198"/>
        <v>0</v>
      </c>
      <c r="FQ166" s="139">
        <f t="shared" si="199"/>
        <v>0</v>
      </c>
      <c r="FR166" s="139">
        <f t="shared" si="200"/>
        <v>0</v>
      </c>
      <c r="FS166" s="139">
        <f t="shared" si="201"/>
        <v>0</v>
      </c>
      <c r="FT166" s="139">
        <f t="shared" si="202"/>
        <v>0</v>
      </c>
      <c r="FU166" s="148">
        <f t="shared" si="203"/>
        <v>244.09527446390575</v>
      </c>
      <c r="FV166" s="149"/>
      <c r="FY166" s="211">
        <v>161</v>
      </c>
      <c r="FZ166">
        <v>38.901065273608495</v>
      </c>
      <c r="GA166">
        <v>37.837838263767857</v>
      </c>
      <c r="GB166">
        <v>41.735072422907621</v>
      </c>
      <c r="GC166">
        <v>22.365199367510073</v>
      </c>
      <c r="GD166">
        <v>14.750039955559696</v>
      </c>
      <c r="GE166">
        <v>26.005771593618359</v>
      </c>
      <c r="GF166">
        <v>65.063079884623193</v>
      </c>
      <c r="GG166">
        <v>54.993239285822369</v>
      </c>
      <c r="GH166">
        <v>31.495934865622587</v>
      </c>
      <c r="GI166">
        <v>43.785596452840288</v>
      </c>
      <c r="GJ166"/>
      <c r="GK166"/>
      <c r="GL166"/>
      <c r="GM166"/>
    </row>
    <row r="167" spans="1:195" s="7" customFormat="1">
      <c r="A167" s="1"/>
      <c r="B167" s="76">
        <f ca="1">IF(C167="", "", RAND())</f>
        <v>0.56541935902053653</v>
      </c>
      <c r="C167">
        <v>8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247.30930715798269</v>
      </c>
      <c r="AO167">
        <v>78.968074875109679</v>
      </c>
      <c r="AP167">
        <v>653.9972450037377</v>
      </c>
      <c r="AQ167">
        <v>500.37034870969865</v>
      </c>
      <c r="AR167">
        <v>76.199722526672161</v>
      </c>
      <c r="AS167">
        <v>337.98580342180753</v>
      </c>
      <c r="AT167">
        <v>36.643686766056078</v>
      </c>
      <c r="AU167">
        <v>75.087544524628996</v>
      </c>
      <c r="AV167"/>
      <c r="AW167"/>
      <c r="AX167" s="146"/>
      <c r="AY167" s="76">
        <f t="shared" ca="1" si="169"/>
        <v>0.3892834082338803</v>
      </c>
      <c r="AZ167">
        <v>10</v>
      </c>
      <c r="BA167" s="129">
        <f t="shared" si="241"/>
        <v>39910</v>
      </c>
      <c r="BB167">
        <v>0</v>
      </c>
      <c r="BC167"/>
      <c r="BD167"/>
      <c r="BE167"/>
      <c r="BF167"/>
      <c r="BG167"/>
      <c r="BH167">
        <v>2</v>
      </c>
      <c r="BI167">
        <v>10</v>
      </c>
      <c r="BJ167">
        <v>8</v>
      </c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4"/>
        <v>0.8141859504895006</v>
      </c>
      <c r="CL167" s="179">
        <f t="shared" si="205"/>
        <v>10</v>
      </c>
      <c r="CM167" s="180">
        <f t="shared" si="206"/>
        <v>39910</v>
      </c>
      <c r="CN167" s="223">
        <v>0</v>
      </c>
      <c r="CO167" s="223"/>
      <c r="CP167" s="223">
        <v>3</v>
      </c>
      <c r="CQ167" s="223">
        <v>7</v>
      </c>
      <c r="CR167" s="223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07"/>
        <v>9.6000000000000002E-2</v>
      </c>
      <c r="DB167" s="146"/>
      <c r="DC167" s="76">
        <f t="shared" ca="1" si="170"/>
        <v>0.51535520419758996</v>
      </c>
      <c r="DD167">
        <f t="shared" si="208"/>
        <v>10</v>
      </c>
      <c r="DE167" s="129">
        <f t="shared" si="240"/>
        <v>39910</v>
      </c>
      <c r="DF167" s="161">
        <f t="shared" si="209"/>
        <v>0</v>
      </c>
      <c r="DG167" s="161">
        <f t="shared" si="210"/>
        <v>0</v>
      </c>
      <c r="DH167" s="161">
        <f t="shared" si="211"/>
        <v>312.5</v>
      </c>
      <c r="DI167" s="161">
        <f t="shared" si="212"/>
        <v>729.16666666666663</v>
      </c>
      <c r="DJ167" s="161">
        <f t="shared" si="213"/>
        <v>0</v>
      </c>
      <c r="DK167" s="161">
        <f t="shared" si="214"/>
        <v>0</v>
      </c>
      <c r="DL167" s="161">
        <f t="shared" si="215"/>
        <v>20.833333333333332</v>
      </c>
      <c r="DM167" s="161">
        <f t="shared" si="216"/>
        <v>104.16666666666667</v>
      </c>
      <c r="DN167" s="161">
        <f t="shared" si="217"/>
        <v>83.333333333333329</v>
      </c>
      <c r="DO167" s="161">
        <f t="shared" si="218"/>
        <v>0</v>
      </c>
      <c r="DP167" s="161">
        <f t="shared" si="219"/>
        <v>0</v>
      </c>
      <c r="DQ167" s="161">
        <f t="shared" si="220"/>
        <v>0</v>
      </c>
      <c r="DR167" s="161">
        <f t="shared" si="221"/>
        <v>0</v>
      </c>
      <c r="DS167" s="161">
        <f t="shared" si="222"/>
        <v>0</v>
      </c>
      <c r="DT167" s="161">
        <f t="shared" si="223"/>
        <v>0</v>
      </c>
      <c r="DU167" s="161">
        <f t="shared" si="224"/>
        <v>0</v>
      </c>
      <c r="DV167" s="161">
        <f t="shared" si="225"/>
        <v>0</v>
      </c>
      <c r="DW167" s="161">
        <f t="shared" si="226"/>
        <v>0</v>
      </c>
      <c r="DX167" s="161">
        <f t="shared" si="227"/>
        <v>0</v>
      </c>
      <c r="DY167" s="161">
        <f t="shared" si="228"/>
        <v>0</v>
      </c>
      <c r="DZ167" s="161">
        <f t="shared" si="229"/>
        <v>0</v>
      </c>
      <c r="EA167" s="161">
        <f t="shared" si="230"/>
        <v>0</v>
      </c>
      <c r="EB167" s="161">
        <f t="shared" si="231"/>
        <v>0</v>
      </c>
      <c r="EC167" s="161">
        <f t="shared" si="232"/>
        <v>0</v>
      </c>
      <c r="ED167" s="161">
        <f t="shared" si="233"/>
        <v>0</v>
      </c>
      <c r="EE167" s="161">
        <f t="shared" si="234"/>
        <v>0</v>
      </c>
      <c r="EF167" s="161">
        <f t="shared" si="235"/>
        <v>0</v>
      </c>
      <c r="EG167" s="161">
        <f t="shared" si="236"/>
        <v>0</v>
      </c>
      <c r="EH167" s="161">
        <f t="shared" si="237"/>
        <v>0</v>
      </c>
      <c r="EI167" s="161">
        <f t="shared" si="238"/>
        <v>0</v>
      </c>
      <c r="EJ167" s="161">
        <f t="shared" si="239"/>
        <v>0</v>
      </c>
      <c r="EK167" s="147">
        <f t="shared" si="171"/>
        <v>1249.9999999999998</v>
      </c>
      <c r="EL167" s="149"/>
      <c r="EN167" s="146"/>
      <c r="EO167" s="146"/>
      <c r="EP167" s="139">
        <f t="shared" si="172"/>
        <v>0</v>
      </c>
      <c r="EQ167" s="139">
        <f t="shared" si="173"/>
        <v>0</v>
      </c>
      <c r="ER167" s="139">
        <f t="shared" si="174"/>
        <v>12.301860758050017</v>
      </c>
      <c r="ES167" s="139">
        <f t="shared" si="175"/>
        <v>86.62039942013493</v>
      </c>
      <c r="ET167" s="139">
        <f t="shared" si="176"/>
        <v>0</v>
      </c>
      <c r="EU167" s="139">
        <f t="shared" si="177"/>
        <v>0</v>
      </c>
      <c r="EV167" s="139">
        <f t="shared" si="178"/>
        <v>16.351509304891518</v>
      </c>
      <c r="EW167" s="139">
        <f t="shared" si="179"/>
        <v>124.42020286762367</v>
      </c>
      <c r="EX167" s="139">
        <f t="shared" si="180"/>
        <v>143.20261732762637</v>
      </c>
      <c r="EY167" s="139">
        <f t="shared" si="181"/>
        <v>0</v>
      </c>
      <c r="EZ167" s="139">
        <f t="shared" si="182"/>
        <v>0</v>
      </c>
      <c r="FA167" s="139">
        <f t="shared" si="183"/>
        <v>0</v>
      </c>
      <c r="FB167" s="139">
        <f t="shared" si="184"/>
        <v>0</v>
      </c>
      <c r="FC167" s="139">
        <f t="shared" si="185"/>
        <v>0</v>
      </c>
      <c r="FD167" s="139">
        <f t="shared" si="186"/>
        <v>0</v>
      </c>
      <c r="FE167" s="139">
        <f t="shared" si="187"/>
        <v>0</v>
      </c>
      <c r="FF167" s="139">
        <f t="shared" si="188"/>
        <v>0</v>
      </c>
      <c r="FG167" s="139">
        <f t="shared" si="189"/>
        <v>0</v>
      </c>
      <c r="FH167" s="139">
        <f t="shared" si="190"/>
        <v>0</v>
      </c>
      <c r="FI167" s="139">
        <f t="shared" si="191"/>
        <v>0</v>
      </c>
      <c r="FJ167" s="139">
        <f t="shared" si="192"/>
        <v>0</v>
      </c>
      <c r="FK167" s="139">
        <f t="shared" si="193"/>
        <v>0</v>
      </c>
      <c r="FL167" s="139">
        <f t="shared" si="194"/>
        <v>0</v>
      </c>
      <c r="FM167" s="139">
        <f t="shared" si="195"/>
        <v>0</v>
      </c>
      <c r="FN167" s="139">
        <f t="shared" si="196"/>
        <v>0</v>
      </c>
      <c r="FO167" s="139">
        <f t="shared" si="197"/>
        <v>0</v>
      </c>
      <c r="FP167" s="139">
        <f t="shared" si="198"/>
        <v>0</v>
      </c>
      <c r="FQ167" s="139">
        <f t="shared" si="199"/>
        <v>0</v>
      </c>
      <c r="FR167" s="139">
        <f t="shared" si="200"/>
        <v>0</v>
      </c>
      <c r="FS167" s="139">
        <f t="shared" si="201"/>
        <v>0</v>
      </c>
      <c r="FT167" s="139">
        <f t="shared" si="202"/>
        <v>0</v>
      </c>
      <c r="FU167" s="148">
        <f t="shared" si="203"/>
        <v>382.89658967832651</v>
      </c>
      <c r="FV167" s="149"/>
      <c r="FY167" s="211">
        <v>162</v>
      </c>
      <c r="FZ167">
        <v>116.04674952033209</v>
      </c>
      <c r="GA167">
        <v>129.36093995656219</v>
      </c>
      <c r="GB167">
        <v>48.288917429802531</v>
      </c>
      <c r="GC167">
        <v>26.450623770110621</v>
      </c>
      <c r="GD167">
        <v>14.297719903671227</v>
      </c>
      <c r="GE167">
        <v>31.126042043054603</v>
      </c>
      <c r="GF167">
        <v>65.183982542514457</v>
      </c>
      <c r="GG167">
        <v>46.878780743843528</v>
      </c>
      <c r="GH167">
        <v>21.825343322562816</v>
      </c>
      <c r="GI167">
        <v>54.811868188982032</v>
      </c>
      <c r="GJ167"/>
      <c r="GK167"/>
      <c r="GL167"/>
      <c r="GM167"/>
    </row>
    <row r="168" spans="1:195" s="7" customFormat="1">
      <c r="A168" s="128"/>
      <c r="B168" s="76">
        <f ca="1">IF(C168="", "", RAND())</f>
        <v>0.36492720417458369</v>
      </c>
      <c r="C168">
        <v>3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10.416666666666666</v>
      </c>
      <c r="O168">
        <v>10.416666666666666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209.25939504330535</v>
      </c>
      <c r="AO168">
        <v>59.907312925741358</v>
      </c>
      <c r="AP168">
        <v>486.45719136870537</v>
      </c>
      <c r="AQ168">
        <v>371.03921708260253</v>
      </c>
      <c r="AR168">
        <v>58.153276680777289</v>
      </c>
      <c r="AS168">
        <v>279.40541606903321</v>
      </c>
      <c r="AT168">
        <v>26.899986206725647</v>
      </c>
      <c r="AU168">
        <v>18.693050787187914</v>
      </c>
      <c r="AV168"/>
      <c r="AW168"/>
      <c r="AX168" s="128"/>
      <c r="AY168" s="76">
        <f t="shared" ca="1" si="169"/>
        <v>0.7733992073546716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4"/>
        <v>0.15231582177867509</v>
      </c>
      <c r="CL168" s="179">
        <f t="shared" si="205"/>
        <v>1</v>
      </c>
      <c r="CM168" s="180">
        <f t="shared" si="206"/>
        <v>39949</v>
      </c>
      <c r="CN168">
        <v>0</v>
      </c>
      <c r="CO168"/>
      <c r="CP168">
        <v>1</v>
      </c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07"/>
        <v>9.6000000000000002E-2</v>
      </c>
      <c r="DB168" s="128"/>
      <c r="DC168" s="76">
        <f t="shared" ca="1" si="170"/>
        <v>0.66511404630596438</v>
      </c>
      <c r="DD168">
        <f t="shared" si="208"/>
        <v>1</v>
      </c>
      <c r="DE168" s="129">
        <f t="shared" ref="DE168:DE177" si="242">IF((DD168)="", "", $C$12)</f>
        <v>39949</v>
      </c>
      <c r="DF168" s="161">
        <f t="shared" si="209"/>
        <v>0</v>
      </c>
      <c r="DG168" s="161">
        <f t="shared" si="210"/>
        <v>0</v>
      </c>
      <c r="DH168" s="161">
        <f t="shared" si="211"/>
        <v>40.788152610441763</v>
      </c>
      <c r="DI168" s="161">
        <f t="shared" si="212"/>
        <v>0</v>
      </c>
      <c r="DJ168" s="161">
        <f t="shared" si="213"/>
        <v>0</v>
      </c>
      <c r="DK168" s="161">
        <f t="shared" si="214"/>
        <v>0</v>
      </c>
      <c r="DL168" s="161">
        <f t="shared" si="215"/>
        <v>0</v>
      </c>
      <c r="DM168" s="161">
        <f t="shared" si="216"/>
        <v>0</v>
      </c>
      <c r="DN168" s="161">
        <f t="shared" si="217"/>
        <v>0</v>
      </c>
      <c r="DO168" s="161">
        <f t="shared" si="218"/>
        <v>0</v>
      </c>
      <c r="DP168" s="161">
        <f t="shared" si="219"/>
        <v>0</v>
      </c>
      <c r="DQ168" s="161">
        <f t="shared" si="220"/>
        <v>0</v>
      </c>
      <c r="DR168" s="161">
        <f t="shared" si="221"/>
        <v>0</v>
      </c>
      <c r="DS168" s="161">
        <f t="shared" si="222"/>
        <v>0</v>
      </c>
      <c r="DT168" s="161">
        <f t="shared" si="223"/>
        <v>0</v>
      </c>
      <c r="DU168" s="161">
        <f t="shared" si="224"/>
        <v>0</v>
      </c>
      <c r="DV168" s="161">
        <f t="shared" si="225"/>
        <v>0</v>
      </c>
      <c r="DW168" s="161">
        <f t="shared" si="226"/>
        <v>0</v>
      </c>
      <c r="DX168" s="161">
        <f t="shared" si="227"/>
        <v>0</v>
      </c>
      <c r="DY168" s="161">
        <f t="shared" si="228"/>
        <v>0</v>
      </c>
      <c r="DZ168" s="161">
        <f t="shared" si="229"/>
        <v>0</v>
      </c>
      <c r="EA168" s="161">
        <f t="shared" si="230"/>
        <v>0</v>
      </c>
      <c r="EB168" s="161">
        <f t="shared" si="231"/>
        <v>0</v>
      </c>
      <c r="EC168" s="161">
        <f t="shared" si="232"/>
        <v>0</v>
      </c>
      <c r="ED168" s="161">
        <f t="shared" si="233"/>
        <v>0</v>
      </c>
      <c r="EE168" s="161">
        <f t="shared" si="234"/>
        <v>0</v>
      </c>
      <c r="EF168" s="161">
        <f t="shared" si="235"/>
        <v>0</v>
      </c>
      <c r="EG168" s="161">
        <f t="shared" si="236"/>
        <v>0</v>
      </c>
      <c r="EH168" s="161">
        <f t="shared" si="237"/>
        <v>0</v>
      </c>
      <c r="EI168" s="161">
        <f t="shared" si="238"/>
        <v>0</v>
      </c>
      <c r="EJ168" s="161">
        <f t="shared" si="239"/>
        <v>0</v>
      </c>
      <c r="EK168" s="147">
        <f t="shared" si="171"/>
        <v>40.788152610441763</v>
      </c>
      <c r="EL168" s="149"/>
      <c r="EN168" s="146"/>
      <c r="EO168" s="146"/>
      <c r="EP168" s="139">
        <f t="shared" si="172"/>
        <v>0</v>
      </c>
      <c r="EQ168" s="139">
        <f t="shared" si="173"/>
        <v>0</v>
      </c>
      <c r="ER168" s="139">
        <f t="shared" si="174"/>
        <v>1.6056645567735963</v>
      </c>
      <c r="ES168" s="139">
        <f t="shared" si="175"/>
        <v>0</v>
      </c>
      <c r="ET168" s="139">
        <f t="shared" si="176"/>
        <v>0</v>
      </c>
      <c r="EU168" s="139">
        <f t="shared" si="177"/>
        <v>0</v>
      </c>
      <c r="EV168" s="139">
        <f t="shared" si="178"/>
        <v>0</v>
      </c>
      <c r="EW168" s="139">
        <f t="shared" si="179"/>
        <v>0</v>
      </c>
      <c r="EX168" s="139">
        <f t="shared" si="180"/>
        <v>0</v>
      </c>
      <c r="EY168" s="139">
        <f t="shared" si="181"/>
        <v>0</v>
      </c>
      <c r="EZ168" s="139">
        <f t="shared" si="182"/>
        <v>0</v>
      </c>
      <c r="FA168" s="139">
        <f t="shared" si="183"/>
        <v>0</v>
      </c>
      <c r="FB168" s="139">
        <f t="shared" si="184"/>
        <v>0</v>
      </c>
      <c r="FC168" s="139">
        <f t="shared" si="185"/>
        <v>0</v>
      </c>
      <c r="FD168" s="139">
        <f t="shared" si="186"/>
        <v>0</v>
      </c>
      <c r="FE168" s="139">
        <f t="shared" si="187"/>
        <v>0</v>
      </c>
      <c r="FF168" s="139">
        <f t="shared" si="188"/>
        <v>0</v>
      </c>
      <c r="FG168" s="139">
        <f t="shared" si="189"/>
        <v>0</v>
      </c>
      <c r="FH168" s="139">
        <f t="shared" si="190"/>
        <v>0</v>
      </c>
      <c r="FI168" s="139">
        <f t="shared" si="191"/>
        <v>0</v>
      </c>
      <c r="FJ168" s="139">
        <f t="shared" si="192"/>
        <v>0</v>
      </c>
      <c r="FK168" s="139">
        <f t="shared" si="193"/>
        <v>0</v>
      </c>
      <c r="FL168" s="139">
        <f t="shared" si="194"/>
        <v>0</v>
      </c>
      <c r="FM168" s="139">
        <f t="shared" si="195"/>
        <v>0</v>
      </c>
      <c r="FN168" s="139">
        <f t="shared" si="196"/>
        <v>0</v>
      </c>
      <c r="FO168" s="139">
        <f t="shared" si="197"/>
        <v>0</v>
      </c>
      <c r="FP168" s="139">
        <f t="shared" si="198"/>
        <v>0</v>
      </c>
      <c r="FQ168" s="139">
        <f t="shared" si="199"/>
        <v>0</v>
      </c>
      <c r="FR168" s="139">
        <f t="shared" si="200"/>
        <v>0</v>
      </c>
      <c r="FS168" s="139">
        <f t="shared" si="201"/>
        <v>0</v>
      </c>
      <c r="FT168" s="139">
        <f t="shared" si="202"/>
        <v>0</v>
      </c>
      <c r="FU168" s="148">
        <f t="shared" si="203"/>
        <v>1.6056645567735963</v>
      </c>
      <c r="FV168" s="149"/>
      <c r="FY168" s="211">
        <v>163</v>
      </c>
      <c r="FZ168">
        <v>62.057199601087454</v>
      </c>
      <c r="GA168">
        <v>93.179811947867933</v>
      </c>
      <c r="GB168">
        <v>39.526737040191108</v>
      </c>
      <c r="GC168">
        <v>19.825346921104618</v>
      </c>
      <c r="GD168">
        <v>17.331236744010521</v>
      </c>
      <c r="GE168">
        <v>33.725231261588242</v>
      </c>
      <c r="GF168">
        <v>22.577554577819722</v>
      </c>
      <c r="GG168">
        <v>10.728304678090682</v>
      </c>
      <c r="GH168">
        <v>24.421395668642859</v>
      </c>
      <c r="GI168">
        <v>38.561899800998582</v>
      </c>
      <c r="GJ168"/>
      <c r="GK168"/>
      <c r="GL168"/>
      <c r="GM168"/>
    </row>
    <row r="169" spans="1:195" s="7" customFormat="1">
      <c r="A169" s="1"/>
      <c r="B169" s="76">
        <f ca="1">IF(C169="", "", RAND())</f>
        <v>0.95085718573633149</v>
      </c>
      <c r="C169">
        <v>7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20.833333333333332</v>
      </c>
      <c r="M169">
        <v>0</v>
      </c>
      <c r="N169">
        <v>31.25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222.48447335813762</v>
      </c>
      <c r="AO169">
        <v>64.503122830992709</v>
      </c>
      <c r="AP169">
        <v>493.0355472341729</v>
      </c>
      <c r="AQ169">
        <v>378.50704898816997</v>
      </c>
      <c r="AR169">
        <v>62.783086471529273</v>
      </c>
      <c r="AS169">
        <v>303.44368950189801</v>
      </c>
      <c r="AT169">
        <v>31.040522123209158</v>
      </c>
      <c r="AU169">
        <v>51.239364752215451</v>
      </c>
      <c r="AV169"/>
      <c r="AW169"/>
      <c r="AX169" s="146"/>
      <c r="AY169" s="76">
        <f t="shared" ca="1" si="169"/>
        <v>0.68479440909091083</v>
      </c>
      <c r="AZ169">
        <v>2</v>
      </c>
      <c r="BA169" s="129">
        <f t="shared" ref="BA169:BA177" si="243">IF(AZ169="", "",$C$12)</f>
        <v>39949</v>
      </c>
      <c r="BB169">
        <v>0</v>
      </c>
      <c r="BC169"/>
      <c r="BD169"/>
      <c r="BE169">
        <v>0</v>
      </c>
      <c r="BF169">
        <v>1</v>
      </c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4"/>
        <v>0.45665926387994116</v>
      </c>
      <c r="CL169" s="179">
        <f t="shared" si="205"/>
        <v>2</v>
      </c>
      <c r="CM169" s="180">
        <f t="shared" si="206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07"/>
        <v>9.6000000000000002E-2</v>
      </c>
      <c r="DB169" s="146"/>
      <c r="DC169" s="76">
        <f t="shared" ca="1" si="170"/>
        <v>4.4502034284477965E-2</v>
      </c>
      <c r="DD169">
        <f t="shared" si="208"/>
        <v>2</v>
      </c>
      <c r="DE169" s="129">
        <f t="shared" si="242"/>
        <v>39949</v>
      </c>
      <c r="DF169" s="161">
        <f t="shared" si="209"/>
        <v>0</v>
      </c>
      <c r="DG169" s="161">
        <f t="shared" si="210"/>
        <v>0</v>
      </c>
      <c r="DH169" s="161">
        <f t="shared" si="211"/>
        <v>0</v>
      </c>
      <c r="DI169" s="161">
        <f t="shared" si="212"/>
        <v>0</v>
      </c>
      <c r="DJ169" s="161">
        <f t="shared" si="213"/>
        <v>10.416666666666666</v>
      </c>
      <c r="DK169" s="161">
        <f t="shared" si="214"/>
        <v>0</v>
      </c>
      <c r="DL169" s="161">
        <f t="shared" si="215"/>
        <v>0</v>
      </c>
      <c r="DM169" s="161">
        <f t="shared" si="216"/>
        <v>0</v>
      </c>
      <c r="DN169" s="161">
        <f t="shared" si="217"/>
        <v>0</v>
      </c>
      <c r="DO169" s="161">
        <f t="shared" si="218"/>
        <v>0</v>
      </c>
      <c r="DP169" s="161">
        <f t="shared" si="219"/>
        <v>0</v>
      </c>
      <c r="DQ169" s="161">
        <f t="shared" si="220"/>
        <v>0</v>
      </c>
      <c r="DR169" s="161">
        <f t="shared" si="221"/>
        <v>0</v>
      </c>
      <c r="DS169" s="161">
        <f t="shared" si="222"/>
        <v>0</v>
      </c>
      <c r="DT169" s="161">
        <f t="shared" si="223"/>
        <v>0</v>
      </c>
      <c r="DU169" s="161">
        <f t="shared" si="224"/>
        <v>0</v>
      </c>
      <c r="DV169" s="161">
        <f t="shared" si="225"/>
        <v>0</v>
      </c>
      <c r="DW169" s="161">
        <f t="shared" si="226"/>
        <v>0</v>
      </c>
      <c r="DX169" s="161">
        <f t="shared" si="227"/>
        <v>0</v>
      </c>
      <c r="DY169" s="161">
        <f t="shared" si="228"/>
        <v>0</v>
      </c>
      <c r="DZ169" s="161">
        <f t="shared" si="229"/>
        <v>0</v>
      </c>
      <c r="EA169" s="161">
        <f t="shared" si="230"/>
        <v>0</v>
      </c>
      <c r="EB169" s="161">
        <f t="shared" si="231"/>
        <v>0</v>
      </c>
      <c r="EC169" s="161">
        <f t="shared" si="232"/>
        <v>0</v>
      </c>
      <c r="ED169" s="161">
        <f t="shared" si="233"/>
        <v>0</v>
      </c>
      <c r="EE169" s="161">
        <f t="shared" si="234"/>
        <v>0</v>
      </c>
      <c r="EF169" s="161">
        <f t="shared" si="235"/>
        <v>0</v>
      </c>
      <c r="EG169" s="161">
        <f t="shared" si="236"/>
        <v>0</v>
      </c>
      <c r="EH169" s="161">
        <f t="shared" si="237"/>
        <v>0</v>
      </c>
      <c r="EI169" s="161">
        <f t="shared" si="238"/>
        <v>0</v>
      </c>
      <c r="EJ169" s="161">
        <f t="shared" si="239"/>
        <v>0</v>
      </c>
      <c r="EK169" s="147">
        <f t="shared" si="171"/>
        <v>10.416666666666666</v>
      </c>
      <c r="EL169" s="149"/>
      <c r="EN169" s="146"/>
      <c r="EO169" s="146"/>
      <c r="EP169" s="139">
        <f t="shared" si="172"/>
        <v>0</v>
      </c>
      <c r="EQ169" s="139">
        <f t="shared" si="173"/>
        <v>0</v>
      </c>
      <c r="ER169" s="139">
        <f t="shared" si="174"/>
        <v>0</v>
      </c>
      <c r="ES169" s="139">
        <f t="shared" si="175"/>
        <v>0</v>
      </c>
      <c r="ET169" s="139">
        <f t="shared" si="176"/>
        <v>2.7092885432593907</v>
      </c>
      <c r="EU169" s="139">
        <f t="shared" si="177"/>
        <v>0</v>
      </c>
      <c r="EV169" s="139">
        <f t="shared" si="178"/>
        <v>0</v>
      </c>
      <c r="EW169" s="139">
        <f t="shared" si="179"/>
        <v>0</v>
      </c>
      <c r="EX169" s="139">
        <f t="shared" si="180"/>
        <v>0</v>
      </c>
      <c r="EY169" s="139">
        <f t="shared" si="181"/>
        <v>0</v>
      </c>
      <c r="EZ169" s="139">
        <f t="shared" si="182"/>
        <v>0</v>
      </c>
      <c r="FA169" s="139">
        <f t="shared" si="183"/>
        <v>0</v>
      </c>
      <c r="FB169" s="139">
        <f t="shared" si="184"/>
        <v>0</v>
      </c>
      <c r="FC169" s="139">
        <f t="shared" si="185"/>
        <v>0</v>
      </c>
      <c r="FD169" s="139">
        <f t="shared" si="186"/>
        <v>0</v>
      </c>
      <c r="FE169" s="139">
        <f t="shared" si="187"/>
        <v>0</v>
      </c>
      <c r="FF169" s="139">
        <f t="shared" si="188"/>
        <v>0</v>
      </c>
      <c r="FG169" s="139">
        <f t="shared" si="189"/>
        <v>0</v>
      </c>
      <c r="FH169" s="139">
        <f t="shared" si="190"/>
        <v>0</v>
      </c>
      <c r="FI169" s="139">
        <f t="shared" si="191"/>
        <v>0</v>
      </c>
      <c r="FJ169" s="139">
        <f t="shared" si="192"/>
        <v>0</v>
      </c>
      <c r="FK169" s="139">
        <f t="shared" si="193"/>
        <v>0</v>
      </c>
      <c r="FL169" s="139">
        <f t="shared" si="194"/>
        <v>0</v>
      </c>
      <c r="FM169" s="139">
        <f t="shared" si="195"/>
        <v>0</v>
      </c>
      <c r="FN169" s="139">
        <f t="shared" si="196"/>
        <v>0</v>
      </c>
      <c r="FO169" s="139">
        <f t="shared" si="197"/>
        <v>0</v>
      </c>
      <c r="FP169" s="139">
        <f t="shared" si="198"/>
        <v>0</v>
      </c>
      <c r="FQ169" s="139">
        <f t="shared" si="199"/>
        <v>0</v>
      </c>
      <c r="FR169" s="139">
        <f t="shared" si="200"/>
        <v>0</v>
      </c>
      <c r="FS169" s="139">
        <f t="shared" si="201"/>
        <v>0</v>
      </c>
      <c r="FT169" s="139">
        <f t="shared" si="202"/>
        <v>0</v>
      </c>
      <c r="FU169" s="148">
        <f t="shared" si="203"/>
        <v>2.7092885432593907</v>
      </c>
      <c r="FV169" s="149"/>
      <c r="FY169" s="211">
        <v>164</v>
      </c>
      <c r="FZ169">
        <v>70.54810404426587</v>
      </c>
      <c r="GA169">
        <v>97.87608941200881</v>
      </c>
      <c r="GB169">
        <v>49.130613743848613</v>
      </c>
      <c r="GC169">
        <v>31.241919966963803</v>
      </c>
      <c r="GD169">
        <v>19.876017071867619</v>
      </c>
      <c r="GE169">
        <v>27.240818797206927</v>
      </c>
      <c r="GF169">
        <v>41.774152325387597</v>
      </c>
      <c r="GG169">
        <v>26.503320161291217</v>
      </c>
      <c r="GH169">
        <v>16.705760185407566</v>
      </c>
      <c r="GI169">
        <v>46.501113028212089</v>
      </c>
      <c r="GJ169"/>
      <c r="GK169"/>
      <c r="GL169"/>
      <c r="GM169"/>
    </row>
    <row r="170" spans="1:195" s="7" customFormat="1">
      <c r="A170" s="1"/>
      <c r="B170" s="76">
        <f ca="1">IF(C170="", "", RAND())</f>
        <v>0.18315519929236324</v>
      </c>
      <c r="C170">
        <v>5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228.77867646530794</v>
      </c>
      <c r="AO170">
        <v>65.753631788161414</v>
      </c>
      <c r="AP170">
        <v>474.30822499590818</v>
      </c>
      <c r="AQ170">
        <v>374.20390889602061</v>
      </c>
      <c r="AR170">
        <v>64.199498490351246</v>
      </c>
      <c r="AS170">
        <v>303.04191189930282</v>
      </c>
      <c r="AT170">
        <v>29.333685154977648</v>
      </c>
      <c r="AU170">
        <v>-0.36185126993098038</v>
      </c>
      <c r="AV170"/>
      <c r="AW170"/>
      <c r="AX170" s="146"/>
      <c r="AY170" s="76">
        <f t="shared" ca="1" si="169"/>
        <v>5.6874891327733934E-2</v>
      </c>
      <c r="AZ170">
        <v>3</v>
      </c>
      <c r="BA170" s="129">
        <f t="shared" si="243"/>
        <v>39949</v>
      </c>
      <c r="BB170">
        <v>0</v>
      </c>
      <c r="BC170" s="226"/>
      <c r="BD170" s="226"/>
      <c r="BE170" s="226"/>
      <c r="BF170" s="226"/>
      <c r="BG170"/>
      <c r="BH170"/>
      <c r="BI170"/>
      <c r="BJ170"/>
      <c r="BK170">
        <v>1</v>
      </c>
      <c r="BL170">
        <v>1</v>
      </c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4"/>
        <v>0.68335350553691487</v>
      </c>
      <c r="CL170" s="179">
        <f t="shared" si="205"/>
        <v>3</v>
      </c>
      <c r="CM170" s="180">
        <f t="shared" si="206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07"/>
        <v>9.6000000000000002E-2</v>
      </c>
      <c r="DB170" s="146"/>
      <c r="DC170" s="76">
        <f t="shared" ca="1" si="170"/>
        <v>4.3911761525860626E-2</v>
      </c>
      <c r="DD170">
        <f t="shared" si="208"/>
        <v>3</v>
      </c>
      <c r="DE170" s="129">
        <f t="shared" si="242"/>
        <v>39949</v>
      </c>
      <c r="DF170" s="161">
        <f t="shared" si="209"/>
        <v>0</v>
      </c>
      <c r="DG170" s="161">
        <f t="shared" si="210"/>
        <v>0</v>
      </c>
      <c r="DH170" s="161">
        <f t="shared" si="211"/>
        <v>0</v>
      </c>
      <c r="DI170" s="161">
        <f t="shared" si="212"/>
        <v>0</v>
      </c>
      <c r="DJ170" s="161">
        <f t="shared" si="213"/>
        <v>0</v>
      </c>
      <c r="DK170" s="161">
        <f t="shared" si="214"/>
        <v>0</v>
      </c>
      <c r="DL170" s="161">
        <f t="shared" si="215"/>
        <v>0</v>
      </c>
      <c r="DM170" s="161">
        <f t="shared" si="216"/>
        <v>0</v>
      </c>
      <c r="DN170" s="161">
        <f t="shared" si="217"/>
        <v>0</v>
      </c>
      <c r="DO170" s="161">
        <f t="shared" si="218"/>
        <v>10.416666666666666</v>
      </c>
      <c r="DP170" s="161">
        <f t="shared" si="219"/>
        <v>10.416666666666666</v>
      </c>
      <c r="DQ170" s="161">
        <f t="shared" si="220"/>
        <v>0</v>
      </c>
      <c r="DR170" s="161">
        <f t="shared" si="221"/>
        <v>0</v>
      </c>
      <c r="DS170" s="161">
        <f t="shared" si="222"/>
        <v>0</v>
      </c>
      <c r="DT170" s="161">
        <f t="shared" si="223"/>
        <v>0</v>
      </c>
      <c r="DU170" s="161">
        <f t="shared" si="224"/>
        <v>0</v>
      </c>
      <c r="DV170" s="161">
        <f t="shared" si="225"/>
        <v>0</v>
      </c>
      <c r="DW170" s="161">
        <f t="shared" si="226"/>
        <v>0</v>
      </c>
      <c r="DX170" s="161">
        <f t="shared" si="227"/>
        <v>0</v>
      </c>
      <c r="DY170" s="161">
        <f t="shared" si="228"/>
        <v>0</v>
      </c>
      <c r="DZ170" s="161">
        <f t="shared" si="229"/>
        <v>0</v>
      </c>
      <c r="EA170" s="161">
        <f t="shared" si="230"/>
        <v>0</v>
      </c>
      <c r="EB170" s="161">
        <f t="shared" si="231"/>
        <v>0</v>
      </c>
      <c r="EC170" s="161">
        <f t="shared" si="232"/>
        <v>0</v>
      </c>
      <c r="ED170" s="161">
        <f t="shared" si="233"/>
        <v>0</v>
      </c>
      <c r="EE170" s="161">
        <f t="shared" si="234"/>
        <v>0</v>
      </c>
      <c r="EF170" s="161">
        <f t="shared" si="235"/>
        <v>0</v>
      </c>
      <c r="EG170" s="161">
        <f t="shared" si="236"/>
        <v>0</v>
      </c>
      <c r="EH170" s="161">
        <f t="shared" si="237"/>
        <v>0</v>
      </c>
      <c r="EI170" s="161">
        <f t="shared" si="238"/>
        <v>0</v>
      </c>
      <c r="EJ170" s="161">
        <f t="shared" si="239"/>
        <v>0</v>
      </c>
      <c r="EK170" s="147">
        <f t="shared" si="171"/>
        <v>20.833333333333332</v>
      </c>
      <c r="EL170" s="149"/>
      <c r="EN170" s="146"/>
      <c r="EO170" s="146"/>
      <c r="EP170" s="139">
        <f t="shared" si="172"/>
        <v>0</v>
      </c>
      <c r="EQ170" s="139">
        <f t="shared" si="173"/>
        <v>0</v>
      </c>
      <c r="ER170" s="139">
        <f t="shared" si="174"/>
        <v>0</v>
      </c>
      <c r="ES170" s="139">
        <f t="shared" si="175"/>
        <v>0</v>
      </c>
      <c r="ET170" s="139">
        <f t="shared" si="176"/>
        <v>0</v>
      </c>
      <c r="EU170" s="139">
        <f t="shared" si="177"/>
        <v>0</v>
      </c>
      <c r="EV170" s="139">
        <f t="shared" si="178"/>
        <v>0</v>
      </c>
      <c r="EW170" s="139">
        <f t="shared" si="179"/>
        <v>0</v>
      </c>
      <c r="EX170" s="139">
        <f t="shared" si="180"/>
        <v>0</v>
      </c>
      <c r="EY170" s="139">
        <f t="shared" si="181"/>
        <v>24.67177750531274</v>
      </c>
      <c r="EZ170" s="139">
        <f t="shared" si="182"/>
        <v>32.873340952034148</v>
      </c>
      <c r="FA170" s="139">
        <f t="shared" si="183"/>
        <v>0</v>
      </c>
      <c r="FB170" s="139">
        <f t="shared" si="184"/>
        <v>0</v>
      </c>
      <c r="FC170" s="139">
        <f t="shared" si="185"/>
        <v>0</v>
      </c>
      <c r="FD170" s="139">
        <f t="shared" si="186"/>
        <v>0</v>
      </c>
      <c r="FE170" s="139">
        <f t="shared" si="187"/>
        <v>0</v>
      </c>
      <c r="FF170" s="139">
        <f t="shared" si="188"/>
        <v>0</v>
      </c>
      <c r="FG170" s="139">
        <f t="shared" si="189"/>
        <v>0</v>
      </c>
      <c r="FH170" s="139">
        <f t="shared" si="190"/>
        <v>0</v>
      </c>
      <c r="FI170" s="139">
        <f t="shared" si="191"/>
        <v>0</v>
      </c>
      <c r="FJ170" s="139">
        <f t="shared" si="192"/>
        <v>0</v>
      </c>
      <c r="FK170" s="139">
        <f t="shared" si="193"/>
        <v>0</v>
      </c>
      <c r="FL170" s="139">
        <f t="shared" si="194"/>
        <v>0</v>
      </c>
      <c r="FM170" s="139">
        <f t="shared" si="195"/>
        <v>0</v>
      </c>
      <c r="FN170" s="139">
        <f t="shared" si="196"/>
        <v>0</v>
      </c>
      <c r="FO170" s="139">
        <f t="shared" si="197"/>
        <v>0</v>
      </c>
      <c r="FP170" s="139">
        <f t="shared" si="198"/>
        <v>0</v>
      </c>
      <c r="FQ170" s="139">
        <f t="shared" si="199"/>
        <v>0</v>
      </c>
      <c r="FR170" s="139">
        <f t="shared" si="200"/>
        <v>0</v>
      </c>
      <c r="FS170" s="139">
        <f t="shared" si="201"/>
        <v>0</v>
      </c>
      <c r="FT170" s="139">
        <f t="shared" si="202"/>
        <v>0</v>
      </c>
      <c r="FU170" s="148">
        <f t="shared" si="203"/>
        <v>57.545118457346888</v>
      </c>
      <c r="FV170" s="149"/>
      <c r="FY170" s="211">
        <v>165</v>
      </c>
      <c r="FZ170">
        <v>61.736511004087724</v>
      </c>
      <c r="GA170">
        <v>90.286748017914917</v>
      </c>
      <c r="GB170">
        <v>49.725846012930724</v>
      </c>
      <c r="GC170">
        <v>25.007906404739163</v>
      </c>
      <c r="GD170">
        <v>12.131388858075765</v>
      </c>
      <c r="GE170">
        <v>25.655674431590878</v>
      </c>
      <c r="GF170">
        <v>53.933486080892457</v>
      </c>
      <c r="GG170">
        <v>36.629867626236802</v>
      </c>
      <c r="GH170">
        <v>28.569545413020467</v>
      </c>
      <c r="GI170">
        <v>44.913502164893835</v>
      </c>
      <c r="GJ170"/>
      <c r="GK170"/>
      <c r="GL170"/>
      <c r="GM170"/>
    </row>
    <row r="171" spans="1:195" s="7" customFormat="1">
      <c r="A171" s="1"/>
      <c r="B171" s="76">
        <f ca="1">IF(C171="", "", RAND())</f>
        <v>0.14862084187943081</v>
      </c>
      <c r="C171">
        <v>4</v>
      </c>
      <c r="D171">
        <v>39949</v>
      </c>
      <c r="E171">
        <v>0</v>
      </c>
      <c r="F171">
        <v>0</v>
      </c>
      <c r="G171">
        <v>45.662100456620998</v>
      </c>
      <c r="H171">
        <v>0</v>
      </c>
      <c r="I171">
        <v>45.662100456620998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200.37206803642724</v>
      </c>
      <c r="AO171">
        <v>66.134614617988021</v>
      </c>
      <c r="AP171">
        <v>518.80319275996203</v>
      </c>
      <c r="AQ171">
        <v>393.55133389069709</v>
      </c>
      <c r="AR171">
        <v>64.764809841616199</v>
      </c>
      <c r="AS171">
        <v>296.41665660058715</v>
      </c>
      <c r="AT171">
        <v>30.593568165757763</v>
      </c>
      <c r="AU171">
        <v>7.3299284564310589</v>
      </c>
      <c r="AV171"/>
      <c r="AW171"/>
      <c r="AX171" s="146"/>
      <c r="AY171" s="76">
        <f t="shared" ca="1" si="169"/>
        <v>0.69556667663500082</v>
      </c>
      <c r="AZ171">
        <v>4</v>
      </c>
      <c r="BA171" s="129">
        <f t="shared" si="243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4"/>
        <v>0.31580690333047468</v>
      </c>
      <c r="CL171" s="179">
        <f t="shared" si="205"/>
        <v>4</v>
      </c>
      <c r="CM171" s="180">
        <f t="shared" si="206"/>
        <v>39949</v>
      </c>
      <c r="CN171">
        <v>0</v>
      </c>
      <c r="CO171"/>
      <c r="CP171">
        <v>1</v>
      </c>
      <c r="CQ171"/>
      <c r="CR171">
        <v>1</v>
      </c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07"/>
        <v>9.6000000000000002E-2</v>
      </c>
      <c r="DB171" s="146"/>
      <c r="DC171" s="76">
        <f t="shared" ca="1" si="170"/>
        <v>0.37265965661660894</v>
      </c>
      <c r="DD171">
        <f t="shared" si="208"/>
        <v>4</v>
      </c>
      <c r="DE171" s="129">
        <f t="shared" si="242"/>
        <v>39949</v>
      </c>
      <c r="DF171" s="161">
        <f t="shared" si="209"/>
        <v>0</v>
      </c>
      <c r="DG171" s="161">
        <f t="shared" si="210"/>
        <v>0</v>
      </c>
      <c r="DH171" s="161">
        <f t="shared" si="211"/>
        <v>45.662100456620998</v>
      </c>
      <c r="DI171" s="161">
        <f t="shared" si="212"/>
        <v>0</v>
      </c>
      <c r="DJ171" s="161">
        <f t="shared" si="213"/>
        <v>45.662100456620998</v>
      </c>
      <c r="DK171" s="161">
        <f t="shared" si="214"/>
        <v>0</v>
      </c>
      <c r="DL171" s="161">
        <f t="shared" si="215"/>
        <v>0</v>
      </c>
      <c r="DM171" s="161">
        <f t="shared" si="216"/>
        <v>0</v>
      </c>
      <c r="DN171" s="161">
        <f t="shared" si="217"/>
        <v>0</v>
      </c>
      <c r="DO171" s="161">
        <f t="shared" si="218"/>
        <v>0</v>
      </c>
      <c r="DP171" s="161">
        <f t="shared" si="219"/>
        <v>0</v>
      </c>
      <c r="DQ171" s="161">
        <f t="shared" si="220"/>
        <v>0</v>
      </c>
      <c r="DR171" s="161">
        <f t="shared" si="221"/>
        <v>0</v>
      </c>
      <c r="DS171" s="161">
        <f t="shared" si="222"/>
        <v>0</v>
      </c>
      <c r="DT171" s="161">
        <f t="shared" si="223"/>
        <v>0</v>
      </c>
      <c r="DU171" s="161">
        <f t="shared" si="224"/>
        <v>0</v>
      </c>
      <c r="DV171" s="161">
        <f t="shared" si="225"/>
        <v>0</v>
      </c>
      <c r="DW171" s="161">
        <f t="shared" si="226"/>
        <v>0</v>
      </c>
      <c r="DX171" s="161">
        <f t="shared" si="227"/>
        <v>0</v>
      </c>
      <c r="DY171" s="161">
        <f t="shared" si="228"/>
        <v>0</v>
      </c>
      <c r="DZ171" s="161">
        <f t="shared" si="229"/>
        <v>0</v>
      </c>
      <c r="EA171" s="161">
        <f t="shared" si="230"/>
        <v>0</v>
      </c>
      <c r="EB171" s="161">
        <f t="shared" si="231"/>
        <v>0</v>
      </c>
      <c r="EC171" s="161">
        <f t="shared" si="232"/>
        <v>0</v>
      </c>
      <c r="ED171" s="161">
        <f t="shared" si="233"/>
        <v>0</v>
      </c>
      <c r="EE171" s="161">
        <f t="shared" si="234"/>
        <v>0</v>
      </c>
      <c r="EF171" s="161">
        <f t="shared" si="235"/>
        <v>0</v>
      </c>
      <c r="EG171" s="161">
        <f t="shared" si="236"/>
        <v>0</v>
      </c>
      <c r="EH171" s="161">
        <f t="shared" si="237"/>
        <v>0</v>
      </c>
      <c r="EI171" s="161">
        <f t="shared" si="238"/>
        <v>0</v>
      </c>
      <c r="EJ171" s="161">
        <f t="shared" si="239"/>
        <v>0</v>
      </c>
      <c r="EK171" s="147">
        <f t="shared" si="171"/>
        <v>91.324200913241995</v>
      </c>
      <c r="EL171" s="149"/>
      <c r="EN171" s="146"/>
      <c r="EO171" s="146"/>
      <c r="EP171" s="139">
        <f t="shared" si="172"/>
        <v>0</v>
      </c>
      <c r="EQ171" s="139">
        <f t="shared" si="173"/>
        <v>0</v>
      </c>
      <c r="ER171" s="139">
        <f t="shared" si="174"/>
        <v>1.7975321655598195</v>
      </c>
      <c r="ES171" s="139">
        <f t="shared" si="175"/>
        <v>0</v>
      </c>
      <c r="ET171" s="139">
        <f t="shared" si="176"/>
        <v>11.876333340315135</v>
      </c>
      <c r="EU171" s="139">
        <f t="shared" si="177"/>
        <v>0</v>
      </c>
      <c r="EV171" s="139">
        <f t="shared" si="178"/>
        <v>0</v>
      </c>
      <c r="EW171" s="139">
        <f t="shared" si="179"/>
        <v>0</v>
      </c>
      <c r="EX171" s="139">
        <f t="shared" si="180"/>
        <v>0</v>
      </c>
      <c r="EY171" s="139">
        <f t="shared" si="181"/>
        <v>0</v>
      </c>
      <c r="EZ171" s="139">
        <f t="shared" si="182"/>
        <v>0</v>
      </c>
      <c r="FA171" s="139">
        <f t="shared" si="183"/>
        <v>0</v>
      </c>
      <c r="FB171" s="139">
        <f t="shared" si="184"/>
        <v>0</v>
      </c>
      <c r="FC171" s="139">
        <f t="shared" si="185"/>
        <v>0</v>
      </c>
      <c r="FD171" s="139">
        <f t="shared" si="186"/>
        <v>0</v>
      </c>
      <c r="FE171" s="139">
        <f t="shared" si="187"/>
        <v>0</v>
      </c>
      <c r="FF171" s="139">
        <f t="shared" si="188"/>
        <v>0</v>
      </c>
      <c r="FG171" s="139">
        <f t="shared" si="189"/>
        <v>0</v>
      </c>
      <c r="FH171" s="139">
        <f t="shared" si="190"/>
        <v>0</v>
      </c>
      <c r="FI171" s="139">
        <f t="shared" si="191"/>
        <v>0</v>
      </c>
      <c r="FJ171" s="139">
        <f t="shared" si="192"/>
        <v>0</v>
      </c>
      <c r="FK171" s="139">
        <f t="shared" si="193"/>
        <v>0</v>
      </c>
      <c r="FL171" s="139">
        <f t="shared" si="194"/>
        <v>0</v>
      </c>
      <c r="FM171" s="139">
        <f t="shared" si="195"/>
        <v>0</v>
      </c>
      <c r="FN171" s="139">
        <f t="shared" si="196"/>
        <v>0</v>
      </c>
      <c r="FO171" s="139">
        <f t="shared" si="197"/>
        <v>0</v>
      </c>
      <c r="FP171" s="139">
        <f t="shared" si="198"/>
        <v>0</v>
      </c>
      <c r="FQ171" s="139">
        <f t="shared" si="199"/>
        <v>0</v>
      </c>
      <c r="FR171" s="139">
        <f t="shared" si="200"/>
        <v>0</v>
      </c>
      <c r="FS171" s="139">
        <f t="shared" si="201"/>
        <v>0</v>
      </c>
      <c r="FT171" s="139">
        <f t="shared" si="202"/>
        <v>0</v>
      </c>
      <c r="FU171" s="148">
        <f t="shared" si="203"/>
        <v>13.673865505874954</v>
      </c>
      <c r="FV171" s="149"/>
      <c r="FY171" s="211">
        <v>166</v>
      </c>
      <c r="FZ171">
        <v>70.60065659017792</v>
      </c>
      <c r="GA171">
        <v>82.992073557354118</v>
      </c>
      <c r="GB171">
        <v>29.881993331643098</v>
      </c>
      <c r="GC171">
        <v>22.55354406448355</v>
      </c>
      <c r="GD171">
        <v>17.151278038526332</v>
      </c>
      <c r="GE171">
        <v>27.21916883119037</v>
      </c>
      <c r="GF171">
        <v>28.604210641680929</v>
      </c>
      <c r="GG171">
        <v>16.137387434588291</v>
      </c>
      <c r="GH171">
        <v>21.996170129713981</v>
      </c>
      <c r="GI171">
        <v>38.177610797260087</v>
      </c>
      <c r="GJ171"/>
      <c r="GK171"/>
      <c r="GL171"/>
      <c r="GM171"/>
    </row>
    <row r="172" spans="1:195" s="7" customFormat="1">
      <c r="A172" s="1"/>
      <c r="B172" s="76">
        <f ca="1">IF(C172="", "", RAND())</f>
        <v>0.74286813931027229</v>
      </c>
      <c r="C172">
        <v>2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10.416666666666666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254.09700846618162</v>
      </c>
      <c r="AO172">
        <v>67.226713144178447</v>
      </c>
      <c r="AP172">
        <v>503.8867412216544</v>
      </c>
      <c r="AQ172">
        <v>412.21794759759575</v>
      </c>
      <c r="AR172">
        <v>65.81673804806654</v>
      </c>
      <c r="AS172">
        <v>329.09347725117283</v>
      </c>
      <c r="AT172">
        <v>31.365469603627758</v>
      </c>
      <c r="AU172">
        <v>7.5174402150733926</v>
      </c>
      <c r="AV172"/>
      <c r="AW172"/>
      <c r="AX172" s="146"/>
      <c r="AY172" s="76">
        <f t="shared" ca="1" si="169"/>
        <v>0.3727035711067721</v>
      </c>
      <c r="AZ172">
        <v>5</v>
      </c>
      <c r="BA172" s="129">
        <f t="shared" si="243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4"/>
        <v>0.91563093474910673</v>
      </c>
      <c r="CL172" s="179">
        <f t="shared" si="205"/>
        <v>5</v>
      </c>
      <c r="CM172" s="180">
        <f t="shared" si="206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07"/>
        <v>9.6000000000000002E-2</v>
      </c>
      <c r="DB172" s="146"/>
      <c r="DC172" s="76">
        <f t="shared" ca="1" si="170"/>
        <v>0.18100848636806166</v>
      </c>
      <c r="DD172">
        <f t="shared" si="208"/>
        <v>5</v>
      </c>
      <c r="DE172" s="129">
        <f t="shared" si="242"/>
        <v>39949</v>
      </c>
      <c r="DF172" s="161">
        <f t="shared" si="209"/>
        <v>0</v>
      </c>
      <c r="DG172" s="161">
        <f t="shared" si="210"/>
        <v>0</v>
      </c>
      <c r="DH172" s="161">
        <f t="shared" si="211"/>
        <v>0</v>
      </c>
      <c r="DI172" s="161">
        <f t="shared" si="212"/>
        <v>0</v>
      </c>
      <c r="DJ172" s="161">
        <f t="shared" si="213"/>
        <v>0</v>
      </c>
      <c r="DK172" s="161">
        <f t="shared" si="214"/>
        <v>0</v>
      </c>
      <c r="DL172" s="161">
        <f t="shared" si="215"/>
        <v>0</v>
      </c>
      <c r="DM172" s="161">
        <f t="shared" si="216"/>
        <v>0</v>
      </c>
      <c r="DN172" s="161">
        <f t="shared" si="217"/>
        <v>0</v>
      </c>
      <c r="DO172" s="161">
        <f t="shared" si="218"/>
        <v>0</v>
      </c>
      <c r="DP172" s="161">
        <f t="shared" si="219"/>
        <v>0</v>
      </c>
      <c r="DQ172" s="161">
        <f t="shared" si="220"/>
        <v>0</v>
      </c>
      <c r="DR172" s="161">
        <f t="shared" si="221"/>
        <v>0</v>
      </c>
      <c r="DS172" s="161">
        <f t="shared" si="222"/>
        <v>0</v>
      </c>
      <c r="DT172" s="161">
        <f t="shared" si="223"/>
        <v>0</v>
      </c>
      <c r="DU172" s="161">
        <f t="shared" si="224"/>
        <v>0</v>
      </c>
      <c r="DV172" s="161">
        <f t="shared" si="225"/>
        <v>0</v>
      </c>
      <c r="DW172" s="161">
        <f t="shared" si="226"/>
        <v>0</v>
      </c>
      <c r="DX172" s="161">
        <f t="shared" si="227"/>
        <v>0</v>
      </c>
      <c r="DY172" s="161">
        <f t="shared" si="228"/>
        <v>0</v>
      </c>
      <c r="DZ172" s="161">
        <f t="shared" si="229"/>
        <v>0</v>
      </c>
      <c r="EA172" s="161">
        <f t="shared" si="230"/>
        <v>0</v>
      </c>
      <c r="EB172" s="161">
        <f t="shared" si="231"/>
        <v>0</v>
      </c>
      <c r="EC172" s="161">
        <f t="shared" si="232"/>
        <v>0</v>
      </c>
      <c r="ED172" s="161">
        <f t="shared" si="233"/>
        <v>0</v>
      </c>
      <c r="EE172" s="161">
        <f t="shared" si="234"/>
        <v>0</v>
      </c>
      <c r="EF172" s="161">
        <f t="shared" si="235"/>
        <v>0</v>
      </c>
      <c r="EG172" s="161">
        <f t="shared" si="236"/>
        <v>0</v>
      </c>
      <c r="EH172" s="161">
        <f t="shared" si="237"/>
        <v>0</v>
      </c>
      <c r="EI172" s="161">
        <f t="shared" si="238"/>
        <v>0</v>
      </c>
      <c r="EJ172" s="161">
        <f t="shared" si="239"/>
        <v>0</v>
      </c>
      <c r="EK172" s="147">
        <f t="shared" si="171"/>
        <v>0</v>
      </c>
      <c r="EL172" s="149"/>
      <c r="EN172" s="146"/>
      <c r="EO172" s="146"/>
      <c r="EP172" s="139">
        <f t="shared" si="172"/>
        <v>0</v>
      </c>
      <c r="EQ172" s="139">
        <f t="shared" si="173"/>
        <v>0</v>
      </c>
      <c r="ER172" s="139">
        <f t="shared" si="174"/>
        <v>0</v>
      </c>
      <c r="ES172" s="139">
        <f t="shared" si="175"/>
        <v>0</v>
      </c>
      <c r="ET172" s="139">
        <f t="shared" si="176"/>
        <v>0</v>
      </c>
      <c r="EU172" s="139">
        <f t="shared" si="177"/>
        <v>0</v>
      </c>
      <c r="EV172" s="139">
        <f t="shared" si="178"/>
        <v>0</v>
      </c>
      <c r="EW172" s="139">
        <f t="shared" si="179"/>
        <v>0</v>
      </c>
      <c r="EX172" s="139">
        <f t="shared" si="180"/>
        <v>0</v>
      </c>
      <c r="EY172" s="139">
        <f t="shared" si="181"/>
        <v>0</v>
      </c>
      <c r="EZ172" s="139">
        <f t="shared" si="182"/>
        <v>0</v>
      </c>
      <c r="FA172" s="139">
        <f t="shared" si="183"/>
        <v>0</v>
      </c>
      <c r="FB172" s="139">
        <f t="shared" si="184"/>
        <v>0</v>
      </c>
      <c r="FC172" s="139">
        <f t="shared" si="185"/>
        <v>0</v>
      </c>
      <c r="FD172" s="139">
        <f t="shared" si="186"/>
        <v>0</v>
      </c>
      <c r="FE172" s="139">
        <f t="shared" si="187"/>
        <v>0</v>
      </c>
      <c r="FF172" s="139">
        <f t="shared" si="188"/>
        <v>0</v>
      </c>
      <c r="FG172" s="139">
        <f t="shared" si="189"/>
        <v>0</v>
      </c>
      <c r="FH172" s="139">
        <f t="shared" si="190"/>
        <v>0</v>
      </c>
      <c r="FI172" s="139">
        <f t="shared" si="191"/>
        <v>0</v>
      </c>
      <c r="FJ172" s="139">
        <f t="shared" si="192"/>
        <v>0</v>
      </c>
      <c r="FK172" s="139">
        <f t="shared" si="193"/>
        <v>0</v>
      </c>
      <c r="FL172" s="139">
        <f t="shared" si="194"/>
        <v>0</v>
      </c>
      <c r="FM172" s="139">
        <f t="shared" si="195"/>
        <v>0</v>
      </c>
      <c r="FN172" s="139">
        <f t="shared" si="196"/>
        <v>0</v>
      </c>
      <c r="FO172" s="139">
        <f t="shared" si="197"/>
        <v>0</v>
      </c>
      <c r="FP172" s="139">
        <f t="shared" si="198"/>
        <v>0</v>
      </c>
      <c r="FQ172" s="139">
        <f t="shared" si="199"/>
        <v>0</v>
      </c>
      <c r="FR172" s="139">
        <f t="shared" si="200"/>
        <v>0</v>
      </c>
      <c r="FS172" s="139">
        <f t="shared" si="201"/>
        <v>0</v>
      </c>
      <c r="FT172" s="139">
        <f t="shared" si="202"/>
        <v>0</v>
      </c>
      <c r="FU172" s="148">
        <f t="shared" si="203"/>
        <v>0</v>
      </c>
      <c r="FV172" s="149"/>
      <c r="FY172" s="211">
        <v>167</v>
      </c>
      <c r="FZ172">
        <v>82.532482835287368</v>
      </c>
      <c r="GA172">
        <v>94.851471633338505</v>
      </c>
      <c r="GB172">
        <v>42.848311651623725</v>
      </c>
      <c r="GC172">
        <v>24.682379808908927</v>
      </c>
      <c r="GD172">
        <v>13.710278826983256</v>
      </c>
      <c r="GE172">
        <v>22.570392629494229</v>
      </c>
      <c r="GF172">
        <v>58.350019468365794</v>
      </c>
      <c r="GG172">
        <v>42.510340936344853</v>
      </c>
      <c r="GH172">
        <v>14.813745353122506</v>
      </c>
      <c r="GI172">
        <v>45.94531210748243</v>
      </c>
      <c r="GJ172"/>
      <c r="GK172"/>
      <c r="GL172"/>
      <c r="GM172"/>
    </row>
    <row r="173" spans="1:195" s="7" customFormat="1">
      <c r="A173" s="1"/>
      <c r="B173" s="76">
        <f ca="1">IF(C173="", "", RAND())</f>
        <v>0.87546425636547998</v>
      </c>
      <c r="C173">
        <v>9</v>
      </c>
      <c r="D173">
        <v>39949</v>
      </c>
      <c r="E173">
        <v>0</v>
      </c>
      <c r="F173">
        <v>0</v>
      </c>
      <c r="G173">
        <v>41.666666666666664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288.61443942594531</v>
      </c>
      <c r="AO173">
        <v>90.804976516967173</v>
      </c>
      <c r="AP173">
        <v>745.36799496549452</v>
      </c>
      <c r="AQ173">
        <v>588.5154098441518</v>
      </c>
      <c r="AR173">
        <v>87.033677277225195</v>
      </c>
      <c r="AS173">
        <v>406.93489205031028</v>
      </c>
      <c r="AT173">
        <v>44.98221295355561</v>
      </c>
      <c r="AU173">
        <v>-20.615191451729437</v>
      </c>
      <c r="AV173"/>
      <c r="AW173"/>
      <c r="AX173" s="146"/>
      <c r="AY173" s="76">
        <f t="shared" ca="1" si="169"/>
        <v>0.36669814923717503</v>
      </c>
      <c r="AZ173">
        <v>6</v>
      </c>
      <c r="BA173" s="129">
        <f t="shared" si="243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4"/>
        <v>0.25669994049180378</v>
      </c>
      <c r="CL173" s="179">
        <f t="shared" si="205"/>
        <v>6</v>
      </c>
      <c r="CM173" s="180">
        <f t="shared" si="206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07"/>
        <v>9.6000000000000002E-2</v>
      </c>
      <c r="DB173" s="146"/>
      <c r="DC173" s="76">
        <f t="shared" ca="1" si="170"/>
        <v>0.27007246718775768</v>
      </c>
      <c r="DD173">
        <f t="shared" si="208"/>
        <v>6</v>
      </c>
      <c r="DE173" s="129">
        <f t="shared" si="242"/>
        <v>39949</v>
      </c>
      <c r="DF173" s="161">
        <f t="shared" si="209"/>
        <v>0</v>
      </c>
      <c r="DG173" s="161">
        <f t="shared" si="210"/>
        <v>0</v>
      </c>
      <c r="DH173" s="161">
        <f t="shared" si="211"/>
        <v>0</v>
      </c>
      <c r="DI173" s="161">
        <f t="shared" si="212"/>
        <v>0</v>
      </c>
      <c r="DJ173" s="161">
        <f t="shared" si="213"/>
        <v>0</v>
      </c>
      <c r="DK173" s="161">
        <f t="shared" si="214"/>
        <v>0</v>
      </c>
      <c r="DL173" s="161">
        <f t="shared" si="215"/>
        <v>0</v>
      </c>
      <c r="DM173" s="161">
        <f t="shared" si="216"/>
        <v>0</v>
      </c>
      <c r="DN173" s="161">
        <f t="shared" si="217"/>
        <v>0</v>
      </c>
      <c r="DO173" s="161">
        <f t="shared" si="218"/>
        <v>0</v>
      </c>
      <c r="DP173" s="161">
        <f t="shared" si="219"/>
        <v>0</v>
      </c>
      <c r="DQ173" s="161">
        <f t="shared" si="220"/>
        <v>0</v>
      </c>
      <c r="DR173" s="161">
        <f t="shared" si="221"/>
        <v>0</v>
      </c>
      <c r="DS173" s="161">
        <f t="shared" si="222"/>
        <v>0</v>
      </c>
      <c r="DT173" s="161">
        <f t="shared" si="223"/>
        <v>0</v>
      </c>
      <c r="DU173" s="161">
        <f t="shared" si="224"/>
        <v>0</v>
      </c>
      <c r="DV173" s="161">
        <f t="shared" si="225"/>
        <v>0</v>
      </c>
      <c r="DW173" s="161">
        <f t="shared" si="226"/>
        <v>0</v>
      </c>
      <c r="DX173" s="161">
        <f t="shared" si="227"/>
        <v>0</v>
      </c>
      <c r="DY173" s="161">
        <f t="shared" si="228"/>
        <v>0</v>
      </c>
      <c r="DZ173" s="161">
        <f t="shared" si="229"/>
        <v>0</v>
      </c>
      <c r="EA173" s="161">
        <f t="shared" si="230"/>
        <v>0</v>
      </c>
      <c r="EB173" s="161">
        <f t="shared" si="231"/>
        <v>0</v>
      </c>
      <c r="EC173" s="161">
        <f t="shared" si="232"/>
        <v>0</v>
      </c>
      <c r="ED173" s="161">
        <f t="shared" si="233"/>
        <v>0</v>
      </c>
      <c r="EE173" s="161">
        <f t="shared" si="234"/>
        <v>0</v>
      </c>
      <c r="EF173" s="161">
        <f t="shared" si="235"/>
        <v>0</v>
      </c>
      <c r="EG173" s="161">
        <f t="shared" si="236"/>
        <v>0</v>
      </c>
      <c r="EH173" s="161">
        <f t="shared" si="237"/>
        <v>0</v>
      </c>
      <c r="EI173" s="161">
        <f t="shared" si="238"/>
        <v>0</v>
      </c>
      <c r="EJ173" s="161">
        <f t="shared" si="239"/>
        <v>0</v>
      </c>
      <c r="EK173" s="147">
        <f t="shared" si="171"/>
        <v>0</v>
      </c>
      <c r="EL173" s="149"/>
      <c r="EN173" s="146"/>
      <c r="EO173" s="146"/>
      <c r="EP173" s="139">
        <f t="shared" si="172"/>
        <v>0</v>
      </c>
      <c r="EQ173" s="139">
        <f t="shared" si="173"/>
        <v>0</v>
      </c>
      <c r="ER173" s="139">
        <f t="shared" si="174"/>
        <v>0</v>
      </c>
      <c r="ES173" s="139">
        <f t="shared" si="175"/>
        <v>0</v>
      </c>
      <c r="ET173" s="139">
        <f t="shared" si="176"/>
        <v>0</v>
      </c>
      <c r="EU173" s="139">
        <f t="shared" si="177"/>
        <v>0</v>
      </c>
      <c r="EV173" s="139">
        <f t="shared" si="178"/>
        <v>0</v>
      </c>
      <c r="EW173" s="139">
        <f t="shared" si="179"/>
        <v>0</v>
      </c>
      <c r="EX173" s="139">
        <f t="shared" si="180"/>
        <v>0</v>
      </c>
      <c r="EY173" s="139">
        <f t="shared" si="181"/>
        <v>0</v>
      </c>
      <c r="EZ173" s="139">
        <f t="shared" si="182"/>
        <v>0</v>
      </c>
      <c r="FA173" s="139">
        <f t="shared" si="183"/>
        <v>0</v>
      </c>
      <c r="FB173" s="139">
        <f t="shared" si="184"/>
        <v>0</v>
      </c>
      <c r="FC173" s="139">
        <f t="shared" si="185"/>
        <v>0</v>
      </c>
      <c r="FD173" s="139">
        <f t="shared" si="186"/>
        <v>0</v>
      </c>
      <c r="FE173" s="139">
        <f t="shared" si="187"/>
        <v>0</v>
      </c>
      <c r="FF173" s="139">
        <f t="shared" si="188"/>
        <v>0</v>
      </c>
      <c r="FG173" s="139">
        <f t="shared" si="189"/>
        <v>0</v>
      </c>
      <c r="FH173" s="139">
        <f t="shared" si="190"/>
        <v>0</v>
      </c>
      <c r="FI173" s="139">
        <f t="shared" si="191"/>
        <v>0</v>
      </c>
      <c r="FJ173" s="139">
        <f t="shared" si="192"/>
        <v>0</v>
      </c>
      <c r="FK173" s="139">
        <f t="shared" si="193"/>
        <v>0</v>
      </c>
      <c r="FL173" s="139">
        <f t="shared" si="194"/>
        <v>0</v>
      </c>
      <c r="FM173" s="139">
        <f t="shared" si="195"/>
        <v>0</v>
      </c>
      <c r="FN173" s="139">
        <f t="shared" si="196"/>
        <v>0</v>
      </c>
      <c r="FO173" s="139">
        <f t="shared" si="197"/>
        <v>0</v>
      </c>
      <c r="FP173" s="139">
        <f t="shared" si="198"/>
        <v>0</v>
      </c>
      <c r="FQ173" s="139">
        <f t="shared" si="199"/>
        <v>0</v>
      </c>
      <c r="FR173" s="139">
        <f t="shared" si="200"/>
        <v>0</v>
      </c>
      <c r="FS173" s="139">
        <f t="shared" si="201"/>
        <v>0</v>
      </c>
      <c r="FT173" s="139">
        <f t="shared" si="202"/>
        <v>0</v>
      </c>
      <c r="FU173" s="148">
        <f t="shared" si="203"/>
        <v>0</v>
      </c>
      <c r="FV173" s="149"/>
      <c r="FY173" s="211">
        <v>168</v>
      </c>
      <c r="FZ173">
        <v>67.41438683459306</v>
      </c>
      <c r="GA173">
        <v>87.801688239935558</v>
      </c>
      <c r="GB173">
        <v>43.303018451872333</v>
      </c>
      <c r="GC173">
        <v>22.4843770408017</v>
      </c>
      <c r="GD173">
        <v>11.172165054764571</v>
      </c>
      <c r="GE173">
        <v>19.589665694230657</v>
      </c>
      <c r="GF173">
        <v>33.370739489702864</v>
      </c>
      <c r="GG173">
        <v>24.090422757463188</v>
      </c>
      <c r="GH173">
        <v>17.878724371643113</v>
      </c>
      <c r="GI173">
        <v>37.370841604438226</v>
      </c>
      <c r="GJ173"/>
      <c r="GK173"/>
      <c r="GL173"/>
      <c r="GM173"/>
    </row>
    <row r="174" spans="1:195" s="7" customFormat="1">
      <c r="A174" s="1"/>
      <c r="B174" s="76">
        <f ca="1">IF(C174="", "", RAND())</f>
        <v>1.338205795312053E-2</v>
      </c>
      <c r="C174">
        <v>10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167.95206848183975</v>
      </c>
      <c r="AO174">
        <v>50.469121918386165</v>
      </c>
      <c r="AP174">
        <v>369.57514296260734</v>
      </c>
      <c r="AQ174">
        <v>290.62670846163599</v>
      </c>
      <c r="AR174">
        <v>49.205842789912943</v>
      </c>
      <c r="AS174">
        <v>231.22949031234521</v>
      </c>
      <c r="AT174">
        <v>23.314293264043243</v>
      </c>
      <c r="AU174">
        <v>4.5152484368218566</v>
      </c>
      <c r="AV174"/>
      <c r="AW174"/>
      <c r="AX174" s="146"/>
      <c r="AY174" s="76">
        <f t="shared" ca="1" si="169"/>
        <v>0.88435911280716439</v>
      </c>
      <c r="AZ174">
        <v>7</v>
      </c>
      <c r="BA174" s="129">
        <f t="shared" si="243"/>
        <v>39949</v>
      </c>
      <c r="BB174" s="218">
        <v>0</v>
      </c>
      <c r="BC174" s="218"/>
      <c r="BD174" s="218"/>
      <c r="BE174" s="218"/>
      <c r="BF174" s="218"/>
      <c r="BG174" s="218"/>
      <c r="BH174" s="218"/>
      <c r="BI174" s="218">
        <v>2</v>
      </c>
      <c r="BJ174"/>
      <c r="BK174">
        <v>3</v>
      </c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4"/>
        <v>0.46927235974486603</v>
      </c>
      <c r="CL174" s="179">
        <f t="shared" si="205"/>
        <v>7</v>
      </c>
      <c r="CM174" s="180">
        <f t="shared" si="206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07"/>
        <v>9.6000000000000002E-2</v>
      </c>
      <c r="DB174" s="146"/>
      <c r="DC174" s="76">
        <f t="shared" ca="1" si="170"/>
        <v>9.0319431896343838E-2</v>
      </c>
      <c r="DD174">
        <f t="shared" si="208"/>
        <v>7</v>
      </c>
      <c r="DE174" s="129">
        <f t="shared" si="242"/>
        <v>39949</v>
      </c>
      <c r="DF174" s="161">
        <f t="shared" si="209"/>
        <v>0</v>
      </c>
      <c r="DG174" s="161">
        <f t="shared" si="210"/>
        <v>0</v>
      </c>
      <c r="DH174" s="161">
        <f t="shared" si="211"/>
        <v>0</v>
      </c>
      <c r="DI174" s="161">
        <f t="shared" si="212"/>
        <v>0</v>
      </c>
      <c r="DJ174" s="161">
        <f t="shared" si="213"/>
        <v>0</v>
      </c>
      <c r="DK174" s="161">
        <f t="shared" si="214"/>
        <v>0</v>
      </c>
      <c r="DL174" s="161">
        <f t="shared" si="215"/>
        <v>0</v>
      </c>
      <c r="DM174" s="161">
        <f t="shared" si="216"/>
        <v>20.833333333333332</v>
      </c>
      <c r="DN174" s="161">
        <f t="shared" si="217"/>
        <v>0</v>
      </c>
      <c r="DO174" s="161">
        <f t="shared" si="218"/>
        <v>31.25</v>
      </c>
      <c r="DP174" s="161">
        <f t="shared" si="219"/>
        <v>0</v>
      </c>
      <c r="DQ174" s="161">
        <f t="shared" si="220"/>
        <v>0</v>
      </c>
      <c r="DR174" s="161">
        <f t="shared" si="221"/>
        <v>0</v>
      </c>
      <c r="DS174" s="161">
        <f t="shared" si="222"/>
        <v>0</v>
      </c>
      <c r="DT174" s="161">
        <f t="shared" si="223"/>
        <v>0</v>
      </c>
      <c r="DU174" s="161">
        <f t="shared" si="224"/>
        <v>0</v>
      </c>
      <c r="DV174" s="161">
        <f t="shared" si="225"/>
        <v>0</v>
      </c>
      <c r="DW174" s="161">
        <f t="shared" si="226"/>
        <v>0</v>
      </c>
      <c r="DX174" s="161">
        <f t="shared" si="227"/>
        <v>0</v>
      </c>
      <c r="DY174" s="161">
        <f t="shared" si="228"/>
        <v>0</v>
      </c>
      <c r="DZ174" s="161">
        <f t="shared" si="229"/>
        <v>0</v>
      </c>
      <c r="EA174" s="161">
        <f t="shared" si="230"/>
        <v>0</v>
      </c>
      <c r="EB174" s="161">
        <f t="shared" si="231"/>
        <v>0</v>
      </c>
      <c r="EC174" s="161">
        <f t="shared" si="232"/>
        <v>0</v>
      </c>
      <c r="ED174" s="161">
        <f t="shared" si="233"/>
        <v>0</v>
      </c>
      <c r="EE174" s="161">
        <f t="shared" si="234"/>
        <v>0</v>
      </c>
      <c r="EF174" s="161">
        <f t="shared" si="235"/>
        <v>0</v>
      </c>
      <c r="EG174" s="161">
        <f t="shared" si="236"/>
        <v>0</v>
      </c>
      <c r="EH174" s="161">
        <f t="shared" si="237"/>
        <v>0</v>
      </c>
      <c r="EI174" s="161">
        <f t="shared" si="238"/>
        <v>0</v>
      </c>
      <c r="EJ174" s="161">
        <f t="shared" si="239"/>
        <v>0</v>
      </c>
      <c r="EK174" s="147">
        <f t="shared" si="171"/>
        <v>52.083333333333329</v>
      </c>
      <c r="EL174" s="149"/>
      <c r="EN174" s="146"/>
      <c r="EO174" s="146"/>
      <c r="EP174" s="139">
        <f t="shared" si="172"/>
        <v>0</v>
      </c>
      <c r="EQ174" s="139">
        <f t="shared" si="173"/>
        <v>0</v>
      </c>
      <c r="ER174" s="139">
        <f t="shared" si="174"/>
        <v>0</v>
      </c>
      <c r="ES174" s="139">
        <f t="shared" si="175"/>
        <v>0</v>
      </c>
      <c r="ET174" s="139">
        <f t="shared" si="176"/>
        <v>0</v>
      </c>
      <c r="EU174" s="139">
        <f t="shared" si="177"/>
        <v>0</v>
      </c>
      <c r="EV174" s="139">
        <f t="shared" si="178"/>
        <v>0</v>
      </c>
      <c r="EW174" s="139">
        <f t="shared" si="179"/>
        <v>24.884040573524732</v>
      </c>
      <c r="EX174" s="139">
        <f t="shared" si="180"/>
        <v>0</v>
      </c>
      <c r="EY174" s="139">
        <f t="shared" si="181"/>
        <v>74.015332515938226</v>
      </c>
      <c r="EZ174" s="139">
        <f t="shared" si="182"/>
        <v>0</v>
      </c>
      <c r="FA174" s="139">
        <f t="shared" si="183"/>
        <v>0</v>
      </c>
      <c r="FB174" s="139">
        <f t="shared" si="184"/>
        <v>0</v>
      </c>
      <c r="FC174" s="139">
        <f t="shared" si="185"/>
        <v>0</v>
      </c>
      <c r="FD174" s="139">
        <f t="shared" si="186"/>
        <v>0</v>
      </c>
      <c r="FE174" s="139">
        <f t="shared" si="187"/>
        <v>0</v>
      </c>
      <c r="FF174" s="139">
        <f t="shared" si="188"/>
        <v>0</v>
      </c>
      <c r="FG174" s="139">
        <f t="shared" si="189"/>
        <v>0</v>
      </c>
      <c r="FH174" s="139">
        <f t="shared" si="190"/>
        <v>0</v>
      </c>
      <c r="FI174" s="139">
        <f t="shared" si="191"/>
        <v>0</v>
      </c>
      <c r="FJ174" s="139">
        <f t="shared" si="192"/>
        <v>0</v>
      </c>
      <c r="FK174" s="139">
        <f t="shared" si="193"/>
        <v>0</v>
      </c>
      <c r="FL174" s="139">
        <f t="shared" si="194"/>
        <v>0</v>
      </c>
      <c r="FM174" s="139">
        <f t="shared" si="195"/>
        <v>0</v>
      </c>
      <c r="FN174" s="139">
        <f t="shared" si="196"/>
        <v>0</v>
      </c>
      <c r="FO174" s="139">
        <f t="shared" si="197"/>
        <v>0</v>
      </c>
      <c r="FP174" s="139">
        <f t="shared" si="198"/>
        <v>0</v>
      </c>
      <c r="FQ174" s="139">
        <f t="shared" si="199"/>
        <v>0</v>
      </c>
      <c r="FR174" s="139">
        <f t="shared" si="200"/>
        <v>0</v>
      </c>
      <c r="FS174" s="139">
        <f t="shared" si="201"/>
        <v>0</v>
      </c>
      <c r="FT174" s="139">
        <f t="shared" si="202"/>
        <v>0</v>
      </c>
      <c r="FU174" s="148">
        <f t="shared" si="203"/>
        <v>98.899373089462955</v>
      </c>
      <c r="FV174" s="149"/>
      <c r="FY174" s="211">
        <v>169</v>
      </c>
      <c r="FZ174">
        <v>114.70006357889824</v>
      </c>
      <c r="GA174">
        <v>153.1940056966412</v>
      </c>
      <c r="GB174">
        <v>62.505506007826966</v>
      </c>
      <c r="GC174">
        <v>34.28717318894028</v>
      </c>
      <c r="GD174">
        <v>16.051854701160089</v>
      </c>
      <c r="GE174">
        <v>22.970929137284237</v>
      </c>
      <c r="GF174">
        <v>44.105186683430084</v>
      </c>
      <c r="GG174">
        <v>34.522707523796136</v>
      </c>
      <c r="GH174">
        <v>23.886529040955406</v>
      </c>
      <c r="GI174">
        <v>55.833249152193211</v>
      </c>
      <c r="GJ174"/>
      <c r="GK174"/>
      <c r="GL174"/>
      <c r="GM174"/>
    </row>
    <row r="175" spans="1:195" s="7" customFormat="1">
      <c r="A175" s="1"/>
      <c r="B175" s="76">
        <f ca="1">IF(C175="", "", RAND())</f>
        <v>0.44663000132948172</v>
      </c>
      <c r="C175">
        <v>8</v>
      </c>
      <c r="D175">
        <v>39949</v>
      </c>
      <c r="E175">
        <v>0</v>
      </c>
      <c r="F175">
        <v>0</v>
      </c>
      <c r="G175">
        <v>52.083333333333336</v>
      </c>
      <c r="H175">
        <v>10.416666666666666</v>
      </c>
      <c r="I175">
        <v>52.083333333333336</v>
      </c>
      <c r="J175">
        <v>20.833333333333332</v>
      </c>
      <c r="K175">
        <v>0</v>
      </c>
      <c r="L175">
        <v>0</v>
      </c>
      <c r="M175">
        <v>10.416666666666666</v>
      </c>
      <c r="N175">
        <v>10.416666666666666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179.86274482188435</v>
      </c>
      <c r="AO175">
        <v>57.282156994710725</v>
      </c>
      <c r="AP175">
        <v>453.70513680078352</v>
      </c>
      <c r="AQ175">
        <v>370.02726476018819</v>
      </c>
      <c r="AR175">
        <v>56.284295941845215</v>
      </c>
      <c r="AS175">
        <v>262.17012150015603</v>
      </c>
      <c r="AT175">
        <v>28.543865895526796</v>
      </c>
      <c r="AU175">
        <v>7.8751260167226818</v>
      </c>
      <c r="AV175"/>
      <c r="AW175"/>
      <c r="AX175" s="146"/>
      <c r="AY175" s="76">
        <f t="shared" ca="1" si="169"/>
        <v>0.56072762226184847</v>
      </c>
      <c r="AZ175">
        <v>8</v>
      </c>
      <c r="BA175" s="129">
        <f t="shared" si="243"/>
        <v>39949</v>
      </c>
      <c r="BB175">
        <v>0</v>
      </c>
      <c r="BC175"/>
      <c r="BD175">
        <v>5</v>
      </c>
      <c r="BE175">
        <v>1</v>
      </c>
      <c r="BF175">
        <v>5</v>
      </c>
      <c r="BG175">
        <v>2</v>
      </c>
      <c r="BH175"/>
      <c r="BI175"/>
      <c r="BJ175">
        <v>1</v>
      </c>
      <c r="BK175">
        <v>1</v>
      </c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4"/>
        <v>0.74908599997670855</v>
      </c>
      <c r="CL175" s="179">
        <f t="shared" si="205"/>
        <v>8</v>
      </c>
      <c r="CM175" s="180">
        <f t="shared" si="206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07"/>
        <v>9.6000000000000002E-2</v>
      </c>
      <c r="DB175" s="146"/>
      <c r="DC175" s="76">
        <f t="shared" ca="1" si="170"/>
        <v>0.21357584355525017</v>
      </c>
      <c r="DD175">
        <f t="shared" si="208"/>
        <v>8</v>
      </c>
      <c r="DE175" s="129">
        <f t="shared" si="242"/>
        <v>39949</v>
      </c>
      <c r="DF175" s="161">
        <f t="shared" si="209"/>
        <v>0</v>
      </c>
      <c r="DG175" s="161">
        <f t="shared" si="210"/>
        <v>0</v>
      </c>
      <c r="DH175" s="161">
        <f t="shared" si="211"/>
        <v>52.083333333333336</v>
      </c>
      <c r="DI175" s="161">
        <f t="shared" si="212"/>
        <v>10.416666666666666</v>
      </c>
      <c r="DJ175" s="161">
        <f t="shared" si="213"/>
        <v>52.083333333333336</v>
      </c>
      <c r="DK175" s="161">
        <f t="shared" si="214"/>
        <v>20.833333333333332</v>
      </c>
      <c r="DL175" s="161">
        <f t="shared" si="215"/>
        <v>0</v>
      </c>
      <c r="DM175" s="161">
        <f t="shared" si="216"/>
        <v>0</v>
      </c>
      <c r="DN175" s="161">
        <f t="shared" si="217"/>
        <v>10.416666666666666</v>
      </c>
      <c r="DO175" s="161">
        <f t="shared" si="218"/>
        <v>10.416666666666666</v>
      </c>
      <c r="DP175" s="161">
        <f t="shared" si="219"/>
        <v>0</v>
      </c>
      <c r="DQ175" s="161">
        <f t="shared" si="220"/>
        <v>0</v>
      </c>
      <c r="DR175" s="161">
        <f t="shared" si="221"/>
        <v>0</v>
      </c>
      <c r="DS175" s="161">
        <f t="shared" si="222"/>
        <v>0</v>
      </c>
      <c r="DT175" s="161">
        <f t="shared" si="223"/>
        <v>0</v>
      </c>
      <c r="DU175" s="161">
        <f t="shared" si="224"/>
        <v>0</v>
      </c>
      <c r="DV175" s="161">
        <f t="shared" si="225"/>
        <v>0</v>
      </c>
      <c r="DW175" s="161">
        <f t="shared" si="226"/>
        <v>0</v>
      </c>
      <c r="DX175" s="161">
        <f t="shared" si="227"/>
        <v>0</v>
      </c>
      <c r="DY175" s="161">
        <f t="shared" si="228"/>
        <v>0</v>
      </c>
      <c r="DZ175" s="161">
        <f t="shared" si="229"/>
        <v>0</v>
      </c>
      <c r="EA175" s="161">
        <f t="shared" si="230"/>
        <v>0</v>
      </c>
      <c r="EB175" s="161">
        <f t="shared" si="231"/>
        <v>0</v>
      </c>
      <c r="EC175" s="161">
        <f t="shared" si="232"/>
        <v>0</v>
      </c>
      <c r="ED175" s="161">
        <f t="shared" si="233"/>
        <v>0</v>
      </c>
      <c r="EE175" s="161">
        <f t="shared" si="234"/>
        <v>0</v>
      </c>
      <c r="EF175" s="161">
        <f t="shared" si="235"/>
        <v>0</v>
      </c>
      <c r="EG175" s="161">
        <f t="shared" si="236"/>
        <v>0</v>
      </c>
      <c r="EH175" s="161">
        <f t="shared" si="237"/>
        <v>0</v>
      </c>
      <c r="EI175" s="161">
        <f t="shared" si="238"/>
        <v>0</v>
      </c>
      <c r="EJ175" s="161">
        <f t="shared" si="239"/>
        <v>0</v>
      </c>
      <c r="EK175" s="147">
        <f t="shared" si="171"/>
        <v>156.25</v>
      </c>
      <c r="EL175" s="149"/>
      <c r="EN175" s="146"/>
      <c r="EO175" s="146"/>
      <c r="EP175" s="139">
        <f t="shared" si="172"/>
        <v>0</v>
      </c>
      <c r="EQ175" s="139">
        <f t="shared" si="173"/>
        <v>0</v>
      </c>
      <c r="ER175" s="139">
        <f t="shared" si="174"/>
        <v>2.0503101263416696</v>
      </c>
      <c r="ES175" s="139">
        <f t="shared" si="175"/>
        <v>1.2374342774304989</v>
      </c>
      <c r="ET175" s="139">
        <f t="shared" si="176"/>
        <v>13.546442716296953</v>
      </c>
      <c r="EU175" s="139">
        <f t="shared" si="177"/>
        <v>9.9510322011773749</v>
      </c>
      <c r="EV175" s="139">
        <f t="shared" si="178"/>
        <v>0</v>
      </c>
      <c r="EW175" s="139">
        <f t="shared" si="179"/>
        <v>0</v>
      </c>
      <c r="EX175" s="139">
        <f t="shared" si="180"/>
        <v>17.900327165953296</v>
      </c>
      <c r="EY175" s="139">
        <f t="shared" si="181"/>
        <v>24.67177750531274</v>
      </c>
      <c r="EZ175" s="139">
        <f t="shared" si="182"/>
        <v>0</v>
      </c>
      <c r="FA175" s="139">
        <f t="shared" si="183"/>
        <v>0</v>
      </c>
      <c r="FB175" s="139">
        <f t="shared" si="184"/>
        <v>0</v>
      </c>
      <c r="FC175" s="139">
        <f t="shared" si="185"/>
        <v>0</v>
      </c>
      <c r="FD175" s="139">
        <f t="shared" si="186"/>
        <v>0</v>
      </c>
      <c r="FE175" s="139">
        <f t="shared" si="187"/>
        <v>0</v>
      </c>
      <c r="FF175" s="139">
        <f t="shared" si="188"/>
        <v>0</v>
      </c>
      <c r="FG175" s="139">
        <f t="shared" si="189"/>
        <v>0</v>
      </c>
      <c r="FH175" s="139">
        <f t="shared" si="190"/>
        <v>0</v>
      </c>
      <c r="FI175" s="139">
        <f t="shared" si="191"/>
        <v>0</v>
      </c>
      <c r="FJ175" s="139">
        <f t="shared" si="192"/>
        <v>0</v>
      </c>
      <c r="FK175" s="139">
        <f t="shared" si="193"/>
        <v>0</v>
      </c>
      <c r="FL175" s="139">
        <f t="shared" si="194"/>
        <v>0</v>
      </c>
      <c r="FM175" s="139">
        <f t="shared" si="195"/>
        <v>0</v>
      </c>
      <c r="FN175" s="139">
        <f t="shared" si="196"/>
        <v>0</v>
      </c>
      <c r="FO175" s="139">
        <f t="shared" si="197"/>
        <v>0</v>
      </c>
      <c r="FP175" s="139">
        <f t="shared" si="198"/>
        <v>0</v>
      </c>
      <c r="FQ175" s="139">
        <f t="shared" si="199"/>
        <v>0</v>
      </c>
      <c r="FR175" s="139">
        <f t="shared" si="200"/>
        <v>0</v>
      </c>
      <c r="FS175" s="139">
        <f t="shared" si="201"/>
        <v>0</v>
      </c>
      <c r="FT175" s="139">
        <f t="shared" si="202"/>
        <v>0</v>
      </c>
      <c r="FU175" s="148">
        <f t="shared" si="203"/>
        <v>69.357323992512534</v>
      </c>
      <c r="FV175" s="149"/>
      <c r="FY175" s="211">
        <v>170</v>
      </c>
      <c r="FZ175">
        <v>33.610604603481136</v>
      </c>
      <c r="GA175">
        <v>41.114745962258347</v>
      </c>
      <c r="GB175">
        <v>36.622582526177261</v>
      </c>
      <c r="GC175">
        <v>24.866114480281698</v>
      </c>
      <c r="GD175">
        <v>14.346205762880725</v>
      </c>
      <c r="GE175">
        <v>20.111492155615224</v>
      </c>
      <c r="GF175">
        <v>56.095152476724806</v>
      </c>
      <c r="GG175">
        <v>47.682511785682507</v>
      </c>
      <c r="GH175">
        <v>22.783998860958544</v>
      </c>
      <c r="GI175">
        <v>38.429267909441386</v>
      </c>
      <c r="GJ175"/>
      <c r="GK175"/>
      <c r="GL175"/>
      <c r="GM175"/>
    </row>
    <row r="176" spans="1:195" s="7" customFormat="1">
      <c r="A176" s="1"/>
      <c r="B176" s="76">
        <f ca="1">IF(C176="", "", RAND())</f>
        <v>0.85830782168438868</v>
      </c>
      <c r="C176">
        <v>1</v>
      </c>
      <c r="D176">
        <v>39949</v>
      </c>
      <c r="E176">
        <v>0</v>
      </c>
      <c r="F176">
        <v>0</v>
      </c>
      <c r="G176">
        <v>40.788152610441763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198.06319258135548</v>
      </c>
      <c r="AO176">
        <v>52.415834042707864</v>
      </c>
      <c r="AP176">
        <v>403.28115078739506</v>
      </c>
      <c r="AQ176">
        <v>313.56646444357045</v>
      </c>
      <c r="AR176">
        <v>51.457095624488069</v>
      </c>
      <c r="AS176">
        <v>255.84115697451645</v>
      </c>
      <c r="AT176">
        <v>24.477423395544065</v>
      </c>
      <c r="AU176">
        <v>7.255859954686251</v>
      </c>
      <c r="AV176"/>
      <c r="AW176"/>
      <c r="AX176" s="146"/>
      <c r="AY176" s="76">
        <f t="shared" ca="1" si="169"/>
        <v>0.21536459041745282</v>
      </c>
      <c r="AZ176">
        <v>9</v>
      </c>
      <c r="BA176" s="129">
        <f t="shared" si="243"/>
        <v>39949</v>
      </c>
      <c r="BB176">
        <v>0</v>
      </c>
      <c r="BC176"/>
      <c r="BD176">
        <v>4</v>
      </c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4"/>
        <v>7.456564059553461E-2</v>
      </c>
      <c r="CL176" s="179">
        <f t="shared" si="205"/>
        <v>9</v>
      </c>
      <c r="CM176" s="180">
        <f t="shared" si="206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07"/>
        <v>9.6000000000000002E-2</v>
      </c>
      <c r="DB176" s="146"/>
      <c r="DC176" s="76">
        <f t="shared" ca="1" si="170"/>
        <v>2.2232621970557309E-2</v>
      </c>
      <c r="DD176">
        <f t="shared" si="208"/>
        <v>9</v>
      </c>
      <c r="DE176" s="129">
        <f t="shared" si="242"/>
        <v>39949</v>
      </c>
      <c r="DF176" s="161">
        <f t="shared" si="209"/>
        <v>0</v>
      </c>
      <c r="DG176" s="161">
        <f t="shared" si="210"/>
        <v>0</v>
      </c>
      <c r="DH176" s="161">
        <f t="shared" si="211"/>
        <v>41.666666666666664</v>
      </c>
      <c r="DI176" s="161">
        <f t="shared" si="212"/>
        <v>0</v>
      </c>
      <c r="DJ176" s="161">
        <f t="shared" si="213"/>
        <v>0</v>
      </c>
      <c r="DK176" s="161">
        <f t="shared" si="214"/>
        <v>0</v>
      </c>
      <c r="DL176" s="161">
        <f t="shared" si="215"/>
        <v>0</v>
      </c>
      <c r="DM176" s="161">
        <f t="shared" si="216"/>
        <v>0</v>
      </c>
      <c r="DN176" s="161">
        <f t="shared" si="217"/>
        <v>0</v>
      </c>
      <c r="DO176" s="161">
        <f t="shared" si="218"/>
        <v>0</v>
      </c>
      <c r="DP176" s="161">
        <f t="shared" si="219"/>
        <v>0</v>
      </c>
      <c r="DQ176" s="161">
        <f t="shared" si="220"/>
        <v>0</v>
      </c>
      <c r="DR176" s="161">
        <f t="shared" si="221"/>
        <v>0</v>
      </c>
      <c r="DS176" s="161">
        <f t="shared" si="222"/>
        <v>0</v>
      </c>
      <c r="DT176" s="161">
        <f t="shared" si="223"/>
        <v>0</v>
      </c>
      <c r="DU176" s="161">
        <f t="shared" si="224"/>
        <v>0</v>
      </c>
      <c r="DV176" s="161">
        <f t="shared" si="225"/>
        <v>0</v>
      </c>
      <c r="DW176" s="161">
        <f t="shared" si="226"/>
        <v>0</v>
      </c>
      <c r="DX176" s="161">
        <f t="shared" si="227"/>
        <v>0</v>
      </c>
      <c r="DY176" s="161">
        <f t="shared" si="228"/>
        <v>0</v>
      </c>
      <c r="DZ176" s="161">
        <f t="shared" si="229"/>
        <v>0</v>
      </c>
      <c r="EA176" s="161">
        <f t="shared" si="230"/>
        <v>0</v>
      </c>
      <c r="EB176" s="161">
        <f t="shared" si="231"/>
        <v>0</v>
      </c>
      <c r="EC176" s="161">
        <f t="shared" si="232"/>
        <v>0</v>
      </c>
      <c r="ED176" s="161">
        <f t="shared" si="233"/>
        <v>0</v>
      </c>
      <c r="EE176" s="161">
        <f t="shared" si="234"/>
        <v>0</v>
      </c>
      <c r="EF176" s="161">
        <f t="shared" si="235"/>
        <v>0</v>
      </c>
      <c r="EG176" s="161">
        <f t="shared" si="236"/>
        <v>0</v>
      </c>
      <c r="EH176" s="161">
        <f t="shared" si="237"/>
        <v>0</v>
      </c>
      <c r="EI176" s="161">
        <f t="shared" si="238"/>
        <v>0</v>
      </c>
      <c r="EJ176" s="161">
        <f t="shared" si="239"/>
        <v>0</v>
      </c>
      <c r="EK176" s="147">
        <f t="shared" si="171"/>
        <v>41.666666666666664</v>
      </c>
      <c r="EL176" s="149"/>
      <c r="EN176" s="146"/>
      <c r="EO176" s="146"/>
      <c r="EP176" s="139">
        <f t="shared" si="172"/>
        <v>0</v>
      </c>
      <c r="EQ176" s="139">
        <f t="shared" si="173"/>
        <v>0</v>
      </c>
      <c r="ER176" s="139">
        <f t="shared" si="174"/>
        <v>1.6402481010733354</v>
      </c>
      <c r="ES176" s="139">
        <f t="shared" si="175"/>
        <v>0</v>
      </c>
      <c r="ET176" s="139">
        <f t="shared" si="176"/>
        <v>0</v>
      </c>
      <c r="EU176" s="139">
        <f t="shared" si="177"/>
        <v>0</v>
      </c>
      <c r="EV176" s="139">
        <f t="shared" si="178"/>
        <v>0</v>
      </c>
      <c r="EW176" s="139">
        <f t="shared" si="179"/>
        <v>0</v>
      </c>
      <c r="EX176" s="139">
        <f t="shared" si="180"/>
        <v>0</v>
      </c>
      <c r="EY176" s="139">
        <f t="shared" si="181"/>
        <v>0</v>
      </c>
      <c r="EZ176" s="139">
        <f t="shared" si="182"/>
        <v>0</v>
      </c>
      <c r="FA176" s="139">
        <f t="shared" si="183"/>
        <v>0</v>
      </c>
      <c r="FB176" s="139">
        <f t="shared" si="184"/>
        <v>0</v>
      </c>
      <c r="FC176" s="139">
        <f t="shared" si="185"/>
        <v>0</v>
      </c>
      <c r="FD176" s="139">
        <f t="shared" si="186"/>
        <v>0</v>
      </c>
      <c r="FE176" s="139">
        <f t="shared" si="187"/>
        <v>0</v>
      </c>
      <c r="FF176" s="139">
        <f t="shared" si="188"/>
        <v>0</v>
      </c>
      <c r="FG176" s="139">
        <f t="shared" si="189"/>
        <v>0</v>
      </c>
      <c r="FH176" s="139">
        <f t="shared" si="190"/>
        <v>0</v>
      </c>
      <c r="FI176" s="139">
        <f t="shared" si="191"/>
        <v>0</v>
      </c>
      <c r="FJ176" s="139">
        <f t="shared" si="192"/>
        <v>0</v>
      </c>
      <c r="FK176" s="139">
        <f t="shared" si="193"/>
        <v>0</v>
      </c>
      <c r="FL176" s="139">
        <f t="shared" si="194"/>
        <v>0</v>
      </c>
      <c r="FM176" s="139">
        <f t="shared" si="195"/>
        <v>0</v>
      </c>
      <c r="FN176" s="139">
        <f t="shared" si="196"/>
        <v>0</v>
      </c>
      <c r="FO176" s="139">
        <f t="shared" si="197"/>
        <v>0</v>
      </c>
      <c r="FP176" s="139">
        <f t="shared" si="198"/>
        <v>0</v>
      </c>
      <c r="FQ176" s="139">
        <f t="shared" si="199"/>
        <v>0</v>
      </c>
      <c r="FR176" s="139">
        <f t="shared" si="200"/>
        <v>0</v>
      </c>
      <c r="FS176" s="139">
        <f t="shared" si="201"/>
        <v>0</v>
      </c>
      <c r="FT176" s="139">
        <f t="shared" si="202"/>
        <v>0</v>
      </c>
      <c r="FU176" s="148">
        <f t="shared" si="203"/>
        <v>1.6402481010733354</v>
      </c>
      <c r="FV176" s="149"/>
      <c r="FY176" s="211">
        <v>171</v>
      </c>
      <c r="FZ176">
        <v>73.888013196424893</v>
      </c>
      <c r="GA176">
        <v>102.0201312933782</v>
      </c>
      <c r="GB176">
        <v>45.182121867562437</v>
      </c>
      <c r="GC176">
        <v>22.271459452519288</v>
      </c>
      <c r="GD176">
        <v>11.016545760500586</v>
      </c>
      <c r="GE176">
        <v>16.847548194769846</v>
      </c>
      <c r="GF176">
        <v>58.765087205117979</v>
      </c>
      <c r="GG176">
        <v>43.921879035445819</v>
      </c>
      <c r="GH176">
        <v>14.200310516207026</v>
      </c>
      <c r="GI176">
        <v>43.23966899024223</v>
      </c>
      <c r="GJ176"/>
      <c r="GK176"/>
      <c r="GL176"/>
      <c r="GM176"/>
    </row>
    <row r="177" spans="1:195" s="7" customFormat="1">
      <c r="A177" s="1"/>
      <c r="B177" s="76">
        <f ca="1">IF(C177="", "", RAND())</f>
        <v>4.3230651705741696E-2</v>
      </c>
      <c r="C177">
        <v>6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189.95628119075087</v>
      </c>
      <c r="AO177">
        <v>63.496103954210149</v>
      </c>
      <c r="AP177">
        <v>495.52984434198441</v>
      </c>
      <c r="AQ177">
        <v>376.93283736588057</v>
      </c>
      <c r="AR177">
        <v>63.110564891385096</v>
      </c>
      <c r="AS177">
        <v>319.31397097700352</v>
      </c>
      <c r="AT177">
        <v>29.961533917670451</v>
      </c>
      <c r="AU177">
        <v>14.187350577489049</v>
      </c>
      <c r="AV177"/>
      <c r="AW177"/>
      <c r="AX177" s="146"/>
      <c r="AY177" s="76">
        <f t="shared" ca="1" si="169"/>
        <v>1.1044883341693623E-2</v>
      </c>
      <c r="AZ177">
        <v>10</v>
      </c>
      <c r="BA177" s="129">
        <f t="shared" si="243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4"/>
        <v>0.73784721537893638</v>
      </c>
      <c r="CL177" s="179">
        <f t="shared" si="205"/>
        <v>10</v>
      </c>
      <c r="CM177" s="180">
        <f t="shared" si="206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07"/>
        <v>9.6000000000000002E-2</v>
      </c>
      <c r="DB177" s="146"/>
      <c r="DC177" s="76">
        <f t="shared" ca="1" si="170"/>
        <v>1.5413529502172452E-2</v>
      </c>
      <c r="DD177">
        <f t="shared" si="208"/>
        <v>10</v>
      </c>
      <c r="DE177" s="129">
        <f t="shared" si="242"/>
        <v>39949</v>
      </c>
      <c r="DF177" s="161">
        <f t="shared" si="209"/>
        <v>0</v>
      </c>
      <c r="DG177" s="161">
        <f t="shared" si="210"/>
        <v>0</v>
      </c>
      <c r="DH177" s="161">
        <f t="shared" si="211"/>
        <v>0</v>
      </c>
      <c r="DI177" s="161">
        <f t="shared" si="212"/>
        <v>0</v>
      </c>
      <c r="DJ177" s="161">
        <f t="shared" si="213"/>
        <v>0</v>
      </c>
      <c r="DK177" s="161">
        <f t="shared" si="214"/>
        <v>0</v>
      </c>
      <c r="DL177" s="161">
        <f t="shared" si="215"/>
        <v>0</v>
      </c>
      <c r="DM177" s="161">
        <f t="shared" si="216"/>
        <v>0</v>
      </c>
      <c r="DN177" s="161">
        <f t="shared" si="217"/>
        <v>0</v>
      </c>
      <c r="DO177" s="161">
        <f t="shared" si="218"/>
        <v>0</v>
      </c>
      <c r="DP177" s="161">
        <f t="shared" si="219"/>
        <v>0</v>
      </c>
      <c r="DQ177" s="161">
        <f t="shared" si="220"/>
        <v>0</v>
      </c>
      <c r="DR177" s="161">
        <f t="shared" si="221"/>
        <v>0</v>
      </c>
      <c r="DS177" s="161">
        <f t="shared" si="222"/>
        <v>0</v>
      </c>
      <c r="DT177" s="161">
        <f t="shared" si="223"/>
        <v>0</v>
      </c>
      <c r="DU177" s="161">
        <f t="shared" si="224"/>
        <v>0</v>
      </c>
      <c r="DV177" s="161">
        <f t="shared" si="225"/>
        <v>0</v>
      </c>
      <c r="DW177" s="161">
        <f t="shared" si="226"/>
        <v>0</v>
      </c>
      <c r="DX177" s="161">
        <f t="shared" si="227"/>
        <v>0</v>
      </c>
      <c r="DY177" s="161">
        <f t="shared" si="228"/>
        <v>0</v>
      </c>
      <c r="DZ177" s="161">
        <f t="shared" si="229"/>
        <v>0</v>
      </c>
      <c r="EA177" s="161">
        <f t="shared" si="230"/>
        <v>0</v>
      </c>
      <c r="EB177" s="161">
        <f t="shared" si="231"/>
        <v>0</v>
      </c>
      <c r="EC177" s="161">
        <f t="shared" si="232"/>
        <v>0</v>
      </c>
      <c r="ED177" s="161">
        <f t="shared" si="233"/>
        <v>0</v>
      </c>
      <c r="EE177" s="161">
        <f t="shared" si="234"/>
        <v>0</v>
      </c>
      <c r="EF177" s="161">
        <f t="shared" si="235"/>
        <v>0</v>
      </c>
      <c r="EG177" s="161">
        <f t="shared" si="236"/>
        <v>0</v>
      </c>
      <c r="EH177" s="161">
        <f t="shared" si="237"/>
        <v>0</v>
      </c>
      <c r="EI177" s="161">
        <f t="shared" si="238"/>
        <v>0</v>
      </c>
      <c r="EJ177" s="161">
        <f t="shared" si="239"/>
        <v>0</v>
      </c>
      <c r="EK177" s="147">
        <f t="shared" si="171"/>
        <v>0</v>
      </c>
      <c r="EL177" s="149"/>
      <c r="EN177" s="146"/>
      <c r="EO177" s="146"/>
      <c r="EP177" s="139">
        <f t="shared" si="172"/>
        <v>0</v>
      </c>
      <c r="EQ177" s="139">
        <f t="shared" si="173"/>
        <v>0</v>
      </c>
      <c r="ER177" s="139">
        <f t="shared" si="174"/>
        <v>0</v>
      </c>
      <c r="ES177" s="139">
        <f t="shared" si="175"/>
        <v>0</v>
      </c>
      <c r="ET177" s="139">
        <f t="shared" si="176"/>
        <v>0</v>
      </c>
      <c r="EU177" s="139">
        <f t="shared" si="177"/>
        <v>0</v>
      </c>
      <c r="EV177" s="139">
        <f t="shared" si="178"/>
        <v>0</v>
      </c>
      <c r="EW177" s="139">
        <f t="shared" si="179"/>
        <v>0</v>
      </c>
      <c r="EX177" s="139">
        <f t="shared" si="180"/>
        <v>0</v>
      </c>
      <c r="EY177" s="139">
        <f t="shared" si="181"/>
        <v>0</v>
      </c>
      <c r="EZ177" s="139">
        <f t="shared" si="182"/>
        <v>0</v>
      </c>
      <c r="FA177" s="139">
        <f t="shared" si="183"/>
        <v>0</v>
      </c>
      <c r="FB177" s="139">
        <f t="shared" si="184"/>
        <v>0</v>
      </c>
      <c r="FC177" s="139">
        <f t="shared" si="185"/>
        <v>0</v>
      </c>
      <c r="FD177" s="139">
        <f t="shared" si="186"/>
        <v>0</v>
      </c>
      <c r="FE177" s="139">
        <f t="shared" si="187"/>
        <v>0</v>
      </c>
      <c r="FF177" s="139">
        <f t="shared" si="188"/>
        <v>0</v>
      </c>
      <c r="FG177" s="139">
        <f t="shared" si="189"/>
        <v>0</v>
      </c>
      <c r="FH177" s="139">
        <f t="shared" si="190"/>
        <v>0</v>
      </c>
      <c r="FI177" s="139">
        <f t="shared" si="191"/>
        <v>0</v>
      </c>
      <c r="FJ177" s="139">
        <f t="shared" si="192"/>
        <v>0</v>
      </c>
      <c r="FK177" s="139">
        <f t="shared" si="193"/>
        <v>0</v>
      </c>
      <c r="FL177" s="139">
        <f t="shared" si="194"/>
        <v>0</v>
      </c>
      <c r="FM177" s="139">
        <f t="shared" si="195"/>
        <v>0</v>
      </c>
      <c r="FN177" s="139">
        <f t="shared" si="196"/>
        <v>0</v>
      </c>
      <c r="FO177" s="139">
        <f t="shared" si="197"/>
        <v>0</v>
      </c>
      <c r="FP177" s="139">
        <f t="shared" si="198"/>
        <v>0</v>
      </c>
      <c r="FQ177" s="139">
        <f t="shared" si="199"/>
        <v>0</v>
      </c>
      <c r="FR177" s="139">
        <f t="shared" si="200"/>
        <v>0</v>
      </c>
      <c r="FS177" s="139">
        <f t="shared" si="201"/>
        <v>0</v>
      </c>
      <c r="FT177" s="139">
        <f t="shared" si="202"/>
        <v>0</v>
      </c>
      <c r="FU177" s="148">
        <f t="shared" si="203"/>
        <v>0</v>
      </c>
      <c r="FV177" s="149"/>
      <c r="FY177" s="211">
        <v>172</v>
      </c>
      <c r="FZ177">
        <v>68.119015006110914</v>
      </c>
      <c r="GA177">
        <v>89.493128449032341</v>
      </c>
      <c r="GB177">
        <v>73.659717706876037</v>
      </c>
      <c r="GC177">
        <v>36.186222537558173</v>
      </c>
      <c r="GD177">
        <v>10.398935947103322</v>
      </c>
      <c r="GE177">
        <v>17.539012777475282</v>
      </c>
      <c r="GF177">
        <v>61.602927432349944</v>
      </c>
      <c r="GG177">
        <v>54.717007165497478</v>
      </c>
      <c r="GH177">
        <v>33.881402429380778</v>
      </c>
      <c r="GI177">
        <v>53.448971871724069</v>
      </c>
      <c r="GJ177"/>
      <c r="GK177"/>
      <c r="GL177"/>
      <c r="GM177"/>
    </row>
    <row r="178" spans="1:195" s="7" customFormat="1">
      <c r="A178" s="128"/>
      <c r="B178" s="76">
        <f ca="1">IF(C178="", "", RAND())</f>
        <v>0.77580194684661485</v>
      </c>
      <c r="C178">
        <v>5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60.763888888888886</v>
      </c>
      <c r="K178">
        <v>20.833333333333332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252.84563481420406</v>
      </c>
      <c r="AO178">
        <v>82.353052240706944</v>
      </c>
      <c r="AP178">
        <v>703.57718286748911</v>
      </c>
      <c r="AQ178">
        <v>554.27096742143613</v>
      </c>
      <c r="AR178">
        <v>78.96768443978057</v>
      </c>
      <c r="AS178">
        <v>398.02794877554152</v>
      </c>
      <c r="AT178">
        <v>40.496578012097771</v>
      </c>
      <c r="AU178">
        <v>59.710549310715706</v>
      </c>
      <c r="AV178"/>
      <c r="AW178"/>
      <c r="AX178" s="128"/>
      <c r="AY178" s="76">
        <f t="shared" ca="1" si="169"/>
        <v>0.7569475833821242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4"/>
        <v>0.22341227812272746</v>
      </c>
      <c r="CL178" s="179">
        <f t="shared" si="205"/>
        <v>1</v>
      </c>
      <c r="CM178" s="180">
        <f t="shared" si="206"/>
        <v>39987</v>
      </c>
      <c r="CN178">
        <v>0</v>
      </c>
      <c r="CO178"/>
      <c r="CP178"/>
      <c r="CQ178">
        <v>1</v>
      </c>
      <c r="CR178">
        <v>1</v>
      </c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07"/>
        <v>9.6000000000000002E-2</v>
      </c>
      <c r="DB178" s="128"/>
      <c r="DC178" s="76">
        <f t="shared" ca="1" si="170"/>
        <v>0.43128940980385044</v>
      </c>
      <c r="DD178">
        <f t="shared" si="208"/>
        <v>1</v>
      </c>
      <c r="DE178" s="129">
        <f t="shared" ref="DE178:DE187" si="244">IF((DD178)="", "", $C$13)</f>
        <v>39987</v>
      </c>
      <c r="DF178" s="161">
        <f t="shared" si="209"/>
        <v>0</v>
      </c>
      <c r="DG178" s="161">
        <f t="shared" si="210"/>
        <v>0</v>
      </c>
      <c r="DH178" s="161">
        <f t="shared" si="211"/>
        <v>0</v>
      </c>
      <c r="DI178" s="161">
        <f t="shared" si="212"/>
        <v>77.570921985815602</v>
      </c>
      <c r="DJ178" s="161">
        <f t="shared" si="213"/>
        <v>77.570921985815602</v>
      </c>
      <c r="DK178" s="161">
        <f t="shared" si="214"/>
        <v>0</v>
      </c>
      <c r="DL178" s="161">
        <f t="shared" si="215"/>
        <v>0</v>
      </c>
      <c r="DM178" s="161">
        <f t="shared" si="216"/>
        <v>0</v>
      </c>
      <c r="DN178" s="161">
        <f t="shared" si="217"/>
        <v>0</v>
      </c>
      <c r="DO178" s="161">
        <f t="shared" si="218"/>
        <v>0</v>
      </c>
      <c r="DP178" s="161">
        <f t="shared" si="219"/>
        <v>0</v>
      </c>
      <c r="DQ178" s="161">
        <f t="shared" si="220"/>
        <v>0</v>
      </c>
      <c r="DR178" s="161">
        <f t="shared" si="221"/>
        <v>0</v>
      </c>
      <c r="DS178" s="161">
        <f t="shared" si="222"/>
        <v>0</v>
      </c>
      <c r="DT178" s="161">
        <f t="shared" si="223"/>
        <v>0</v>
      </c>
      <c r="DU178" s="161">
        <f t="shared" si="224"/>
        <v>0</v>
      </c>
      <c r="DV178" s="161">
        <f t="shared" si="225"/>
        <v>0</v>
      </c>
      <c r="DW178" s="161">
        <f t="shared" si="226"/>
        <v>0</v>
      </c>
      <c r="DX178" s="161">
        <f t="shared" si="227"/>
        <v>0</v>
      </c>
      <c r="DY178" s="161">
        <f t="shared" si="228"/>
        <v>0</v>
      </c>
      <c r="DZ178" s="161">
        <f t="shared" si="229"/>
        <v>0</v>
      </c>
      <c r="EA178" s="161">
        <f t="shared" si="230"/>
        <v>0</v>
      </c>
      <c r="EB178" s="161">
        <f t="shared" si="231"/>
        <v>0</v>
      </c>
      <c r="EC178" s="161">
        <f t="shared" si="232"/>
        <v>0</v>
      </c>
      <c r="ED178" s="161">
        <f t="shared" si="233"/>
        <v>0</v>
      </c>
      <c r="EE178" s="161">
        <f t="shared" si="234"/>
        <v>0</v>
      </c>
      <c r="EF178" s="161">
        <f t="shared" si="235"/>
        <v>0</v>
      </c>
      <c r="EG178" s="161">
        <f t="shared" si="236"/>
        <v>0</v>
      </c>
      <c r="EH178" s="161">
        <f t="shared" si="237"/>
        <v>0</v>
      </c>
      <c r="EI178" s="161">
        <f t="shared" si="238"/>
        <v>0</v>
      </c>
      <c r="EJ178" s="161">
        <f t="shared" si="239"/>
        <v>0</v>
      </c>
      <c r="EK178" s="147">
        <f t="shared" si="171"/>
        <v>155.1418439716312</v>
      </c>
      <c r="EL178" s="149"/>
      <c r="EN178" s="146"/>
      <c r="EO178" s="146"/>
      <c r="EP178" s="139">
        <f t="shared" si="172"/>
        <v>0</v>
      </c>
      <c r="EQ178" s="139">
        <f t="shared" si="173"/>
        <v>0</v>
      </c>
      <c r="ER178" s="139">
        <f t="shared" si="174"/>
        <v>0</v>
      </c>
      <c r="ES178" s="139">
        <f t="shared" si="175"/>
        <v>9.2149361085249932</v>
      </c>
      <c r="ET178" s="139">
        <f t="shared" si="176"/>
        <v>20.175552981718866</v>
      </c>
      <c r="EU178" s="139">
        <f t="shared" si="177"/>
        <v>0</v>
      </c>
      <c r="EV178" s="139">
        <f t="shared" si="178"/>
        <v>0</v>
      </c>
      <c r="EW178" s="139">
        <f t="shared" si="179"/>
        <v>0</v>
      </c>
      <c r="EX178" s="139">
        <f t="shared" si="180"/>
        <v>0</v>
      </c>
      <c r="EY178" s="139">
        <f t="shared" si="181"/>
        <v>0</v>
      </c>
      <c r="EZ178" s="139">
        <f t="shared" si="182"/>
        <v>0</v>
      </c>
      <c r="FA178" s="139">
        <f t="shared" si="183"/>
        <v>0</v>
      </c>
      <c r="FB178" s="139">
        <f t="shared" si="184"/>
        <v>0</v>
      </c>
      <c r="FC178" s="139">
        <f t="shared" si="185"/>
        <v>0</v>
      </c>
      <c r="FD178" s="139">
        <f t="shared" si="186"/>
        <v>0</v>
      </c>
      <c r="FE178" s="139">
        <f t="shared" si="187"/>
        <v>0</v>
      </c>
      <c r="FF178" s="139">
        <f t="shared" si="188"/>
        <v>0</v>
      </c>
      <c r="FG178" s="139">
        <f t="shared" si="189"/>
        <v>0</v>
      </c>
      <c r="FH178" s="139">
        <f t="shared" si="190"/>
        <v>0</v>
      </c>
      <c r="FI178" s="139">
        <f t="shared" si="191"/>
        <v>0</v>
      </c>
      <c r="FJ178" s="139">
        <f t="shared" si="192"/>
        <v>0</v>
      </c>
      <c r="FK178" s="139">
        <f t="shared" si="193"/>
        <v>0</v>
      </c>
      <c r="FL178" s="139">
        <f t="shared" si="194"/>
        <v>0</v>
      </c>
      <c r="FM178" s="139">
        <f t="shared" si="195"/>
        <v>0</v>
      </c>
      <c r="FN178" s="139">
        <f t="shared" si="196"/>
        <v>0</v>
      </c>
      <c r="FO178" s="139">
        <f t="shared" si="197"/>
        <v>0</v>
      </c>
      <c r="FP178" s="139">
        <f t="shared" si="198"/>
        <v>0</v>
      </c>
      <c r="FQ178" s="139">
        <f t="shared" si="199"/>
        <v>0</v>
      </c>
      <c r="FR178" s="139">
        <f t="shared" si="200"/>
        <v>0</v>
      </c>
      <c r="FS178" s="139">
        <f t="shared" si="201"/>
        <v>0</v>
      </c>
      <c r="FT178" s="139">
        <f t="shared" si="202"/>
        <v>0</v>
      </c>
      <c r="FU178" s="148">
        <f t="shared" si="203"/>
        <v>29.390489090243861</v>
      </c>
      <c r="FV178" s="149"/>
      <c r="FY178" s="211">
        <v>173</v>
      </c>
      <c r="FZ178">
        <v>26.480947897526178</v>
      </c>
      <c r="GA178">
        <v>52.881741387971609</v>
      </c>
      <c r="GB178">
        <v>45.434906321594056</v>
      </c>
      <c r="GC178">
        <v>24.142738672592003</v>
      </c>
      <c r="GD178">
        <v>17.727295579222996</v>
      </c>
      <c r="GE178">
        <v>25.141578010384304</v>
      </c>
      <c r="GF178">
        <v>38.705162191334125</v>
      </c>
      <c r="GG178">
        <v>29.179288811247392</v>
      </c>
      <c r="GH178">
        <v>20.673298107575281</v>
      </c>
      <c r="GI178">
        <v>37.769624964315717</v>
      </c>
      <c r="GJ178"/>
      <c r="GK178"/>
      <c r="GL178"/>
      <c r="GM178"/>
    </row>
    <row r="179" spans="1:195" s="7" customFormat="1">
      <c r="A179" s="1"/>
      <c r="B179" s="76">
        <f ca="1">IF(C179="", "", RAND())</f>
        <v>0.62866099522788921</v>
      </c>
      <c r="C179">
        <v>1</v>
      </c>
      <c r="D179">
        <v>39987</v>
      </c>
      <c r="E179">
        <v>0</v>
      </c>
      <c r="F179">
        <v>0</v>
      </c>
      <c r="G179">
        <v>0</v>
      </c>
      <c r="H179">
        <v>77.570921985815602</v>
      </c>
      <c r="I179">
        <v>77.570921985815602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160.79758793971939</v>
      </c>
      <c r="AO179">
        <v>57.673032291250536</v>
      </c>
      <c r="AP179">
        <v>442.11270880657685</v>
      </c>
      <c r="AQ179">
        <v>361.9347182414017</v>
      </c>
      <c r="AR179">
        <v>55.1535847576544</v>
      </c>
      <c r="AS179">
        <v>255.55250020410583</v>
      </c>
      <c r="AT179">
        <v>29.684291714790096</v>
      </c>
      <c r="AU179">
        <v>-43.610062345510627</v>
      </c>
      <c r="AV179"/>
      <c r="AW179"/>
      <c r="AX179" s="146"/>
      <c r="AY179" s="76">
        <f t="shared" ca="1" si="169"/>
        <v>0.53224869886043713</v>
      </c>
      <c r="AZ179">
        <v>2</v>
      </c>
      <c r="BA179" s="129">
        <f t="shared" ref="BA179:BA187" si="245">IF(AZ179="", "",$C$13)</f>
        <v>39987</v>
      </c>
      <c r="BB179">
        <v>0</v>
      </c>
      <c r="BC179"/>
      <c r="BD179"/>
      <c r="BE179"/>
      <c r="BF179"/>
      <c r="BG179"/>
      <c r="BH179">
        <v>1</v>
      </c>
      <c r="BI179"/>
      <c r="BJ179"/>
      <c r="BK179">
        <v>0</v>
      </c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4"/>
        <v>0.9308587661549903</v>
      </c>
      <c r="CL179" s="179">
        <f t="shared" si="205"/>
        <v>2</v>
      </c>
      <c r="CM179" s="180">
        <f t="shared" si="206"/>
        <v>39987</v>
      </c>
      <c r="CN179">
        <v>0</v>
      </c>
      <c r="CO179"/>
      <c r="CP179">
        <v>1</v>
      </c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07"/>
        <v>9.6000000000000002E-2</v>
      </c>
      <c r="DB179" s="146"/>
      <c r="DC179" s="76">
        <f t="shared" ca="1" si="170"/>
        <v>0.97780800425700387</v>
      </c>
      <c r="DD179">
        <f t="shared" si="208"/>
        <v>2</v>
      </c>
      <c r="DE179" s="129">
        <f t="shared" si="244"/>
        <v>39987</v>
      </c>
      <c r="DF179" s="161">
        <f t="shared" si="209"/>
        <v>0</v>
      </c>
      <c r="DG179" s="161">
        <f t="shared" si="210"/>
        <v>0</v>
      </c>
      <c r="DH179" s="161">
        <f t="shared" si="211"/>
        <v>57.779947916666664</v>
      </c>
      <c r="DI179" s="161">
        <f t="shared" si="212"/>
        <v>0</v>
      </c>
      <c r="DJ179" s="161">
        <f t="shared" si="213"/>
        <v>0</v>
      </c>
      <c r="DK179" s="161">
        <f t="shared" si="214"/>
        <v>0</v>
      </c>
      <c r="DL179" s="161">
        <f t="shared" si="215"/>
        <v>10.416666666666666</v>
      </c>
      <c r="DM179" s="161">
        <f t="shared" si="216"/>
        <v>0</v>
      </c>
      <c r="DN179" s="161">
        <f t="shared" si="217"/>
        <v>0</v>
      </c>
      <c r="DO179" s="161">
        <f t="shared" si="218"/>
        <v>0</v>
      </c>
      <c r="DP179" s="161">
        <f t="shared" si="219"/>
        <v>0</v>
      </c>
      <c r="DQ179" s="161">
        <f t="shared" si="220"/>
        <v>0</v>
      </c>
      <c r="DR179" s="161">
        <f t="shared" si="221"/>
        <v>0</v>
      </c>
      <c r="DS179" s="161">
        <f t="shared" si="222"/>
        <v>0</v>
      </c>
      <c r="DT179" s="161">
        <f t="shared" si="223"/>
        <v>0</v>
      </c>
      <c r="DU179" s="161">
        <f t="shared" si="224"/>
        <v>0</v>
      </c>
      <c r="DV179" s="161">
        <f t="shared" si="225"/>
        <v>0</v>
      </c>
      <c r="DW179" s="161">
        <f t="shared" si="226"/>
        <v>0</v>
      </c>
      <c r="DX179" s="161">
        <f t="shared" si="227"/>
        <v>0</v>
      </c>
      <c r="DY179" s="161">
        <f t="shared" si="228"/>
        <v>0</v>
      </c>
      <c r="DZ179" s="161">
        <f t="shared" si="229"/>
        <v>0</v>
      </c>
      <c r="EA179" s="161">
        <f t="shared" si="230"/>
        <v>0</v>
      </c>
      <c r="EB179" s="161">
        <f t="shared" si="231"/>
        <v>0</v>
      </c>
      <c r="EC179" s="161">
        <f t="shared" si="232"/>
        <v>0</v>
      </c>
      <c r="ED179" s="161">
        <f t="shared" si="233"/>
        <v>0</v>
      </c>
      <c r="EE179" s="161">
        <f t="shared" si="234"/>
        <v>0</v>
      </c>
      <c r="EF179" s="161">
        <f t="shared" si="235"/>
        <v>0</v>
      </c>
      <c r="EG179" s="161">
        <f t="shared" si="236"/>
        <v>0</v>
      </c>
      <c r="EH179" s="161">
        <f t="shared" si="237"/>
        <v>0</v>
      </c>
      <c r="EI179" s="161">
        <f t="shared" si="238"/>
        <v>0</v>
      </c>
      <c r="EJ179" s="161">
        <f t="shared" si="239"/>
        <v>0</v>
      </c>
      <c r="EK179" s="147">
        <f t="shared" si="171"/>
        <v>68.196614583333329</v>
      </c>
      <c r="EL179" s="149"/>
      <c r="EN179" s="146"/>
      <c r="EO179" s="146"/>
      <c r="EP179" s="139">
        <f t="shared" si="172"/>
        <v>0</v>
      </c>
      <c r="EQ179" s="139">
        <f t="shared" si="173"/>
        <v>0</v>
      </c>
      <c r="ER179" s="139">
        <f t="shared" si="174"/>
        <v>2.2745627964102897</v>
      </c>
      <c r="ES179" s="139">
        <f t="shared" si="175"/>
        <v>0</v>
      </c>
      <c r="ET179" s="139">
        <f t="shared" si="176"/>
        <v>0</v>
      </c>
      <c r="EU179" s="139">
        <f t="shared" si="177"/>
        <v>0</v>
      </c>
      <c r="EV179" s="139">
        <f t="shared" si="178"/>
        <v>8.1757546524457592</v>
      </c>
      <c r="EW179" s="139">
        <f t="shared" si="179"/>
        <v>0</v>
      </c>
      <c r="EX179" s="139">
        <f t="shared" si="180"/>
        <v>0</v>
      </c>
      <c r="EY179" s="139">
        <f t="shared" si="181"/>
        <v>0</v>
      </c>
      <c r="EZ179" s="139">
        <f t="shared" si="182"/>
        <v>0</v>
      </c>
      <c r="FA179" s="139">
        <f t="shared" si="183"/>
        <v>0</v>
      </c>
      <c r="FB179" s="139">
        <f t="shared" si="184"/>
        <v>0</v>
      </c>
      <c r="FC179" s="139">
        <f t="shared" si="185"/>
        <v>0</v>
      </c>
      <c r="FD179" s="139">
        <f t="shared" si="186"/>
        <v>0</v>
      </c>
      <c r="FE179" s="139">
        <f t="shared" si="187"/>
        <v>0</v>
      </c>
      <c r="FF179" s="139">
        <f t="shared" si="188"/>
        <v>0</v>
      </c>
      <c r="FG179" s="139">
        <f t="shared" si="189"/>
        <v>0</v>
      </c>
      <c r="FH179" s="139">
        <f t="shared" si="190"/>
        <v>0</v>
      </c>
      <c r="FI179" s="139">
        <f t="shared" si="191"/>
        <v>0</v>
      </c>
      <c r="FJ179" s="139">
        <f t="shared" si="192"/>
        <v>0</v>
      </c>
      <c r="FK179" s="139">
        <f t="shared" si="193"/>
        <v>0</v>
      </c>
      <c r="FL179" s="139">
        <f t="shared" si="194"/>
        <v>0</v>
      </c>
      <c r="FM179" s="139">
        <f t="shared" si="195"/>
        <v>0</v>
      </c>
      <c r="FN179" s="139">
        <f t="shared" si="196"/>
        <v>0</v>
      </c>
      <c r="FO179" s="139">
        <f t="shared" si="197"/>
        <v>0</v>
      </c>
      <c r="FP179" s="139">
        <f t="shared" si="198"/>
        <v>0</v>
      </c>
      <c r="FQ179" s="139">
        <f t="shared" si="199"/>
        <v>0</v>
      </c>
      <c r="FR179" s="139">
        <f t="shared" si="200"/>
        <v>0</v>
      </c>
      <c r="FS179" s="139">
        <f t="shared" si="201"/>
        <v>0</v>
      </c>
      <c r="FT179" s="139">
        <f t="shared" si="202"/>
        <v>0</v>
      </c>
      <c r="FU179" s="148">
        <f t="shared" si="203"/>
        <v>10.450317448856049</v>
      </c>
      <c r="FV179" s="149"/>
      <c r="FY179" s="211">
        <v>174</v>
      </c>
      <c r="FZ179">
        <v>44.801478908040657</v>
      </c>
      <c r="GA179">
        <v>49.143415412644551</v>
      </c>
      <c r="GB179">
        <v>56.765141188041532</v>
      </c>
      <c r="GC179">
        <v>34.046063729590628</v>
      </c>
      <c r="GD179">
        <v>18.996478318141804</v>
      </c>
      <c r="GE179">
        <v>25.241463922258234</v>
      </c>
      <c r="GF179">
        <v>31.741654061410721</v>
      </c>
      <c r="GG179">
        <v>24.695861391870224</v>
      </c>
      <c r="GH179">
        <v>26.036275313285778</v>
      </c>
      <c r="GI179">
        <v>43.606641346126821</v>
      </c>
      <c r="GJ179"/>
      <c r="GK179"/>
      <c r="GL179"/>
      <c r="GM179"/>
    </row>
    <row r="180" spans="1:195" s="7" customFormat="1">
      <c r="A180" s="1"/>
      <c r="B180" s="76">
        <f ca="1">IF(C180="", "", RAND())</f>
        <v>0.17058090331318887</v>
      </c>
      <c r="C180">
        <v>6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20.833333333333332</v>
      </c>
      <c r="L180">
        <v>20.833333333333332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257.73914475933384</v>
      </c>
      <c r="AO180">
        <v>69.646996639250986</v>
      </c>
      <c r="AP180">
        <v>531.59256669335707</v>
      </c>
      <c r="AQ180">
        <v>427.39790873646012</v>
      </c>
      <c r="AR180">
        <v>66.706313179841914</v>
      </c>
      <c r="AS180">
        <v>312.04911502776156</v>
      </c>
      <c r="AT180">
        <v>30.861779837811799</v>
      </c>
      <c r="AU180">
        <v>-25.029463430919044</v>
      </c>
      <c r="AV180"/>
      <c r="AW180"/>
      <c r="AX180" s="146"/>
      <c r="AY180" s="76">
        <f t="shared" ca="1" si="169"/>
        <v>0.63475156121614984</v>
      </c>
      <c r="AZ180">
        <v>3</v>
      </c>
      <c r="BA180" s="129">
        <f t="shared" si="245"/>
        <v>39987</v>
      </c>
      <c r="BB180">
        <v>0</v>
      </c>
      <c r="BC180"/>
      <c r="BD180"/>
      <c r="BE180"/>
      <c r="BF180"/>
      <c r="BG180"/>
      <c r="BH180"/>
      <c r="BI180"/>
      <c r="BJ180"/>
      <c r="BK180">
        <v>1</v>
      </c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4"/>
        <v>0.86267867060952863</v>
      </c>
      <c r="CL180" s="179">
        <f t="shared" si="205"/>
        <v>3</v>
      </c>
      <c r="CM180" s="180">
        <f t="shared" si="206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07"/>
        <v>9.6000000000000002E-2</v>
      </c>
      <c r="DB180" s="146"/>
      <c r="DC180" s="76">
        <f t="shared" ca="1" si="170"/>
        <v>0.10253378830860482</v>
      </c>
      <c r="DD180">
        <f t="shared" si="208"/>
        <v>3</v>
      </c>
      <c r="DE180" s="129">
        <f t="shared" si="244"/>
        <v>39987</v>
      </c>
      <c r="DF180" s="161">
        <f t="shared" si="209"/>
        <v>0</v>
      </c>
      <c r="DG180" s="161">
        <f t="shared" si="210"/>
        <v>0</v>
      </c>
      <c r="DH180" s="161">
        <f t="shared" si="211"/>
        <v>0</v>
      </c>
      <c r="DI180" s="161">
        <f t="shared" si="212"/>
        <v>0</v>
      </c>
      <c r="DJ180" s="161">
        <f t="shared" si="213"/>
        <v>0</v>
      </c>
      <c r="DK180" s="161">
        <f t="shared" si="214"/>
        <v>0</v>
      </c>
      <c r="DL180" s="161">
        <f t="shared" si="215"/>
        <v>0</v>
      </c>
      <c r="DM180" s="161">
        <f t="shared" si="216"/>
        <v>0</v>
      </c>
      <c r="DN180" s="161">
        <f t="shared" si="217"/>
        <v>0</v>
      </c>
      <c r="DO180" s="161">
        <f t="shared" si="218"/>
        <v>10.416666666666666</v>
      </c>
      <c r="DP180" s="161">
        <f t="shared" si="219"/>
        <v>0</v>
      </c>
      <c r="DQ180" s="161">
        <f t="shared" si="220"/>
        <v>0</v>
      </c>
      <c r="DR180" s="161">
        <f t="shared" si="221"/>
        <v>0</v>
      </c>
      <c r="DS180" s="161">
        <f t="shared" si="222"/>
        <v>0</v>
      </c>
      <c r="DT180" s="161">
        <f t="shared" si="223"/>
        <v>0</v>
      </c>
      <c r="DU180" s="161">
        <f t="shared" si="224"/>
        <v>0</v>
      </c>
      <c r="DV180" s="161">
        <f t="shared" si="225"/>
        <v>0</v>
      </c>
      <c r="DW180" s="161">
        <f t="shared" si="226"/>
        <v>0</v>
      </c>
      <c r="DX180" s="161">
        <f t="shared" si="227"/>
        <v>0</v>
      </c>
      <c r="DY180" s="161">
        <f t="shared" si="228"/>
        <v>0</v>
      </c>
      <c r="DZ180" s="161">
        <f t="shared" si="229"/>
        <v>0</v>
      </c>
      <c r="EA180" s="161">
        <f t="shared" si="230"/>
        <v>0</v>
      </c>
      <c r="EB180" s="161">
        <f t="shared" si="231"/>
        <v>0</v>
      </c>
      <c r="EC180" s="161">
        <f t="shared" si="232"/>
        <v>0</v>
      </c>
      <c r="ED180" s="161">
        <f t="shared" si="233"/>
        <v>0</v>
      </c>
      <c r="EE180" s="161">
        <f t="shared" si="234"/>
        <v>0</v>
      </c>
      <c r="EF180" s="161">
        <f t="shared" si="235"/>
        <v>0</v>
      </c>
      <c r="EG180" s="161">
        <f t="shared" si="236"/>
        <v>0</v>
      </c>
      <c r="EH180" s="161">
        <f t="shared" si="237"/>
        <v>0</v>
      </c>
      <c r="EI180" s="161">
        <f t="shared" si="238"/>
        <v>0</v>
      </c>
      <c r="EJ180" s="161">
        <f t="shared" si="239"/>
        <v>0</v>
      </c>
      <c r="EK180" s="147">
        <f t="shared" si="171"/>
        <v>10.416666666666666</v>
      </c>
      <c r="EL180" s="149"/>
      <c r="EN180" s="146"/>
      <c r="EO180" s="146"/>
      <c r="EP180" s="139">
        <f t="shared" si="172"/>
        <v>0</v>
      </c>
      <c r="EQ180" s="139">
        <f t="shared" si="173"/>
        <v>0</v>
      </c>
      <c r="ER180" s="139">
        <f t="shared" si="174"/>
        <v>0</v>
      </c>
      <c r="ES180" s="139">
        <f t="shared" si="175"/>
        <v>0</v>
      </c>
      <c r="ET180" s="139">
        <f t="shared" si="176"/>
        <v>0</v>
      </c>
      <c r="EU180" s="139">
        <f t="shared" si="177"/>
        <v>0</v>
      </c>
      <c r="EV180" s="139">
        <f t="shared" si="178"/>
        <v>0</v>
      </c>
      <c r="EW180" s="139">
        <f t="shared" si="179"/>
        <v>0</v>
      </c>
      <c r="EX180" s="139">
        <f t="shared" si="180"/>
        <v>0</v>
      </c>
      <c r="EY180" s="139">
        <f t="shared" si="181"/>
        <v>24.67177750531274</v>
      </c>
      <c r="EZ180" s="139">
        <f t="shared" si="182"/>
        <v>0</v>
      </c>
      <c r="FA180" s="139">
        <f t="shared" si="183"/>
        <v>0</v>
      </c>
      <c r="FB180" s="139">
        <f t="shared" si="184"/>
        <v>0</v>
      </c>
      <c r="FC180" s="139">
        <f t="shared" si="185"/>
        <v>0</v>
      </c>
      <c r="FD180" s="139">
        <f t="shared" si="186"/>
        <v>0</v>
      </c>
      <c r="FE180" s="139">
        <f t="shared" si="187"/>
        <v>0</v>
      </c>
      <c r="FF180" s="139">
        <f t="shared" si="188"/>
        <v>0</v>
      </c>
      <c r="FG180" s="139">
        <f t="shared" si="189"/>
        <v>0</v>
      </c>
      <c r="FH180" s="139">
        <f t="shared" si="190"/>
        <v>0</v>
      </c>
      <c r="FI180" s="139">
        <f t="shared" si="191"/>
        <v>0</v>
      </c>
      <c r="FJ180" s="139">
        <f t="shared" si="192"/>
        <v>0</v>
      </c>
      <c r="FK180" s="139">
        <f t="shared" si="193"/>
        <v>0</v>
      </c>
      <c r="FL180" s="139">
        <f t="shared" si="194"/>
        <v>0</v>
      </c>
      <c r="FM180" s="139">
        <f t="shared" si="195"/>
        <v>0</v>
      </c>
      <c r="FN180" s="139">
        <f t="shared" si="196"/>
        <v>0</v>
      </c>
      <c r="FO180" s="139">
        <f t="shared" si="197"/>
        <v>0</v>
      </c>
      <c r="FP180" s="139">
        <f t="shared" si="198"/>
        <v>0</v>
      </c>
      <c r="FQ180" s="139">
        <f t="shared" si="199"/>
        <v>0</v>
      </c>
      <c r="FR180" s="139">
        <f t="shared" si="200"/>
        <v>0</v>
      </c>
      <c r="FS180" s="139">
        <f t="shared" si="201"/>
        <v>0</v>
      </c>
      <c r="FT180" s="139">
        <f t="shared" si="202"/>
        <v>0</v>
      </c>
      <c r="FU180" s="148">
        <f t="shared" si="203"/>
        <v>24.67177750531274</v>
      </c>
      <c r="FV180" s="149"/>
      <c r="FY180" s="211">
        <v>175</v>
      </c>
      <c r="FZ180">
        <v>42.328825642597785</v>
      </c>
      <c r="GA180">
        <v>44.015942462695484</v>
      </c>
      <c r="GB180">
        <v>28.642055391697859</v>
      </c>
      <c r="GC180">
        <v>20.901508156983684</v>
      </c>
      <c r="GD180">
        <v>16.578235330230623</v>
      </c>
      <c r="GE180">
        <v>27.592743629828441</v>
      </c>
      <c r="GF180">
        <v>49.740797467962423</v>
      </c>
      <c r="GG180">
        <v>34.344680505272073</v>
      </c>
      <c r="GH180">
        <v>22.562811193195859</v>
      </c>
      <c r="GI180">
        <v>37.483998909600999</v>
      </c>
      <c r="GJ180"/>
      <c r="GK180"/>
      <c r="GL180"/>
      <c r="GM180"/>
    </row>
    <row r="181" spans="1:195" s="7" customFormat="1">
      <c r="A181" s="1"/>
      <c r="B181" s="76">
        <f ca="1">IF(C181="", "", RAND())</f>
        <v>0.66258521397010561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214.74872769882535</v>
      </c>
      <c r="AO181">
        <v>67.012078841290972</v>
      </c>
      <c r="AP181">
        <v>557.82796030642282</v>
      </c>
      <c r="AQ181">
        <v>428.59047601438277</v>
      </c>
      <c r="AR181">
        <v>64.265358615306511</v>
      </c>
      <c r="AS181">
        <v>310.07178689486886</v>
      </c>
      <c r="AT181">
        <v>32.262514554737614</v>
      </c>
      <c r="AU181">
        <v>3.6020150333033563</v>
      </c>
      <c r="AV181"/>
      <c r="AW181"/>
      <c r="AX181" s="146"/>
      <c r="AY181" s="76">
        <f t="shared" ca="1" si="169"/>
        <v>0.91872508535209008</v>
      </c>
      <c r="AZ181">
        <v>4</v>
      </c>
      <c r="BA181" s="129">
        <f t="shared" si="245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4"/>
        <v>0.12320587337610345</v>
      </c>
      <c r="CL181" s="179">
        <f t="shared" si="205"/>
        <v>4</v>
      </c>
      <c r="CM181" s="180">
        <f t="shared" si="206"/>
        <v>39987</v>
      </c>
      <c r="CN181">
        <v>0</v>
      </c>
      <c r="CO181"/>
      <c r="CP181"/>
      <c r="CQ181">
        <v>1</v>
      </c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07"/>
        <v>9.6000000000000002E-2</v>
      </c>
      <c r="DB181" s="146"/>
      <c r="DC181" s="76">
        <f t="shared" ca="1" si="170"/>
        <v>0.52747235418553107</v>
      </c>
      <c r="DD181">
        <f t="shared" si="208"/>
        <v>4</v>
      </c>
      <c r="DE181" s="129">
        <f t="shared" si="244"/>
        <v>39987</v>
      </c>
      <c r="DF181" s="161">
        <f t="shared" si="209"/>
        <v>0</v>
      </c>
      <c r="DG181" s="161">
        <f t="shared" si="210"/>
        <v>0</v>
      </c>
      <c r="DH181" s="161">
        <f t="shared" si="211"/>
        <v>0</v>
      </c>
      <c r="DI181" s="161">
        <f t="shared" si="212"/>
        <v>88.922764227642276</v>
      </c>
      <c r="DJ181" s="161">
        <f t="shared" si="213"/>
        <v>0</v>
      </c>
      <c r="DK181" s="161">
        <f t="shared" si="214"/>
        <v>0</v>
      </c>
      <c r="DL181" s="161">
        <f t="shared" si="215"/>
        <v>0</v>
      </c>
      <c r="DM181" s="161">
        <f t="shared" si="216"/>
        <v>0</v>
      </c>
      <c r="DN181" s="161">
        <f t="shared" si="217"/>
        <v>0</v>
      </c>
      <c r="DO181" s="161">
        <f t="shared" si="218"/>
        <v>0</v>
      </c>
      <c r="DP181" s="161">
        <f t="shared" si="219"/>
        <v>0</v>
      </c>
      <c r="DQ181" s="161">
        <f t="shared" si="220"/>
        <v>0</v>
      </c>
      <c r="DR181" s="161">
        <f t="shared" si="221"/>
        <v>0</v>
      </c>
      <c r="DS181" s="161">
        <f t="shared" si="222"/>
        <v>0</v>
      </c>
      <c r="DT181" s="161">
        <f t="shared" si="223"/>
        <v>0</v>
      </c>
      <c r="DU181" s="161">
        <f t="shared" si="224"/>
        <v>0</v>
      </c>
      <c r="DV181" s="161">
        <f t="shared" si="225"/>
        <v>0</v>
      </c>
      <c r="DW181" s="161">
        <f t="shared" si="226"/>
        <v>0</v>
      </c>
      <c r="DX181" s="161">
        <f t="shared" si="227"/>
        <v>0</v>
      </c>
      <c r="DY181" s="161">
        <f t="shared" si="228"/>
        <v>0</v>
      </c>
      <c r="DZ181" s="161">
        <f t="shared" si="229"/>
        <v>0</v>
      </c>
      <c r="EA181" s="161">
        <f t="shared" si="230"/>
        <v>0</v>
      </c>
      <c r="EB181" s="161">
        <f t="shared" si="231"/>
        <v>0</v>
      </c>
      <c r="EC181" s="161">
        <f t="shared" si="232"/>
        <v>0</v>
      </c>
      <c r="ED181" s="161">
        <f t="shared" si="233"/>
        <v>0</v>
      </c>
      <c r="EE181" s="161">
        <f t="shared" si="234"/>
        <v>0</v>
      </c>
      <c r="EF181" s="161">
        <f t="shared" si="235"/>
        <v>0</v>
      </c>
      <c r="EG181" s="161">
        <f t="shared" si="236"/>
        <v>0</v>
      </c>
      <c r="EH181" s="161">
        <f t="shared" si="237"/>
        <v>0</v>
      </c>
      <c r="EI181" s="161">
        <f t="shared" si="238"/>
        <v>0</v>
      </c>
      <c r="EJ181" s="161">
        <f t="shared" si="239"/>
        <v>0</v>
      </c>
      <c r="EK181" s="147">
        <f t="shared" si="171"/>
        <v>88.922764227642276</v>
      </c>
      <c r="EL181" s="149"/>
      <c r="EN181" s="146"/>
      <c r="EO181" s="146"/>
      <c r="EP181" s="139">
        <f t="shared" si="172"/>
        <v>0</v>
      </c>
      <c r="EQ181" s="139">
        <f t="shared" si="173"/>
        <v>0</v>
      </c>
      <c r="ER181" s="139">
        <f t="shared" si="174"/>
        <v>0</v>
      </c>
      <c r="ES181" s="139">
        <f t="shared" si="175"/>
        <v>10.563463343918894</v>
      </c>
      <c r="ET181" s="139">
        <f t="shared" si="176"/>
        <v>0</v>
      </c>
      <c r="EU181" s="139">
        <f t="shared" si="177"/>
        <v>0</v>
      </c>
      <c r="EV181" s="139">
        <f t="shared" si="178"/>
        <v>0</v>
      </c>
      <c r="EW181" s="139">
        <f t="shared" si="179"/>
        <v>0</v>
      </c>
      <c r="EX181" s="139">
        <f t="shared" si="180"/>
        <v>0</v>
      </c>
      <c r="EY181" s="139">
        <f t="shared" si="181"/>
        <v>0</v>
      </c>
      <c r="EZ181" s="139">
        <f t="shared" si="182"/>
        <v>0</v>
      </c>
      <c r="FA181" s="139">
        <f t="shared" si="183"/>
        <v>0</v>
      </c>
      <c r="FB181" s="139">
        <f t="shared" si="184"/>
        <v>0</v>
      </c>
      <c r="FC181" s="139">
        <f t="shared" si="185"/>
        <v>0</v>
      </c>
      <c r="FD181" s="139">
        <f t="shared" si="186"/>
        <v>0</v>
      </c>
      <c r="FE181" s="139">
        <f t="shared" si="187"/>
        <v>0</v>
      </c>
      <c r="FF181" s="139">
        <f t="shared" si="188"/>
        <v>0</v>
      </c>
      <c r="FG181" s="139">
        <f t="shared" si="189"/>
        <v>0</v>
      </c>
      <c r="FH181" s="139">
        <f t="shared" si="190"/>
        <v>0</v>
      </c>
      <c r="FI181" s="139">
        <f t="shared" si="191"/>
        <v>0</v>
      </c>
      <c r="FJ181" s="139">
        <f t="shared" si="192"/>
        <v>0</v>
      </c>
      <c r="FK181" s="139">
        <f t="shared" si="193"/>
        <v>0</v>
      </c>
      <c r="FL181" s="139">
        <f t="shared" si="194"/>
        <v>0</v>
      </c>
      <c r="FM181" s="139">
        <f t="shared" si="195"/>
        <v>0</v>
      </c>
      <c r="FN181" s="139">
        <f t="shared" si="196"/>
        <v>0</v>
      </c>
      <c r="FO181" s="139">
        <f t="shared" si="197"/>
        <v>0</v>
      </c>
      <c r="FP181" s="139">
        <f t="shared" si="198"/>
        <v>0</v>
      </c>
      <c r="FQ181" s="139">
        <f t="shared" si="199"/>
        <v>0</v>
      </c>
      <c r="FR181" s="139">
        <f t="shared" si="200"/>
        <v>0</v>
      </c>
      <c r="FS181" s="139">
        <f t="shared" si="201"/>
        <v>0</v>
      </c>
      <c r="FT181" s="139">
        <f t="shared" si="202"/>
        <v>0</v>
      </c>
      <c r="FU181" s="148">
        <f t="shared" si="203"/>
        <v>10.563463343918894</v>
      </c>
      <c r="FV181" s="149"/>
      <c r="FY181" s="211">
        <v>176</v>
      </c>
      <c r="FZ181">
        <v>77.790511916889926</v>
      </c>
      <c r="GA181">
        <v>92.232095382398498</v>
      </c>
      <c r="GB181">
        <v>53.193523652074447</v>
      </c>
      <c r="GC181">
        <v>26.256429155910148</v>
      </c>
      <c r="GD181">
        <v>17.079729807578847</v>
      </c>
      <c r="GE181">
        <v>32.154792812758785</v>
      </c>
      <c r="GF181">
        <v>28.829310642044277</v>
      </c>
      <c r="GG181">
        <v>15.426232561722108</v>
      </c>
      <c r="GH181">
        <v>22.449992514640758</v>
      </c>
      <c r="GI181">
        <v>45.311689159126793</v>
      </c>
      <c r="GJ181"/>
      <c r="GK181"/>
      <c r="GL181"/>
      <c r="GM181"/>
    </row>
    <row r="182" spans="1:195" s="7" customFormat="1">
      <c r="A182" s="1"/>
      <c r="B182" s="76">
        <f ca="1">IF(C182="", "", RAND())</f>
        <v>0.9179909385397691</v>
      </c>
      <c r="C182">
        <v>2</v>
      </c>
      <c r="D182">
        <v>39987</v>
      </c>
      <c r="E182">
        <v>0</v>
      </c>
      <c r="F182">
        <v>0</v>
      </c>
      <c r="G182">
        <v>57.779947916666664</v>
      </c>
      <c r="H182">
        <v>0</v>
      </c>
      <c r="I182">
        <v>0</v>
      </c>
      <c r="J182">
        <v>0</v>
      </c>
      <c r="K182">
        <v>10.416666666666666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189.78312745029095</v>
      </c>
      <c r="AO182">
        <v>56.810525147966771</v>
      </c>
      <c r="AP182">
        <v>429.7937026942663</v>
      </c>
      <c r="AQ182">
        <v>355.31409341661868</v>
      </c>
      <c r="AR182">
        <v>54.602311609891728</v>
      </c>
      <c r="AS182">
        <v>271.85184686866432</v>
      </c>
      <c r="AT182">
        <v>26.695170538084369</v>
      </c>
      <c r="AU182">
        <v>-1.9553350930507918E-2</v>
      </c>
      <c r="AV182"/>
      <c r="AW182"/>
      <c r="AX182" s="146"/>
      <c r="AY182" s="76">
        <f t="shared" ca="1" si="169"/>
        <v>0.81651746703656181</v>
      </c>
      <c r="AZ182">
        <v>5</v>
      </c>
      <c r="BA182" s="129">
        <f t="shared" si="245"/>
        <v>39987</v>
      </c>
      <c r="BB182">
        <v>0</v>
      </c>
      <c r="BC182"/>
      <c r="BD182"/>
      <c r="BE182"/>
      <c r="BF182"/>
      <c r="BG182"/>
      <c r="BH182">
        <v>2</v>
      </c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4"/>
        <v>0.55875246765464759</v>
      </c>
      <c r="CL182" s="179">
        <f t="shared" si="205"/>
        <v>5</v>
      </c>
      <c r="CM182" s="180">
        <f t="shared" si="206"/>
        <v>39987</v>
      </c>
      <c r="CN182">
        <v>0</v>
      </c>
      <c r="CO182"/>
      <c r="CP182"/>
      <c r="CQ182"/>
      <c r="CR182"/>
      <c r="CS182">
        <v>1</v>
      </c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07"/>
        <v>9.6000000000000002E-2</v>
      </c>
      <c r="DB182" s="146"/>
      <c r="DC182" s="76">
        <f t="shared" ca="1" si="170"/>
        <v>0.68522275287334811</v>
      </c>
      <c r="DD182">
        <f t="shared" si="208"/>
        <v>5</v>
      </c>
      <c r="DE182" s="129">
        <f t="shared" si="244"/>
        <v>39987</v>
      </c>
      <c r="DF182" s="161">
        <f t="shared" si="209"/>
        <v>0</v>
      </c>
      <c r="DG182" s="161">
        <f t="shared" si="210"/>
        <v>0</v>
      </c>
      <c r="DH182" s="161">
        <f t="shared" si="211"/>
        <v>0</v>
      </c>
      <c r="DI182" s="161">
        <f t="shared" si="212"/>
        <v>0</v>
      </c>
      <c r="DJ182" s="161">
        <f t="shared" si="213"/>
        <v>0</v>
      </c>
      <c r="DK182" s="161">
        <f t="shared" si="214"/>
        <v>60.763888888888886</v>
      </c>
      <c r="DL182" s="161">
        <f t="shared" si="215"/>
        <v>20.833333333333332</v>
      </c>
      <c r="DM182" s="161">
        <f t="shared" si="216"/>
        <v>0</v>
      </c>
      <c r="DN182" s="161">
        <f t="shared" si="217"/>
        <v>0</v>
      </c>
      <c r="DO182" s="161">
        <f t="shared" si="218"/>
        <v>0</v>
      </c>
      <c r="DP182" s="161">
        <f t="shared" si="219"/>
        <v>0</v>
      </c>
      <c r="DQ182" s="161">
        <f t="shared" si="220"/>
        <v>0</v>
      </c>
      <c r="DR182" s="161">
        <f t="shared" si="221"/>
        <v>0</v>
      </c>
      <c r="DS182" s="161">
        <f t="shared" si="222"/>
        <v>0</v>
      </c>
      <c r="DT182" s="161">
        <f t="shared" si="223"/>
        <v>0</v>
      </c>
      <c r="DU182" s="161">
        <f t="shared" si="224"/>
        <v>0</v>
      </c>
      <c r="DV182" s="161">
        <f t="shared" si="225"/>
        <v>0</v>
      </c>
      <c r="DW182" s="161">
        <f t="shared" si="226"/>
        <v>0</v>
      </c>
      <c r="DX182" s="161">
        <f t="shared" si="227"/>
        <v>0</v>
      </c>
      <c r="DY182" s="161">
        <f t="shared" si="228"/>
        <v>0</v>
      </c>
      <c r="DZ182" s="161">
        <f t="shared" si="229"/>
        <v>0</v>
      </c>
      <c r="EA182" s="161">
        <f t="shared" si="230"/>
        <v>0</v>
      </c>
      <c r="EB182" s="161">
        <f t="shared" si="231"/>
        <v>0</v>
      </c>
      <c r="EC182" s="161">
        <f t="shared" si="232"/>
        <v>0</v>
      </c>
      <c r="ED182" s="161">
        <f t="shared" si="233"/>
        <v>0</v>
      </c>
      <c r="EE182" s="161">
        <f t="shared" si="234"/>
        <v>0</v>
      </c>
      <c r="EF182" s="161">
        <f t="shared" si="235"/>
        <v>0</v>
      </c>
      <c r="EG182" s="161">
        <f t="shared" si="236"/>
        <v>0</v>
      </c>
      <c r="EH182" s="161">
        <f t="shared" si="237"/>
        <v>0</v>
      </c>
      <c r="EI182" s="161">
        <f t="shared" si="238"/>
        <v>0</v>
      </c>
      <c r="EJ182" s="161">
        <f t="shared" si="239"/>
        <v>0</v>
      </c>
      <c r="EK182" s="147">
        <f t="shared" si="171"/>
        <v>81.597222222222214</v>
      </c>
      <c r="EL182" s="149"/>
      <c r="EN182" s="146"/>
      <c r="EO182" s="146"/>
      <c r="EP182" s="139">
        <f t="shared" si="172"/>
        <v>0</v>
      </c>
      <c r="EQ182" s="139">
        <f t="shared" si="173"/>
        <v>0</v>
      </c>
      <c r="ER182" s="139">
        <f t="shared" si="174"/>
        <v>0</v>
      </c>
      <c r="ES182" s="139">
        <f t="shared" si="175"/>
        <v>0</v>
      </c>
      <c r="ET182" s="139">
        <f t="shared" si="176"/>
        <v>0</v>
      </c>
      <c r="EU182" s="139">
        <f t="shared" si="177"/>
        <v>29.023843920100678</v>
      </c>
      <c r="EV182" s="139">
        <f t="shared" si="178"/>
        <v>16.351509304891518</v>
      </c>
      <c r="EW182" s="139">
        <f t="shared" si="179"/>
        <v>0</v>
      </c>
      <c r="EX182" s="139">
        <f t="shared" si="180"/>
        <v>0</v>
      </c>
      <c r="EY182" s="139">
        <f t="shared" si="181"/>
        <v>0</v>
      </c>
      <c r="EZ182" s="139">
        <f t="shared" si="182"/>
        <v>0</v>
      </c>
      <c r="FA182" s="139">
        <f t="shared" si="183"/>
        <v>0</v>
      </c>
      <c r="FB182" s="139">
        <f t="shared" si="184"/>
        <v>0</v>
      </c>
      <c r="FC182" s="139">
        <f t="shared" si="185"/>
        <v>0</v>
      </c>
      <c r="FD182" s="139">
        <f t="shared" si="186"/>
        <v>0</v>
      </c>
      <c r="FE182" s="139">
        <f t="shared" si="187"/>
        <v>0</v>
      </c>
      <c r="FF182" s="139">
        <f t="shared" si="188"/>
        <v>0</v>
      </c>
      <c r="FG182" s="139">
        <f t="shared" si="189"/>
        <v>0</v>
      </c>
      <c r="FH182" s="139">
        <f t="shared" si="190"/>
        <v>0</v>
      </c>
      <c r="FI182" s="139">
        <f t="shared" si="191"/>
        <v>0</v>
      </c>
      <c r="FJ182" s="139">
        <f t="shared" si="192"/>
        <v>0</v>
      </c>
      <c r="FK182" s="139">
        <f t="shared" si="193"/>
        <v>0</v>
      </c>
      <c r="FL182" s="139">
        <f t="shared" si="194"/>
        <v>0</v>
      </c>
      <c r="FM182" s="139">
        <f t="shared" si="195"/>
        <v>0</v>
      </c>
      <c r="FN182" s="139">
        <f t="shared" si="196"/>
        <v>0</v>
      </c>
      <c r="FO182" s="139">
        <f t="shared" si="197"/>
        <v>0</v>
      </c>
      <c r="FP182" s="139">
        <f t="shared" si="198"/>
        <v>0</v>
      </c>
      <c r="FQ182" s="139">
        <f t="shared" si="199"/>
        <v>0</v>
      </c>
      <c r="FR182" s="139">
        <f t="shared" si="200"/>
        <v>0</v>
      </c>
      <c r="FS182" s="139">
        <f t="shared" si="201"/>
        <v>0</v>
      </c>
      <c r="FT182" s="139">
        <f t="shared" si="202"/>
        <v>0</v>
      </c>
      <c r="FU182" s="148">
        <f t="shared" si="203"/>
        <v>45.375353224992196</v>
      </c>
      <c r="FV182" s="149"/>
      <c r="FY182" s="211">
        <v>177</v>
      </c>
      <c r="FZ182">
        <v>35.932947134369179</v>
      </c>
      <c r="GA182">
        <v>37.834924711958678</v>
      </c>
      <c r="GB182">
        <v>42.456843340205268</v>
      </c>
      <c r="GC182">
        <v>28.133360581655371</v>
      </c>
      <c r="GD182">
        <v>12.910373775176041</v>
      </c>
      <c r="GE182">
        <v>13.100593269759113</v>
      </c>
      <c r="GF182">
        <v>32.593508582400268</v>
      </c>
      <c r="GG182">
        <v>29.266547828885003</v>
      </c>
      <c r="GH182">
        <v>18.276091174420781</v>
      </c>
      <c r="GI182">
        <v>33.865958405450485</v>
      </c>
      <c r="GJ182"/>
      <c r="GK182"/>
      <c r="GL182"/>
      <c r="GM182"/>
    </row>
    <row r="183" spans="1:195" s="7" customFormat="1">
      <c r="A183" s="1"/>
      <c r="B183" s="76">
        <f ca="1">IF(C183="", "", RAND())</f>
        <v>0.46032451683484443</v>
      </c>
      <c r="C183">
        <v>3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10.416666666666666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214.54223067968132</v>
      </c>
      <c r="AO183">
        <v>68.74445761693957</v>
      </c>
      <c r="AP183">
        <v>568.94343421554993</v>
      </c>
      <c r="AQ183">
        <v>442.81473525095163</v>
      </c>
      <c r="AR183">
        <v>66.39021918797178</v>
      </c>
      <c r="AS183">
        <v>308.11675763897074</v>
      </c>
      <c r="AT183">
        <v>32.424430813234189</v>
      </c>
      <c r="AU183">
        <v>9.355342663471113</v>
      </c>
      <c r="AV183"/>
      <c r="AW183"/>
      <c r="AX183" s="146"/>
      <c r="AY183" s="76">
        <f t="shared" ca="1" si="169"/>
        <v>0.81682515570292535</v>
      </c>
      <c r="AZ183">
        <v>6</v>
      </c>
      <c r="BA183" s="129">
        <f t="shared" si="245"/>
        <v>39987</v>
      </c>
      <c r="BB183">
        <v>0</v>
      </c>
      <c r="BC183"/>
      <c r="BD183"/>
      <c r="BE183"/>
      <c r="BF183"/>
      <c r="BG183"/>
      <c r="BH183">
        <v>2</v>
      </c>
      <c r="BI183">
        <v>2</v>
      </c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4"/>
        <v>0.59331648216432753</v>
      </c>
      <c r="CL183" s="179">
        <f t="shared" si="205"/>
        <v>6</v>
      </c>
      <c r="CM183" s="180">
        <f t="shared" si="206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07"/>
        <v>9.6000000000000002E-2</v>
      </c>
      <c r="DB183" s="146"/>
      <c r="DC183" s="76">
        <f t="shared" ca="1" si="170"/>
        <v>0.60971702017514784</v>
      </c>
      <c r="DD183">
        <f t="shared" si="208"/>
        <v>6</v>
      </c>
      <c r="DE183" s="129">
        <f t="shared" si="244"/>
        <v>39987</v>
      </c>
      <c r="DF183" s="161">
        <f t="shared" si="209"/>
        <v>0</v>
      </c>
      <c r="DG183" s="161">
        <f t="shared" si="210"/>
        <v>0</v>
      </c>
      <c r="DH183" s="161">
        <f t="shared" si="211"/>
        <v>0</v>
      </c>
      <c r="DI183" s="161">
        <f t="shared" si="212"/>
        <v>0</v>
      </c>
      <c r="DJ183" s="161">
        <f t="shared" si="213"/>
        <v>0</v>
      </c>
      <c r="DK183" s="161">
        <f t="shared" si="214"/>
        <v>0</v>
      </c>
      <c r="DL183" s="161">
        <f t="shared" si="215"/>
        <v>20.833333333333332</v>
      </c>
      <c r="DM183" s="161">
        <f t="shared" si="216"/>
        <v>20.833333333333332</v>
      </c>
      <c r="DN183" s="161">
        <f t="shared" si="217"/>
        <v>0</v>
      </c>
      <c r="DO183" s="161">
        <f t="shared" si="218"/>
        <v>0</v>
      </c>
      <c r="DP183" s="161">
        <f t="shared" si="219"/>
        <v>0</v>
      </c>
      <c r="DQ183" s="161">
        <f t="shared" si="220"/>
        <v>0</v>
      </c>
      <c r="DR183" s="161">
        <f t="shared" si="221"/>
        <v>0</v>
      </c>
      <c r="DS183" s="161">
        <f t="shared" si="222"/>
        <v>0</v>
      </c>
      <c r="DT183" s="161">
        <f t="shared" si="223"/>
        <v>0</v>
      </c>
      <c r="DU183" s="161">
        <f t="shared" si="224"/>
        <v>0</v>
      </c>
      <c r="DV183" s="161">
        <f t="shared" si="225"/>
        <v>0</v>
      </c>
      <c r="DW183" s="161">
        <f t="shared" si="226"/>
        <v>0</v>
      </c>
      <c r="DX183" s="161">
        <f t="shared" si="227"/>
        <v>0</v>
      </c>
      <c r="DY183" s="161">
        <f t="shared" si="228"/>
        <v>0</v>
      </c>
      <c r="DZ183" s="161">
        <f t="shared" si="229"/>
        <v>0</v>
      </c>
      <c r="EA183" s="161">
        <f t="shared" si="230"/>
        <v>0</v>
      </c>
      <c r="EB183" s="161">
        <f t="shared" si="231"/>
        <v>0</v>
      </c>
      <c r="EC183" s="161">
        <f t="shared" si="232"/>
        <v>0</v>
      </c>
      <c r="ED183" s="161">
        <f t="shared" si="233"/>
        <v>0</v>
      </c>
      <c r="EE183" s="161">
        <f t="shared" si="234"/>
        <v>0</v>
      </c>
      <c r="EF183" s="161">
        <f t="shared" si="235"/>
        <v>0</v>
      </c>
      <c r="EG183" s="161">
        <f t="shared" si="236"/>
        <v>0</v>
      </c>
      <c r="EH183" s="161">
        <f t="shared" si="237"/>
        <v>0</v>
      </c>
      <c r="EI183" s="161">
        <f t="shared" si="238"/>
        <v>0</v>
      </c>
      <c r="EJ183" s="161">
        <f t="shared" si="239"/>
        <v>0</v>
      </c>
      <c r="EK183" s="147">
        <f t="shared" si="171"/>
        <v>41.666666666666664</v>
      </c>
      <c r="EL183" s="149"/>
      <c r="EN183" s="146"/>
      <c r="EO183" s="146"/>
      <c r="EP183" s="139">
        <f t="shared" si="172"/>
        <v>0</v>
      </c>
      <c r="EQ183" s="139">
        <f t="shared" si="173"/>
        <v>0</v>
      </c>
      <c r="ER183" s="139">
        <f t="shared" si="174"/>
        <v>0</v>
      </c>
      <c r="ES183" s="139">
        <f t="shared" si="175"/>
        <v>0</v>
      </c>
      <c r="ET183" s="139">
        <f t="shared" si="176"/>
        <v>0</v>
      </c>
      <c r="EU183" s="139">
        <f t="shared" si="177"/>
        <v>0</v>
      </c>
      <c r="EV183" s="139">
        <f t="shared" si="178"/>
        <v>16.351509304891518</v>
      </c>
      <c r="EW183" s="139">
        <f t="shared" si="179"/>
        <v>24.884040573524732</v>
      </c>
      <c r="EX183" s="139">
        <f t="shared" si="180"/>
        <v>0</v>
      </c>
      <c r="EY183" s="139">
        <f t="shared" si="181"/>
        <v>0</v>
      </c>
      <c r="EZ183" s="139">
        <f t="shared" si="182"/>
        <v>0</v>
      </c>
      <c r="FA183" s="139">
        <f t="shared" si="183"/>
        <v>0</v>
      </c>
      <c r="FB183" s="139">
        <f t="shared" si="184"/>
        <v>0</v>
      </c>
      <c r="FC183" s="139">
        <f t="shared" si="185"/>
        <v>0</v>
      </c>
      <c r="FD183" s="139">
        <f t="shared" si="186"/>
        <v>0</v>
      </c>
      <c r="FE183" s="139">
        <f t="shared" si="187"/>
        <v>0</v>
      </c>
      <c r="FF183" s="139">
        <f t="shared" si="188"/>
        <v>0</v>
      </c>
      <c r="FG183" s="139">
        <f t="shared" si="189"/>
        <v>0</v>
      </c>
      <c r="FH183" s="139">
        <f t="shared" si="190"/>
        <v>0</v>
      </c>
      <c r="FI183" s="139">
        <f t="shared" si="191"/>
        <v>0</v>
      </c>
      <c r="FJ183" s="139">
        <f t="shared" si="192"/>
        <v>0</v>
      </c>
      <c r="FK183" s="139">
        <f t="shared" si="193"/>
        <v>0</v>
      </c>
      <c r="FL183" s="139">
        <f t="shared" si="194"/>
        <v>0</v>
      </c>
      <c r="FM183" s="139">
        <f t="shared" si="195"/>
        <v>0</v>
      </c>
      <c r="FN183" s="139">
        <f t="shared" si="196"/>
        <v>0</v>
      </c>
      <c r="FO183" s="139">
        <f t="shared" si="197"/>
        <v>0</v>
      </c>
      <c r="FP183" s="139">
        <f t="shared" si="198"/>
        <v>0</v>
      </c>
      <c r="FQ183" s="139">
        <f t="shared" si="199"/>
        <v>0</v>
      </c>
      <c r="FR183" s="139">
        <f t="shared" si="200"/>
        <v>0</v>
      </c>
      <c r="FS183" s="139">
        <f t="shared" si="201"/>
        <v>0</v>
      </c>
      <c r="FT183" s="139">
        <f t="shared" si="202"/>
        <v>0</v>
      </c>
      <c r="FU183" s="148">
        <f t="shared" si="203"/>
        <v>41.235549878416251</v>
      </c>
      <c r="FV183" s="149"/>
      <c r="FY183" s="211">
        <v>178</v>
      </c>
      <c r="FZ183">
        <v>187.66113128833103</v>
      </c>
      <c r="GA183">
        <v>236.27985038406143</v>
      </c>
      <c r="GB183">
        <v>46.941790051063599</v>
      </c>
      <c r="GC183">
        <v>26.740785935910925</v>
      </c>
      <c r="GD183">
        <v>16.002912457268394</v>
      </c>
      <c r="GE183">
        <v>22.858692853393499</v>
      </c>
      <c r="GF183">
        <v>33.248093601451458</v>
      </c>
      <c r="GG183">
        <v>31.319111923924293</v>
      </c>
      <c r="GH183">
        <v>37.893575885383164</v>
      </c>
      <c r="GI183">
        <v>62.488877138896321</v>
      </c>
      <c r="GJ183"/>
      <c r="GK183"/>
      <c r="GL183"/>
      <c r="GM183"/>
    </row>
    <row r="184" spans="1:195" s="7" customFormat="1">
      <c r="A184" s="1"/>
      <c r="B184" s="76">
        <f ca="1">IF(C184="", "", RAND())</f>
        <v>2.4640002453987009E-2</v>
      </c>
      <c r="C184">
        <v>9</v>
      </c>
      <c r="D184">
        <v>39987</v>
      </c>
      <c r="E184">
        <v>0</v>
      </c>
      <c r="F184">
        <v>0</v>
      </c>
      <c r="G184">
        <v>0</v>
      </c>
      <c r="H184">
        <v>70.112179487179489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164.67924959415751</v>
      </c>
      <c r="AO184">
        <v>55.590678425766058</v>
      </c>
      <c r="AP184">
        <v>461.36536293092564</v>
      </c>
      <c r="AQ184">
        <v>364.47602953944528</v>
      </c>
      <c r="AR184">
        <v>53.692815035817794</v>
      </c>
      <c r="AS184">
        <v>249.38782533103355</v>
      </c>
      <c r="AT184">
        <v>28.253076975513306</v>
      </c>
      <c r="AU184">
        <v>-9.3082647091861475</v>
      </c>
      <c r="AV184"/>
      <c r="AW184"/>
      <c r="AX184" s="146"/>
      <c r="AY184" s="76">
        <f t="shared" ca="1" si="169"/>
        <v>0.30857190902366005</v>
      </c>
      <c r="AZ184">
        <v>7</v>
      </c>
      <c r="BA184" s="129">
        <f t="shared" si="245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4"/>
        <v>0.25242333864917055</v>
      </c>
      <c r="CL184" s="179">
        <f t="shared" si="205"/>
        <v>7</v>
      </c>
      <c r="CM184" s="180">
        <f t="shared" si="206"/>
        <v>39987</v>
      </c>
      <c r="CN184">
        <v>0</v>
      </c>
      <c r="CO184"/>
      <c r="CP184"/>
      <c r="CQ184">
        <v>6</v>
      </c>
      <c r="CR184"/>
      <c r="CS184">
        <v>2</v>
      </c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07"/>
        <v>9.6000000000000002E-2</v>
      </c>
      <c r="DB184" s="146"/>
      <c r="DC184" s="76">
        <f t="shared" ca="1" si="170"/>
        <v>0.76119250577053776</v>
      </c>
      <c r="DD184">
        <f t="shared" si="208"/>
        <v>7</v>
      </c>
      <c r="DE184" s="129">
        <f t="shared" si="244"/>
        <v>39987</v>
      </c>
      <c r="DF184" s="161">
        <f t="shared" si="209"/>
        <v>0</v>
      </c>
      <c r="DG184" s="161">
        <f t="shared" si="210"/>
        <v>0</v>
      </c>
      <c r="DH184" s="161">
        <f t="shared" si="211"/>
        <v>0</v>
      </c>
      <c r="DI184" s="161">
        <f t="shared" si="212"/>
        <v>428.92156862745094</v>
      </c>
      <c r="DJ184" s="161">
        <f t="shared" si="213"/>
        <v>0</v>
      </c>
      <c r="DK184" s="161">
        <f t="shared" si="214"/>
        <v>142.97385620915031</v>
      </c>
      <c r="DL184" s="161">
        <f t="shared" si="215"/>
        <v>0</v>
      </c>
      <c r="DM184" s="161">
        <f t="shared" si="216"/>
        <v>0</v>
      </c>
      <c r="DN184" s="161">
        <f t="shared" si="217"/>
        <v>0</v>
      </c>
      <c r="DO184" s="161">
        <f t="shared" si="218"/>
        <v>0</v>
      </c>
      <c r="DP184" s="161">
        <f t="shared" si="219"/>
        <v>0</v>
      </c>
      <c r="DQ184" s="161">
        <f t="shared" si="220"/>
        <v>0</v>
      </c>
      <c r="DR184" s="161">
        <f t="shared" si="221"/>
        <v>0</v>
      </c>
      <c r="DS184" s="161">
        <f t="shared" si="222"/>
        <v>0</v>
      </c>
      <c r="DT184" s="161">
        <f t="shared" si="223"/>
        <v>0</v>
      </c>
      <c r="DU184" s="161">
        <f t="shared" si="224"/>
        <v>0</v>
      </c>
      <c r="DV184" s="161">
        <f t="shared" si="225"/>
        <v>0</v>
      </c>
      <c r="DW184" s="161">
        <f t="shared" si="226"/>
        <v>0</v>
      </c>
      <c r="DX184" s="161">
        <f t="shared" si="227"/>
        <v>0</v>
      </c>
      <c r="DY184" s="161">
        <f t="shared" si="228"/>
        <v>0</v>
      </c>
      <c r="DZ184" s="161">
        <f t="shared" si="229"/>
        <v>0</v>
      </c>
      <c r="EA184" s="161">
        <f t="shared" si="230"/>
        <v>0</v>
      </c>
      <c r="EB184" s="161">
        <f t="shared" si="231"/>
        <v>0</v>
      </c>
      <c r="EC184" s="161">
        <f t="shared" si="232"/>
        <v>0</v>
      </c>
      <c r="ED184" s="161">
        <f t="shared" si="233"/>
        <v>0</v>
      </c>
      <c r="EE184" s="161">
        <f t="shared" si="234"/>
        <v>0</v>
      </c>
      <c r="EF184" s="161">
        <f t="shared" si="235"/>
        <v>0</v>
      </c>
      <c r="EG184" s="161">
        <f t="shared" si="236"/>
        <v>0</v>
      </c>
      <c r="EH184" s="161">
        <f t="shared" si="237"/>
        <v>0</v>
      </c>
      <c r="EI184" s="161">
        <f t="shared" si="238"/>
        <v>0</v>
      </c>
      <c r="EJ184" s="161">
        <f t="shared" si="239"/>
        <v>0</v>
      </c>
      <c r="EK184" s="147">
        <f t="shared" ref="EK184:EK207" si="246">IF(DF184="", "", SUM(DF184:EJ184))</f>
        <v>571.89542483660125</v>
      </c>
      <c r="EL184" s="149"/>
      <c r="EN184" s="146"/>
      <c r="EO184" s="146"/>
      <c r="EP184" s="139">
        <f t="shared" ref="EP184:EP207" si="247">IF(DF184="", "", DF184*G$36)</f>
        <v>0</v>
      </c>
      <c r="EQ184" s="139">
        <f t="shared" ref="EQ184:EQ207" si="248">IF(DG184="", "", DG184*H$36)</f>
        <v>0</v>
      </c>
      <c r="ER184" s="139">
        <f t="shared" ref="ER184:ER207" si="249">IF(DH184="", "", DH184*I$36)</f>
        <v>0</v>
      </c>
      <c r="ES184" s="139">
        <f t="shared" ref="ES184:ES207" si="250">IF(DI184="", "", DI184*J$36)</f>
        <v>50.953176129491133</v>
      </c>
      <c r="ET184" s="139">
        <f t="shared" ref="ET184:ET207" si="251">IF(DJ184="", "", DJ184*K$36)</f>
        <v>0</v>
      </c>
      <c r="EU184" s="139">
        <f t="shared" ref="EU184:EU207" si="252">IF(DK184="", "", DK184*L$36)</f>
        <v>68.291397459060406</v>
      </c>
      <c r="EV184" s="139">
        <f t="shared" ref="EV184:EV207" si="253">IF(DL184="", "", DL184*M$36)</f>
        <v>0</v>
      </c>
      <c r="EW184" s="139">
        <f t="shared" ref="EW184:EW207" si="254">IF(DM184="", "", DM184*N$36)</f>
        <v>0</v>
      </c>
      <c r="EX184" s="139">
        <f t="shared" ref="EX184:EX207" si="255">IF(DN184="", "", DN184*O$36)</f>
        <v>0</v>
      </c>
      <c r="EY184" s="139">
        <f t="shared" ref="EY184:EY207" si="256">IF(DO184="", "", DO184*P$36)</f>
        <v>0</v>
      </c>
      <c r="EZ184" s="139">
        <f t="shared" ref="EZ184:EZ207" si="257">IF(DP184="", "", DP184*Q$36)</f>
        <v>0</v>
      </c>
      <c r="FA184" s="139">
        <f t="shared" ref="FA184:FA207" si="258">IF(DQ184="", "", DQ184*R$36)</f>
        <v>0</v>
      </c>
      <c r="FB184" s="139">
        <f t="shared" ref="FB184:FB207" si="259">IF(DR184="", "", DR184*S$36)</f>
        <v>0</v>
      </c>
      <c r="FC184" s="139">
        <f t="shared" ref="FC184:FC207" si="260">IF(DS184="", "", DS184*T$36)</f>
        <v>0</v>
      </c>
      <c r="FD184" s="139">
        <f t="shared" ref="FD184:FD207" si="261">IF(DT184="", "", DT184*U$36)</f>
        <v>0</v>
      </c>
      <c r="FE184" s="139">
        <f t="shared" ref="FE184:FE207" si="262">IF(DU184="", "", DU184*V$36)</f>
        <v>0</v>
      </c>
      <c r="FF184" s="139">
        <f t="shared" ref="FF184:FF207" si="263">IF(DV184="", "", DV184*W$36)</f>
        <v>0</v>
      </c>
      <c r="FG184" s="139">
        <f t="shared" ref="FG184:FG207" si="264">IF(DW184="", "", DW184*X$36)</f>
        <v>0</v>
      </c>
      <c r="FH184" s="139">
        <f t="shared" ref="FH184:FH207" si="265">IF(DX184="", "", DX184*Y$36)</f>
        <v>0</v>
      </c>
      <c r="FI184" s="139">
        <f t="shared" ref="FI184:FI207" si="266">IF(DY184="", "", DY184*Z$36)</f>
        <v>0</v>
      </c>
      <c r="FJ184" s="139">
        <f t="shared" ref="FJ184:FJ207" si="267">IF(DZ184="", "", DZ184*AA$36)</f>
        <v>0</v>
      </c>
      <c r="FK184" s="139">
        <f t="shared" ref="FK184:FK207" si="268">IF(EA184="", "", EA184*AB$36)</f>
        <v>0</v>
      </c>
      <c r="FL184" s="139">
        <f t="shared" ref="FL184:FL207" si="269">IF(EB184="", "", EB184*AC$36)</f>
        <v>0</v>
      </c>
      <c r="FM184" s="139">
        <f t="shared" ref="FM184:FM207" si="270">IF(EC184="", "", EC184*AD$36)</f>
        <v>0</v>
      </c>
      <c r="FN184" s="139">
        <f t="shared" ref="FN184:FN207" si="271">IF(ED184="", "", ED184*AE$36)</f>
        <v>0</v>
      </c>
      <c r="FO184" s="139">
        <f t="shared" ref="FO184:FO207" si="272">IF(EE184="", "", EE184*AF$36)</f>
        <v>0</v>
      </c>
      <c r="FP184" s="139">
        <f t="shared" ref="FP184:FP207" si="273">IF(EF184="", "", EF184*AG$36)</f>
        <v>0</v>
      </c>
      <c r="FQ184" s="139">
        <f t="shared" ref="FQ184:FQ207" si="274">IF(EG184="", "", EG184*AH$36)</f>
        <v>0</v>
      </c>
      <c r="FR184" s="139">
        <f t="shared" ref="FR184:FR207" si="275">IF(EH184="", "", EH184*AI$36)</f>
        <v>0</v>
      </c>
      <c r="FS184" s="139">
        <f t="shared" ref="FS184:FS207" si="276">IF(EI184="", "", EI184*AJ$36)</f>
        <v>0</v>
      </c>
      <c r="FT184" s="139">
        <f t="shared" ref="FT184:FT207" si="277">IF(EJ184="", "", EJ184*AK$36)</f>
        <v>0</v>
      </c>
      <c r="FU184" s="148">
        <f t="shared" ref="FU184:FU207" si="278">IF(EP184="","",SUM(EP184:FT184))</f>
        <v>119.24457358855153</v>
      </c>
      <c r="FV184" s="149"/>
      <c r="FY184" s="211">
        <v>179</v>
      </c>
      <c r="FZ184">
        <v>80.737153029797611</v>
      </c>
      <c r="GA184">
        <v>85.689122438109322</v>
      </c>
      <c r="GB184">
        <v>52.977139490550734</v>
      </c>
      <c r="GC184">
        <v>28.145549888349606</v>
      </c>
      <c r="GD184">
        <v>11.782589241679506</v>
      </c>
      <c r="GE184">
        <v>21.752735508540141</v>
      </c>
      <c r="GF184">
        <v>17.977575401848799</v>
      </c>
      <c r="GG184">
        <v>11.069078173505583</v>
      </c>
      <c r="GH184">
        <v>22.378926393545907</v>
      </c>
      <c r="GI184">
        <v>40.072357914616376</v>
      </c>
      <c r="GJ184"/>
      <c r="GK184"/>
      <c r="GL184"/>
      <c r="GM184"/>
    </row>
    <row r="185" spans="1:195" s="7" customFormat="1">
      <c r="A185" s="1"/>
      <c r="B185" s="76">
        <f ca="1">IF(C185="", "", RAND())</f>
        <v>0.19376179943594951</v>
      </c>
      <c r="C185">
        <v>8</v>
      </c>
      <c r="D185">
        <v>39987</v>
      </c>
      <c r="E185">
        <v>0</v>
      </c>
      <c r="F185">
        <v>0</v>
      </c>
      <c r="G185">
        <v>0</v>
      </c>
      <c r="H185">
        <v>112.17948717948718</v>
      </c>
      <c r="I185">
        <v>0</v>
      </c>
      <c r="J185">
        <v>0</v>
      </c>
      <c r="K185">
        <v>10.416666666666666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245.7482831824137</v>
      </c>
      <c r="AO185">
        <v>84.95918919777904</v>
      </c>
      <c r="AP185">
        <v>720.62295732802636</v>
      </c>
      <c r="AQ185">
        <v>562.05720471112591</v>
      </c>
      <c r="AR185">
        <v>81.070569507106896</v>
      </c>
      <c r="AS185">
        <v>366.99321595102407</v>
      </c>
      <c r="AT185">
        <v>41.886077347012808</v>
      </c>
      <c r="AU185">
        <v>10.506876209933402</v>
      </c>
      <c r="AV185"/>
      <c r="AW185"/>
      <c r="AX185" s="146"/>
      <c r="AY185" s="76">
        <f t="shared" ca="1" si="169"/>
        <v>0.84700952675551466</v>
      </c>
      <c r="AZ185">
        <v>8</v>
      </c>
      <c r="BA185" s="129">
        <f t="shared" si="245"/>
        <v>39987</v>
      </c>
      <c r="BB185">
        <v>0</v>
      </c>
      <c r="BC185"/>
      <c r="BD185"/>
      <c r="BE185"/>
      <c r="BF185"/>
      <c r="BG185"/>
      <c r="BH185">
        <v>1</v>
      </c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4"/>
        <v>0.63804682753435138</v>
      </c>
      <c r="CL185" s="179">
        <f t="shared" si="205"/>
        <v>8</v>
      </c>
      <c r="CM185" s="180">
        <f t="shared" si="206"/>
        <v>39987</v>
      </c>
      <c r="CN185">
        <v>0</v>
      </c>
      <c r="CO185"/>
      <c r="CP185"/>
      <c r="CQ185">
        <v>2</v>
      </c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07"/>
        <v>9.6000000000000002E-2</v>
      </c>
      <c r="DB185" s="146"/>
      <c r="DC185" s="76">
        <f t="shared" ca="1" si="170"/>
        <v>0.90064475928256127</v>
      </c>
      <c r="DD185">
        <f t="shared" si="208"/>
        <v>8</v>
      </c>
      <c r="DE185" s="129">
        <f t="shared" si="244"/>
        <v>39987</v>
      </c>
      <c r="DF185" s="161">
        <f t="shared" si="209"/>
        <v>0</v>
      </c>
      <c r="DG185" s="161">
        <f t="shared" si="210"/>
        <v>0</v>
      </c>
      <c r="DH185" s="161">
        <f t="shared" si="211"/>
        <v>0</v>
      </c>
      <c r="DI185" s="161">
        <f t="shared" si="212"/>
        <v>112.17948717948718</v>
      </c>
      <c r="DJ185" s="161">
        <f t="shared" si="213"/>
        <v>0</v>
      </c>
      <c r="DK185" s="161">
        <f t="shared" si="214"/>
        <v>0</v>
      </c>
      <c r="DL185" s="161">
        <f t="shared" si="215"/>
        <v>10.416666666666666</v>
      </c>
      <c r="DM185" s="161">
        <f t="shared" si="216"/>
        <v>0</v>
      </c>
      <c r="DN185" s="161">
        <f t="shared" si="217"/>
        <v>0</v>
      </c>
      <c r="DO185" s="161">
        <f t="shared" si="218"/>
        <v>0</v>
      </c>
      <c r="DP185" s="161">
        <f t="shared" si="219"/>
        <v>0</v>
      </c>
      <c r="DQ185" s="161">
        <f t="shared" si="220"/>
        <v>0</v>
      </c>
      <c r="DR185" s="161">
        <f t="shared" si="221"/>
        <v>0</v>
      </c>
      <c r="DS185" s="161">
        <f t="shared" si="222"/>
        <v>0</v>
      </c>
      <c r="DT185" s="161">
        <f t="shared" si="223"/>
        <v>0</v>
      </c>
      <c r="DU185" s="161">
        <f t="shared" si="224"/>
        <v>0</v>
      </c>
      <c r="DV185" s="161">
        <f t="shared" si="225"/>
        <v>0</v>
      </c>
      <c r="DW185" s="161">
        <f t="shared" si="226"/>
        <v>0</v>
      </c>
      <c r="DX185" s="161">
        <f t="shared" si="227"/>
        <v>0</v>
      </c>
      <c r="DY185" s="161">
        <f t="shared" si="228"/>
        <v>0</v>
      </c>
      <c r="DZ185" s="161">
        <f t="shared" si="229"/>
        <v>0</v>
      </c>
      <c r="EA185" s="161">
        <f t="shared" si="230"/>
        <v>0</v>
      </c>
      <c r="EB185" s="161">
        <f t="shared" si="231"/>
        <v>0</v>
      </c>
      <c r="EC185" s="161">
        <f t="shared" si="232"/>
        <v>0</v>
      </c>
      <c r="ED185" s="161">
        <f t="shared" si="233"/>
        <v>0</v>
      </c>
      <c r="EE185" s="161">
        <f t="shared" si="234"/>
        <v>0</v>
      </c>
      <c r="EF185" s="161">
        <f t="shared" si="235"/>
        <v>0</v>
      </c>
      <c r="EG185" s="161">
        <f t="shared" si="236"/>
        <v>0</v>
      </c>
      <c r="EH185" s="161">
        <f t="shared" si="237"/>
        <v>0</v>
      </c>
      <c r="EI185" s="161">
        <f t="shared" si="238"/>
        <v>0</v>
      </c>
      <c r="EJ185" s="161">
        <f t="shared" si="239"/>
        <v>0</v>
      </c>
      <c r="EK185" s="147">
        <f t="shared" si="246"/>
        <v>122.59615384615385</v>
      </c>
      <c r="EL185" s="149"/>
      <c r="EN185" s="146"/>
      <c r="EO185" s="146"/>
      <c r="EP185" s="139">
        <f t="shared" si="247"/>
        <v>0</v>
      </c>
      <c r="EQ185" s="139">
        <f t="shared" si="248"/>
        <v>0</v>
      </c>
      <c r="ER185" s="139">
        <f t="shared" si="249"/>
        <v>0</v>
      </c>
      <c r="ES185" s="139">
        <f t="shared" si="250"/>
        <v>13.326215295405374</v>
      </c>
      <c r="ET185" s="139">
        <f t="shared" si="251"/>
        <v>0</v>
      </c>
      <c r="EU185" s="139">
        <f t="shared" si="252"/>
        <v>0</v>
      </c>
      <c r="EV185" s="139">
        <f t="shared" si="253"/>
        <v>8.1757546524457592</v>
      </c>
      <c r="EW185" s="139">
        <f t="shared" si="254"/>
        <v>0</v>
      </c>
      <c r="EX185" s="139">
        <f t="shared" si="255"/>
        <v>0</v>
      </c>
      <c r="EY185" s="139">
        <f t="shared" si="256"/>
        <v>0</v>
      </c>
      <c r="EZ185" s="139">
        <f t="shared" si="257"/>
        <v>0</v>
      </c>
      <c r="FA185" s="139">
        <f t="shared" si="258"/>
        <v>0</v>
      </c>
      <c r="FB185" s="139">
        <f t="shared" si="259"/>
        <v>0</v>
      </c>
      <c r="FC185" s="139">
        <f t="shared" si="260"/>
        <v>0</v>
      </c>
      <c r="FD185" s="139">
        <f t="shared" si="261"/>
        <v>0</v>
      </c>
      <c r="FE185" s="139">
        <f t="shared" si="262"/>
        <v>0</v>
      </c>
      <c r="FF185" s="139">
        <f t="shared" si="263"/>
        <v>0</v>
      </c>
      <c r="FG185" s="139">
        <f t="shared" si="264"/>
        <v>0</v>
      </c>
      <c r="FH185" s="139">
        <f t="shared" si="265"/>
        <v>0</v>
      </c>
      <c r="FI185" s="139">
        <f t="shared" si="266"/>
        <v>0</v>
      </c>
      <c r="FJ185" s="139">
        <f t="shared" si="267"/>
        <v>0</v>
      </c>
      <c r="FK185" s="139">
        <f t="shared" si="268"/>
        <v>0</v>
      </c>
      <c r="FL185" s="139">
        <f t="shared" si="269"/>
        <v>0</v>
      </c>
      <c r="FM185" s="139">
        <f t="shared" si="270"/>
        <v>0</v>
      </c>
      <c r="FN185" s="139">
        <f t="shared" si="271"/>
        <v>0</v>
      </c>
      <c r="FO185" s="139">
        <f t="shared" si="272"/>
        <v>0</v>
      </c>
      <c r="FP185" s="139">
        <f t="shared" si="273"/>
        <v>0</v>
      </c>
      <c r="FQ185" s="139">
        <f t="shared" si="274"/>
        <v>0</v>
      </c>
      <c r="FR185" s="139">
        <f t="shared" si="275"/>
        <v>0</v>
      </c>
      <c r="FS185" s="139">
        <f t="shared" si="276"/>
        <v>0</v>
      </c>
      <c r="FT185" s="139">
        <f t="shared" si="277"/>
        <v>0</v>
      </c>
      <c r="FU185" s="148">
        <f t="shared" si="278"/>
        <v>21.501969947851133</v>
      </c>
      <c r="FV185" s="149"/>
      <c r="FY185" s="211">
        <v>180</v>
      </c>
      <c r="FZ185">
        <v>34.679691565811574</v>
      </c>
      <c r="GA185">
        <v>59.608756887047029</v>
      </c>
      <c r="GB185">
        <v>71.957302898196275</v>
      </c>
      <c r="GC185">
        <v>37.572470291177879</v>
      </c>
      <c r="GD185">
        <v>15.075327752522286</v>
      </c>
      <c r="GE185">
        <v>21.092307718666849</v>
      </c>
      <c r="GF185">
        <v>42.945600243394367</v>
      </c>
      <c r="GG185">
        <v>29.806542602436132</v>
      </c>
      <c r="GH185">
        <v>25.859516630062306</v>
      </c>
      <c r="GI185">
        <v>45.936698732151264</v>
      </c>
      <c r="GJ185"/>
      <c r="GK185"/>
      <c r="GL185"/>
      <c r="GM185"/>
    </row>
    <row r="186" spans="1:195" s="7" customFormat="1">
      <c r="A186" s="1"/>
      <c r="B186" s="76">
        <f ca="1">IF(C186="", "", RAND())</f>
        <v>3.0663358364785731E-2</v>
      </c>
      <c r="C186">
        <v>4</v>
      </c>
      <c r="D186">
        <v>39987</v>
      </c>
      <c r="E186">
        <v>0</v>
      </c>
      <c r="F186">
        <v>0</v>
      </c>
      <c r="G186">
        <v>0</v>
      </c>
      <c r="H186">
        <v>88.922764227642276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185.08243240483472</v>
      </c>
      <c r="AO186">
        <v>57.694871542363686</v>
      </c>
      <c r="AP186">
        <v>438.78852342103789</v>
      </c>
      <c r="AQ186">
        <v>335.6626765235016</v>
      </c>
      <c r="AR186">
        <v>55.490556701505497</v>
      </c>
      <c r="AS186">
        <v>254.77282348424419</v>
      </c>
      <c r="AT186">
        <v>25.779113591808198</v>
      </c>
      <c r="AU186">
        <v>157.17262567919408</v>
      </c>
      <c r="AV186"/>
      <c r="AW186"/>
      <c r="AX186" s="146"/>
      <c r="AY186" s="76">
        <f t="shared" ca="1" si="169"/>
        <v>0.15092065825958567</v>
      </c>
      <c r="AZ186">
        <v>9</v>
      </c>
      <c r="BA186" s="129">
        <f t="shared" si="245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4"/>
        <v>0.94196879012452617</v>
      </c>
      <c r="CL186" s="179">
        <f t="shared" si="205"/>
        <v>9</v>
      </c>
      <c r="CM186" s="180">
        <f t="shared" si="206"/>
        <v>39987</v>
      </c>
      <c r="CN186">
        <v>0</v>
      </c>
      <c r="CO186"/>
      <c r="CP186"/>
      <c r="CQ186">
        <v>1</v>
      </c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07"/>
        <v>9.6000000000000002E-2</v>
      </c>
      <c r="DB186" s="146"/>
      <c r="DC186" s="76">
        <f t="shared" ca="1" si="170"/>
        <v>0.2256368269550475</v>
      </c>
      <c r="DD186">
        <f t="shared" si="208"/>
        <v>9</v>
      </c>
      <c r="DE186" s="129">
        <f t="shared" si="244"/>
        <v>39987</v>
      </c>
      <c r="DF186" s="161">
        <f t="shared" si="209"/>
        <v>0</v>
      </c>
      <c r="DG186" s="161">
        <f t="shared" si="210"/>
        <v>0</v>
      </c>
      <c r="DH186" s="161">
        <f t="shared" si="211"/>
        <v>0</v>
      </c>
      <c r="DI186" s="161">
        <f t="shared" si="212"/>
        <v>70.112179487179489</v>
      </c>
      <c r="DJ186" s="161">
        <f t="shared" si="213"/>
        <v>0</v>
      </c>
      <c r="DK186" s="161">
        <f t="shared" si="214"/>
        <v>0</v>
      </c>
      <c r="DL186" s="161">
        <f t="shared" si="215"/>
        <v>0</v>
      </c>
      <c r="DM186" s="161">
        <f t="shared" si="216"/>
        <v>0</v>
      </c>
      <c r="DN186" s="161">
        <f t="shared" si="217"/>
        <v>0</v>
      </c>
      <c r="DO186" s="161">
        <f t="shared" si="218"/>
        <v>0</v>
      </c>
      <c r="DP186" s="161">
        <f t="shared" si="219"/>
        <v>0</v>
      </c>
      <c r="DQ186" s="161">
        <f t="shared" si="220"/>
        <v>0</v>
      </c>
      <c r="DR186" s="161">
        <f t="shared" si="221"/>
        <v>0</v>
      </c>
      <c r="DS186" s="161">
        <f t="shared" si="222"/>
        <v>0</v>
      </c>
      <c r="DT186" s="161">
        <f t="shared" si="223"/>
        <v>0</v>
      </c>
      <c r="DU186" s="161">
        <f t="shared" si="224"/>
        <v>0</v>
      </c>
      <c r="DV186" s="161">
        <f t="shared" si="225"/>
        <v>0</v>
      </c>
      <c r="DW186" s="161">
        <f t="shared" si="226"/>
        <v>0</v>
      </c>
      <c r="DX186" s="161">
        <f t="shared" si="227"/>
        <v>0</v>
      </c>
      <c r="DY186" s="161">
        <f t="shared" si="228"/>
        <v>0</v>
      </c>
      <c r="DZ186" s="161">
        <f t="shared" si="229"/>
        <v>0</v>
      </c>
      <c r="EA186" s="161">
        <f t="shared" si="230"/>
        <v>0</v>
      </c>
      <c r="EB186" s="161">
        <f t="shared" si="231"/>
        <v>0</v>
      </c>
      <c r="EC186" s="161">
        <f t="shared" si="232"/>
        <v>0</v>
      </c>
      <c r="ED186" s="161">
        <f t="shared" si="233"/>
        <v>0</v>
      </c>
      <c r="EE186" s="161">
        <f t="shared" si="234"/>
        <v>0</v>
      </c>
      <c r="EF186" s="161">
        <f t="shared" si="235"/>
        <v>0</v>
      </c>
      <c r="EG186" s="161">
        <f t="shared" si="236"/>
        <v>0</v>
      </c>
      <c r="EH186" s="161">
        <f t="shared" si="237"/>
        <v>0</v>
      </c>
      <c r="EI186" s="161">
        <f t="shared" si="238"/>
        <v>0</v>
      </c>
      <c r="EJ186" s="161">
        <f t="shared" si="239"/>
        <v>0</v>
      </c>
      <c r="EK186" s="147">
        <f t="shared" si="246"/>
        <v>70.112179487179489</v>
      </c>
      <c r="EL186" s="149"/>
      <c r="EN186" s="146"/>
      <c r="EO186" s="146"/>
      <c r="EP186" s="139">
        <f t="shared" si="247"/>
        <v>0</v>
      </c>
      <c r="EQ186" s="139">
        <f t="shared" si="248"/>
        <v>0</v>
      </c>
      <c r="ER186" s="139">
        <f t="shared" si="249"/>
        <v>0</v>
      </c>
      <c r="ES186" s="139">
        <f t="shared" si="250"/>
        <v>8.3288845596283601</v>
      </c>
      <c r="ET186" s="139">
        <f t="shared" si="251"/>
        <v>0</v>
      </c>
      <c r="EU186" s="139">
        <f t="shared" si="252"/>
        <v>0</v>
      </c>
      <c r="EV186" s="139">
        <f t="shared" si="253"/>
        <v>0</v>
      </c>
      <c r="EW186" s="139">
        <f t="shared" si="254"/>
        <v>0</v>
      </c>
      <c r="EX186" s="139">
        <f t="shared" si="255"/>
        <v>0</v>
      </c>
      <c r="EY186" s="139">
        <f t="shared" si="256"/>
        <v>0</v>
      </c>
      <c r="EZ186" s="139">
        <f t="shared" si="257"/>
        <v>0</v>
      </c>
      <c r="FA186" s="139">
        <f t="shared" si="258"/>
        <v>0</v>
      </c>
      <c r="FB186" s="139">
        <f t="shared" si="259"/>
        <v>0</v>
      </c>
      <c r="FC186" s="139">
        <f t="shared" si="260"/>
        <v>0</v>
      </c>
      <c r="FD186" s="139">
        <f t="shared" si="261"/>
        <v>0</v>
      </c>
      <c r="FE186" s="139">
        <f t="shared" si="262"/>
        <v>0</v>
      </c>
      <c r="FF186" s="139">
        <f t="shared" si="263"/>
        <v>0</v>
      </c>
      <c r="FG186" s="139">
        <f t="shared" si="264"/>
        <v>0</v>
      </c>
      <c r="FH186" s="139">
        <f t="shared" si="265"/>
        <v>0</v>
      </c>
      <c r="FI186" s="139">
        <f t="shared" si="266"/>
        <v>0</v>
      </c>
      <c r="FJ186" s="139">
        <f t="shared" si="267"/>
        <v>0</v>
      </c>
      <c r="FK186" s="139">
        <f t="shared" si="268"/>
        <v>0</v>
      </c>
      <c r="FL186" s="139">
        <f t="shared" si="269"/>
        <v>0</v>
      </c>
      <c r="FM186" s="139">
        <f t="shared" si="270"/>
        <v>0</v>
      </c>
      <c r="FN186" s="139">
        <f t="shared" si="271"/>
        <v>0</v>
      </c>
      <c r="FO186" s="139">
        <f t="shared" si="272"/>
        <v>0</v>
      </c>
      <c r="FP186" s="139">
        <f t="shared" si="273"/>
        <v>0</v>
      </c>
      <c r="FQ186" s="139">
        <f t="shared" si="274"/>
        <v>0</v>
      </c>
      <c r="FR186" s="139">
        <f t="shared" si="275"/>
        <v>0</v>
      </c>
      <c r="FS186" s="139">
        <f t="shared" si="276"/>
        <v>0</v>
      </c>
      <c r="FT186" s="139">
        <f t="shared" si="277"/>
        <v>0</v>
      </c>
      <c r="FU186" s="148">
        <f t="shared" si="278"/>
        <v>8.3288845596283601</v>
      </c>
      <c r="FV186" s="149"/>
      <c r="FY186" s="211">
        <v>181</v>
      </c>
      <c r="FZ186">
        <v>83.581217039349951</v>
      </c>
      <c r="GA186">
        <v>96.080898833624175</v>
      </c>
      <c r="GB186">
        <v>52.468579404673036</v>
      </c>
      <c r="GC186">
        <v>29.302981857681601</v>
      </c>
      <c r="GD186">
        <v>15.276208535688555</v>
      </c>
      <c r="GE186">
        <v>25.676508787259046</v>
      </c>
      <c r="GF186">
        <v>56.261584509404301</v>
      </c>
      <c r="GG186">
        <v>44.896879797051078</v>
      </c>
      <c r="GH186">
        <v>28.94329144660373</v>
      </c>
      <c r="GI186">
        <v>51.194085842152766</v>
      </c>
      <c r="GJ186"/>
      <c r="GK186"/>
      <c r="GL186"/>
      <c r="GM186"/>
    </row>
    <row r="187" spans="1:195" s="7" customFormat="1">
      <c r="A187" s="1"/>
      <c r="B187" s="76">
        <f ca="1">IF(C187="", "", RAND())</f>
        <v>0.54283488046406081</v>
      </c>
      <c r="C187">
        <v>7</v>
      </c>
      <c r="D187">
        <v>39987</v>
      </c>
      <c r="E187">
        <v>0</v>
      </c>
      <c r="F187">
        <v>0</v>
      </c>
      <c r="G187">
        <v>0</v>
      </c>
      <c r="H187">
        <v>428.92156862745094</v>
      </c>
      <c r="I187">
        <v>0</v>
      </c>
      <c r="J187">
        <v>142.97385620915031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213.59651918838418</v>
      </c>
      <c r="AO187">
        <v>64.618476938997929</v>
      </c>
      <c r="AP187">
        <v>561.02430393640611</v>
      </c>
      <c r="AQ187">
        <v>431.35276551216833</v>
      </c>
      <c r="AR187">
        <v>62.116655704106989</v>
      </c>
      <c r="AS187">
        <v>283.86968661909799</v>
      </c>
      <c r="AT187">
        <v>30.136920196508367</v>
      </c>
      <c r="AU187">
        <v>-15.228420277331558</v>
      </c>
      <c r="AV187"/>
      <c r="AW187"/>
      <c r="AX187" s="146"/>
      <c r="AY187" s="76">
        <f t="shared" ca="1" si="169"/>
        <v>0.56550253088710534</v>
      </c>
      <c r="AZ187">
        <v>10</v>
      </c>
      <c r="BA187" s="129">
        <f t="shared" si="245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4"/>
        <v>0.7026986542282172</v>
      </c>
      <c r="CL187" s="179">
        <f t="shared" si="205"/>
        <v>10</v>
      </c>
      <c r="CM187" s="180">
        <f t="shared" si="206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07"/>
        <v>9.6000000000000002E-2</v>
      </c>
      <c r="DB187" s="146"/>
      <c r="DC187" s="76">
        <f t="shared" ca="1" si="170"/>
        <v>0.64482859183942587</v>
      </c>
      <c r="DD187">
        <f t="shared" si="208"/>
        <v>10</v>
      </c>
      <c r="DE187" s="129">
        <f t="shared" si="244"/>
        <v>39987</v>
      </c>
      <c r="DF187" s="161">
        <f t="shared" si="209"/>
        <v>0</v>
      </c>
      <c r="DG187" s="161">
        <f t="shared" si="210"/>
        <v>0</v>
      </c>
      <c r="DH187" s="161">
        <f t="shared" si="211"/>
        <v>0</v>
      </c>
      <c r="DI187" s="161">
        <f t="shared" si="212"/>
        <v>0</v>
      </c>
      <c r="DJ187" s="161">
        <f t="shared" si="213"/>
        <v>0</v>
      </c>
      <c r="DK187" s="161">
        <f t="shared" si="214"/>
        <v>0</v>
      </c>
      <c r="DL187" s="161">
        <f t="shared" si="215"/>
        <v>0</v>
      </c>
      <c r="DM187" s="161">
        <f t="shared" si="216"/>
        <v>0</v>
      </c>
      <c r="DN187" s="161">
        <f t="shared" si="217"/>
        <v>0</v>
      </c>
      <c r="DO187" s="161">
        <f t="shared" si="218"/>
        <v>0</v>
      </c>
      <c r="DP187" s="161">
        <f t="shared" si="219"/>
        <v>0</v>
      </c>
      <c r="DQ187" s="161">
        <f t="shared" si="220"/>
        <v>0</v>
      </c>
      <c r="DR187" s="161">
        <f t="shared" si="221"/>
        <v>0</v>
      </c>
      <c r="DS187" s="161">
        <f t="shared" si="222"/>
        <v>0</v>
      </c>
      <c r="DT187" s="161">
        <f t="shared" si="223"/>
        <v>0</v>
      </c>
      <c r="DU187" s="161">
        <f t="shared" si="224"/>
        <v>0</v>
      </c>
      <c r="DV187" s="161">
        <f t="shared" si="225"/>
        <v>0</v>
      </c>
      <c r="DW187" s="161">
        <f t="shared" si="226"/>
        <v>0</v>
      </c>
      <c r="DX187" s="161">
        <f t="shared" si="227"/>
        <v>0</v>
      </c>
      <c r="DY187" s="161">
        <f t="shared" si="228"/>
        <v>0</v>
      </c>
      <c r="DZ187" s="161">
        <f t="shared" si="229"/>
        <v>0</v>
      </c>
      <c r="EA187" s="161">
        <f t="shared" si="230"/>
        <v>0</v>
      </c>
      <c r="EB187" s="161">
        <f t="shared" si="231"/>
        <v>0</v>
      </c>
      <c r="EC187" s="161">
        <f t="shared" si="232"/>
        <v>0</v>
      </c>
      <c r="ED187" s="161">
        <f t="shared" si="233"/>
        <v>0</v>
      </c>
      <c r="EE187" s="161">
        <f t="shared" si="234"/>
        <v>0</v>
      </c>
      <c r="EF187" s="161">
        <f t="shared" si="235"/>
        <v>0</v>
      </c>
      <c r="EG187" s="161">
        <f t="shared" si="236"/>
        <v>0</v>
      </c>
      <c r="EH187" s="161">
        <f t="shared" si="237"/>
        <v>0</v>
      </c>
      <c r="EI187" s="161">
        <f t="shared" si="238"/>
        <v>0</v>
      </c>
      <c r="EJ187" s="161">
        <f t="shared" si="239"/>
        <v>0</v>
      </c>
      <c r="EK187" s="147">
        <f t="shared" si="246"/>
        <v>0</v>
      </c>
      <c r="EL187" s="149"/>
      <c r="EN187" s="146"/>
      <c r="EO187" s="146"/>
      <c r="EP187" s="139">
        <f t="shared" si="247"/>
        <v>0</v>
      </c>
      <c r="EQ187" s="139">
        <f t="shared" si="248"/>
        <v>0</v>
      </c>
      <c r="ER187" s="139">
        <f t="shared" si="249"/>
        <v>0</v>
      </c>
      <c r="ES187" s="139">
        <f t="shared" si="250"/>
        <v>0</v>
      </c>
      <c r="ET187" s="139">
        <f t="shared" si="251"/>
        <v>0</v>
      </c>
      <c r="EU187" s="139">
        <f t="shared" si="252"/>
        <v>0</v>
      </c>
      <c r="EV187" s="139">
        <f t="shared" si="253"/>
        <v>0</v>
      </c>
      <c r="EW187" s="139">
        <f t="shared" si="254"/>
        <v>0</v>
      </c>
      <c r="EX187" s="139">
        <f t="shared" si="255"/>
        <v>0</v>
      </c>
      <c r="EY187" s="139">
        <f t="shared" si="256"/>
        <v>0</v>
      </c>
      <c r="EZ187" s="139">
        <f t="shared" si="257"/>
        <v>0</v>
      </c>
      <c r="FA187" s="139">
        <f t="shared" si="258"/>
        <v>0</v>
      </c>
      <c r="FB187" s="139">
        <f t="shared" si="259"/>
        <v>0</v>
      </c>
      <c r="FC187" s="139">
        <f t="shared" si="260"/>
        <v>0</v>
      </c>
      <c r="FD187" s="139">
        <f t="shared" si="261"/>
        <v>0</v>
      </c>
      <c r="FE187" s="139">
        <f t="shared" si="262"/>
        <v>0</v>
      </c>
      <c r="FF187" s="139">
        <f t="shared" si="263"/>
        <v>0</v>
      </c>
      <c r="FG187" s="139">
        <f t="shared" si="264"/>
        <v>0</v>
      </c>
      <c r="FH187" s="139">
        <f t="shared" si="265"/>
        <v>0</v>
      </c>
      <c r="FI187" s="139">
        <f t="shared" si="266"/>
        <v>0</v>
      </c>
      <c r="FJ187" s="139">
        <f t="shared" si="267"/>
        <v>0</v>
      </c>
      <c r="FK187" s="139">
        <f t="shared" si="268"/>
        <v>0</v>
      </c>
      <c r="FL187" s="139">
        <f t="shared" si="269"/>
        <v>0</v>
      </c>
      <c r="FM187" s="139">
        <f t="shared" si="270"/>
        <v>0</v>
      </c>
      <c r="FN187" s="139">
        <f t="shared" si="271"/>
        <v>0</v>
      </c>
      <c r="FO187" s="139">
        <f t="shared" si="272"/>
        <v>0</v>
      </c>
      <c r="FP187" s="139">
        <f t="shared" si="273"/>
        <v>0</v>
      </c>
      <c r="FQ187" s="139">
        <f t="shared" si="274"/>
        <v>0</v>
      </c>
      <c r="FR187" s="139">
        <f t="shared" si="275"/>
        <v>0</v>
      </c>
      <c r="FS187" s="139">
        <f t="shared" si="276"/>
        <v>0</v>
      </c>
      <c r="FT187" s="139">
        <f t="shared" si="277"/>
        <v>0</v>
      </c>
      <c r="FU187" s="148">
        <f t="shared" si="278"/>
        <v>0</v>
      </c>
      <c r="FV187" s="149"/>
      <c r="FY187" s="211">
        <v>182</v>
      </c>
      <c r="FZ187">
        <v>29.398106144600892</v>
      </c>
      <c r="GA187">
        <v>46.960706572901238</v>
      </c>
      <c r="GB187">
        <v>49.861371407961855</v>
      </c>
      <c r="GC187">
        <v>24.710573911920839</v>
      </c>
      <c r="GD187">
        <v>10.136782596520099</v>
      </c>
      <c r="GE187">
        <v>19.952351640408338</v>
      </c>
      <c r="GF187">
        <v>74.121241340393297</v>
      </c>
      <c r="GG187">
        <v>57.772667508759447</v>
      </c>
      <c r="GH187">
        <v>21.052539882063332</v>
      </c>
      <c r="GI187">
        <v>41.638799247150452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223.6341070906557</v>
      </c>
      <c r="AO188">
        <v>80.148783475861862</v>
      </c>
      <c r="AP188">
        <v>678.77515903188942</v>
      </c>
      <c r="AQ188">
        <v>499.04634132310844</v>
      </c>
      <c r="AR188">
        <v>77.979919857535918</v>
      </c>
      <c r="AS188">
        <v>382.74923610138359</v>
      </c>
      <c r="AT188">
        <v>37.679323304860795</v>
      </c>
      <c r="AU188">
        <v>-41.27427219066935</v>
      </c>
      <c r="AV188"/>
      <c r="AW188"/>
      <c r="AX188" s="128"/>
      <c r="AY188" s="76" t="str">
        <f t="shared" ca="1" si="169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4"/>
        <v/>
      </c>
      <c r="CL188" s="179" t="str">
        <f t="shared" si="205"/>
        <v/>
      </c>
      <c r="CM188" s="180" t="str">
        <f t="shared" si="206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7"/>
        <v/>
      </c>
      <c r="DB188" s="128"/>
      <c r="DC188" s="76" t="str">
        <f t="shared" ca="1" si="170"/>
        <v/>
      </c>
      <c r="DD188" t="str">
        <f t="shared" si="208"/>
        <v/>
      </c>
      <c r="DE188" s="129" t="str">
        <f t="shared" ref="DE188:DE197" si="279">IF((DD188)="", "", $C$14)</f>
        <v/>
      </c>
      <c r="DF188" s="161" t="str">
        <f t="shared" ref="DF188:DF207" si="280">IF($AZ188="", "", ((BB188*$CW188)+(CN188*$CX188))/$CZ188)</f>
        <v/>
      </c>
      <c r="DG188" s="161" t="str">
        <f t="shared" ref="DG188:DG207" si="281">IF($AZ188="", "", ((BC188*$CW188)+(CO188*$CX188))/$CZ188)</f>
        <v/>
      </c>
      <c r="DH188" s="161" t="str">
        <f t="shared" ref="DH188:DH207" si="282">IF($AZ188="", "", ((BD188*$CW188)+(CP188*$CX188))/$CZ188)</f>
        <v/>
      </c>
      <c r="DI188" s="161" t="str">
        <f t="shared" ref="DI188:DI207" si="283">IF($AZ188="", "", ((BE188*$CW188)+(CQ188*$CX188))/$CZ188)</f>
        <v/>
      </c>
      <c r="DJ188" s="161" t="str">
        <f t="shared" ref="DJ188:DJ207" si="284">IF($AZ188="", "", ((BF188*$CW188)+(CR188*$CX188))/$CZ188)</f>
        <v/>
      </c>
      <c r="DK188" s="161" t="str">
        <f t="shared" ref="DK188:DK207" si="285">IF($AZ188="", "", ((BG188*$CW188)+(CS188*$CX188))/$CZ188)</f>
        <v/>
      </c>
      <c r="DL188" s="161" t="str">
        <f t="shared" ref="DL188:DL207" si="286">IF($AZ188="", "", ((BH188*$CW188)+(CT188*$CX188))/$CZ188)</f>
        <v/>
      </c>
      <c r="DM188" s="161" t="str">
        <f t="shared" ref="DM188:DM207" si="287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8">IF($AZ188="", "", (BK187*$CW188)/$CZ188)</f>
        <v/>
      </c>
      <c r="DP188" s="161" t="str">
        <f t="shared" ref="DP188:DP193" si="289">IF($AZ188="", "", (BL187*$CW188)/$CZ188)</f>
        <v/>
      </c>
      <c r="DQ188" s="161" t="str">
        <f t="shared" ref="DQ188:DQ193" si="290">IF($AZ188="", "", (BM187*$CW188)/$CZ188)</f>
        <v/>
      </c>
      <c r="DR188" s="161" t="str">
        <f t="shared" ref="DR188:DR193" si="291">IF($AZ188="", "", (BN187*$CW188)/$CZ188)</f>
        <v/>
      </c>
      <c r="DS188" s="161" t="str">
        <f t="shared" ref="DS188:DS193" si="292">IF($AZ188="", "", (BO187*$CW188)/$CZ188)</f>
        <v/>
      </c>
      <c r="DT188" s="161" t="str">
        <f t="shared" ref="DT188:DT193" si="293">IF($AZ188="", "", (BP187*$CW188)/$CZ188)</f>
        <v/>
      </c>
      <c r="DU188" s="161" t="str">
        <f t="shared" ref="DU188:DU193" si="294">IF($AZ188="", "", (BQ187*$CW188)/$CZ188)</f>
        <v/>
      </c>
      <c r="DV188" s="161" t="str">
        <f t="shared" ref="DV188:DV193" si="295">IF($AZ188="", "", (BR187*$CW188)/$CZ188)</f>
        <v/>
      </c>
      <c r="DW188" s="161" t="str">
        <f t="shared" ref="DW188:DW193" si="296">IF($AZ188="", "", (BS187*$CW188)/$CZ188)</f>
        <v/>
      </c>
      <c r="DX188" s="161" t="str">
        <f t="shared" ref="DX188:DX193" si="297">IF($AZ188="", "", (BT187*$CW188)/$CZ188)</f>
        <v/>
      </c>
      <c r="DY188" s="161" t="str">
        <f t="shared" ref="DY188:DY193" si="298">IF($AZ188="", "", (BU187*$CW188)/$CZ188)</f>
        <v/>
      </c>
      <c r="DZ188" s="161" t="str">
        <f t="shared" ref="DZ188:DZ193" si="299">IF($AZ188="", "", (BV187*$CW188)/$CZ188)</f>
        <v/>
      </c>
      <c r="EA188" s="161" t="str">
        <f t="shared" ref="EA188:EA193" si="300">IF($AZ188="", "", (BW187*$CW188)/$CZ188)</f>
        <v/>
      </c>
      <c r="EB188" s="161" t="str">
        <f t="shared" ref="EB188:EB193" si="301">IF($AZ188="", "", (BX187*$CW188)/$CZ188)</f>
        <v/>
      </c>
      <c r="EC188" s="161" t="str">
        <f t="shared" ref="EC188:EC193" si="302">IF($AZ188="", "", (BY187*$CW188)/$CZ188)</f>
        <v/>
      </c>
      <c r="ED188" s="161" t="str">
        <f t="shared" ref="ED188:ED193" si="303">IF($AZ188="", "", (BZ187*$CW188)/$CZ188)</f>
        <v/>
      </c>
      <c r="EE188" s="161" t="str">
        <f t="shared" ref="EE188:EE193" si="304">IF($AZ188="", "", (CA187*$CW188)/$CZ188)</f>
        <v/>
      </c>
      <c r="EF188" s="161" t="str">
        <f t="shared" ref="EF188:EF193" si="305">IF($AZ188="", "", (CB187*$CW188)/$CZ188)</f>
        <v/>
      </c>
      <c r="EG188" s="161" t="str">
        <f t="shared" ref="EG188:EG193" si="306">IF($AZ188="", "", (CC187*$CW188)/$CZ188)</f>
        <v/>
      </c>
      <c r="EH188" s="161" t="str">
        <f t="shared" ref="EH188:EH193" si="307">IF($AZ188="", "", (CD187*$CW188)/$CZ188)</f>
        <v/>
      </c>
      <c r="EI188" s="161" t="str">
        <f t="shared" ref="EI188:EI193" si="308">IF($AZ188="", "", (CE187*$CW188)/$CZ188)</f>
        <v/>
      </c>
      <c r="EJ188" s="161" t="str">
        <f t="shared" ref="EJ188:EJ193" si="309">IF($AZ188="", "", (CF187*$CW188)/$CZ188)</f>
        <v/>
      </c>
      <c r="EK188" s="147" t="str">
        <f t="shared" si="246"/>
        <v/>
      </c>
      <c r="EL188" s="149"/>
      <c r="EN188" s="146"/>
      <c r="EO188" s="146"/>
      <c r="EP188" s="139" t="str">
        <f t="shared" si="247"/>
        <v/>
      </c>
      <c r="EQ188" s="139" t="str">
        <f t="shared" si="248"/>
        <v/>
      </c>
      <c r="ER188" s="139" t="str">
        <f t="shared" si="249"/>
        <v/>
      </c>
      <c r="ES188" s="139" t="str">
        <f t="shared" si="250"/>
        <v/>
      </c>
      <c r="ET188" s="139" t="str">
        <f t="shared" si="251"/>
        <v/>
      </c>
      <c r="EU188" s="139" t="str">
        <f t="shared" si="252"/>
        <v/>
      </c>
      <c r="EV188" s="139" t="str">
        <f t="shared" si="253"/>
        <v/>
      </c>
      <c r="EW188" s="139" t="str">
        <f t="shared" si="254"/>
        <v/>
      </c>
      <c r="EX188" s="139" t="str">
        <f t="shared" si="255"/>
        <v/>
      </c>
      <c r="EY188" s="139" t="str">
        <f t="shared" si="256"/>
        <v/>
      </c>
      <c r="EZ188" s="139" t="str">
        <f t="shared" si="257"/>
        <v/>
      </c>
      <c r="FA188" s="139" t="str">
        <f t="shared" si="258"/>
        <v/>
      </c>
      <c r="FB188" s="139" t="str">
        <f t="shared" si="259"/>
        <v/>
      </c>
      <c r="FC188" s="139" t="str">
        <f t="shared" si="260"/>
        <v/>
      </c>
      <c r="FD188" s="139" t="str">
        <f t="shared" si="261"/>
        <v/>
      </c>
      <c r="FE188" s="139" t="str">
        <f t="shared" si="262"/>
        <v/>
      </c>
      <c r="FF188" s="139" t="str">
        <f t="shared" si="263"/>
        <v/>
      </c>
      <c r="FG188" s="139" t="str">
        <f t="shared" si="264"/>
        <v/>
      </c>
      <c r="FH188" s="139" t="str">
        <f t="shared" si="265"/>
        <v/>
      </c>
      <c r="FI188" s="139" t="str">
        <f t="shared" si="266"/>
        <v/>
      </c>
      <c r="FJ188" s="139" t="str">
        <f t="shared" si="267"/>
        <v/>
      </c>
      <c r="FK188" s="139" t="str">
        <f t="shared" si="268"/>
        <v/>
      </c>
      <c r="FL188" s="139" t="str">
        <f t="shared" si="269"/>
        <v/>
      </c>
      <c r="FM188" s="139" t="str">
        <f t="shared" si="270"/>
        <v/>
      </c>
      <c r="FN188" s="139" t="str">
        <f t="shared" si="271"/>
        <v/>
      </c>
      <c r="FO188" s="139" t="str">
        <f t="shared" si="272"/>
        <v/>
      </c>
      <c r="FP188" s="139" t="str">
        <f t="shared" si="273"/>
        <v/>
      </c>
      <c r="FQ188" s="139" t="str">
        <f t="shared" si="274"/>
        <v/>
      </c>
      <c r="FR188" s="139" t="str">
        <f t="shared" si="275"/>
        <v/>
      </c>
      <c r="FS188" s="139" t="str">
        <f t="shared" si="276"/>
        <v/>
      </c>
      <c r="FT188" s="139" t="str">
        <f t="shared" si="277"/>
        <v/>
      </c>
      <c r="FU188" s="148" t="str">
        <f t="shared" si="278"/>
        <v/>
      </c>
      <c r="FV188" s="149"/>
      <c r="FY188" s="211">
        <v>183</v>
      </c>
      <c r="FZ188">
        <v>107.40679919528927</v>
      </c>
      <c r="GA188">
        <v>136.54541494578822</v>
      </c>
      <c r="GB188">
        <v>46.358543885308016</v>
      </c>
      <c r="GC188">
        <v>26.540420234297677</v>
      </c>
      <c r="GD188">
        <v>12.989575782121259</v>
      </c>
      <c r="GE188">
        <v>20.032335507993555</v>
      </c>
      <c r="GF188">
        <v>24.830969973765445</v>
      </c>
      <c r="GG188">
        <v>16.552933406502085</v>
      </c>
      <c r="GH188">
        <v>33.723405382690693</v>
      </c>
      <c r="GI188">
        <v>46.217612522113548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211.69764913960702</v>
      </c>
      <c r="AO189">
        <v>55.597577099656142</v>
      </c>
      <c r="AP189">
        <v>406.02603468656844</v>
      </c>
      <c r="AQ189">
        <v>318.13658194376364</v>
      </c>
      <c r="AR189">
        <v>54.20436167195237</v>
      </c>
      <c r="AS189">
        <v>264.72768361225098</v>
      </c>
      <c r="AT189">
        <v>24.777314171197251</v>
      </c>
      <c r="AU189">
        <v>-33.803148889306371</v>
      </c>
      <c r="AV189"/>
      <c r="AW189"/>
      <c r="AX189" s="146"/>
      <c r="AY189" s="76" t="str">
        <f t="shared" ca="1" si="169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4"/>
        <v/>
      </c>
      <c r="CL189" s="179" t="str">
        <f t="shared" si="205"/>
        <v/>
      </c>
      <c r="CM189" s="180" t="str">
        <f t="shared" si="206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7"/>
        <v/>
      </c>
      <c r="DB189" s="146"/>
      <c r="DC189" s="76" t="str">
        <f t="shared" ca="1" si="170"/>
        <v/>
      </c>
      <c r="DD189" t="str">
        <f t="shared" si="208"/>
        <v/>
      </c>
      <c r="DE189" s="129" t="str">
        <f t="shared" si="279"/>
        <v/>
      </c>
      <c r="DF189" s="161" t="str">
        <f t="shared" si="280"/>
        <v/>
      </c>
      <c r="DG189" s="161" t="str">
        <f t="shared" si="281"/>
        <v/>
      </c>
      <c r="DH189" s="161" t="str">
        <f t="shared" si="282"/>
        <v/>
      </c>
      <c r="DI189" s="161" t="str">
        <f t="shared" si="283"/>
        <v/>
      </c>
      <c r="DJ189" s="161" t="str">
        <f t="shared" si="284"/>
        <v/>
      </c>
      <c r="DK189" s="161" t="str">
        <f t="shared" si="285"/>
        <v/>
      </c>
      <c r="DL189" s="161" t="str">
        <f t="shared" si="286"/>
        <v/>
      </c>
      <c r="DM189" s="161" t="str">
        <f t="shared" si="287"/>
        <v/>
      </c>
      <c r="DN189" s="161" t="str">
        <f>IF($AZ189="", "", (BJ189*$CW189)/$CZ189)</f>
        <v/>
      </c>
      <c r="DO189" s="161" t="str">
        <f t="shared" si="288"/>
        <v/>
      </c>
      <c r="DP189" s="161" t="str">
        <f t="shared" si="289"/>
        <v/>
      </c>
      <c r="DQ189" s="161" t="str">
        <f t="shared" si="290"/>
        <v/>
      </c>
      <c r="DR189" s="161" t="str">
        <f t="shared" si="291"/>
        <v/>
      </c>
      <c r="DS189" s="161" t="str">
        <f t="shared" si="292"/>
        <v/>
      </c>
      <c r="DT189" s="161" t="str">
        <f t="shared" si="293"/>
        <v/>
      </c>
      <c r="DU189" s="161" t="str">
        <f t="shared" si="294"/>
        <v/>
      </c>
      <c r="DV189" s="161" t="str">
        <f t="shared" si="295"/>
        <v/>
      </c>
      <c r="DW189" s="161" t="str">
        <f t="shared" si="296"/>
        <v/>
      </c>
      <c r="DX189" s="161" t="str">
        <f t="shared" si="297"/>
        <v/>
      </c>
      <c r="DY189" s="161" t="str">
        <f t="shared" si="298"/>
        <v/>
      </c>
      <c r="DZ189" s="161" t="str">
        <f t="shared" si="299"/>
        <v/>
      </c>
      <c r="EA189" s="161" t="str">
        <f t="shared" si="300"/>
        <v/>
      </c>
      <c r="EB189" s="161" t="str">
        <f t="shared" si="301"/>
        <v/>
      </c>
      <c r="EC189" s="161" t="str">
        <f t="shared" si="302"/>
        <v/>
      </c>
      <c r="ED189" s="161" t="str">
        <f t="shared" si="303"/>
        <v/>
      </c>
      <c r="EE189" s="161" t="str">
        <f t="shared" si="304"/>
        <v/>
      </c>
      <c r="EF189" s="161" t="str">
        <f t="shared" si="305"/>
        <v/>
      </c>
      <c r="EG189" s="161" t="str">
        <f t="shared" si="306"/>
        <v/>
      </c>
      <c r="EH189" s="161" t="str">
        <f t="shared" si="307"/>
        <v/>
      </c>
      <c r="EI189" s="161" t="str">
        <f t="shared" si="308"/>
        <v/>
      </c>
      <c r="EJ189" s="161" t="str">
        <f t="shared" si="309"/>
        <v/>
      </c>
      <c r="EK189" s="147" t="str">
        <f t="shared" si="246"/>
        <v/>
      </c>
      <c r="EL189" s="149"/>
      <c r="EN189" s="146"/>
      <c r="EO189" s="146"/>
      <c r="EP189" s="139" t="str">
        <f t="shared" si="247"/>
        <v/>
      </c>
      <c r="EQ189" s="139" t="str">
        <f t="shared" si="248"/>
        <v/>
      </c>
      <c r="ER189" s="139" t="str">
        <f t="shared" si="249"/>
        <v/>
      </c>
      <c r="ES189" s="139" t="str">
        <f t="shared" si="250"/>
        <v/>
      </c>
      <c r="ET189" s="139" t="str">
        <f t="shared" si="251"/>
        <v/>
      </c>
      <c r="EU189" s="139" t="str">
        <f t="shared" si="252"/>
        <v/>
      </c>
      <c r="EV189" s="139" t="str">
        <f t="shared" si="253"/>
        <v/>
      </c>
      <c r="EW189" s="139" t="str">
        <f t="shared" si="254"/>
        <v/>
      </c>
      <c r="EX189" s="139" t="str">
        <f t="shared" si="255"/>
        <v/>
      </c>
      <c r="EY189" s="139" t="str">
        <f t="shared" si="256"/>
        <v/>
      </c>
      <c r="EZ189" s="139" t="str">
        <f t="shared" si="257"/>
        <v/>
      </c>
      <c r="FA189" s="139" t="str">
        <f t="shared" si="258"/>
        <v/>
      </c>
      <c r="FB189" s="139" t="str">
        <f t="shared" si="259"/>
        <v/>
      </c>
      <c r="FC189" s="139" t="str">
        <f t="shared" si="260"/>
        <v/>
      </c>
      <c r="FD189" s="139" t="str">
        <f t="shared" si="261"/>
        <v/>
      </c>
      <c r="FE189" s="139" t="str">
        <f t="shared" si="262"/>
        <v/>
      </c>
      <c r="FF189" s="139" t="str">
        <f t="shared" si="263"/>
        <v/>
      </c>
      <c r="FG189" s="139" t="str">
        <f t="shared" si="264"/>
        <v/>
      </c>
      <c r="FH189" s="139" t="str">
        <f t="shared" si="265"/>
        <v/>
      </c>
      <c r="FI189" s="139" t="str">
        <f t="shared" si="266"/>
        <v/>
      </c>
      <c r="FJ189" s="139" t="str">
        <f t="shared" si="267"/>
        <v/>
      </c>
      <c r="FK189" s="139" t="str">
        <f t="shared" si="268"/>
        <v/>
      </c>
      <c r="FL189" s="139" t="str">
        <f t="shared" si="269"/>
        <v/>
      </c>
      <c r="FM189" s="139" t="str">
        <f t="shared" si="270"/>
        <v/>
      </c>
      <c r="FN189" s="139" t="str">
        <f t="shared" si="271"/>
        <v/>
      </c>
      <c r="FO189" s="139" t="str">
        <f t="shared" si="272"/>
        <v/>
      </c>
      <c r="FP189" s="139" t="str">
        <f t="shared" si="273"/>
        <v/>
      </c>
      <c r="FQ189" s="139" t="str">
        <f t="shared" si="274"/>
        <v/>
      </c>
      <c r="FR189" s="139" t="str">
        <f t="shared" si="275"/>
        <v/>
      </c>
      <c r="FS189" s="139" t="str">
        <f t="shared" si="276"/>
        <v/>
      </c>
      <c r="FT189" s="139" t="str">
        <f t="shared" si="277"/>
        <v/>
      </c>
      <c r="FU189" s="148" t="str">
        <f t="shared" si="278"/>
        <v/>
      </c>
      <c r="FV189" s="149"/>
      <c r="FY189" s="211">
        <v>184</v>
      </c>
      <c r="FZ189">
        <v>90.566081714151835</v>
      </c>
      <c r="GA189">
        <v>100.83518291117915</v>
      </c>
      <c r="GB189">
        <v>27.431300881927356</v>
      </c>
      <c r="GC189">
        <v>18.902650125263339</v>
      </c>
      <c r="GD189">
        <v>17.728240183317613</v>
      </c>
      <c r="GE189">
        <v>23.865089091742128</v>
      </c>
      <c r="GF189">
        <v>37.478146328371587</v>
      </c>
      <c r="GG189">
        <v>33.782055985021955</v>
      </c>
      <c r="GH189">
        <v>28.541278358399396</v>
      </c>
      <c r="GI189">
        <v>43.653282990110881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210.30619563036112</v>
      </c>
      <c r="AO190">
        <v>62.885392974534668</v>
      </c>
      <c r="AP190">
        <v>448.46590548320705</v>
      </c>
      <c r="AQ190">
        <v>355.07447359141094</v>
      </c>
      <c r="AR190">
        <v>62.755151085224838</v>
      </c>
      <c r="AS190">
        <v>323.37176438765084</v>
      </c>
      <c r="AT190">
        <v>29.93911811753226</v>
      </c>
      <c r="AU190">
        <v>16.32980506445049</v>
      </c>
      <c r="AV190"/>
      <c r="AW190"/>
      <c r="AX190" s="146"/>
      <c r="AY190" s="76" t="str">
        <f t="shared" ca="1" si="169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4"/>
        <v/>
      </c>
      <c r="CL190" s="179" t="str">
        <f t="shared" si="205"/>
        <v/>
      </c>
      <c r="CM190" s="180" t="str">
        <f t="shared" si="206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7"/>
        <v/>
      </c>
      <c r="DB190" s="146"/>
      <c r="DC190" s="76" t="str">
        <f t="shared" ca="1" si="170"/>
        <v/>
      </c>
      <c r="DD190" t="str">
        <f t="shared" si="208"/>
        <v/>
      </c>
      <c r="DE190" s="129" t="str">
        <f t="shared" si="279"/>
        <v/>
      </c>
      <c r="DF190" s="161" t="str">
        <f t="shared" si="280"/>
        <v/>
      </c>
      <c r="DG190" s="161" t="str">
        <f t="shared" si="281"/>
        <v/>
      </c>
      <c r="DH190" s="161" t="str">
        <f t="shared" si="282"/>
        <v/>
      </c>
      <c r="DI190" s="161" t="str">
        <f t="shared" si="283"/>
        <v/>
      </c>
      <c r="DJ190" s="161" t="str">
        <f t="shared" si="284"/>
        <v/>
      </c>
      <c r="DK190" s="161" t="str">
        <f t="shared" si="285"/>
        <v/>
      </c>
      <c r="DL190" s="161" t="str">
        <f t="shared" si="286"/>
        <v/>
      </c>
      <c r="DM190" s="161" t="str">
        <f t="shared" si="287"/>
        <v/>
      </c>
      <c r="DN190" s="161" t="str">
        <f>IF($AZ190="", "", (BJ190*$CW190)/$CZ190)</f>
        <v/>
      </c>
      <c r="DO190" s="161" t="str">
        <f t="shared" si="288"/>
        <v/>
      </c>
      <c r="DP190" s="161" t="str">
        <f t="shared" si="289"/>
        <v/>
      </c>
      <c r="DQ190" s="161" t="str">
        <f t="shared" si="290"/>
        <v/>
      </c>
      <c r="DR190" s="161" t="str">
        <f t="shared" si="291"/>
        <v/>
      </c>
      <c r="DS190" s="161" t="str">
        <f t="shared" si="292"/>
        <v/>
      </c>
      <c r="DT190" s="161" t="str">
        <f t="shared" si="293"/>
        <v/>
      </c>
      <c r="DU190" s="161" t="str">
        <f t="shared" si="294"/>
        <v/>
      </c>
      <c r="DV190" s="161" t="str">
        <f t="shared" si="295"/>
        <v/>
      </c>
      <c r="DW190" s="161" t="str">
        <f t="shared" si="296"/>
        <v/>
      </c>
      <c r="DX190" s="161" t="str">
        <f t="shared" si="297"/>
        <v/>
      </c>
      <c r="DY190" s="161" t="str">
        <f t="shared" si="298"/>
        <v/>
      </c>
      <c r="DZ190" s="161" t="str">
        <f t="shared" si="299"/>
        <v/>
      </c>
      <c r="EA190" s="161" t="str">
        <f t="shared" si="300"/>
        <v/>
      </c>
      <c r="EB190" s="161" t="str">
        <f t="shared" si="301"/>
        <v/>
      </c>
      <c r="EC190" s="161" t="str">
        <f t="shared" si="302"/>
        <v/>
      </c>
      <c r="ED190" s="161" t="str">
        <f t="shared" si="303"/>
        <v/>
      </c>
      <c r="EE190" s="161" t="str">
        <f t="shared" si="304"/>
        <v/>
      </c>
      <c r="EF190" s="161" t="str">
        <f t="shared" si="305"/>
        <v/>
      </c>
      <c r="EG190" s="161" t="str">
        <f t="shared" si="306"/>
        <v/>
      </c>
      <c r="EH190" s="161" t="str">
        <f t="shared" si="307"/>
        <v/>
      </c>
      <c r="EI190" s="161" t="str">
        <f t="shared" si="308"/>
        <v/>
      </c>
      <c r="EJ190" s="161" t="str">
        <f t="shared" si="309"/>
        <v/>
      </c>
      <c r="EK190" s="147" t="str">
        <f t="shared" si="246"/>
        <v/>
      </c>
      <c r="EL190" s="149"/>
      <c r="EN190" s="146"/>
      <c r="EO190" s="146"/>
      <c r="EP190" s="139" t="str">
        <f t="shared" si="247"/>
        <v/>
      </c>
      <c r="EQ190" s="139" t="str">
        <f t="shared" si="248"/>
        <v/>
      </c>
      <c r="ER190" s="139" t="str">
        <f t="shared" si="249"/>
        <v/>
      </c>
      <c r="ES190" s="139" t="str">
        <f t="shared" si="250"/>
        <v/>
      </c>
      <c r="ET190" s="139" t="str">
        <f t="shared" si="251"/>
        <v/>
      </c>
      <c r="EU190" s="139" t="str">
        <f t="shared" si="252"/>
        <v/>
      </c>
      <c r="EV190" s="139" t="str">
        <f t="shared" si="253"/>
        <v/>
      </c>
      <c r="EW190" s="139" t="str">
        <f t="shared" si="254"/>
        <v/>
      </c>
      <c r="EX190" s="139" t="str">
        <f t="shared" si="255"/>
        <v/>
      </c>
      <c r="EY190" s="139" t="str">
        <f t="shared" si="256"/>
        <v/>
      </c>
      <c r="EZ190" s="139" t="str">
        <f t="shared" si="257"/>
        <v/>
      </c>
      <c r="FA190" s="139" t="str">
        <f t="shared" si="258"/>
        <v/>
      </c>
      <c r="FB190" s="139" t="str">
        <f t="shared" si="259"/>
        <v/>
      </c>
      <c r="FC190" s="139" t="str">
        <f t="shared" si="260"/>
        <v/>
      </c>
      <c r="FD190" s="139" t="str">
        <f t="shared" si="261"/>
        <v/>
      </c>
      <c r="FE190" s="139" t="str">
        <f t="shared" si="262"/>
        <v/>
      </c>
      <c r="FF190" s="139" t="str">
        <f t="shared" si="263"/>
        <v/>
      </c>
      <c r="FG190" s="139" t="str">
        <f t="shared" si="264"/>
        <v/>
      </c>
      <c r="FH190" s="139" t="str">
        <f t="shared" si="265"/>
        <v/>
      </c>
      <c r="FI190" s="139" t="str">
        <f t="shared" si="266"/>
        <v/>
      </c>
      <c r="FJ190" s="139" t="str">
        <f t="shared" si="267"/>
        <v/>
      </c>
      <c r="FK190" s="139" t="str">
        <f t="shared" si="268"/>
        <v/>
      </c>
      <c r="FL190" s="139" t="str">
        <f t="shared" si="269"/>
        <v/>
      </c>
      <c r="FM190" s="139" t="str">
        <f t="shared" si="270"/>
        <v/>
      </c>
      <c r="FN190" s="139" t="str">
        <f t="shared" si="271"/>
        <v/>
      </c>
      <c r="FO190" s="139" t="str">
        <f t="shared" si="272"/>
        <v/>
      </c>
      <c r="FP190" s="139" t="str">
        <f t="shared" si="273"/>
        <v/>
      </c>
      <c r="FQ190" s="139" t="str">
        <f t="shared" si="274"/>
        <v/>
      </c>
      <c r="FR190" s="139" t="str">
        <f t="shared" si="275"/>
        <v/>
      </c>
      <c r="FS190" s="139" t="str">
        <f t="shared" si="276"/>
        <v/>
      </c>
      <c r="FT190" s="139" t="str">
        <f t="shared" si="277"/>
        <v/>
      </c>
      <c r="FU190" s="148" t="str">
        <f t="shared" si="278"/>
        <v/>
      </c>
      <c r="FV190" s="149"/>
      <c r="FY190" s="211">
        <v>185</v>
      </c>
      <c r="FZ190">
        <v>116.14105229148709</v>
      </c>
      <c r="GA190">
        <v>130.9751456022999</v>
      </c>
      <c r="GB190">
        <v>35.78674668174277</v>
      </c>
      <c r="GC190">
        <v>21.602336731368744</v>
      </c>
      <c r="GD190">
        <v>13.352248068271532</v>
      </c>
      <c r="GE190">
        <v>23.50194584266637</v>
      </c>
      <c r="GF190">
        <v>59.384175595708086</v>
      </c>
      <c r="GG190">
        <v>45.193847432334621</v>
      </c>
      <c r="GH190">
        <v>19.455275278539077</v>
      </c>
      <c r="GI190">
        <v>49.682217177553795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194.26427996488204</v>
      </c>
      <c r="AO191">
        <v>54.722515776569118</v>
      </c>
      <c r="AP191">
        <v>402.68309638674242</v>
      </c>
      <c r="AQ191">
        <v>324.19159869006523</v>
      </c>
      <c r="AR191">
        <v>53.247291966976952</v>
      </c>
      <c r="AS191">
        <v>257.80528124261753</v>
      </c>
      <c r="AT191">
        <v>24.860023204908561</v>
      </c>
      <c r="AU191">
        <v>44.367966454275624</v>
      </c>
      <c r="AV191"/>
      <c r="AW191"/>
      <c r="AX191" s="146"/>
      <c r="AY191" s="76" t="str">
        <f t="shared" ca="1" si="169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4"/>
        <v/>
      </c>
      <c r="CL191" s="179" t="str">
        <f t="shared" si="205"/>
        <v/>
      </c>
      <c r="CM191" s="180" t="str">
        <f t="shared" si="206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7"/>
        <v/>
      </c>
      <c r="DB191" s="146"/>
      <c r="DC191" s="76" t="str">
        <f t="shared" ca="1" si="170"/>
        <v/>
      </c>
      <c r="DD191" t="str">
        <f t="shared" si="208"/>
        <v/>
      </c>
      <c r="DE191" s="129" t="str">
        <f t="shared" si="279"/>
        <v/>
      </c>
      <c r="DF191" s="161" t="str">
        <f t="shared" si="280"/>
        <v/>
      </c>
      <c r="DG191" s="161" t="str">
        <f t="shared" si="281"/>
        <v/>
      </c>
      <c r="DH191" s="161" t="str">
        <f t="shared" si="282"/>
        <v/>
      </c>
      <c r="DI191" s="161" t="str">
        <f t="shared" si="283"/>
        <v/>
      </c>
      <c r="DJ191" s="161" t="str">
        <f t="shared" si="284"/>
        <v/>
      </c>
      <c r="DK191" s="161" t="str">
        <f t="shared" si="285"/>
        <v/>
      </c>
      <c r="DL191" s="161" t="str">
        <f t="shared" si="286"/>
        <v/>
      </c>
      <c r="DM191" s="161" t="str">
        <f t="shared" si="287"/>
        <v/>
      </c>
      <c r="DN191" s="161" t="str">
        <f>IF($AZ191="", "", (BJ191*$CW191)/$CZ191)</f>
        <v/>
      </c>
      <c r="DO191" s="161" t="str">
        <f t="shared" si="288"/>
        <v/>
      </c>
      <c r="DP191" s="161" t="str">
        <f t="shared" si="289"/>
        <v/>
      </c>
      <c r="DQ191" s="161" t="str">
        <f t="shared" si="290"/>
        <v/>
      </c>
      <c r="DR191" s="161" t="str">
        <f t="shared" si="291"/>
        <v/>
      </c>
      <c r="DS191" s="161" t="str">
        <f t="shared" si="292"/>
        <v/>
      </c>
      <c r="DT191" s="161" t="str">
        <f t="shared" si="293"/>
        <v/>
      </c>
      <c r="DU191" s="161" t="str">
        <f t="shared" si="294"/>
        <v/>
      </c>
      <c r="DV191" s="161" t="str">
        <f t="shared" si="295"/>
        <v/>
      </c>
      <c r="DW191" s="161" t="str">
        <f t="shared" si="296"/>
        <v/>
      </c>
      <c r="DX191" s="161" t="str">
        <f t="shared" si="297"/>
        <v/>
      </c>
      <c r="DY191" s="161" t="str">
        <f t="shared" si="298"/>
        <v/>
      </c>
      <c r="DZ191" s="161" t="str">
        <f t="shared" si="299"/>
        <v/>
      </c>
      <c r="EA191" s="161" t="str">
        <f t="shared" si="300"/>
        <v/>
      </c>
      <c r="EB191" s="161" t="str">
        <f t="shared" si="301"/>
        <v/>
      </c>
      <c r="EC191" s="161" t="str">
        <f t="shared" si="302"/>
        <v/>
      </c>
      <c r="ED191" s="161" t="str">
        <f t="shared" si="303"/>
        <v/>
      </c>
      <c r="EE191" s="161" t="str">
        <f t="shared" si="304"/>
        <v/>
      </c>
      <c r="EF191" s="161" t="str">
        <f t="shared" si="305"/>
        <v/>
      </c>
      <c r="EG191" s="161" t="str">
        <f t="shared" si="306"/>
        <v/>
      </c>
      <c r="EH191" s="161" t="str">
        <f t="shared" si="307"/>
        <v/>
      </c>
      <c r="EI191" s="161" t="str">
        <f t="shared" si="308"/>
        <v/>
      </c>
      <c r="EJ191" s="161" t="str">
        <f t="shared" si="309"/>
        <v/>
      </c>
      <c r="EK191" s="147" t="str">
        <f t="shared" si="246"/>
        <v/>
      </c>
      <c r="EL191" s="149"/>
      <c r="EN191" s="146"/>
      <c r="EO191" s="146"/>
      <c r="EP191" s="139" t="str">
        <f t="shared" si="247"/>
        <v/>
      </c>
      <c r="EQ191" s="139" t="str">
        <f t="shared" si="248"/>
        <v/>
      </c>
      <c r="ER191" s="139" t="str">
        <f t="shared" si="249"/>
        <v/>
      </c>
      <c r="ES191" s="139" t="str">
        <f t="shared" si="250"/>
        <v/>
      </c>
      <c r="ET191" s="139" t="str">
        <f t="shared" si="251"/>
        <v/>
      </c>
      <c r="EU191" s="139" t="str">
        <f t="shared" si="252"/>
        <v/>
      </c>
      <c r="EV191" s="139" t="str">
        <f t="shared" si="253"/>
        <v/>
      </c>
      <c r="EW191" s="139" t="str">
        <f t="shared" si="254"/>
        <v/>
      </c>
      <c r="EX191" s="139" t="str">
        <f t="shared" si="255"/>
        <v/>
      </c>
      <c r="EY191" s="139" t="str">
        <f t="shared" si="256"/>
        <v/>
      </c>
      <c r="EZ191" s="139" t="str">
        <f t="shared" si="257"/>
        <v/>
      </c>
      <c r="FA191" s="139" t="str">
        <f t="shared" si="258"/>
        <v/>
      </c>
      <c r="FB191" s="139" t="str">
        <f t="shared" si="259"/>
        <v/>
      </c>
      <c r="FC191" s="139" t="str">
        <f t="shared" si="260"/>
        <v/>
      </c>
      <c r="FD191" s="139" t="str">
        <f t="shared" si="261"/>
        <v/>
      </c>
      <c r="FE191" s="139" t="str">
        <f t="shared" si="262"/>
        <v/>
      </c>
      <c r="FF191" s="139" t="str">
        <f t="shared" si="263"/>
        <v/>
      </c>
      <c r="FG191" s="139" t="str">
        <f t="shared" si="264"/>
        <v/>
      </c>
      <c r="FH191" s="139" t="str">
        <f t="shared" si="265"/>
        <v/>
      </c>
      <c r="FI191" s="139" t="str">
        <f t="shared" si="266"/>
        <v/>
      </c>
      <c r="FJ191" s="139" t="str">
        <f t="shared" si="267"/>
        <v/>
      </c>
      <c r="FK191" s="139" t="str">
        <f t="shared" si="268"/>
        <v/>
      </c>
      <c r="FL191" s="139" t="str">
        <f t="shared" si="269"/>
        <v/>
      </c>
      <c r="FM191" s="139" t="str">
        <f t="shared" si="270"/>
        <v/>
      </c>
      <c r="FN191" s="139" t="str">
        <f t="shared" si="271"/>
        <v/>
      </c>
      <c r="FO191" s="139" t="str">
        <f t="shared" si="272"/>
        <v/>
      </c>
      <c r="FP191" s="139" t="str">
        <f t="shared" si="273"/>
        <v/>
      </c>
      <c r="FQ191" s="139" t="str">
        <f t="shared" si="274"/>
        <v/>
      </c>
      <c r="FR191" s="139" t="str">
        <f t="shared" si="275"/>
        <v/>
      </c>
      <c r="FS191" s="139" t="str">
        <f t="shared" si="276"/>
        <v/>
      </c>
      <c r="FT191" s="139" t="str">
        <f t="shared" si="277"/>
        <v/>
      </c>
      <c r="FU191" s="148" t="str">
        <f t="shared" si="278"/>
        <v/>
      </c>
      <c r="FV191" s="149"/>
      <c r="FY191" s="211">
        <v>186</v>
      </c>
      <c r="FZ191">
        <v>77.274516684463308</v>
      </c>
      <c r="GA191">
        <v>81.413660788657708</v>
      </c>
      <c r="GB191">
        <v>36.809992195037736</v>
      </c>
      <c r="GC191">
        <v>23.793839470531367</v>
      </c>
      <c r="GD191">
        <v>14.955118342025566</v>
      </c>
      <c r="GE191">
        <v>21.751728059019989</v>
      </c>
      <c r="GF191">
        <v>47.304627329360471</v>
      </c>
      <c r="GG191">
        <v>36.807604484738526</v>
      </c>
      <c r="GH191">
        <v>17.630607030595392</v>
      </c>
      <c r="GI191">
        <v>42.507814849692359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197.08287786075658</v>
      </c>
      <c r="AO192">
        <v>66.188414251179182</v>
      </c>
      <c r="AP192">
        <v>513.77710219976564</v>
      </c>
      <c r="AQ192">
        <v>410.72430760514459</v>
      </c>
      <c r="AR192">
        <v>65.431285675013839</v>
      </c>
      <c r="AS192">
        <v>303.26646277075508</v>
      </c>
      <c r="AT192">
        <v>32.036345821171516</v>
      </c>
      <c r="AU192">
        <v>-34.871091811866449</v>
      </c>
      <c r="AV192"/>
      <c r="AW192"/>
      <c r="AX192" s="146"/>
      <c r="AY192" s="76" t="str">
        <f t="shared" ca="1" si="169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4"/>
        <v/>
      </c>
      <c r="CL192" s="179" t="str">
        <f t="shared" si="205"/>
        <v/>
      </c>
      <c r="CM192" s="180" t="str">
        <f t="shared" si="206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7"/>
        <v/>
      </c>
      <c r="DB192" s="146"/>
      <c r="DC192" s="76" t="str">
        <f t="shared" ca="1" si="170"/>
        <v/>
      </c>
      <c r="DD192" t="str">
        <f t="shared" si="208"/>
        <v/>
      </c>
      <c r="DE192" s="129" t="str">
        <f t="shared" si="279"/>
        <v/>
      </c>
      <c r="DF192" s="161" t="str">
        <f t="shared" si="280"/>
        <v/>
      </c>
      <c r="DG192" s="161" t="str">
        <f t="shared" si="281"/>
        <v/>
      </c>
      <c r="DH192" s="161" t="str">
        <f t="shared" si="282"/>
        <v/>
      </c>
      <c r="DI192" s="161" t="str">
        <f t="shared" si="283"/>
        <v/>
      </c>
      <c r="DJ192" s="161" t="str">
        <f t="shared" si="284"/>
        <v/>
      </c>
      <c r="DK192" s="161" t="str">
        <f t="shared" si="285"/>
        <v/>
      </c>
      <c r="DL192" s="161" t="str">
        <f t="shared" si="286"/>
        <v/>
      </c>
      <c r="DM192" s="161" t="str">
        <f t="shared" si="287"/>
        <v/>
      </c>
      <c r="DN192" s="161" t="str">
        <f>IF($AZ192="", "", (BJ192*$CW192)/$CZ192)</f>
        <v/>
      </c>
      <c r="DO192" s="161" t="str">
        <f t="shared" si="288"/>
        <v/>
      </c>
      <c r="DP192" s="161" t="str">
        <f t="shared" si="289"/>
        <v/>
      </c>
      <c r="DQ192" s="161" t="str">
        <f t="shared" si="290"/>
        <v/>
      </c>
      <c r="DR192" s="161" t="str">
        <f t="shared" si="291"/>
        <v/>
      </c>
      <c r="DS192" s="161" t="str">
        <f t="shared" si="292"/>
        <v/>
      </c>
      <c r="DT192" s="161" t="str">
        <f t="shared" si="293"/>
        <v/>
      </c>
      <c r="DU192" s="161" t="str">
        <f t="shared" si="294"/>
        <v/>
      </c>
      <c r="DV192" s="161" t="str">
        <f t="shared" si="295"/>
        <v/>
      </c>
      <c r="DW192" s="161" t="str">
        <f t="shared" si="296"/>
        <v/>
      </c>
      <c r="DX192" s="161" t="str">
        <f t="shared" si="297"/>
        <v/>
      </c>
      <c r="DY192" s="161" t="str">
        <f t="shared" si="298"/>
        <v/>
      </c>
      <c r="DZ192" s="161" t="str">
        <f t="shared" si="299"/>
        <v/>
      </c>
      <c r="EA192" s="161" t="str">
        <f t="shared" si="300"/>
        <v/>
      </c>
      <c r="EB192" s="161" t="str">
        <f t="shared" si="301"/>
        <v/>
      </c>
      <c r="EC192" s="161" t="str">
        <f t="shared" si="302"/>
        <v/>
      </c>
      <c r="ED192" s="161" t="str">
        <f t="shared" si="303"/>
        <v/>
      </c>
      <c r="EE192" s="161" t="str">
        <f t="shared" si="304"/>
        <v/>
      </c>
      <c r="EF192" s="161" t="str">
        <f t="shared" si="305"/>
        <v/>
      </c>
      <c r="EG192" s="161" t="str">
        <f t="shared" si="306"/>
        <v/>
      </c>
      <c r="EH192" s="161" t="str">
        <f t="shared" si="307"/>
        <v/>
      </c>
      <c r="EI192" s="161" t="str">
        <f t="shared" si="308"/>
        <v/>
      </c>
      <c r="EJ192" s="161" t="str">
        <f t="shared" si="309"/>
        <v/>
      </c>
      <c r="EK192" s="147" t="str">
        <f t="shared" si="246"/>
        <v/>
      </c>
      <c r="EL192" s="149"/>
      <c r="EN192" s="146"/>
      <c r="EO192" s="146"/>
      <c r="EP192" s="139" t="str">
        <f t="shared" si="247"/>
        <v/>
      </c>
      <c r="EQ192" s="139" t="str">
        <f t="shared" si="248"/>
        <v/>
      </c>
      <c r="ER192" s="139" t="str">
        <f t="shared" si="249"/>
        <v/>
      </c>
      <c r="ES192" s="139" t="str">
        <f t="shared" si="250"/>
        <v/>
      </c>
      <c r="ET192" s="139" t="str">
        <f t="shared" si="251"/>
        <v/>
      </c>
      <c r="EU192" s="139" t="str">
        <f t="shared" si="252"/>
        <v/>
      </c>
      <c r="EV192" s="139" t="str">
        <f t="shared" si="253"/>
        <v/>
      </c>
      <c r="EW192" s="139" t="str">
        <f t="shared" si="254"/>
        <v/>
      </c>
      <c r="EX192" s="139" t="str">
        <f t="shared" si="255"/>
        <v/>
      </c>
      <c r="EY192" s="139" t="str">
        <f t="shared" si="256"/>
        <v/>
      </c>
      <c r="EZ192" s="139" t="str">
        <f t="shared" si="257"/>
        <v/>
      </c>
      <c r="FA192" s="139" t="str">
        <f t="shared" si="258"/>
        <v/>
      </c>
      <c r="FB192" s="139" t="str">
        <f t="shared" si="259"/>
        <v/>
      </c>
      <c r="FC192" s="139" t="str">
        <f t="shared" si="260"/>
        <v/>
      </c>
      <c r="FD192" s="139" t="str">
        <f t="shared" si="261"/>
        <v/>
      </c>
      <c r="FE192" s="139" t="str">
        <f t="shared" si="262"/>
        <v/>
      </c>
      <c r="FF192" s="139" t="str">
        <f t="shared" si="263"/>
        <v/>
      </c>
      <c r="FG192" s="139" t="str">
        <f t="shared" si="264"/>
        <v/>
      </c>
      <c r="FH192" s="139" t="str">
        <f t="shared" si="265"/>
        <v/>
      </c>
      <c r="FI192" s="139" t="str">
        <f t="shared" si="266"/>
        <v/>
      </c>
      <c r="FJ192" s="139" t="str">
        <f t="shared" si="267"/>
        <v/>
      </c>
      <c r="FK192" s="139" t="str">
        <f t="shared" si="268"/>
        <v/>
      </c>
      <c r="FL192" s="139" t="str">
        <f t="shared" si="269"/>
        <v/>
      </c>
      <c r="FM192" s="139" t="str">
        <f t="shared" si="270"/>
        <v/>
      </c>
      <c r="FN192" s="139" t="str">
        <f t="shared" si="271"/>
        <v/>
      </c>
      <c r="FO192" s="139" t="str">
        <f t="shared" si="272"/>
        <v/>
      </c>
      <c r="FP192" s="139" t="str">
        <f t="shared" si="273"/>
        <v/>
      </c>
      <c r="FQ192" s="139" t="str">
        <f t="shared" si="274"/>
        <v/>
      </c>
      <c r="FR192" s="139" t="str">
        <f t="shared" si="275"/>
        <v/>
      </c>
      <c r="FS192" s="139" t="str">
        <f t="shared" si="276"/>
        <v/>
      </c>
      <c r="FT192" s="139" t="str">
        <f t="shared" si="277"/>
        <v/>
      </c>
      <c r="FU192" s="148" t="str">
        <f t="shared" si="278"/>
        <v/>
      </c>
      <c r="FV192" s="149"/>
      <c r="FY192" s="211">
        <v>187</v>
      </c>
      <c r="FZ192">
        <v>79.317080352891651</v>
      </c>
      <c r="GA192">
        <v>96.463807216070109</v>
      </c>
      <c r="GB192">
        <v>58.350509745674614</v>
      </c>
      <c r="GC192">
        <v>34.101045907456403</v>
      </c>
      <c r="GD192">
        <v>13.777059625400645</v>
      </c>
      <c r="GE192">
        <v>21.56748891923397</v>
      </c>
      <c r="GF192">
        <v>40.108649191933516</v>
      </c>
      <c r="GG192">
        <v>23.874276082068938</v>
      </c>
      <c r="GH192">
        <v>24.328927289519822</v>
      </c>
      <c r="GI192">
        <v>47.156908348771871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169.1135091976785</v>
      </c>
      <c r="AO193">
        <v>49.868559423898901</v>
      </c>
      <c r="AP193">
        <v>369.94558210006932</v>
      </c>
      <c r="AQ193">
        <v>284.37114880428021</v>
      </c>
      <c r="AR193">
        <v>49.053914683107372</v>
      </c>
      <c r="AS193">
        <v>226.82752359178377</v>
      </c>
      <c r="AT193">
        <v>24.300548329995138</v>
      </c>
      <c r="AU193">
        <v>-26.039897213640003</v>
      </c>
      <c r="AV193"/>
      <c r="AW193"/>
      <c r="AX193" s="146"/>
      <c r="AY193" s="76" t="str">
        <f t="shared" ca="1" si="169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4"/>
        <v/>
      </c>
      <c r="CL193" s="179" t="str">
        <f t="shared" si="205"/>
        <v/>
      </c>
      <c r="CM193" s="180" t="str">
        <f t="shared" si="206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7"/>
        <v/>
      </c>
      <c r="DB193" s="146"/>
      <c r="DC193" s="76" t="str">
        <f t="shared" ca="1" si="170"/>
        <v/>
      </c>
      <c r="DD193" t="str">
        <f t="shared" si="208"/>
        <v/>
      </c>
      <c r="DE193" s="129" t="str">
        <f t="shared" si="279"/>
        <v/>
      </c>
      <c r="DF193" s="161" t="str">
        <f t="shared" si="280"/>
        <v/>
      </c>
      <c r="DG193" s="161" t="str">
        <f t="shared" si="281"/>
        <v/>
      </c>
      <c r="DH193" s="161" t="str">
        <f t="shared" si="282"/>
        <v/>
      </c>
      <c r="DI193" s="161" t="str">
        <f t="shared" si="283"/>
        <v/>
      </c>
      <c r="DJ193" s="161" t="str">
        <f t="shared" si="284"/>
        <v/>
      </c>
      <c r="DK193" s="161" t="str">
        <f t="shared" si="285"/>
        <v/>
      </c>
      <c r="DL193" s="161" t="str">
        <f t="shared" si="286"/>
        <v/>
      </c>
      <c r="DM193" s="161" t="str">
        <f t="shared" si="287"/>
        <v/>
      </c>
      <c r="DN193" s="161" t="str">
        <f t="shared" ref="DN193:DN207" si="310">IF($AZ193="", "", (BJ193*$CW193)/$CZ193)</f>
        <v/>
      </c>
      <c r="DO193" s="161" t="str">
        <f t="shared" si="288"/>
        <v/>
      </c>
      <c r="DP193" s="161" t="str">
        <f t="shared" si="289"/>
        <v/>
      </c>
      <c r="DQ193" s="161" t="str">
        <f t="shared" si="290"/>
        <v/>
      </c>
      <c r="DR193" s="161" t="str">
        <f t="shared" si="291"/>
        <v/>
      </c>
      <c r="DS193" s="161" t="str">
        <f t="shared" si="292"/>
        <v/>
      </c>
      <c r="DT193" s="161" t="str">
        <f t="shared" si="293"/>
        <v/>
      </c>
      <c r="DU193" s="161" t="str">
        <f t="shared" si="294"/>
        <v/>
      </c>
      <c r="DV193" s="161" t="str">
        <f t="shared" si="295"/>
        <v/>
      </c>
      <c r="DW193" s="161" t="str">
        <f t="shared" si="296"/>
        <v/>
      </c>
      <c r="DX193" s="161" t="str">
        <f t="shared" si="297"/>
        <v/>
      </c>
      <c r="DY193" s="161" t="str">
        <f t="shared" si="298"/>
        <v/>
      </c>
      <c r="DZ193" s="161" t="str">
        <f t="shared" si="299"/>
        <v/>
      </c>
      <c r="EA193" s="161" t="str">
        <f t="shared" si="300"/>
        <v/>
      </c>
      <c r="EB193" s="161" t="str">
        <f t="shared" si="301"/>
        <v/>
      </c>
      <c r="EC193" s="161" t="str">
        <f t="shared" si="302"/>
        <v/>
      </c>
      <c r="ED193" s="161" t="str">
        <f t="shared" si="303"/>
        <v/>
      </c>
      <c r="EE193" s="161" t="str">
        <f t="shared" si="304"/>
        <v/>
      </c>
      <c r="EF193" s="161" t="str">
        <f t="shared" si="305"/>
        <v/>
      </c>
      <c r="EG193" s="161" t="str">
        <f t="shared" si="306"/>
        <v/>
      </c>
      <c r="EH193" s="161" t="str">
        <f t="shared" si="307"/>
        <v/>
      </c>
      <c r="EI193" s="161" t="str">
        <f t="shared" si="308"/>
        <v/>
      </c>
      <c r="EJ193" s="161" t="str">
        <f t="shared" si="309"/>
        <v/>
      </c>
      <c r="EK193" s="147" t="str">
        <f t="shared" si="246"/>
        <v/>
      </c>
      <c r="EL193" s="149"/>
      <c r="EN193" s="146"/>
      <c r="EO193" s="146"/>
      <c r="EP193" s="139" t="str">
        <f t="shared" si="247"/>
        <v/>
      </c>
      <c r="EQ193" s="139" t="str">
        <f t="shared" si="248"/>
        <v/>
      </c>
      <c r="ER193" s="139" t="str">
        <f t="shared" si="249"/>
        <v/>
      </c>
      <c r="ES193" s="139" t="str">
        <f t="shared" si="250"/>
        <v/>
      </c>
      <c r="ET193" s="139" t="str">
        <f t="shared" si="251"/>
        <v/>
      </c>
      <c r="EU193" s="139" t="str">
        <f t="shared" si="252"/>
        <v/>
      </c>
      <c r="EV193" s="139" t="str">
        <f t="shared" si="253"/>
        <v/>
      </c>
      <c r="EW193" s="139" t="str">
        <f t="shared" si="254"/>
        <v/>
      </c>
      <c r="EX193" s="139" t="str">
        <f t="shared" si="255"/>
        <v/>
      </c>
      <c r="EY193" s="139" t="str">
        <f t="shared" si="256"/>
        <v/>
      </c>
      <c r="EZ193" s="139" t="str">
        <f t="shared" si="257"/>
        <v/>
      </c>
      <c r="FA193" s="139" t="str">
        <f t="shared" si="258"/>
        <v/>
      </c>
      <c r="FB193" s="139" t="str">
        <f t="shared" si="259"/>
        <v/>
      </c>
      <c r="FC193" s="139" t="str">
        <f t="shared" si="260"/>
        <v/>
      </c>
      <c r="FD193" s="139" t="str">
        <f t="shared" si="261"/>
        <v/>
      </c>
      <c r="FE193" s="139" t="str">
        <f t="shared" si="262"/>
        <v/>
      </c>
      <c r="FF193" s="139" t="str">
        <f t="shared" si="263"/>
        <v/>
      </c>
      <c r="FG193" s="139" t="str">
        <f t="shared" si="264"/>
        <v/>
      </c>
      <c r="FH193" s="139" t="str">
        <f t="shared" si="265"/>
        <v/>
      </c>
      <c r="FI193" s="139" t="str">
        <f t="shared" si="266"/>
        <v/>
      </c>
      <c r="FJ193" s="139" t="str">
        <f t="shared" si="267"/>
        <v/>
      </c>
      <c r="FK193" s="139" t="str">
        <f t="shared" si="268"/>
        <v/>
      </c>
      <c r="FL193" s="139" t="str">
        <f t="shared" si="269"/>
        <v/>
      </c>
      <c r="FM193" s="139" t="str">
        <f t="shared" si="270"/>
        <v/>
      </c>
      <c r="FN193" s="139" t="str">
        <f t="shared" si="271"/>
        <v/>
      </c>
      <c r="FO193" s="139" t="str">
        <f t="shared" si="272"/>
        <v/>
      </c>
      <c r="FP193" s="139" t="str">
        <f t="shared" si="273"/>
        <v/>
      </c>
      <c r="FQ193" s="139" t="str">
        <f t="shared" si="274"/>
        <v/>
      </c>
      <c r="FR193" s="139" t="str">
        <f t="shared" si="275"/>
        <v/>
      </c>
      <c r="FS193" s="139" t="str">
        <f t="shared" si="276"/>
        <v/>
      </c>
      <c r="FT193" s="139" t="str">
        <f t="shared" si="277"/>
        <v/>
      </c>
      <c r="FU193" s="148" t="str">
        <f t="shared" si="278"/>
        <v/>
      </c>
      <c r="FV193" s="149"/>
      <c r="FY193" s="211">
        <v>188</v>
      </c>
      <c r="FZ193">
        <v>101.43152842480161</v>
      </c>
      <c r="GA193">
        <v>139.7906352121189</v>
      </c>
      <c r="GB193">
        <v>56.089694306776408</v>
      </c>
      <c r="GC193">
        <v>27.506039720304038</v>
      </c>
      <c r="GD193">
        <v>8.8816293025855977</v>
      </c>
      <c r="GE193">
        <v>11.980972910496089</v>
      </c>
      <c r="GF193">
        <v>50.339510785941826</v>
      </c>
      <c r="GG193">
        <v>39.364685719038341</v>
      </c>
      <c r="GH193">
        <v>23.093224996367692</v>
      </c>
      <c r="GI193">
        <v>48.345374058442992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203.23319685287279</v>
      </c>
      <c r="AO194">
        <v>95.189291943573352</v>
      </c>
      <c r="AP194">
        <v>871.06988643129603</v>
      </c>
      <c r="AQ194">
        <v>701.43482151968408</v>
      </c>
      <c r="AR194">
        <v>90.995835953686566</v>
      </c>
      <c r="AS194">
        <v>408.9928035181585</v>
      </c>
      <c r="AT194">
        <v>52.111570185253697</v>
      </c>
      <c r="AU194">
        <v>-17.826185615575426</v>
      </c>
      <c r="AV194"/>
      <c r="AW194"/>
      <c r="AX194" s="146"/>
      <c r="AY194" s="76" t="str">
        <f t="shared" ca="1" si="169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4"/>
        <v/>
      </c>
      <c r="CL194" s="179" t="str">
        <f t="shared" si="205"/>
        <v/>
      </c>
      <c r="CM194" s="180" t="str">
        <f t="shared" si="206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7"/>
        <v/>
      </c>
      <c r="DB194" s="146"/>
      <c r="DC194" s="76" t="str">
        <f t="shared" ca="1" si="170"/>
        <v/>
      </c>
      <c r="DD194" t="str">
        <f t="shared" si="208"/>
        <v/>
      </c>
      <c r="DE194" s="129" t="str">
        <f t="shared" si="279"/>
        <v/>
      </c>
      <c r="DF194" s="161" t="str">
        <f t="shared" si="280"/>
        <v/>
      </c>
      <c r="DG194" s="161" t="str">
        <f t="shared" si="281"/>
        <v/>
      </c>
      <c r="DH194" s="161" t="str">
        <f t="shared" si="282"/>
        <v/>
      </c>
      <c r="DI194" s="161" t="str">
        <f t="shared" si="283"/>
        <v/>
      </c>
      <c r="DJ194" s="161" t="str">
        <f t="shared" si="284"/>
        <v/>
      </c>
      <c r="DK194" s="161" t="str">
        <f t="shared" si="285"/>
        <v/>
      </c>
      <c r="DL194" s="161" t="str">
        <f t="shared" si="286"/>
        <v/>
      </c>
      <c r="DM194" s="161" t="str">
        <f t="shared" si="287"/>
        <v/>
      </c>
      <c r="DN194" s="161" t="str">
        <f t="shared" si="310"/>
        <v/>
      </c>
      <c r="DO194" s="161" t="str">
        <f t="shared" ref="DO194:DO206" si="311">IF($AZ194="", "", (BK193*$CW194)/$CZ194)</f>
        <v/>
      </c>
      <c r="DP194" s="161" t="str">
        <f t="shared" ref="DP194:DP206" si="312">IF($AZ194="", "", (BL193*$CW194)/$CZ194)</f>
        <v/>
      </c>
      <c r="DQ194" s="161" t="str">
        <f t="shared" ref="DQ194:DQ206" si="313">IF($AZ194="", "", (BM193*$CW194)/$CZ194)</f>
        <v/>
      </c>
      <c r="DR194" s="161" t="str">
        <f t="shared" ref="DR194:DR206" si="314">IF($AZ194="", "", (BN193*$CW194)/$CZ194)</f>
        <v/>
      </c>
      <c r="DS194" s="161" t="str">
        <f t="shared" ref="DS194:DS206" si="315">IF($AZ194="", "", (BO193*$CW194)/$CZ194)</f>
        <v/>
      </c>
      <c r="DT194" s="161" t="str">
        <f t="shared" ref="DT194:DT206" si="316">IF($AZ194="", "", (BP193*$CW194)/$CZ194)</f>
        <v/>
      </c>
      <c r="DU194" s="161" t="str">
        <f t="shared" ref="DU194:DU206" si="317">IF($AZ194="", "", (BQ193*$CW194)/$CZ194)</f>
        <v/>
      </c>
      <c r="DV194" s="161" t="str">
        <f t="shared" ref="DV194:DV206" si="318">IF($AZ194="", "", (BR193*$CW194)/$CZ194)</f>
        <v/>
      </c>
      <c r="DW194" s="161" t="str">
        <f t="shared" ref="DW194:DW206" si="319">IF($AZ194="", "", (BS193*$CW194)/$CZ194)</f>
        <v/>
      </c>
      <c r="DX194" s="161" t="str">
        <f t="shared" ref="DX194:DX206" si="320">IF($AZ194="", "", (BT193*$CW194)/$CZ194)</f>
        <v/>
      </c>
      <c r="DY194" s="161" t="str">
        <f t="shared" ref="DY194:DY206" si="321">IF($AZ194="", "", (BU193*$CW194)/$CZ194)</f>
        <v/>
      </c>
      <c r="DZ194" s="161" t="str">
        <f t="shared" ref="DZ194:DZ206" si="322">IF($AZ194="", "", (BV193*$CW194)/$CZ194)</f>
        <v/>
      </c>
      <c r="EA194" s="161" t="str">
        <f t="shared" ref="EA194:EA206" si="323">IF($AZ194="", "", (BW193*$CW194)/$CZ194)</f>
        <v/>
      </c>
      <c r="EB194" s="161" t="str">
        <f t="shared" ref="EB194:EB206" si="324">IF($AZ194="", "", (BX193*$CW194)/$CZ194)</f>
        <v/>
      </c>
      <c r="EC194" s="161" t="str">
        <f t="shared" ref="EC194:EC206" si="325">IF($AZ194="", "", (BY193*$CW194)/$CZ194)</f>
        <v/>
      </c>
      <c r="ED194" s="161" t="str">
        <f t="shared" ref="ED194:ED206" si="326">IF($AZ194="", "", (BZ193*$CW194)/$CZ194)</f>
        <v/>
      </c>
      <c r="EE194" s="161" t="str">
        <f t="shared" ref="EE194:EE206" si="327">IF($AZ194="", "", (CA193*$CW194)/$CZ194)</f>
        <v/>
      </c>
      <c r="EF194" s="161" t="str">
        <f t="shared" ref="EF194:EF206" si="328">IF($AZ194="", "", (CB193*$CW194)/$CZ194)</f>
        <v/>
      </c>
      <c r="EG194" s="161" t="str">
        <f t="shared" ref="EG194:EG206" si="329">IF($AZ194="", "", (CC193*$CW194)/$CZ194)</f>
        <v/>
      </c>
      <c r="EH194" s="161" t="str">
        <f t="shared" ref="EH194:EH206" si="330">IF($AZ194="", "", (CD193*$CW194)/$CZ194)</f>
        <v/>
      </c>
      <c r="EI194" s="161" t="str">
        <f t="shared" ref="EI194:EI206" si="331">IF($AZ194="", "", (CE193*$CW194)/$CZ194)</f>
        <v/>
      </c>
      <c r="EJ194" s="161" t="str">
        <f t="shared" ref="EJ194:EJ206" si="332">IF($AZ194="", "", (CF193*$CW194)/$CZ194)</f>
        <v/>
      </c>
      <c r="EK194" s="147" t="str">
        <f t="shared" si="246"/>
        <v/>
      </c>
      <c r="EL194" s="149"/>
      <c r="EN194" s="146"/>
      <c r="EO194" s="146"/>
      <c r="EP194" s="139" t="str">
        <f t="shared" si="247"/>
        <v/>
      </c>
      <c r="EQ194" s="139" t="str">
        <f t="shared" si="248"/>
        <v/>
      </c>
      <c r="ER194" s="139" t="str">
        <f t="shared" si="249"/>
        <v/>
      </c>
      <c r="ES194" s="139" t="str">
        <f t="shared" si="250"/>
        <v/>
      </c>
      <c r="ET194" s="139" t="str">
        <f t="shared" si="251"/>
        <v/>
      </c>
      <c r="EU194" s="139" t="str">
        <f t="shared" si="252"/>
        <v/>
      </c>
      <c r="EV194" s="139" t="str">
        <f t="shared" si="253"/>
        <v/>
      </c>
      <c r="EW194" s="139" t="str">
        <f t="shared" si="254"/>
        <v/>
      </c>
      <c r="EX194" s="139" t="str">
        <f t="shared" si="255"/>
        <v/>
      </c>
      <c r="EY194" s="139" t="str">
        <f t="shared" si="256"/>
        <v/>
      </c>
      <c r="EZ194" s="139" t="str">
        <f t="shared" si="257"/>
        <v/>
      </c>
      <c r="FA194" s="139" t="str">
        <f t="shared" si="258"/>
        <v/>
      </c>
      <c r="FB194" s="139" t="str">
        <f t="shared" si="259"/>
        <v/>
      </c>
      <c r="FC194" s="139" t="str">
        <f t="shared" si="260"/>
        <v/>
      </c>
      <c r="FD194" s="139" t="str">
        <f t="shared" si="261"/>
        <v/>
      </c>
      <c r="FE194" s="139" t="str">
        <f t="shared" si="262"/>
        <v/>
      </c>
      <c r="FF194" s="139" t="str">
        <f t="shared" si="263"/>
        <v/>
      </c>
      <c r="FG194" s="139" t="str">
        <f t="shared" si="264"/>
        <v/>
      </c>
      <c r="FH194" s="139" t="str">
        <f t="shared" si="265"/>
        <v/>
      </c>
      <c r="FI194" s="139" t="str">
        <f t="shared" si="266"/>
        <v/>
      </c>
      <c r="FJ194" s="139" t="str">
        <f t="shared" si="267"/>
        <v/>
      </c>
      <c r="FK194" s="139" t="str">
        <f t="shared" si="268"/>
        <v/>
      </c>
      <c r="FL194" s="139" t="str">
        <f t="shared" si="269"/>
        <v/>
      </c>
      <c r="FM194" s="139" t="str">
        <f t="shared" si="270"/>
        <v/>
      </c>
      <c r="FN194" s="139" t="str">
        <f t="shared" si="271"/>
        <v/>
      </c>
      <c r="FO194" s="139" t="str">
        <f t="shared" si="272"/>
        <v/>
      </c>
      <c r="FP194" s="139" t="str">
        <f t="shared" si="273"/>
        <v/>
      </c>
      <c r="FQ194" s="139" t="str">
        <f t="shared" si="274"/>
        <v/>
      </c>
      <c r="FR194" s="139" t="str">
        <f t="shared" si="275"/>
        <v/>
      </c>
      <c r="FS194" s="139" t="str">
        <f t="shared" si="276"/>
        <v/>
      </c>
      <c r="FT194" s="139" t="str">
        <f t="shared" si="277"/>
        <v/>
      </c>
      <c r="FU194" s="148" t="str">
        <f t="shared" si="278"/>
        <v/>
      </c>
      <c r="FV194" s="149"/>
      <c r="FY194" s="211">
        <v>189</v>
      </c>
      <c r="FZ194">
        <v>85.594782400767812</v>
      </c>
      <c r="GA194">
        <v>83.991209533026037</v>
      </c>
      <c r="GB194">
        <v>40.622084393737701</v>
      </c>
      <c r="GC194">
        <v>22.894153300212118</v>
      </c>
      <c r="GD194">
        <v>9.7891280959211802</v>
      </c>
      <c r="GE194">
        <v>21.905796535250186</v>
      </c>
      <c r="GF194">
        <v>50.789303680885773</v>
      </c>
      <c r="GG194">
        <v>30.263182940389722</v>
      </c>
      <c r="GH194">
        <v>10.794809953148613</v>
      </c>
      <c r="GI194">
        <v>41.088564433749148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174.62168816615099</v>
      </c>
      <c r="AO195">
        <v>58.934279300802004</v>
      </c>
      <c r="AP195">
        <v>471.85214933310465</v>
      </c>
      <c r="AQ195">
        <v>372.58222748054357</v>
      </c>
      <c r="AR195">
        <v>57.779966411718007</v>
      </c>
      <c r="AS195">
        <v>268.23378374337159</v>
      </c>
      <c r="AT195">
        <v>28.22221922745295</v>
      </c>
      <c r="AU195">
        <v>-12.547331137026312</v>
      </c>
      <c r="AV195"/>
      <c r="AW195"/>
      <c r="AX195" s="146"/>
      <c r="AY195" s="76" t="str">
        <f t="shared" ca="1" si="169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4"/>
        <v/>
      </c>
      <c r="CL195" s="179" t="str">
        <f t="shared" si="205"/>
        <v/>
      </c>
      <c r="CM195" s="180" t="str">
        <f t="shared" si="206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7"/>
        <v/>
      </c>
      <c r="DB195" s="146"/>
      <c r="DC195" s="76" t="str">
        <f t="shared" ca="1" si="170"/>
        <v/>
      </c>
      <c r="DD195" t="str">
        <f t="shared" si="208"/>
        <v/>
      </c>
      <c r="DE195" s="129" t="str">
        <f t="shared" si="279"/>
        <v/>
      </c>
      <c r="DF195" s="161" t="str">
        <f t="shared" si="280"/>
        <v/>
      </c>
      <c r="DG195" s="161" t="str">
        <f t="shared" si="281"/>
        <v/>
      </c>
      <c r="DH195" s="161" t="str">
        <f t="shared" si="282"/>
        <v/>
      </c>
      <c r="DI195" s="161" t="str">
        <f t="shared" si="283"/>
        <v/>
      </c>
      <c r="DJ195" s="161" t="str">
        <f t="shared" si="284"/>
        <v/>
      </c>
      <c r="DK195" s="161" t="str">
        <f t="shared" si="285"/>
        <v/>
      </c>
      <c r="DL195" s="161" t="str">
        <f t="shared" si="286"/>
        <v/>
      </c>
      <c r="DM195" s="161" t="str">
        <f t="shared" si="287"/>
        <v/>
      </c>
      <c r="DN195" s="161" t="str">
        <f t="shared" si="310"/>
        <v/>
      </c>
      <c r="DO195" s="161" t="str">
        <f t="shared" si="311"/>
        <v/>
      </c>
      <c r="DP195" s="161" t="str">
        <f t="shared" si="312"/>
        <v/>
      </c>
      <c r="DQ195" s="161" t="str">
        <f t="shared" si="313"/>
        <v/>
      </c>
      <c r="DR195" s="161" t="str">
        <f t="shared" si="314"/>
        <v/>
      </c>
      <c r="DS195" s="161" t="str">
        <f t="shared" si="315"/>
        <v/>
      </c>
      <c r="DT195" s="161" t="str">
        <f t="shared" si="316"/>
        <v/>
      </c>
      <c r="DU195" s="161" t="str">
        <f t="shared" si="317"/>
        <v/>
      </c>
      <c r="DV195" s="161" t="str">
        <f t="shared" si="318"/>
        <v/>
      </c>
      <c r="DW195" s="161" t="str">
        <f t="shared" si="319"/>
        <v/>
      </c>
      <c r="DX195" s="161" t="str">
        <f t="shared" si="320"/>
        <v/>
      </c>
      <c r="DY195" s="161" t="str">
        <f t="shared" si="321"/>
        <v/>
      </c>
      <c r="DZ195" s="161" t="str">
        <f t="shared" si="322"/>
        <v/>
      </c>
      <c r="EA195" s="161" t="str">
        <f t="shared" si="323"/>
        <v/>
      </c>
      <c r="EB195" s="161" t="str">
        <f t="shared" si="324"/>
        <v/>
      </c>
      <c r="EC195" s="161" t="str">
        <f t="shared" si="325"/>
        <v/>
      </c>
      <c r="ED195" s="161" t="str">
        <f t="shared" si="326"/>
        <v/>
      </c>
      <c r="EE195" s="161" t="str">
        <f t="shared" si="327"/>
        <v/>
      </c>
      <c r="EF195" s="161" t="str">
        <f t="shared" si="328"/>
        <v/>
      </c>
      <c r="EG195" s="161" t="str">
        <f t="shared" si="329"/>
        <v/>
      </c>
      <c r="EH195" s="161" t="str">
        <f t="shared" si="330"/>
        <v/>
      </c>
      <c r="EI195" s="161" t="str">
        <f t="shared" si="331"/>
        <v/>
      </c>
      <c r="EJ195" s="161" t="str">
        <f t="shared" si="332"/>
        <v/>
      </c>
      <c r="EK195" s="147" t="str">
        <f t="shared" si="246"/>
        <v/>
      </c>
      <c r="EL195" s="149"/>
      <c r="EN195" s="146"/>
      <c r="EO195" s="146"/>
      <c r="EP195" s="139" t="str">
        <f t="shared" si="247"/>
        <v/>
      </c>
      <c r="EQ195" s="139" t="str">
        <f t="shared" si="248"/>
        <v/>
      </c>
      <c r="ER195" s="139" t="str">
        <f t="shared" si="249"/>
        <v/>
      </c>
      <c r="ES195" s="139" t="str">
        <f t="shared" si="250"/>
        <v/>
      </c>
      <c r="ET195" s="139" t="str">
        <f t="shared" si="251"/>
        <v/>
      </c>
      <c r="EU195" s="139" t="str">
        <f t="shared" si="252"/>
        <v/>
      </c>
      <c r="EV195" s="139" t="str">
        <f t="shared" si="253"/>
        <v/>
      </c>
      <c r="EW195" s="139" t="str">
        <f t="shared" si="254"/>
        <v/>
      </c>
      <c r="EX195" s="139" t="str">
        <f t="shared" si="255"/>
        <v/>
      </c>
      <c r="EY195" s="139" t="str">
        <f t="shared" si="256"/>
        <v/>
      </c>
      <c r="EZ195" s="139" t="str">
        <f t="shared" si="257"/>
        <v/>
      </c>
      <c r="FA195" s="139" t="str">
        <f t="shared" si="258"/>
        <v/>
      </c>
      <c r="FB195" s="139" t="str">
        <f t="shared" si="259"/>
        <v/>
      </c>
      <c r="FC195" s="139" t="str">
        <f t="shared" si="260"/>
        <v/>
      </c>
      <c r="FD195" s="139" t="str">
        <f t="shared" si="261"/>
        <v/>
      </c>
      <c r="FE195" s="139" t="str">
        <f t="shared" si="262"/>
        <v/>
      </c>
      <c r="FF195" s="139" t="str">
        <f t="shared" si="263"/>
        <v/>
      </c>
      <c r="FG195" s="139" t="str">
        <f t="shared" si="264"/>
        <v/>
      </c>
      <c r="FH195" s="139" t="str">
        <f t="shared" si="265"/>
        <v/>
      </c>
      <c r="FI195" s="139" t="str">
        <f t="shared" si="266"/>
        <v/>
      </c>
      <c r="FJ195" s="139" t="str">
        <f t="shared" si="267"/>
        <v/>
      </c>
      <c r="FK195" s="139" t="str">
        <f t="shared" si="268"/>
        <v/>
      </c>
      <c r="FL195" s="139" t="str">
        <f t="shared" si="269"/>
        <v/>
      </c>
      <c r="FM195" s="139" t="str">
        <f t="shared" si="270"/>
        <v/>
      </c>
      <c r="FN195" s="139" t="str">
        <f t="shared" si="271"/>
        <v/>
      </c>
      <c r="FO195" s="139" t="str">
        <f t="shared" si="272"/>
        <v/>
      </c>
      <c r="FP195" s="139" t="str">
        <f t="shared" si="273"/>
        <v/>
      </c>
      <c r="FQ195" s="139" t="str">
        <f t="shared" si="274"/>
        <v/>
      </c>
      <c r="FR195" s="139" t="str">
        <f t="shared" si="275"/>
        <v/>
      </c>
      <c r="FS195" s="139" t="str">
        <f t="shared" si="276"/>
        <v/>
      </c>
      <c r="FT195" s="139" t="str">
        <f t="shared" si="277"/>
        <v/>
      </c>
      <c r="FU195" s="148" t="str">
        <f t="shared" si="278"/>
        <v/>
      </c>
      <c r="FV195" s="149"/>
      <c r="FY195" s="211">
        <v>190</v>
      </c>
      <c r="FZ195">
        <v>106.19409944025172</v>
      </c>
      <c r="GA195">
        <v>145.3367045072217</v>
      </c>
      <c r="GB195">
        <v>42.364744902163686</v>
      </c>
      <c r="GC195">
        <v>17.039683463410139</v>
      </c>
      <c r="GD195">
        <v>13.343555052674381</v>
      </c>
      <c r="GE195">
        <v>24.205062763841493</v>
      </c>
      <c r="GF195">
        <v>54.550294944516331</v>
      </c>
      <c r="GG195">
        <v>42.51828717087291</v>
      </c>
      <c r="GH195">
        <v>14.301404169925732</v>
      </c>
      <c r="GI195">
        <v>48.136116461682178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227.45551010688519</v>
      </c>
      <c r="AO196">
        <v>67.214631319750424</v>
      </c>
      <c r="AP196">
        <v>508.23168891449103</v>
      </c>
      <c r="AQ196">
        <v>384.53421532146604</v>
      </c>
      <c r="AR196">
        <v>65.994300504380419</v>
      </c>
      <c r="AS196">
        <v>311.32072035901001</v>
      </c>
      <c r="AT196">
        <v>30.403787621806046</v>
      </c>
      <c r="AU196">
        <v>21.772326659226724</v>
      </c>
      <c r="AV196"/>
      <c r="AW196"/>
      <c r="AX196" s="146"/>
      <c r="AY196" s="76" t="str">
        <f t="shared" ca="1" si="169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4"/>
        <v/>
      </c>
      <c r="CL196" s="179" t="str">
        <f t="shared" si="205"/>
        <v/>
      </c>
      <c r="CM196" s="180" t="str">
        <f t="shared" si="206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7"/>
        <v/>
      </c>
      <c r="DB196" s="146"/>
      <c r="DC196" s="76" t="str">
        <f t="shared" ca="1" si="170"/>
        <v/>
      </c>
      <c r="DD196" t="str">
        <f t="shared" si="208"/>
        <v/>
      </c>
      <c r="DE196" s="129" t="str">
        <f t="shared" si="279"/>
        <v/>
      </c>
      <c r="DF196" s="161" t="str">
        <f t="shared" si="280"/>
        <v/>
      </c>
      <c r="DG196" s="161" t="str">
        <f t="shared" si="281"/>
        <v/>
      </c>
      <c r="DH196" s="161" t="str">
        <f t="shared" si="282"/>
        <v/>
      </c>
      <c r="DI196" s="161" t="str">
        <f t="shared" si="283"/>
        <v/>
      </c>
      <c r="DJ196" s="161" t="str">
        <f t="shared" si="284"/>
        <v/>
      </c>
      <c r="DK196" s="161" t="str">
        <f t="shared" si="285"/>
        <v/>
      </c>
      <c r="DL196" s="161" t="str">
        <f t="shared" si="286"/>
        <v/>
      </c>
      <c r="DM196" s="161" t="str">
        <f t="shared" si="287"/>
        <v/>
      </c>
      <c r="DN196" s="161" t="str">
        <f t="shared" si="310"/>
        <v/>
      </c>
      <c r="DO196" s="161" t="str">
        <f t="shared" si="311"/>
        <v/>
      </c>
      <c r="DP196" s="161" t="str">
        <f t="shared" si="312"/>
        <v/>
      </c>
      <c r="DQ196" s="161" t="str">
        <f t="shared" si="313"/>
        <v/>
      </c>
      <c r="DR196" s="161" t="str">
        <f t="shared" si="314"/>
        <v/>
      </c>
      <c r="DS196" s="161" t="str">
        <f t="shared" si="315"/>
        <v/>
      </c>
      <c r="DT196" s="161" t="str">
        <f t="shared" si="316"/>
        <v/>
      </c>
      <c r="DU196" s="161" t="str">
        <f t="shared" si="317"/>
        <v/>
      </c>
      <c r="DV196" s="161" t="str">
        <f t="shared" si="318"/>
        <v/>
      </c>
      <c r="DW196" s="161" t="str">
        <f t="shared" si="319"/>
        <v/>
      </c>
      <c r="DX196" s="161" t="str">
        <f t="shared" si="320"/>
        <v/>
      </c>
      <c r="DY196" s="161" t="str">
        <f t="shared" si="321"/>
        <v/>
      </c>
      <c r="DZ196" s="161" t="str">
        <f t="shared" si="322"/>
        <v/>
      </c>
      <c r="EA196" s="161" t="str">
        <f t="shared" si="323"/>
        <v/>
      </c>
      <c r="EB196" s="161" t="str">
        <f t="shared" si="324"/>
        <v/>
      </c>
      <c r="EC196" s="161" t="str">
        <f t="shared" si="325"/>
        <v/>
      </c>
      <c r="ED196" s="161" t="str">
        <f t="shared" si="326"/>
        <v/>
      </c>
      <c r="EE196" s="161" t="str">
        <f t="shared" si="327"/>
        <v/>
      </c>
      <c r="EF196" s="161" t="str">
        <f t="shared" si="328"/>
        <v/>
      </c>
      <c r="EG196" s="161" t="str">
        <f t="shared" si="329"/>
        <v/>
      </c>
      <c r="EH196" s="161" t="str">
        <f t="shared" si="330"/>
        <v/>
      </c>
      <c r="EI196" s="161" t="str">
        <f t="shared" si="331"/>
        <v/>
      </c>
      <c r="EJ196" s="161" t="str">
        <f t="shared" si="332"/>
        <v/>
      </c>
      <c r="EK196" s="147" t="str">
        <f t="shared" si="246"/>
        <v/>
      </c>
      <c r="EL196" s="149"/>
      <c r="EN196" s="146"/>
      <c r="EO196" s="146"/>
      <c r="EP196" s="139" t="str">
        <f t="shared" si="247"/>
        <v/>
      </c>
      <c r="EQ196" s="139" t="str">
        <f t="shared" si="248"/>
        <v/>
      </c>
      <c r="ER196" s="139" t="str">
        <f t="shared" si="249"/>
        <v/>
      </c>
      <c r="ES196" s="139" t="str">
        <f t="shared" si="250"/>
        <v/>
      </c>
      <c r="ET196" s="139" t="str">
        <f t="shared" si="251"/>
        <v/>
      </c>
      <c r="EU196" s="139" t="str">
        <f t="shared" si="252"/>
        <v/>
      </c>
      <c r="EV196" s="139" t="str">
        <f t="shared" si="253"/>
        <v/>
      </c>
      <c r="EW196" s="139" t="str">
        <f t="shared" si="254"/>
        <v/>
      </c>
      <c r="EX196" s="139" t="str">
        <f t="shared" si="255"/>
        <v/>
      </c>
      <c r="EY196" s="139" t="str">
        <f t="shared" si="256"/>
        <v/>
      </c>
      <c r="EZ196" s="139" t="str">
        <f t="shared" si="257"/>
        <v/>
      </c>
      <c r="FA196" s="139" t="str">
        <f t="shared" si="258"/>
        <v/>
      </c>
      <c r="FB196" s="139" t="str">
        <f t="shared" si="259"/>
        <v/>
      </c>
      <c r="FC196" s="139" t="str">
        <f t="shared" si="260"/>
        <v/>
      </c>
      <c r="FD196" s="139" t="str">
        <f t="shared" si="261"/>
        <v/>
      </c>
      <c r="FE196" s="139" t="str">
        <f t="shared" si="262"/>
        <v/>
      </c>
      <c r="FF196" s="139" t="str">
        <f t="shared" si="263"/>
        <v/>
      </c>
      <c r="FG196" s="139" t="str">
        <f t="shared" si="264"/>
        <v/>
      </c>
      <c r="FH196" s="139" t="str">
        <f t="shared" si="265"/>
        <v/>
      </c>
      <c r="FI196" s="139" t="str">
        <f t="shared" si="266"/>
        <v/>
      </c>
      <c r="FJ196" s="139" t="str">
        <f t="shared" si="267"/>
        <v/>
      </c>
      <c r="FK196" s="139" t="str">
        <f t="shared" si="268"/>
        <v/>
      </c>
      <c r="FL196" s="139" t="str">
        <f t="shared" si="269"/>
        <v/>
      </c>
      <c r="FM196" s="139" t="str">
        <f t="shared" si="270"/>
        <v/>
      </c>
      <c r="FN196" s="139" t="str">
        <f t="shared" si="271"/>
        <v/>
      </c>
      <c r="FO196" s="139" t="str">
        <f t="shared" si="272"/>
        <v/>
      </c>
      <c r="FP196" s="139" t="str">
        <f t="shared" si="273"/>
        <v/>
      </c>
      <c r="FQ196" s="139" t="str">
        <f t="shared" si="274"/>
        <v/>
      </c>
      <c r="FR196" s="139" t="str">
        <f t="shared" si="275"/>
        <v/>
      </c>
      <c r="FS196" s="139" t="str">
        <f t="shared" si="276"/>
        <v/>
      </c>
      <c r="FT196" s="139" t="str">
        <f t="shared" si="277"/>
        <v/>
      </c>
      <c r="FU196" s="148" t="str">
        <f t="shared" si="278"/>
        <v/>
      </c>
      <c r="FV196" s="149"/>
      <c r="FY196" s="211">
        <v>191</v>
      </c>
      <c r="FZ196">
        <v>82.617215662283783</v>
      </c>
      <c r="GA196">
        <v>100.36644642573805</v>
      </c>
      <c r="GB196">
        <v>58.078498317975658</v>
      </c>
      <c r="GC196">
        <v>30.742434578013011</v>
      </c>
      <c r="GD196">
        <v>18.312984226144962</v>
      </c>
      <c r="GE196">
        <v>34.30412931052237</v>
      </c>
      <c r="GF196">
        <v>55.705887971175144</v>
      </c>
      <c r="GG196">
        <v>42.391278159023635</v>
      </c>
      <c r="GH196">
        <v>31.101704244395762</v>
      </c>
      <c r="GI196">
        <v>54.714479509478302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228.83637928618538</v>
      </c>
      <c r="AO197">
        <v>75.482758974164284</v>
      </c>
      <c r="AP197">
        <v>620.49261483551504</v>
      </c>
      <c r="AQ197">
        <v>483.68223605348834</v>
      </c>
      <c r="AR197">
        <v>73.648648377880832</v>
      </c>
      <c r="AS197">
        <v>368.47262435729021</v>
      </c>
      <c r="AT197">
        <v>38.099579018980457</v>
      </c>
      <c r="AU197">
        <v>46.407698287386197</v>
      </c>
      <c r="AV197"/>
      <c r="AW197"/>
      <c r="AX197" s="146"/>
      <c r="AY197" s="76" t="str">
        <f t="shared" ca="1" si="169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4"/>
        <v/>
      </c>
      <c r="CL197" s="179" t="str">
        <f t="shared" si="205"/>
        <v/>
      </c>
      <c r="CM197" s="180" t="str">
        <f t="shared" si="206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7"/>
        <v/>
      </c>
      <c r="DB197" s="146"/>
      <c r="DC197" s="76" t="str">
        <f t="shared" ca="1" si="170"/>
        <v/>
      </c>
      <c r="DD197" t="str">
        <f t="shared" si="208"/>
        <v/>
      </c>
      <c r="DE197" s="129" t="str">
        <f t="shared" si="279"/>
        <v/>
      </c>
      <c r="DF197" s="161" t="str">
        <f t="shared" si="280"/>
        <v/>
      </c>
      <c r="DG197" s="161" t="str">
        <f t="shared" si="281"/>
        <v/>
      </c>
      <c r="DH197" s="161" t="str">
        <f t="shared" si="282"/>
        <v/>
      </c>
      <c r="DI197" s="161" t="str">
        <f t="shared" si="283"/>
        <v/>
      </c>
      <c r="DJ197" s="161" t="str">
        <f t="shared" si="284"/>
        <v/>
      </c>
      <c r="DK197" s="161" t="str">
        <f t="shared" si="285"/>
        <v/>
      </c>
      <c r="DL197" s="161" t="str">
        <f t="shared" si="286"/>
        <v/>
      </c>
      <c r="DM197" s="161" t="str">
        <f t="shared" si="287"/>
        <v/>
      </c>
      <c r="DN197" s="161" t="str">
        <f t="shared" si="310"/>
        <v/>
      </c>
      <c r="DO197" s="161" t="str">
        <f t="shared" si="311"/>
        <v/>
      </c>
      <c r="DP197" s="161" t="str">
        <f t="shared" si="312"/>
        <v/>
      </c>
      <c r="DQ197" s="161" t="str">
        <f t="shared" si="313"/>
        <v/>
      </c>
      <c r="DR197" s="161" t="str">
        <f t="shared" si="314"/>
        <v/>
      </c>
      <c r="DS197" s="161" t="str">
        <f t="shared" si="315"/>
        <v/>
      </c>
      <c r="DT197" s="161" t="str">
        <f t="shared" si="316"/>
        <v/>
      </c>
      <c r="DU197" s="161" t="str">
        <f t="shared" si="317"/>
        <v/>
      </c>
      <c r="DV197" s="161" t="str">
        <f t="shared" si="318"/>
        <v/>
      </c>
      <c r="DW197" s="161" t="str">
        <f t="shared" si="319"/>
        <v/>
      </c>
      <c r="DX197" s="161" t="str">
        <f t="shared" si="320"/>
        <v/>
      </c>
      <c r="DY197" s="161" t="str">
        <f t="shared" si="321"/>
        <v/>
      </c>
      <c r="DZ197" s="161" t="str">
        <f t="shared" si="322"/>
        <v/>
      </c>
      <c r="EA197" s="161" t="str">
        <f t="shared" si="323"/>
        <v/>
      </c>
      <c r="EB197" s="161" t="str">
        <f t="shared" si="324"/>
        <v/>
      </c>
      <c r="EC197" s="161" t="str">
        <f t="shared" si="325"/>
        <v/>
      </c>
      <c r="ED197" s="161" t="str">
        <f t="shared" si="326"/>
        <v/>
      </c>
      <c r="EE197" s="161" t="str">
        <f t="shared" si="327"/>
        <v/>
      </c>
      <c r="EF197" s="161" t="str">
        <f t="shared" si="328"/>
        <v/>
      </c>
      <c r="EG197" s="161" t="str">
        <f t="shared" si="329"/>
        <v/>
      </c>
      <c r="EH197" s="161" t="str">
        <f t="shared" si="330"/>
        <v/>
      </c>
      <c r="EI197" s="161" t="str">
        <f t="shared" si="331"/>
        <v/>
      </c>
      <c r="EJ197" s="161" t="str">
        <f t="shared" si="332"/>
        <v/>
      </c>
      <c r="EK197" s="147" t="str">
        <f t="shared" si="246"/>
        <v/>
      </c>
      <c r="EL197" s="149"/>
      <c r="EN197" s="146"/>
      <c r="EO197" s="146"/>
      <c r="EP197" s="139" t="str">
        <f t="shared" si="247"/>
        <v/>
      </c>
      <c r="EQ197" s="139" t="str">
        <f t="shared" si="248"/>
        <v/>
      </c>
      <c r="ER197" s="139" t="str">
        <f t="shared" si="249"/>
        <v/>
      </c>
      <c r="ES197" s="139" t="str">
        <f t="shared" si="250"/>
        <v/>
      </c>
      <c r="ET197" s="139" t="str">
        <f t="shared" si="251"/>
        <v/>
      </c>
      <c r="EU197" s="139" t="str">
        <f t="shared" si="252"/>
        <v/>
      </c>
      <c r="EV197" s="139" t="str">
        <f t="shared" si="253"/>
        <v/>
      </c>
      <c r="EW197" s="139" t="str">
        <f t="shared" si="254"/>
        <v/>
      </c>
      <c r="EX197" s="139" t="str">
        <f t="shared" si="255"/>
        <v/>
      </c>
      <c r="EY197" s="139" t="str">
        <f t="shared" si="256"/>
        <v/>
      </c>
      <c r="EZ197" s="139" t="str">
        <f t="shared" si="257"/>
        <v/>
      </c>
      <c r="FA197" s="139" t="str">
        <f t="shared" si="258"/>
        <v/>
      </c>
      <c r="FB197" s="139" t="str">
        <f t="shared" si="259"/>
        <v/>
      </c>
      <c r="FC197" s="139" t="str">
        <f t="shared" si="260"/>
        <v/>
      </c>
      <c r="FD197" s="139" t="str">
        <f t="shared" si="261"/>
        <v/>
      </c>
      <c r="FE197" s="139" t="str">
        <f t="shared" si="262"/>
        <v/>
      </c>
      <c r="FF197" s="139" t="str">
        <f t="shared" si="263"/>
        <v/>
      </c>
      <c r="FG197" s="139" t="str">
        <f t="shared" si="264"/>
        <v/>
      </c>
      <c r="FH197" s="139" t="str">
        <f t="shared" si="265"/>
        <v/>
      </c>
      <c r="FI197" s="139" t="str">
        <f t="shared" si="266"/>
        <v/>
      </c>
      <c r="FJ197" s="139" t="str">
        <f t="shared" si="267"/>
        <v/>
      </c>
      <c r="FK197" s="139" t="str">
        <f t="shared" si="268"/>
        <v/>
      </c>
      <c r="FL197" s="139" t="str">
        <f t="shared" si="269"/>
        <v/>
      </c>
      <c r="FM197" s="139" t="str">
        <f t="shared" si="270"/>
        <v/>
      </c>
      <c r="FN197" s="139" t="str">
        <f t="shared" si="271"/>
        <v/>
      </c>
      <c r="FO197" s="139" t="str">
        <f t="shared" si="272"/>
        <v/>
      </c>
      <c r="FP197" s="139" t="str">
        <f t="shared" si="273"/>
        <v/>
      </c>
      <c r="FQ197" s="139" t="str">
        <f t="shared" si="274"/>
        <v/>
      </c>
      <c r="FR197" s="139" t="str">
        <f t="shared" si="275"/>
        <v/>
      </c>
      <c r="FS197" s="139" t="str">
        <f t="shared" si="276"/>
        <v/>
      </c>
      <c r="FT197" s="139" t="str">
        <f t="shared" si="277"/>
        <v/>
      </c>
      <c r="FU197" s="148" t="str">
        <f t="shared" si="278"/>
        <v/>
      </c>
      <c r="FV197" s="149"/>
      <c r="FY197" s="211">
        <v>192</v>
      </c>
      <c r="FZ197">
        <v>90.980963809487321</v>
      </c>
      <c r="GA197">
        <v>104.95515345884095</v>
      </c>
      <c r="GB197">
        <v>40.748881074373784</v>
      </c>
      <c r="GC197">
        <v>25.386629482488612</v>
      </c>
      <c r="GD197">
        <v>14.500982429095192</v>
      </c>
      <c r="GE197">
        <v>15.901913443784201</v>
      </c>
      <c r="GF197">
        <v>57.397211457717752</v>
      </c>
      <c r="GG197">
        <v>48.906123324615493</v>
      </c>
      <c r="GH197">
        <v>15.222351755830269</v>
      </c>
      <c r="GI197">
        <v>46.881784150744274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239.37752026617</v>
      </c>
      <c r="AO198">
        <v>62.027673683792365</v>
      </c>
      <c r="AP198">
        <v>509.26639562292559</v>
      </c>
      <c r="AQ198">
        <v>375.60514025267986</v>
      </c>
      <c r="AR198">
        <v>59.663623443288778</v>
      </c>
      <c r="AS198">
        <v>294.93081022206661</v>
      </c>
      <c r="AT198">
        <v>26.952991849350088</v>
      </c>
      <c r="AU198">
        <v>-24.455977487100416</v>
      </c>
      <c r="AV198"/>
      <c r="AW198"/>
      <c r="AX198" s="128"/>
      <c r="AY198" s="76" t="str">
        <f t="shared" ca="1" si="169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4"/>
        <v/>
      </c>
      <c r="CL198" s="179" t="str">
        <f t="shared" si="205"/>
        <v/>
      </c>
      <c r="CM198" s="180" t="str">
        <f t="shared" si="206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7"/>
        <v/>
      </c>
      <c r="DB198" s="128"/>
      <c r="DC198" s="76" t="str">
        <f t="shared" ca="1" si="170"/>
        <v/>
      </c>
      <c r="DD198" t="str">
        <f t="shared" si="208"/>
        <v/>
      </c>
      <c r="DE198" s="129" t="str">
        <f t="shared" ref="DE198:DE207" si="333">IF((DD198)="", "", $C$15)</f>
        <v/>
      </c>
      <c r="DF198" s="161" t="str">
        <f t="shared" si="280"/>
        <v/>
      </c>
      <c r="DG198" s="161" t="str">
        <f t="shared" si="281"/>
        <v/>
      </c>
      <c r="DH198" s="161" t="str">
        <f t="shared" si="282"/>
        <v/>
      </c>
      <c r="DI198" s="161" t="str">
        <f t="shared" si="283"/>
        <v/>
      </c>
      <c r="DJ198" s="161" t="str">
        <f t="shared" si="284"/>
        <v/>
      </c>
      <c r="DK198" s="161" t="str">
        <f t="shared" si="285"/>
        <v/>
      </c>
      <c r="DL198" s="161" t="str">
        <f t="shared" si="286"/>
        <v/>
      </c>
      <c r="DM198" s="161" t="str">
        <f t="shared" si="287"/>
        <v/>
      </c>
      <c r="DN198" s="161" t="str">
        <f t="shared" si="310"/>
        <v/>
      </c>
      <c r="DO198" s="161" t="str">
        <f t="shared" si="311"/>
        <v/>
      </c>
      <c r="DP198" s="161" t="str">
        <f t="shared" si="312"/>
        <v/>
      </c>
      <c r="DQ198" s="161" t="str">
        <f t="shared" si="313"/>
        <v/>
      </c>
      <c r="DR198" s="161" t="str">
        <f t="shared" si="314"/>
        <v/>
      </c>
      <c r="DS198" s="161" t="str">
        <f t="shared" si="315"/>
        <v/>
      </c>
      <c r="DT198" s="161" t="str">
        <f t="shared" si="316"/>
        <v/>
      </c>
      <c r="DU198" s="161" t="str">
        <f t="shared" si="317"/>
        <v/>
      </c>
      <c r="DV198" s="161" t="str">
        <f t="shared" si="318"/>
        <v/>
      </c>
      <c r="DW198" s="161" t="str">
        <f t="shared" si="319"/>
        <v/>
      </c>
      <c r="DX198" s="161" t="str">
        <f t="shared" si="320"/>
        <v/>
      </c>
      <c r="DY198" s="161" t="str">
        <f t="shared" si="321"/>
        <v/>
      </c>
      <c r="DZ198" s="161" t="str">
        <f t="shared" si="322"/>
        <v/>
      </c>
      <c r="EA198" s="161" t="str">
        <f t="shared" si="323"/>
        <v/>
      </c>
      <c r="EB198" s="161" t="str">
        <f t="shared" si="324"/>
        <v/>
      </c>
      <c r="EC198" s="161" t="str">
        <f t="shared" si="325"/>
        <v/>
      </c>
      <c r="ED198" s="161" t="str">
        <f t="shared" si="326"/>
        <v/>
      </c>
      <c r="EE198" s="161" t="str">
        <f t="shared" si="327"/>
        <v/>
      </c>
      <c r="EF198" s="161" t="str">
        <f t="shared" si="328"/>
        <v/>
      </c>
      <c r="EG198" s="161" t="str">
        <f t="shared" si="329"/>
        <v/>
      </c>
      <c r="EH198" s="161" t="str">
        <f t="shared" si="330"/>
        <v/>
      </c>
      <c r="EI198" s="161" t="str">
        <f t="shared" si="331"/>
        <v/>
      </c>
      <c r="EJ198" s="161" t="str">
        <f t="shared" si="332"/>
        <v/>
      </c>
      <c r="EK198" s="147" t="str">
        <f t="shared" si="246"/>
        <v/>
      </c>
      <c r="EL198" s="149"/>
      <c r="EN198" s="146"/>
      <c r="EO198" s="146"/>
      <c r="EP198" s="139" t="str">
        <f t="shared" si="247"/>
        <v/>
      </c>
      <c r="EQ198" s="139" t="str">
        <f t="shared" si="248"/>
        <v/>
      </c>
      <c r="ER198" s="139" t="str">
        <f t="shared" si="249"/>
        <v/>
      </c>
      <c r="ES198" s="139" t="str">
        <f t="shared" si="250"/>
        <v/>
      </c>
      <c r="ET198" s="139" t="str">
        <f t="shared" si="251"/>
        <v/>
      </c>
      <c r="EU198" s="139" t="str">
        <f t="shared" si="252"/>
        <v/>
      </c>
      <c r="EV198" s="139" t="str">
        <f t="shared" si="253"/>
        <v/>
      </c>
      <c r="EW198" s="139" t="str">
        <f t="shared" si="254"/>
        <v/>
      </c>
      <c r="EX198" s="139" t="str">
        <f t="shared" si="255"/>
        <v/>
      </c>
      <c r="EY198" s="139" t="str">
        <f t="shared" si="256"/>
        <v/>
      </c>
      <c r="EZ198" s="139" t="str">
        <f t="shared" si="257"/>
        <v/>
      </c>
      <c r="FA198" s="139" t="str">
        <f t="shared" si="258"/>
        <v/>
      </c>
      <c r="FB198" s="139" t="str">
        <f t="shared" si="259"/>
        <v/>
      </c>
      <c r="FC198" s="139" t="str">
        <f t="shared" si="260"/>
        <v/>
      </c>
      <c r="FD198" s="139" t="str">
        <f t="shared" si="261"/>
        <v/>
      </c>
      <c r="FE198" s="139" t="str">
        <f t="shared" si="262"/>
        <v/>
      </c>
      <c r="FF198" s="139" t="str">
        <f t="shared" si="263"/>
        <v/>
      </c>
      <c r="FG198" s="139" t="str">
        <f t="shared" si="264"/>
        <v/>
      </c>
      <c r="FH198" s="139" t="str">
        <f t="shared" si="265"/>
        <v/>
      </c>
      <c r="FI198" s="139" t="str">
        <f t="shared" si="266"/>
        <v/>
      </c>
      <c r="FJ198" s="139" t="str">
        <f t="shared" si="267"/>
        <v/>
      </c>
      <c r="FK198" s="139" t="str">
        <f t="shared" si="268"/>
        <v/>
      </c>
      <c r="FL198" s="139" t="str">
        <f t="shared" si="269"/>
        <v/>
      </c>
      <c r="FM198" s="139" t="str">
        <f t="shared" si="270"/>
        <v/>
      </c>
      <c r="FN198" s="139" t="str">
        <f t="shared" si="271"/>
        <v/>
      </c>
      <c r="FO198" s="139" t="str">
        <f t="shared" si="272"/>
        <v/>
      </c>
      <c r="FP198" s="139" t="str">
        <f t="shared" si="273"/>
        <v/>
      </c>
      <c r="FQ198" s="139" t="str">
        <f t="shared" si="274"/>
        <v/>
      </c>
      <c r="FR198" s="139" t="str">
        <f t="shared" si="275"/>
        <v/>
      </c>
      <c r="FS198" s="139" t="str">
        <f t="shared" si="276"/>
        <v/>
      </c>
      <c r="FT198" s="139" t="str">
        <f t="shared" si="277"/>
        <v/>
      </c>
      <c r="FU198" s="148" t="str">
        <f t="shared" si="278"/>
        <v/>
      </c>
      <c r="FV198" s="149"/>
      <c r="FY198" s="211">
        <v>193</v>
      </c>
      <c r="FZ198">
        <v>117.45379058095412</v>
      </c>
      <c r="GA198">
        <v>152.86039147826878</v>
      </c>
      <c r="GB198">
        <v>58.394343619856784</v>
      </c>
      <c r="GC198">
        <v>32.10963540634134</v>
      </c>
      <c r="GD198">
        <v>12.850938277761223</v>
      </c>
      <c r="GE198">
        <v>17.389290264015635</v>
      </c>
      <c r="GF198">
        <v>37.773538661234987</v>
      </c>
      <c r="GG198">
        <v>26.006845277171415</v>
      </c>
      <c r="GH198">
        <v>15.892581848110732</v>
      </c>
      <c r="GI198">
        <v>50.137706566186175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192.42247238840258</v>
      </c>
      <c r="AO199">
        <v>68.744606445879683</v>
      </c>
      <c r="AP199">
        <v>593.02475885691592</v>
      </c>
      <c r="AQ199">
        <v>471.19801083586975</v>
      </c>
      <c r="AR199">
        <v>66.845842133663439</v>
      </c>
      <c r="AS199">
        <v>320.42337085035632</v>
      </c>
      <c r="AT199">
        <v>35.018029915128785</v>
      </c>
      <c r="AU199">
        <v>-42.954984881231198</v>
      </c>
      <c r="AV199"/>
      <c r="AW199"/>
      <c r="AX199" s="146"/>
      <c r="AY199" s="76" t="str">
        <f t="shared" ca="1" si="169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4"/>
        <v/>
      </c>
      <c r="CL199" s="179" t="str">
        <f t="shared" si="205"/>
        <v/>
      </c>
      <c r="CM199" s="180" t="str">
        <f t="shared" si="206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7"/>
        <v/>
      </c>
      <c r="DB199" s="146"/>
      <c r="DC199" s="76" t="str">
        <f t="shared" ca="1" si="170"/>
        <v/>
      </c>
      <c r="DD199" t="str">
        <f t="shared" si="208"/>
        <v/>
      </c>
      <c r="DE199" s="129" t="str">
        <f t="shared" si="333"/>
        <v/>
      </c>
      <c r="DF199" s="161" t="str">
        <f t="shared" si="280"/>
        <v/>
      </c>
      <c r="DG199" s="161" t="str">
        <f t="shared" si="281"/>
        <v/>
      </c>
      <c r="DH199" s="161" t="str">
        <f t="shared" si="282"/>
        <v/>
      </c>
      <c r="DI199" s="161" t="str">
        <f t="shared" si="283"/>
        <v/>
      </c>
      <c r="DJ199" s="161" t="str">
        <f t="shared" si="284"/>
        <v/>
      </c>
      <c r="DK199" s="161" t="str">
        <f t="shared" si="285"/>
        <v/>
      </c>
      <c r="DL199" s="161" t="str">
        <f t="shared" si="286"/>
        <v/>
      </c>
      <c r="DM199" s="161" t="str">
        <f t="shared" si="287"/>
        <v/>
      </c>
      <c r="DN199" s="161" t="str">
        <f t="shared" si="310"/>
        <v/>
      </c>
      <c r="DO199" s="161" t="str">
        <f t="shared" si="311"/>
        <v/>
      </c>
      <c r="DP199" s="161" t="str">
        <f t="shared" si="312"/>
        <v/>
      </c>
      <c r="DQ199" s="161" t="str">
        <f t="shared" si="313"/>
        <v/>
      </c>
      <c r="DR199" s="161" t="str">
        <f t="shared" si="314"/>
        <v/>
      </c>
      <c r="DS199" s="161" t="str">
        <f t="shared" si="315"/>
        <v/>
      </c>
      <c r="DT199" s="161" t="str">
        <f t="shared" si="316"/>
        <v/>
      </c>
      <c r="DU199" s="161" t="str">
        <f t="shared" si="317"/>
        <v/>
      </c>
      <c r="DV199" s="161" t="str">
        <f t="shared" si="318"/>
        <v/>
      </c>
      <c r="DW199" s="161" t="str">
        <f t="shared" si="319"/>
        <v/>
      </c>
      <c r="DX199" s="161" t="str">
        <f t="shared" si="320"/>
        <v/>
      </c>
      <c r="DY199" s="161" t="str">
        <f t="shared" si="321"/>
        <v/>
      </c>
      <c r="DZ199" s="161" t="str">
        <f t="shared" si="322"/>
        <v/>
      </c>
      <c r="EA199" s="161" t="str">
        <f t="shared" si="323"/>
        <v/>
      </c>
      <c r="EB199" s="161" t="str">
        <f t="shared" si="324"/>
        <v/>
      </c>
      <c r="EC199" s="161" t="str">
        <f t="shared" si="325"/>
        <v/>
      </c>
      <c r="ED199" s="161" t="str">
        <f t="shared" si="326"/>
        <v/>
      </c>
      <c r="EE199" s="161" t="str">
        <f t="shared" si="327"/>
        <v/>
      </c>
      <c r="EF199" s="161" t="str">
        <f t="shared" si="328"/>
        <v/>
      </c>
      <c r="EG199" s="161" t="str">
        <f t="shared" si="329"/>
        <v/>
      </c>
      <c r="EH199" s="161" t="str">
        <f t="shared" si="330"/>
        <v/>
      </c>
      <c r="EI199" s="161" t="str">
        <f t="shared" si="331"/>
        <v/>
      </c>
      <c r="EJ199" s="161" t="str">
        <f t="shared" si="332"/>
        <v/>
      </c>
      <c r="EK199" s="147" t="str">
        <f t="shared" si="246"/>
        <v/>
      </c>
      <c r="EL199" s="149"/>
      <c r="EN199" s="146"/>
      <c r="EO199" s="146"/>
      <c r="EP199" s="139" t="str">
        <f t="shared" si="247"/>
        <v/>
      </c>
      <c r="EQ199" s="139" t="str">
        <f t="shared" si="248"/>
        <v/>
      </c>
      <c r="ER199" s="139" t="str">
        <f t="shared" si="249"/>
        <v/>
      </c>
      <c r="ES199" s="139" t="str">
        <f t="shared" si="250"/>
        <v/>
      </c>
      <c r="ET199" s="139" t="str">
        <f t="shared" si="251"/>
        <v/>
      </c>
      <c r="EU199" s="139" t="str">
        <f t="shared" si="252"/>
        <v/>
      </c>
      <c r="EV199" s="139" t="str">
        <f t="shared" si="253"/>
        <v/>
      </c>
      <c r="EW199" s="139" t="str">
        <f t="shared" si="254"/>
        <v/>
      </c>
      <c r="EX199" s="139" t="str">
        <f t="shared" si="255"/>
        <v/>
      </c>
      <c r="EY199" s="139" t="str">
        <f t="shared" si="256"/>
        <v/>
      </c>
      <c r="EZ199" s="139" t="str">
        <f t="shared" si="257"/>
        <v/>
      </c>
      <c r="FA199" s="139" t="str">
        <f t="shared" si="258"/>
        <v/>
      </c>
      <c r="FB199" s="139" t="str">
        <f t="shared" si="259"/>
        <v/>
      </c>
      <c r="FC199" s="139" t="str">
        <f t="shared" si="260"/>
        <v/>
      </c>
      <c r="FD199" s="139" t="str">
        <f t="shared" si="261"/>
        <v/>
      </c>
      <c r="FE199" s="139" t="str">
        <f t="shared" si="262"/>
        <v/>
      </c>
      <c r="FF199" s="139" t="str">
        <f t="shared" si="263"/>
        <v/>
      </c>
      <c r="FG199" s="139" t="str">
        <f t="shared" si="264"/>
        <v/>
      </c>
      <c r="FH199" s="139" t="str">
        <f t="shared" si="265"/>
        <v/>
      </c>
      <c r="FI199" s="139" t="str">
        <f t="shared" si="266"/>
        <v/>
      </c>
      <c r="FJ199" s="139" t="str">
        <f t="shared" si="267"/>
        <v/>
      </c>
      <c r="FK199" s="139" t="str">
        <f t="shared" si="268"/>
        <v/>
      </c>
      <c r="FL199" s="139" t="str">
        <f t="shared" si="269"/>
        <v/>
      </c>
      <c r="FM199" s="139" t="str">
        <f t="shared" si="270"/>
        <v/>
      </c>
      <c r="FN199" s="139" t="str">
        <f t="shared" si="271"/>
        <v/>
      </c>
      <c r="FO199" s="139" t="str">
        <f t="shared" si="272"/>
        <v/>
      </c>
      <c r="FP199" s="139" t="str">
        <f t="shared" si="273"/>
        <v/>
      </c>
      <c r="FQ199" s="139" t="str">
        <f t="shared" si="274"/>
        <v/>
      </c>
      <c r="FR199" s="139" t="str">
        <f t="shared" si="275"/>
        <v/>
      </c>
      <c r="FS199" s="139" t="str">
        <f t="shared" si="276"/>
        <v/>
      </c>
      <c r="FT199" s="139" t="str">
        <f t="shared" si="277"/>
        <v/>
      </c>
      <c r="FU199" s="148" t="str">
        <f t="shared" si="278"/>
        <v/>
      </c>
      <c r="FV199" s="149"/>
      <c r="FY199" s="211">
        <v>194</v>
      </c>
      <c r="FZ199">
        <v>106.75947271011822</v>
      </c>
      <c r="GA199">
        <v>136.20364750590895</v>
      </c>
      <c r="GB199">
        <v>56.765852660657089</v>
      </c>
      <c r="GC199">
        <v>33.031053667421105</v>
      </c>
      <c r="GD199">
        <v>13.537326969470216</v>
      </c>
      <c r="GE199">
        <v>23.392903939815149</v>
      </c>
      <c r="GF199">
        <v>26.700745714737344</v>
      </c>
      <c r="GG199">
        <v>15.275298905664867</v>
      </c>
      <c r="GH199">
        <v>19.667427796015645</v>
      </c>
      <c r="GI199">
        <v>47.204311211811024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197.65314029209242</v>
      </c>
      <c r="AO200">
        <v>64.203331327345069</v>
      </c>
      <c r="AP200">
        <v>522.92942461075017</v>
      </c>
      <c r="AQ200">
        <v>422.78330856948514</v>
      </c>
      <c r="AR200">
        <v>63.179700472706543</v>
      </c>
      <c r="AS200">
        <v>302.37403527102464</v>
      </c>
      <c r="AT200">
        <v>33.614765370687017</v>
      </c>
      <c r="AU200">
        <v>101.59449503286561</v>
      </c>
      <c r="AV200"/>
      <c r="AW200"/>
      <c r="AX200" s="146"/>
      <c r="AY200" s="76" t="str">
        <f t="shared" ca="1" si="169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4"/>
        <v/>
      </c>
      <c r="CL200" s="179" t="str">
        <f t="shared" si="205"/>
        <v/>
      </c>
      <c r="CM200" s="180" t="str">
        <f t="shared" si="206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7"/>
        <v/>
      </c>
      <c r="DB200" s="146"/>
      <c r="DC200" s="76" t="str">
        <f t="shared" ca="1" si="170"/>
        <v/>
      </c>
      <c r="DD200" t="str">
        <f t="shared" si="208"/>
        <v/>
      </c>
      <c r="DE200" s="129" t="str">
        <f t="shared" si="333"/>
        <v/>
      </c>
      <c r="DF200" s="161" t="str">
        <f t="shared" si="280"/>
        <v/>
      </c>
      <c r="DG200" s="161" t="str">
        <f t="shared" si="281"/>
        <v/>
      </c>
      <c r="DH200" s="161" t="str">
        <f t="shared" si="282"/>
        <v/>
      </c>
      <c r="DI200" s="161" t="str">
        <f t="shared" si="283"/>
        <v/>
      </c>
      <c r="DJ200" s="161" t="str">
        <f t="shared" si="284"/>
        <v/>
      </c>
      <c r="DK200" s="161" t="str">
        <f t="shared" si="285"/>
        <v/>
      </c>
      <c r="DL200" s="161" t="str">
        <f t="shared" si="286"/>
        <v/>
      </c>
      <c r="DM200" s="161" t="str">
        <f t="shared" si="287"/>
        <v/>
      </c>
      <c r="DN200" s="161" t="str">
        <f t="shared" si="310"/>
        <v/>
      </c>
      <c r="DO200" s="161" t="str">
        <f t="shared" si="311"/>
        <v/>
      </c>
      <c r="DP200" s="161" t="str">
        <f t="shared" si="312"/>
        <v/>
      </c>
      <c r="DQ200" s="161" t="str">
        <f t="shared" si="313"/>
        <v/>
      </c>
      <c r="DR200" s="161" t="str">
        <f t="shared" si="314"/>
        <v/>
      </c>
      <c r="DS200" s="161" t="str">
        <f t="shared" si="315"/>
        <v/>
      </c>
      <c r="DT200" s="161" t="str">
        <f t="shared" si="316"/>
        <v/>
      </c>
      <c r="DU200" s="161" t="str">
        <f t="shared" si="317"/>
        <v/>
      </c>
      <c r="DV200" s="161" t="str">
        <f t="shared" si="318"/>
        <v/>
      </c>
      <c r="DW200" s="161" t="str">
        <f t="shared" si="319"/>
        <v/>
      </c>
      <c r="DX200" s="161" t="str">
        <f t="shared" si="320"/>
        <v/>
      </c>
      <c r="DY200" s="161" t="str">
        <f t="shared" si="321"/>
        <v/>
      </c>
      <c r="DZ200" s="161" t="str">
        <f t="shared" si="322"/>
        <v/>
      </c>
      <c r="EA200" s="161" t="str">
        <f t="shared" si="323"/>
        <v/>
      </c>
      <c r="EB200" s="161" t="str">
        <f t="shared" si="324"/>
        <v/>
      </c>
      <c r="EC200" s="161" t="str">
        <f t="shared" si="325"/>
        <v/>
      </c>
      <c r="ED200" s="161" t="str">
        <f t="shared" si="326"/>
        <v/>
      </c>
      <c r="EE200" s="161" t="str">
        <f t="shared" si="327"/>
        <v/>
      </c>
      <c r="EF200" s="161" t="str">
        <f t="shared" si="328"/>
        <v/>
      </c>
      <c r="EG200" s="161" t="str">
        <f t="shared" si="329"/>
        <v/>
      </c>
      <c r="EH200" s="161" t="str">
        <f t="shared" si="330"/>
        <v/>
      </c>
      <c r="EI200" s="161" t="str">
        <f t="shared" si="331"/>
        <v/>
      </c>
      <c r="EJ200" s="161" t="str">
        <f t="shared" si="332"/>
        <v/>
      </c>
      <c r="EK200" s="147" t="str">
        <f t="shared" si="246"/>
        <v/>
      </c>
      <c r="EL200" s="149"/>
      <c r="EN200" s="146"/>
      <c r="EO200" s="146"/>
      <c r="EP200" s="139" t="str">
        <f t="shared" si="247"/>
        <v/>
      </c>
      <c r="EQ200" s="139" t="str">
        <f t="shared" si="248"/>
        <v/>
      </c>
      <c r="ER200" s="139" t="str">
        <f t="shared" si="249"/>
        <v/>
      </c>
      <c r="ES200" s="139" t="str">
        <f t="shared" si="250"/>
        <v/>
      </c>
      <c r="ET200" s="139" t="str">
        <f t="shared" si="251"/>
        <v/>
      </c>
      <c r="EU200" s="139" t="str">
        <f t="shared" si="252"/>
        <v/>
      </c>
      <c r="EV200" s="139" t="str">
        <f t="shared" si="253"/>
        <v/>
      </c>
      <c r="EW200" s="139" t="str">
        <f t="shared" si="254"/>
        <v/>
      </c>
      <c r="EX200" s="139" t="str">
        <f t="shared" si="255"/>
        <v/>
      </c>
      <c r="EY200" s="139" t="str">
        <f t="shared" si="256"/>
        <v/>
      </c>
      <c r="EZ200" s="139" t="str">
        <f t="shared" si="257"/>
        <v/>
      </c>
      <c r="FA200" s="139" t="str">
        <f t="shared" si="258"/>
        <v/>
      </c>
      <c r="FB200" s="139" t="str">
        <f t="shared" si="259"/>
        <v/>
      </c>
      <c r="FC200" s="139" t="str">
        <f t="shared" si="260"/>
        <v/>
      </c>
      <c r="FD200" s="139" t="str">
        <f t="shared" si="261"/>
        <v/>
      </c>
      <c r="FE200" s="139" t="str">
        <f t="shared" si="262"/>
        <v/>
      </c>
      <c r="FF200" s="139" t="str">
        <f t="shared" si="263"/>
        <v/>
      </c>
      <c r="FG200" s="139" t="str">
        <f t="shared" si="264"/>
        <v/>
      </c>
      <c r="FH200" s="139" t="str">
        <f t="shared" si="265"/>
        <v/>
      </c>
      <c r="FI200" s="139" t="str">
        <f t="shared" si="266"/>
        <v/>
      </c>
      <c r="FJ200" s="139" t="str">
        <f t="shared" si="267"/>
        <v/>
      </c>
      <c r="FK200" s="139" t="str">
        <f t="shared" si="268"/>
        <v/>
      </c>
      <c r="FL200" s="139" t="str">
        <f t="shared" si="269"/>
        <v/>
      </c>
      <c r="FM200" s="139" t="str">
        <f t="shared" si="270"/>
        <v/>
      </c>
      <c r="FN200" s="139" t="str">
        <f t="shared" si="271"/>
        <v/>
      </c>
      <c r="FO200" s="139" t="str">
        <f t="shared" si="272"/>
        <v/>
      </c>
      <c r="FP200" s="139" t="str">
        <f t="shared" si="273"/>
        <v/>
      </c>
      <c r="FQ200" s="139" t="str">
        <f t="shared" si="274"/>
        <v/>
      </c>
      <c r="FR200" s="139" t="str">
        <f t="shared" si="275"/>
        <v/>
      </c>
      <c r="FS200" s="139" t="str">
        <f t="shared" si="276"/>
        <v/>
      </c>
      <c r="FT200" s="139" t="str">
        <f t="shared" si="277"/>
        <v/>
      </c>
      <c r="FU200" s="148" t="str">
        <f t="shared" si="278"/>
        <v/>
      </c>
      <c r="FV200" s="149"/>
      <c r="FY200" s="211">
        <v>195</v>
      </c>
      <c r="FZ200">
        <v>157.72359907688997</v>
      </c>
      <c r="GA200">
        <v>187.13704066557992</v>
      </c>
      <c r="GB200">
        <v>49.054414127309293</v>
      </c>
      <c r="GC200">
        <v>26.105682428202002</v>
      </c>
      <c r="GD200">
        <v>9.5506709222683543</v>
      </c>
      <c r="GE200">
        <v>17.136501482357016</v>
      </c>
      <c r="GF200">
        <v>52.996654256721925</v>
      </c>
      <c r="GG200">
        <v>44.981080276539032</v>
      </c>
      <c r="GH200">
        <v>29.055431792382429</v>
      </c>
      <c r="GI200">
        <v>56.770841896943573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203.3931909952484</v>
      </c>
      <c r="AO201">
        <v>74.603724120185348</v>
      </c>
      <c r="AP201">
        <v>649.00476282432714</v>
      </c>
      <c r="AQ201">
        <v>515.07499070197196</v>
      </c>
      <c r="AR201">
        <v>71.612704646147151</v>
      </c>
      <c r="AS201">
        <v>324.06538207654921</v>
      </c>
      <c r="AT201">
        <v>37.810143945532339</v>
      </c>
      <c r="AU201">
        <v>46.514018858133078</v>
      </c>
      <c r="AV201"/>
      <c r="AW201"/>
      <c r="AX201" s="146"/>
      <c r="AY201" s="76" t="str">
        <f t="shared" ca="1" si="169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4"/>
        <v/>
      </c>
      <c r="CL201" s="179" t="str">
        <f t="shared" si="205"/>
        <v/>
      </c>
      <c r="CM201" s="180" t="str">
        <f t="shared" si="206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7"/>
        <v/>
      </c>
      <c r="DB201" s="146"/>
      <c r="DC201" s="76" t="str">
        <f t="shared" ca="1" si="170"/>
        <v/>
      </c>
      <c r="DD201" t="str">
        <f t="shared" si="208"/>
        <v/>
      </c>
      <c r="DE201" s="129" t="str">
        <f t="shared" si="333"/>
        <v/>
      </c>
      <c r="DF201" s="161" t="str">
        <f t="shared" si="280"/>
        <v/>
      </c>
      <c r="DG201" s="161" t="str">
        <f t="shared" si="281"/>
        <v/>
      </c>
      <c r="DH201" s="161" t="str">
        <f t="shared" si="282"/>
        <v/>
      </c>
      <c r="DI201" s="161" t="str">
        <f t="shared" si="283"/>
        <v/>
      </c>
      <c r="DJ201" s="161" t="str">
        <f t="shared" si="284"/>
        <v/>
      </c>
      <c r="DK201" s="161" t="str">
        <f t="shared" si="285"/>
        <v/>
      </c>
      <c r="DL201" s="161" t="str">
        <f t="shared" si="286"/>
        <v/>
      </c>
      <c r="DM201" s="161" t="str">
        <f t="shared" si="287"/>
        <v/>
      </c>
      <c r="DN201" s="161" t="str">
        <f t="shared" si="310"/>
        <v/>
      </c>
      <c r="DO201" s="161" t="str">
        <f t="shared" si="311"/>
        <v/>
      </c>
      <c r="DP201" s="161" t="str">
        <f t="shared" si="312"/>
        <v/>
      </c>
      <c r="DQ201" s="161" t="str">
        <f t="shared" si="313"/>
        <v/>
      </c>
      <c r="DR201" s="161" t="str">
        <f t="shared" si="314"/>
        <v/>
      </c>
      <c r="DS201" s="161" t="str">
        <f t="shared" si="315"/>
        <v/>
      </c>
      <c r="DT201" s="161" t="str">
        <f t="shared" si="316"/>
        <v/>
      </c>
      <c r="DU201" s="161" t="str">
        <f t="shared" si="317"/>
        <v/>
      </c>
      <c r="DV201" s="161" t="str">
        <f t="shared" si="318"/>
        <v/>
      </c>
      <c r="DW201" s="161" t="str">
        <f t="shared" si="319"/>
        <v/>
      </c>
      <c r="DX201" s="161" t="str">
        <f t="shared" si="320"/>
        <v/>
      </c>
      <c r="DY201" s="161" t="str">
        <f t="shared" si="321"/>
        <v/>
      </c>
      <c r="DZ201" s="161" t="str">
        <f t="shared" si="322"/>
        <v/>
      </c>
      <c r="EA201" s="161" t="str">
        <f t="shared" si="323"/>
        <v/>
      </c>
      <c r="EB201" s="161" t="str">
        <f t="shared" si="324"/>
        <v/>
      </c>
      <c r="EC201" s="161" t="str">
        <f t="shared" si="325"/>
        <v/>
      </c>
      <c r="ED201" s="161" t="str">
        <f t="shared" si="326"/>
        <v/>
      </c>
      <c r="EE201" s="161" t="str">
        <f t="shared" si="327"/>
        <v/>
      </c>
      <c r="EF201" s="161" t="str">
        <f t="shared" si="328"/>
        <v/>
      </c>
      <c r="EG201" s="161" t="str">
        <f t="shared" si="329"/>
        <v/>
      </c>
      <c r="EH201" s="161" t="str">
        <f t="shared" si="330"/>
        <v/>
      </c>
      <c r="EI201" s="161" t="str">
        <f t="shared" si="331"/>
        <v/>
      </c>
      <c r="EJ201" s="161" t="str">
        <f t="shared" si="332"/>
        <v/>
      </c>
      <c r="EK201" s="147" t="str">
        <f t="shared" si="246"/>
        <v/>
      </c>
      <c r="EL201" s="149"/>
      <c r="EN201" s="146"/>
      <c r="EO201" s="146"/>
      <c r="EP201" s="139" t="str">
        <f t="shared" si="247"/>
        <v/>
      </c>
      <c r="EQ201" s="139" t="str">
        <f t="shared" si="248"/>
        <v/>
      </c>
      <c r="ER201" s="139" t="str">
        <f t="shared" si="249"/>
        <v/>
      </c>
      <c r="ES201" s="139" t="str">
        <f t="shared" si="250"/>
        <v/>
      </c>
      <c r="ET201" s="139" t="str">
        <f t="shared" si="251"/>
        <v/>
      </c>
      <c r="EU201" s="139" t="str">
        <f t="shared" si="252"/>
        <v/>
      </c>
      <c r="EV201" s="139" t="str">
        <f t="shared" si="253"/>
        <v/>
      </c>
      <c r="EW201" s="139" t="str">
        <f t="shared" si="254"/>
        <v/>
      </c>
      <c r="EX201" s="139" t="str">
        <f t="shared" si="255"/>
        <v/>
      </c>
      <c r="EY201" s="139" t="str">
        <f t="shared" si="256"/>
        <v/>
      </c>
      <c r="EZ201" s="139" t="str">
        <f t="shared" si="257"/>
        <v/>
      </c>
      <c r="FA201" s="139" t="str">
        <f t="shared" si="258"/>
        <v/>
      </c>
      <c r="FB201" s="139" t="str">
        <f t="shared" si="259"/>
        <v/>
      </c>
      <c r="FC201" s="139" t="str">
        <f t="shared" si="260"/>
        <v/>
      </c>
      <c r="FD201" s="139" t="str">
        <f t="shared" si="261"/>
        <v/>
      </c>
      <c r="FE201" s="139" t="str">
        <f t="shared" si="262"/>
        <v/>
      </c>
      <c r="FF201" s="139" t="str">
        <f t="shared" si="263"/>
        <v/>
      </c>
      <c r="FG201" s="139" t="str">
        <f t="shared" si="264"/>
        <v/>
      </c>
      <c r="FH201" s="139" t="str">
        <f t="shared" si="265"/>
        <v/>
      </c>
      <c r="FI201" s="139" t="str">
        <f t="shared" si="266"/>
        <v/>
      </c>
      <c r="FJ201" s="139" t="str">
        <f t="shared" si="267"/>
        <v/>
      </c>
      <c r="FK201" s="139" t="str">
        <f t="shared" si="268"/>
        <v/>
      </c>
      <c r="FL201" s="139" t="str">
        <f t="shared" si="269"/>
        <v/>
      </c>
      <c r="FM201" s="139" t="str">
        <f t="shared" si="270"/>
        <v/>
      </c>
      <c r="FN201" s="139" t="str">
        <f t="shared" si="271"/>
        <v/>
      </c>
      <c r="FO201" s="139" t="str">
        <f t="shared" si="272"/>
        <v/>
      </c>
      <c r="FP201" s="139" t="str">
        <f t="shared" si="273"/>
        <v/>
      </c>
      <c r="FQ201" s="139" t="str">
        <f t="shared" si="274"/>
        <v/>
      </c>
      <c r="FR201" s="139" t="str">
        <f t="shared" si="275"/>
        <v/>
      </c>
      <c r="FS201" s="139" t="str">
        <f t="shared" si="276"/>
        <v/>
      </c>
      <c r="FT201" s="139" t="str">
        <f t="shared" si="277"/>
        <v/>
      </c>
      <c r="FU201" s="148" t="str">
        <f t="shared" si="278"/>
        <v/>
      </c>
      <c r="FV201" s="149"/>
      <c r="FY201" s="211">
        <v>196</v>
      </c>
      <c r="FZ201">
        <v>159.76813779095602</v>
      </c>
      <c r="GA201">
        <v>185.89261351767061</v>
      </c>
      <c r="GB201">
        <v>45.148655832434528</v>
      </c>
      <c r="GC201">
        <v>24.961830829564121</v>
      </c>
      <c r="GD201">
        <v>16.083498910608721</v>
      </c>
      <c r="GE201">
        <v>31.983460038869115</v>
      </c>
      <c r="GF201">
        <v>51.09532177561961</v>
      </c>
      <c r="GG201">
        <v>32.775170211321694</v>
      </c>
      <c r="GH201">
        <v>20.289153891806212</v>
      </c>
      <c r="GI201">
        <v>58.53149170431837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192.202105491494</v>
      </c>
      <c r="AO202">
        <v>62.736399868235459</v>
      </c>
      <c r="AP202">
        <v>503.51367159745274</v>
      </c>
      <c r="AQ202">
        <v>400.24950923412246</v>
      </c>
      <c r="AR202">
        <v>61.287986530046091</v>
      </c>
      <c r="AS202">
        <v>285.4789622034578</v>
      </c>
      <c r="AT202">
        <v>31.432093832136001</v>
      </c>
      <c r="AU202">
        <v>20.554349714774943</v>
      </c>
      <c r="AV202"/>
      <c r="AW202"/>
      <c r="AX202" s="146"/>
      <c r="AY202" s="76" t="str">
        <f t="shared" ca="1" si="169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4"/>
        <v/>
      </c>
      <c r="CL202" s="179" t="str">
        <f t="shared" si="205"/>
        <v/>
      </c>
      <c r="CM202" s="180" t="str">
        <f t="shared" si="206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7"/>
        <v/>
      </c>
      <c r="DB202" s="146"/>
      <c r="DC202" s="76" t="str">
        <f t="shared" ca="1" si="170"/>
        <v/>
      </c>
      <c r="DD202" t="str">
        <f t="shared" si="208"/>
        <v/>
      </c>
      <c r="DE202" s="129" t="str">
        <f t="shared" si="333"/>
        <v/>
      </c>
      <c r="DF202" s="161" t="str">
        <f t="shared" si="280"/>
        <v/>
      </c>
      <c r="DG202" s="161" t="str">
        <f t="shared" si="281"/>
        <v/>
      </c>
      <c r="DH202" s="161" t="str">
        <f t="shared" si="282"/>
        <v/>
      </c>
      <c r="DI202" s="161" t="str">
        <f t="shared" si="283"/>
        <v/>
      </c>
      <c r="DJ202" s="161" t="str">
        <f t="shared" si="284"/>
        <v/>
      </c>
      <c r="DK202" s="161" t="str">
        <f t="shared" si="285"/>
        <v/>
      </c>
      <c r="DL202" s="161" t="str">
        <f t="shared" si="286"/>
        <v/>
      </c>
      <c r="DM202" s="161" t="str">
        <f t="shared" si="287"/>
        <v/>
      </c>
      <c r="DN202" s="161" t="str">
        <f t="shared" si="310"/>
        <v/>
      </c>
      <c r="DO202" s="161" t="str">
        <f t="shared" si="311"/>
        <v/>
      </c>
      <c r="DP202" s="161" t="str">
        <f t="shared" si="312"/>
        <v/>
      </c>
      <c r="DQ202" s="161" t="str">
        <f t="shared" si="313"/>
        <v/>
      </c>
      <c r="DR202" s="161" t="str">
        <f t="shared" si="314"/>
        <v/>
      </c>
      <c r="DS202" s="161" t="str">
        <f t="shared" si="315"/>
        <v/>
      </c>
      <c r="DT202" s="161" t="str">
        <f t="shared" si="316"/>
        <v/>
      </c>
      <c r="DU202" s="161" t="str">
        <f t="shared" si="317"/>
        <v/>
      </c>
      <c r="DV202" s="161" t="str">
        <f t="shared" si="318"/>
        <v/>
      </c>
      <c r="DW202" s="161" t="str">
        <f t="shared" si="319"/>
        <v/>
      </c>
      <c r="DX202" s="161" t="str">
        <f t="shared" si="320"/>
        <v/>
      </c>
      <c r="DY202" s="161" t="str">
        <f t="shared" si="321"/>
        <v/>
      </c>
      <c r="DZ202" s="161" t="str">
        <f t="shared" si="322"/>
        <v/>
      </c>
      <c r="EA202" s="161" t="str">
        <f t="shared" si="323"/>
        <v/>
      </c>
      <c r="EB202" s="161" t="str">
        <f t="shared" si="324"/>
        <v/>
      </c>
      <c r="EC202" s="161" t="str">
        <f t="shared" si="325"/>
        <v/>
      </c>
      <c r="ED202" s="161" t="str">
        <f t="shared" si="326"/>
        <v/>
      </c>
      <c r="EE202" s="161" t="str">
        <f t="shared" si="327"/>
        <v/>
      </c>
      <c r="EF202" s="161" t="str">
        <f t="shared" si="328"/>
        <v/>
      </c>
      <c r="EG202" s="161" t="str">
        <f t="shared" si="329"/>
        <v/>
      </c>
      <c r="EH202" s="161" t="str">
        <f t="shared" si="330"/>
        <v/>
      </c>
      <c r="EI202" s="161" t="str">
        <f t="shared" si="331"/>
        <v/>
      </c>
      <c r="EJ202" s="161" t="str">
        <f t="shared" si="332"/>
        <v/>
      </c>
      <c r="EK202" s="147" t="str">
        <f t="shared" si="246"/>
        <v/>
      </c>
      <c r="EL202" s="149"/>
      <c r="EN202" s="146"/>
      <c r="EO202" s="146"/>
      <c r="EP202" s="139" t="str">
        <f t="shared" si="247"/>
        <v/>
      </c>
      <c r="EQ202" s="139" t="str">
        <f t="shared" si="248"/>
        <v/>
      </c>
      <c r="ER202" s="139" t="str">
        <f t="shared" si="249"/>
        <v/>
      </c>
      <c r="ES202" s="139" t="str">
        <f t="shared" si="250"/>
        <v/>
      </c>
      <c r="ET202" s="139" t="str">
        <f t="shared" si="251"/>
        <v/>
      </c>
      <c r="EU202" s="139" t="str">
        <f t="shared" si="252"/>
        <v/>
      </c>
      <c r="EV202" s="139" t="str">
        <f t="shared" si="253"/>
        <v/>
      </c>
      <c r="EW202" s="139" t="str">
        <f t="shared" si="254"/>
        <v/>
      </c>
      <c r="EX202" s="139" t="str">
        <f t="shared" si="255"/>
        <v/>
      </c>
      <c r="EY202" s="139" t="str">
        <f t="shared" si="256"/>
        <v/>
      </c>
      <c r="EZ202" s="139" t="str">
        <f t="shared" si="257"/>
        <v/>
      </c>
      <c r="FA202" s="139" t="str">
        <f t="shared" si="258"/>
        <v/>
      </c>
      <c r="FB202" s="139" t="str">
        <f t="shared" si="259"/>
        <v/>
      </c>
      <c r="FC202" s="139" t="str">
        <f t="shared" si="260"/>
        <v/>
      </c>
      <c r="FD202" s="139" t="str">
        <f t="shared" si="261"/>
        <v/>
      </c>
      <c r="FE202" s="139" t="str">
        <f t="shared" si="262"/>
        <v/>
      </c>
      <c r="FF202" s="139" t="str">
        <f t="shared" si="263"/>
        <v/>
      </c>
      <c r="FG202" s="139" t="str">
        <f t="shared" si="264"/>
        <v/>
      </c>
      <c r="FH202" s="139" t="str">
        <f t="shared" si="265"/>
        <v/>
      </c>
      <c r="FI202" s="139" t="str">
        <f t="shared" si="266"/>
        <v/>
      </c>
      <c r="FJ202" s="139" t="str">
        <f t="shared" si="267"/>
        <v/>
      </c>
      <c r="FK202" s="139" t="str">
        <f t="shared" si="268"/>
        <v/>
      </c>
      <c r="FL202" s="139" t="str">
        <f t="shared" si="269"/>
        <v/>
      </c>
      <c r="FM202" s="139" t="str">
        <f t="shared" si="270"/>
        <v/>
      </c>
      <c r="FN202" s="139" t="str">
        <f t="shared" si="271"/>
        <v/>
      </c>
      <c r="FO202" s="139" t="str">
        <f t="shared" si="272"/>
        <v/>
      </c>
      <c r="FP202" s="139" t="str">
        <f t="shared" si="273"/>
        <v/>
      </c>
      <c r="FQ202" s="139" t="str">
        <f t="shared" si="274"/>
        <v/>
      </c>
      <c r="FR202" s="139" t="str">
        <f t="shared" si="275"/>
        <v/>
      </c>
      <c r="FS202" s="139" t="str">
        <f t="shared" si="276"/>
        <v/>
      </c>
      <c r="FT202" s="139" t="str">
        <f t="shared" si="277"/>
        <v/>
      </c>
      <c r="FU202" s="148" t="str">
        <f t="shared" si="278"/>
        <v/>
      </c>
      <c r="FV202" s="149"/>
      <c r="FY202" s="211">
        <v>197</v>
      </c>
      <c r="FZ202">
        <v>99.590772792319427</v>
      </c>
      <c r="GA202">
        <v>144.61390626816268</v>
      </c>
      <c r="GB202">
        <v>55.562085517681716</v>
      </c>
      <c r="GC202">
        <v>25.117059212693981</v>
      </c>
      <c r="GD202">
        <v>10.087875472007434</v>
      </c>
      <c r="GE202">
        <v>19.553396720749749</v>
      </c>
      <c r="GF202">
        <v>55.656481933392676</v>
      </c>
      <c r="GG202">
        <v>43.573855062300069</v>
      </c>
      <c r="GH202">
        <v>18.036425762356664</v>
      </c>
      <c r="GI202">
        <v>49.228859072427078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229.07661565449797</v>
      </c>
      <c r="AO203">
        <v>69.61943646492611</v>
      </c>
      <c r="AP203">
        <v>564.49083663239776</v>
      </c>
      <c r="AQ203">
        <v>439.04575267902158</v>
      </c>
      <c r="AR203">
        <v>67.473437058542316</v>
      </c>
      <c r="AS203">
        <v>327.96836114848298</v>
      </c>
      <c r="AT203">
        <v>34.791627032625051</v>
      </c>
      <c r="AU203">
        <v>-26.062009009946777</v>
      </c>
      <c r="AV203"/>
      <c r="AW203"/>
      <c r="AX203" s="146"/>
      <c r="AY203" s="76" t="str">
        <f t="shared" ca="1" si="169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4"/>
        <v/>
      </c>
      <c r="CL203" s="179" t="str">
        <f t="shared" si="205"/>
        <v/>
      </c>
      <c r="CM203" s="180" t="str">
        <f t="shared" si="206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7"/>
        <v/>
      </c>
      <c r="DB203" s="146"/>
      <c r="DC203" s="76" t="str">
        <f t="shared" ca="1" si="170"/>
        <v/>
      </c>
      <c r="DD203" t="str">
        <f t="shared" si="208"/>
        <v/>
      </c>
      <c r="DE203" s="129" t="str">
        <f t="shared" si="333"/>
        <v/>
      </c>
      <c r="DF203" s="161" t="str">
        <f t="shared" si="280"/>
        <v/>
      </c>
      <c r="DG203" s="161" t="str">
        <f t="shared" si="281"/>
        <v/>
      </c>
      <c r="DH203" s="161" t="str">
        <f t="shared" si="282"/>
        <v/>
      </c>
      <c r="DI203" s="161" t="str">
        <f t="shared" si="283"/>
        <v/>
      </c>
      <c r="DJ203" s="161" t="str">
        <f t="shared" si="284"/>
        <v/>
      </c>
      <c r="DK203" s="161" t="str">
        <f t="shared" si="285"/>
        <v/>
      </c>
      <c r="DL203" s="161" t="str">
        <f t="shared" si="286"/>
        <v/>
      </c>
      <c r="DM203" s="161" t="str">
        <f t="shared" si="287"/>
        <v/>
      </c>
      <c r="DN203" s="161" t="str">
        <f t="shared" si="310"/>
        <v/>
      </c>
      <c r="DO203" s="161" t="str">
        <f t="shared" si="311"/>
        <v/>
      </c>
      <c r="DP203" s="161" t="str">
        <f t="shared" si="312"/>
        <v/>
      </c>
      <c r="DQ203" s="161" t="str">
        <f t="shared" si="313"/>
        <v/>
      </c>
      <c r="DR203" s="161" t="str">
        <f t="shared" si="314"/>
        <v/>
      </c>
      <c r="DS203" s="161" t="str">
        <f t="shared" si="315"/>
        <v/>
      </c>
      <c r="DT203" s="161" t="str">
        <f t="shared" si="316"/>
        <v/>
      </c>
      <c r="DU203" s="161" t="str">
        <f t="shared" si="317"/>
        <v/>
      </c>
      <c r="DV203" s="161" t="str">
        <f t="shared" si="318"/>
        <v/>
      </c>
      <c r="DW203" s="161" t="str">
        <f t="shared" si="319"/>
        <v/>
      </c>
      <c r="DX203" s="161" t="str">
        <f t="shared" si="320"/>
        <v/>
      </c>
      <c r="DY203" s="161" t="str">
        <f t="shared" si="321"/>
        <v/>
      </c>
      <c r="DZ203" s="161" t="str">
        <f t="shared" si="322"/>
        <v/>
      </c>
      <c r="EA203" s="161" t="str">
        <f t="shared" si="323"/>
        <v/>
      </c>
      <c r="EB203" s="161" t="str">
        <f t="shared" si="324"/>
        <v/>
      </c>
      <c r="EC203" s="161" t="str">
        <f t="shared" si="325"/>
        <v/>
      </c>
      <c r="ED203" s="161" t="str">
        <f t="shared" si="326"/>
        <v/>
      </c>
      <c r="EE203" s="161" t="str">
        <f t="shared" si="327"/>
        <v/>
      </c>
      <c r="EF203" s="161" t="str">
        <f t="shared" si="328"/>
        <v/>
      </c>
      <c r="EG203" s="161" t="str">
        <f t="shared" si="329"/>
        <v/>
      </c>
      <c r="EH203" s="161" t="str">
        <f t="shared" si="330"/>
        <v/>
      </c>
      <c r="EI203" s="161" t="str">
        <f t="shared" si="331"/>
        <v/>
      </c>
      <c r="EJ203" s="161" t="str">
        <f t="shared" si="332"/>
        <v/>
      </c>
      <c r="EK203" s="147" t="str">
        <f t="shared" si="246"/>
        <v/>
      </c>
      <c r="EL203" s="149"/>
      <c r="EN203" s="146"/>
      <c r="EO203" s="146"/>
      <c r="EP203" s="139" t="str">
        <f t="shared" si="247"/>
        <v/>
      </c>
      <c r="EQ203" s="139" t="str">
        <f t="shared" si="248"/>
        <v/>
      </c>
      <c r="ER203" s="139" t="str">
        <f t="shared" si="249"/>
        <v/>
      </c>
      <c r="ES203" s="139" t="str">
        <f t="shared" si="250"/>
        <v/>
      </c>
      <c r="ET203" s="139" t="str">
        <f t="shared" si="251"/>
        <v/>
      </c>
      <c r="EU203" s="139" t="str">
        <f t="shared" si="252"/>
        <v/>
      </c>
      <c r="EV203" s="139" t="str">
        <f t="shared" si="253"/>
        <v/>
      </c>
      <c r="EW203" s="139" t="str">
        <f t="shared" si="254"/>
        <v/>
      </c>
      <c r="EX203" s="139" t="str">
        <f t="shared" si="255"/>
        <v/>
      </c>
      <c r="EY203" s="139" t="str">
        <f t="shared" si="256"/>
        <v/>
      </c>
      <c r="EZ203" s="139" t="str">
        <f t="shared" si="257"/>
        <v/>
      </c>
      <c r="FA203" s="139" t="str">
        <f t="shared" si="258"/>
        <v/>
      </c>
      <c r="FB203" s="139" t="str">
        <f t="shared" si="259"/>
        <v/>
      </c>
      <c r="FC203" s="139" t="str">
        <f t="shared" si="260"/>
        <v/>
      </c>
      <c r="FD203" s="139" t="str">
        <f t="shared" si="261"/>
        <v/>
      </c>
      <c r="FE203" s="139" t="str">
        <f t="shared" si="262"/>
        <v/>
      </c>
      <c r="FF203" s="139" t="str">
        <f t="shared" si="263"/>
        <v/>
      </c>
      <c r="FG203" s="139" t="str">
        <f t="shared" si="264"/>
        <v/>
      </c>
      <c r="FH203" s="139" t="str">
        <f t="shared" si="265"/>
        <v/>
      </c>
      <c r="FI203" s="139" t="str">
        <f t="shared" si="266"/>
        <v/>
      </c>
      <c r="FJ203" s="139" t="str">
        <f t="shared" si="267"/>
        <v/>
      </c>
      <c r="FK203" s="139" t="str">
        <f t="shared" si="268"/>
        <v/>
      </c>
      <c r="FL203" s="139" t="str">
        <f t="shared" si="269"/>
        <v/>
      </c>
      <c r="FM203" s="139" t="str">
        <f t="shared" si="270"/>
        <v/>
      </c>
      <c r="FN203" s="139" t="str">
        <f t="shared" si="271"/>
        <v/>
      </c>
      <c r="FO203" s="139" t="str">
        <f t="shared" si="272"/>
        <v/>
      </c>
      <c r="FP203" s="139" t="str">
        <f t="shared" si="273"/>
        <v/>
      </c>
      <c r="FQ203" s="139" t="str">
        <f t="shared" si="274"/>
        <v/>
      </c>
      <c r="FR203" s="139" t="str">
        <f t="shared" si="275"/>
        <v/>
      </c>
      <c r="FS203" s="139" t="str">
        <f t="shared" si="276"/>
        <v/>
      </c>
      <c r="FT203" s="139" t="str">
        <f t="shared" si="277"/>
        <v/>
      </c>
      <c r="FU203" s="148" t="str">
        <f t="shared" si="278"/>
        <v/>
      </c>
      <c r="FV203" s="149"/>
      <c r="FY203" s="211">
        <v>198</v>
      </c>
      <c r="FZ203">
        <v>88.734239100434678</v>
      </c>
      <c r="GA203">
        <v>94.615323495913003</v>
      </c>
      <c r="GB203">
        <v>49.099505593088743</v>
      </c>
      <c r="GC203">
        <v>27.800118931885784</v>
      </c>
      <c r="GD203">
        <v>15.063332475480211</v>
      </c>
      <c r="GE203">
        <v>21.392169097208722</v>
      </c>
      <c r="GF203">
        <v>51.6620694524496</v>
      </c>
      <c r="GG203">
        <v>36.951070774968095</v>
      </c>
      <c r="GH203">
        <v>19.446314643038807</v>
      </c>
      <c r="GI203">
        <v>48.410141072510292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204.95206900887388</v>
      </c>
      <c r="AO204">
        <v>72.121482748966883</v>
      </c>
      <c r="AP204">
        <v>657.12243612609961</v>
      </c>
      <c r="AQ204">
        <v>506.82329543687354</v>
      </c>
      <c r="AR204">
        <v>69.765084033136702</v>
      </c>
      <c r="AS204">
        <v>339.21934047631152</v>
      </c>
      <c r="AT204">
        <v>38.926414371391026</v>
      </c>
      <c r="AU204">
        <v>-113.93795365053579</v>
      </c>
      <c r="AV204"/>
      <c r="AW204"/>
      <c r="AX204" s="146"/>
      <c r="AY204" s="76" t="str">
        <f t="shared" ca="1" si="169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4"/>
        <v/>
      </c>
      <c r="CL204" s="179" t="str">
        <f t="shared" si="205"/>
        <v/>
      </c>
      <c r="CM204" s="180" t="str">
        <f t="shared" si="206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7"/>
        <v/>
      </c>
      <c r="DB204" s="146"/>
      <c r="DC204" s="76" t="str">
        <f t="shared" ca="1" si="170"/>
        <v/>
      </c>
      <c r="DD204" t="str">
        <f t="shared" si="208"/>
        <v/>
      </c>
      <c r="DE204" s="129" t="str">
        <f t="shared" si="333"/>
        <v/>
      </c>
      <c r="DF204" s="161" t="str">
        <f t="shared" si="280"/>
        <v/>
      </c>
      <c r="DG204" s="161" t="str">
        <f t="shared" si="281"/>
        <v/>
      </c>
      <c r="DH204" s="161" t="str">
        <f t="shared" si="282"/>
        <v/>
      </c>
      <c r="DI204" s="161" t="str">
        <f t="shared" si="283"/>
        <v/>
      </c>
      <c r="DJ204" s="161" t="str">
        <f t="shared" si="284"/>
        <v/>
      </c>
      <c r="DK204" s="161" t="str">
        <f t="shared" si="285"/>
        <v/>
      </c>
      <c r="DL204" s="161" t="str">
        <f t="shared" si="286"/>
        <v/>
      </c>
      <c r="DM204" s="161" t="str">
        <f t="shared" si="287"/>
        <v/>
      </c>
      <c r="DN204" s="161" t="str">
        <f t="shared" si="310"/>
        <v/>
      </c>
      <c r="DO204" s="161" t="str">
        <f t="shared" si="311"/>
        <v/>
      </c>
      <c r="DP204" s="161" t="str">
        <f t="shared" si="312"/>
        <v/>
      </c>
      <c r="DQ204" s="161" t="str">
        <f t="shared" si="313"/>
        <v/>
      </c>
      <c r="DR204" s="161" t="str">
        <f t="shared" si="314"/>
        <v/>
      </c>
      <c r="DS204" s="161" t="str">
        <f t="shared" si="315"/>
        <v/>
      </c>
      <c r="DT204" s="161" t="str">
        <f t="shared" si="316"/>
        <v/>
      </c>
      <c r="DU204" s="161" t="str">
        <f t="shared" si="317"/>
        <v/>
      </c>
      <c r="DV204" s="161" t="str">
        <f t="shared" si="318"/>
        <v/>
      </c>
      <c r="DW204" s="161" t="str">
        <f t="shared" si="319"/>
        <v/>
      </c>
      <c r="DX204" s="161" t="str">
        <f t="shared" si="320"/>
        <v/>
      </c>
      <c r="DY204" s="161" t="str">
        <f t="shared" si="321"/>
        <v/>
      </c>
      <c r="DZ204" s="161" t="str">
        <f t="shared" si="322"/>
        <v/>
      </c>
      <c r="EA204" s="161" t="str">
        <f t="shared" si="323"/>
        <v/>
      </c>
      <c r="EB204" s="161" t="str">
        <f t="shared" si="324"/>
        <v/>
      </c>
      <c r="EC204" s="161" t="str">
        <f t="shared" si="325"/>
        <v/>
      </c>
      <c r="ED204" s="161" t="str">
        <f t="shared" si="326"/>
        <v/>
      </c>
      <c r="EE204" s="161" t="str">
        <f t="shared" si="327"/>
        <v/>
      </c>
      <c r="EF204" s="161" t="str">
        <f t="shared" si="328"/>
        <v/>
      </c>
      <c r="EG204" s="161" t="str">
        <f t="shared" si="329"/>
        <v/>
      </c>
      <c r="EH204" s="161" t="str">
        <f t="shared" si="330"/>
        <v/>
      </c>
      <c r="EI204" s="161" t="str">
        <f t="shared" si="331"/>
        <v/>
      </c>
      <c r="EJ204" s="161" t="str">
        <f t="shared" si="332"/>
        <v/>
      </c>
      <c r="EK204" s="147" t="str">
        <f t="shared" si="246"/>
        <v/>
      </c>
      <c r="EL204" s="149"/>
      <c r="EN204" s="146"/>
      <c r="EO204" s="146"/>
      <c r="EP204" s="139" t="str">
        <f t="shared" si="247"/>
        <v/>
      </c>
      <c r="EQ204" s="139" t="str">
        <f t="shared" si="248"/>
        <v/>
      </c>
      <c r="ER204" s="139" t="str">
        <f t="shared" si="249"/>
        <v/>
      </c>
      <c r="ES204" s="139" t="str">
        <f t="shared" si="250"/>
        <v/>
      </c>
      <c r="ET204" s="139" t="str">
        <f t="shared" si="251"/>
        <v/>
      </c>
      <c r="EU204" s="139" t="str">
        <f t="shared" si="252"/>
        <v/>
      </c>
      <c r="EV204" s="139" t="str">
        <f t="shared" si="253"/>
        <v/>
      </c>
      <c r="EW204" s="139" t="str">
        <f t="shared" si="254"/>
        <v/>
      </c>
      <c r="EX204" s="139" t="str">
        <f t="shared" si="255"/>
        <v/>
      </c>
      <c r="EY204" s="139" t="str">
        <f t="shared" si="256"/>
        <v/>
      </c>
      <c r="EZ204" s="139" t="str">
        <f t="shared" si="257"/>
        <v/>
      </c>
      <c r="FA204" s="139" t="str">
        <f t="shared" si="258"/>
        <v/>
      </c>
      <c r="FB204" s="139" t="str">
        <f t="shared" si="259"/>
        <v/>
      </c>
      <c r="FC204" s="139" t="str">
        <f t="shared" si="260"/>
        <v/>
      </c>
      <c r="FD204" s="139" t="str">
        <f t="shared" si="261"/>
        <v/>
      </c>
      <c r="FE204" s="139" t="str">
        <f t="shared" si="262"/>
        <v/>
      </c>
      <c r="FF204" s="139" t="str">
        <f t="shared" si="263"/>
        <v/>
      </c>
      <c r="FG204" s="139" t="str">
        <f t="shared" si="264"/>
        <v/>
      </c>
      <c r="FH204" s="139" t="str">
        <f t="shared" si="265"/>
        <v/>
      </c>
      <c r="FI204" s="139" t="str">
        <f t="shared" si="266"/>
        <v/>
      </c>
      <c r="FJ204" s="139" t="str">
        <f t="shared" si="267"/>
        <v/>
      </c>
      <c r="FK204" s="139" t="str">
        <f t="shared" si="268"/>
        <v/>
      </c>
      <c r="FL204" s="139" t="str">
        <f t="shared" si="269"/>
        <v/>
      </c>
      <c r="FM204" s="139" t="str">
        <f t="shared" si="270"/>
        <v/>
      </c>
      <c r="FN204" s="139" t="str">
        <f t="shared" si="271"/>
        <v/>
      </c>
      <c r="FO204" s="139" t="str">
        <f t="shared" si="272"/>
        <v/>
      </c>
      <c r="FP204" s="139" t="str">
        <f t="shared" si="273"/>
        <v/>
      </c>
      <c r="FQ204" s="139" t="str">
        <f t="shared" si="274"/>
        <v/>
      </c>
      <c r="FR204" s="139" t="str">
        <f t="shared" si="275"/>
        <v/>
      </c>
      <c r="FS204" s="139" t="str">
        <f t="shared" si="276"/>
        <v/>
      </c>
      <c r="FT204" s="139" t="str">
        <f t="shared" si="277"/>
        <v/>
      </c>
      <c r="FU204" s="148" t="str">
        <f t="shared" si="278"/>
        <v/>
      </c>
      <c r="FV204" s="149"/>
      <c r="FY204" s="211">
        <v>199</v>
      </c>
      <c r="FZ204">
        <v>22.446650814612841</v>
      </c>
      <c r="GA204">
        <v>34.305863753504049</v>
      </c>
      <c r="GB204">
        <v>40.10684092343584</v>
      </c>
      <c r="GC204">
        <v>20.826662388060104</v>
      </c>
      <c r="GD204">
        <v>9.9357403762592753</v>
      </c>
      <c r="GE204">
        <v>25.846995749199863</v>
      </c>
      <c r="GF204">
        <v>52.463021395036272</v>
      </c>
      <c r="GG204">
        <v>39.509010811222446</v>
      </c>
      <c r="GH204">
        <v>40.684825809264716</v>
      </c>
      <c r="GI204">
        <v>36.663077783051598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185.12552496854443</v>
      </c>
      <c r="AO205">
        <v>60.707352407813552</v>
      </c>
      <c r="AP205">
        <v>509.68498560357369</v>
      </c>
      <c r="AQ205">
        <v>397.73301526708826</v>
      </c>
      <c r="AR205">
        <v>58.882082450117906</v>
      </c>
      <c r="AS205">
        <v>265.8257616826117</v>
      </c>
      <c r="AT205">
        <v>29.759198778031859</v>
      </c>
      <c r="AU205">
        <v>20.555330190073025</v>
      </c>
      <c r="AV205"/>
      <c r="AW205"/>
      <c r="AX205" s="146"/>
      <c r="AY205" s="76" t="str">
        <f t="shared" ca="1" si="169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4"/>
        <v/>
      </c>
      <c r="CL205" s="179" t="str">
        <f t="shared" si="205"/>
        <v/>
      </c>
      <c r="CM205" s="180" t="str">
        <f t="shared" si="206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7"/>
        <v/>
      </c>
      <c r="DB205" s="146"/>
      <c r="DC205" s="76" t="str">
        <f t="shared" ca="1" si="170"/>
        <v/>
      </c>
      <c r="DD205" t="str">
        <f t="shared" si="208"/>
        <v/>
      </c>
      <c r="DE205" s="129" t="str">
        <f t="shared" si="333"/>
        <v/>
      </c>
      <c r="DF205" s="161" t="str">
        <f t="shared" si="280"/>
        <v/>
      </c>
      <c r="DG205" s="161" t="str">
        <f t="shared" si="281"/>
        <v/>
      </c>
      <c r="DH205" s="161" t="str">
        <f t="shared" si="282"/>
        <v/>
      </c>
      <c r="DI205" s="161" t="str">
        <f t="shared" si="283"/>
        <v/>
      </c>
      <c r="DJ205" s="161" t="str">
        <f t="shared" si="284"/>
        <v/>
      </c>
      <c r="DK205" s="161" t="str">
        <f t="shared" si="285"/>
        <v/>
      </c>
      <c r="DL205" s="161" t="str">
        <f t="shared" si="286"/>
        <v/>
      </c>
      <c r="DM205" s="161" t="str">
        <f t="shared" si="287"/>
        <v/>
      </c>
      <c r="DN205" s="161" t="str">
        <f t="shared" si="310"/>
        <v/>
      </c>
      <c r="DO205" s="161" t="str">
        <f t="shared" si="311"/>
        <v/>
      </c>
      <c r="DP205" s="161" t="str">
        <f t="shared" si="312"/>
        <v/>
      </c>
      <c r="DQ205" s="161" t="str">
        <f t="shared" si="313"/>
        <v/>
      </c>
      <c r="DR205" s="161" t="str">
        <f t="shared" si="314"/>
        <v/>
      </c>
      <c r="DS205" s="161" t="str">
        <f t="shared" si="315"/>
        <v/>
      </c>
      <c r="DT205" s="161" t="str">
        <f t="shared" si="316"/>
        <v/>
      </c>
      <c r="DU205" s="161" t="str">
        <f t="shared" si="317"/>
        <v/>
      </c>
      <c r="DV205" s="161" t="str">
        <f t="shared" si="318"/>
        <v/>
      </c>
      <c r="DW205" s="161" t="str">
        <f t="shared" si="319"/>
        <v/>
      </c>
      <c r="DX205" s="161" t="str">
        <f t="shared" si="320"/>
        <v/>
      </c>
      <c r="DY205" s="161" t="str">
        <f t="shared" si="321"/>
        <v/>
      </c>
      <c r="DZ205" s="161" t="str">
        <f t="shared" si="322"/>
        <v/>
      </c>
      <c r="EA205" s="161" t="str">
        <f t="shared" si="323"/>
        <v/>
      </c>
      <c r="EB205" s="161" t="str">
        <f t="shared" si="324"/>
        <v/>
      </c>
      <c r="EC205" s="161" t="str">
        <f t="shared" si="325"/>
        <v/>
      </c>
      <c r="ED205" s="161" t="str">
        <f t="shared" si="326"/>
        <v/>
      </c>
      <c r="EE205" s="161" t="str">
        <f t="shared" si="327"/>
        <v/>
      </c>
      <c r="EF205" s="161" t="str">
        <f t="shared" si="328"/>
        <v/>
      </c>
      <c r="EG205" s="161" t="str">
        <f t="shared" si="329"/>
        <v/>
      </c>
      <c r="EH205" s="161" t="str">
        <f t="shared" si="330"/>
        <v/>
      </c>
      <c r="EI205" s="161" t="str">
        <f t="shared" si="331"/>
        <v/>
      </c>
      <c r="EJ205" s="161" t="str">
        <f t="shared" si="332"/>
        <v/>
      </c>
      <c r="EK205" s="147" t="str">
        <f t="shared" si="246"/>
        <v/>
      </c>
      <c r="EL205" s="149"/>
      <c r="EN205" s="146"/>
      <c r="EO205" s="146"/>
      <c r="EP205" s="139" t="str">
        <f t="shared" si="247"/>
        <v/>
      </c>
      <c r="EQ205" s="139" t="str">
        <f t="shared" si="248"/>
        <v/>
      </c>
      <c r="ER205" s="139" t="str">
        <f t="shared" si="249"/>
        <v/>
      </c>
      <c r="ES205" s="139" t="str">
        <f t="shared" si="250"/>
        <v/>
      </c>
      <c r="ET205" s="139" t="str">
        <f t="shared" si="251"/>
        <v/>
      </c>
      <c r="EU205" s="139" t="str">
        <f t="shared" si="252"/>
        <v/>
      </c>
      <c r="EV205" s="139" t="str">
        <f t="shared" si="253"/>
        <v/>
      </c>
      <c r="EW205" s="139" t="str">
        <f t="shared" si="254"/>
        <v/>
      </c>
      <c r="EX205" s="139" t="str">
        <f t="shared" si="255"/>
        <v/>
      </c>
      <c r="EY205" s="139" t="str">
        <f t="shared" si="256"/>
        <v/>
      </c>
      <c r="EZ205" s="139" t="str">
        <f t="shared" si="257"/>
        <v/>
      </c>
      <c r="FA205" s="139" t="str">
        <f t="shared" si="258"/>
        <v/>
      </c>
      <c r="FB205" s="139" t="str">
        <f t="shared" si="259"/>
        <v/>
      </c>
      <c r="FC205" s="139" t="str">
        <f t="shared" si="260"/>
        <v/>
      </c>
      <c r="FD205" s="139" t="str">
        <f t="shared" si="261"/>
        <v/>
      </c>
      <c r="FE205" s="139" t="str">
        <f t="shared" si="262"/>
        <v/>
      </c>
      <c r="FF205" s="139" t="str">
        <f t="shared" si="263"/>
        <v/>
      </c>
      <c r="FG205" s="139" t="str">
        <f t="shared" si="264"/>
        <v/>
      </c>
      <c r="FH205" s="139" t="str">
        <f t="shared" si="265"/>
        <v/>
      </c>
      <c r="FI205" s="139" t="str">
        <f t="shared" si="266"/>
        <v/>
      </c>
      <c r="FJ205" s="139" t="str">
        <f t="shared" si="267"/>
        <v/>
      </c>
      <c r="FK205" s="139" t="str">
        <f t="shared" si="268"/>
        <v/>
      </c>
      <c r="FL205" s="139" t="str">
        <f t="shared" si="269"/>
        <v/>
      </c>
      <c r="FM205" s="139" t="str">
        <f t="shared" si="270"/>
        <v/>
      </c>
      <c r="FN205" s="139" t="str">
        <f t="shared" si="271"/>
        <v/>
      </c>
      <c r="FO205" s="139" t="str">
        <f t="shared" si="272"/>
        <v/>
      </c>
      <c r="FP205" s="139" t="str">
        <f t="shared" si="273"/>
        <v/>
      </c>
      <c r="FQ205" s="139" t="str">
        <f t="shared" si="274"/>
        <v/>
      </c>
      <c r="FR205" s="139" t="str">
        <f t="shared" si="275"/>
        <v/>
      </c>
      <c r="FS205" s="139" t="str">
        <f t="shared" si="276"/>
        <v/>
      </c>
      <c r="FT205" s="139" t="str">
        <f t="shared" si="277"/>
        <v/>
      </c>
      <c r="FU205" s="148" t="str">
        <f t="shared" si="278"/>
        <v/>
      </c>
      <c r="FV205" s="149"/>
      <c r="FY205" s="211">
        <v>200</v>
      </c>
      <c r="FZ205">
        <v>76.050867295146119</v>
      </c>
      <c r="GA205">
        <v>94.537594855994669</v>
      </c>
      <c r="GB205">
        <v>41.912867240637965</v>
      </c>
      <c r="GC205">
        <v>20.554798021006544</v>
      </c>
      <c r="GD205">
        <v>13.990829968412177</v>
      </c>
      <c r="GE205">
        <v>21.764105045215455</v>
      </c>
      <c r="GF205">
        <v>21.987814719385405</v>
      </c>
      <c r="GG205">
        <v>20.180599667347533</v>
      </c>
      <c r="GH205">
        <v>30.865174447540667</v>
      </c>
      <c r="GI205">
        <v>39.977885686979988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207.94611365427355</v>
      </c>
      <c r="AO206">
        <v>72.750708344853322</v>
      </c>
      <c r="AP206">
        <v>647.69116648250588</v>
      </c>
      <c r="AQ206">
        <v>507.98995287656032</v>
      </c>
      <c r="AR206">
        <v>69.849886837835939</v>
      </c>
      <c r="AS206">
        <v>346.87729181347441</v>
      </c>
      <c r="AT206">
        <v>35.318393923784015</v>
      </c>
      <c r="AU206">
        <v>-47.469766656818464</v>
      </c>
      <c r="AV206"/>
      <c r="AW206"/>
      <c r="AX206" s="146"/>
      <c r="AY206" s="76" t="str">
        <f t="shared" ca="1" si="169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4"/>
        <v/>
      </c>
      <c r="CL206" s="179" t="str">
        <f t="shared" si="205"/>
        <v/>
      </c>
      <c r="CM206" s="180" t="str">
        <f t="shared" si="206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7"/>
        <v/>
      </c>
      <c r="DB206" s="146"/>
      <c r="DC206" s="76" t="str">
        <f t="shared" ca="1" si="170"/>
        <v/>
      </c>
      <c r="DD206" t="str">
        <f t="shared" si="208"/>
        <v/>
      </c>
      <c r="DE206" s="129" t="str">
        <f t="shared" si="333"/>
        <v/>
      </c>
      <c r="DF206" s="161" t="str">
        <f t="shared" si="280"/>
        <v/>
      </c>
      <c r="DG206" s="161" t="str">
        <f t="shared" si="281"/>
        <v/>
      </c>
      <c r="DH206" s="161" t="str">
        <f t="shared" si="282"/>
        <v/>
      </c>
      <c r="DI206" s="161" t="str">
        <f t="shared" si="283"/>
        <v/>
      </c>
      <c r="DJ206" s="161" t="str">
        <f t="shared" si="284"/>
        <v/>
      </c>
      <c r="DK206" s="161" t="str">
        <f t="shared" si="285"/>
        <v/>
      </c>
      <c r="DL206" s="161" t="str">
        <f t="shared" si="286"/>
        <v/>
      </c>
      <c r="DM206" s="161" t="str">
        <f t="shared" si="287"/>
        <v/>
      </c>
      <c r="DN206" s="161" t="str">
        <f t="shared" si="310"/>
        <v/>
      </c>
      <c r="DO206" s="161" t="str">
        <f t="shared" si="311"/>
        <v/>
      </c>
      <c r="DP206" s="161" t="str">
        <f t="shared" si="312"/>
        <v/>
      </c>
      <c r="DQ206" s="161" t="str">
        <f t="shared" si="313"/>
        <v/>
      </c>
      <c r="DR206" s="161" t="str">
        <f t="shared" si="314"/>
        <v/>
      </c>
      <c r="DS206" s="161" t="str">
        <f t="shared" si="315"/>
        <v/>
      </c>
      <c r="DT206" s="161" t="str">
        <f t="shared" si="316"/>
        <v/>
      </c>
      <c r="DU206" s="161" t="str">
        <f t="shared" si="317"/>
        <v/>
      </c>
      <c r="DV206" s="161" t="str">
        <f t="shared" si="318"/>
        <v/>
      </c>
      <c r="DW206" s="161" t="str">
        <f t="shared" si="319"/>
        <v/>
      </c>
      <c r="DX206" s="161" t="str">
        <f t="shared" si="320"/>
        <v/>
      </c>
      <c r="DY206" s="161" t="str">
        <f t="shared" si="321"/>
        <v/>
      </c>
      <c r="DZ206" s="161" t="str">
        <f t="shared" si="322"/>
        <v/>
      </c>
      <c r="EA206" s="161" t="str">
        <f t="shared" si="323"/>
        <v/>
      </c>
      <c r="EB206" s="161" t="str">
        <f t="shared" si="324"/>
        <v/>
      </c>
      <c r="EC206" s="161" t="str">
        <f t="shared" si="325"/>
        <v/>
      </c>
      <c r="ED206" s="161" t="str">
        <f t="shared" si="326"/>
        <v/>
      </c>
      <c r="EE206" s="161" t="str">
        <f t="shared" si="327"/>
        <v/>
      </c>
      <c r="EF206" s="161" t="str">
        <f t="shared" si="328"/>
        <v/>
      </c>
      <c r="EG206" s="161" t="str">
        <f t="shared" si="329"/>
        <v/>
      </c>
      <c r="EH206" s="161" t="str">
        <f t="shared" si="330"/>
        <v/>
      </c>
      <c r="EI206" s="161" t="str">
        <f t="shared" si="331"/>
        <v/>
      </c>
      <c r="EJ206" s="161" t="str">
        <f t="shared" si="332"/>
        <v/>
      </c>
      <c r="EK206" s="147" t="str">
        <f t="shared" si="246"/>
        <v/>
      </c>
      <c r="EL206" s="149"/>
      <c r="EN206" s="146"/>
      <c r="EO206" s="146"/>
      <c r="EP206" s="139" t="str">
        <f t="shared" si="247"/>
        <v/>
      </c>
      <c r="EQ206" s="139" t="str">
        <f t="shared" si="248"/>
        <v/>
      </c>
      <c r="ER206" s="139" t="str">
        <f t="shared" si="249"/>
        <v/>
      </c>
      <c r="ES206" s="139" t="str">
        <f t="shared" si="250"/>
        <v/>
      </c>
      <c r="ET206" s="139" t="str">
        <f t="shared" si="251"/>
        <v/>
      </c>
      <c r="EU206" s="139" t="str">
        <f t="shared" si="252"/>
        <v/>
      </c>
      <c r="EV206" s="139" t="str">
        <f t="shared" si="253"/>
        <v/>
      </c>
      <c r="EW206" s="139" t="str">
        <f t="shared" si="254"/>
        <v/>
      </c>
      <c r="EX206" s="139" t="str">
        <f t="shared" si="255"/>
        <v/>
      </c>
      <c r="EY206" s="139" t="str">
        <f t="shared" si="256"/>
        <v/>
      </c>
      <c r="EZ206" s="139" t="str">
        <f t="shared" si="257"/>
        <v/>
      </c>
      <c r="FA206" s="139" t="str">
        <f t="shared" si="258"/>
        <v/>
      </c>
      <c r="FB206" s="139" t="str">
        <f t="shared" si="259"/>
        <v/>
      </c>
      <c r="FC206" s="139" t="str">
        <f t="shared" si="260"/>
        <v/>
      </c>
      <c r="FD206" s="139" t="str">
        <f t="shared" si="261"/>
        <v/>
      </c>
      <c r="FE206" s="139" t="str">
        <f t="shared" si="262"/>
        <v/>
      </c>
      <c r="FF206" s="139" t="str">
        <f t="shared" si="263"/>
        <v/>
      </c>
      <c r="FG206" s="139" t="str">
        <f t="shared" si="264"/>
        <v/>
      </c>
      <c r="FH206" s="139" t="str">
        <f t="shared" si="265"/>
        <v/>
      </c>
      <c r="FI206" s="139" t="str">
        <f t="shared" si="266"/>
        <v/>
      </c>
      <c r="FJ206" s="139" t="str">
        <f t="shared" si="267"/>
        <v/>
      </c>
      <c r="FK206" s="139" t="str">
        <f t="shared" si="268"/>
        <v/>
      </c>
      <c r="FL206" s="139" t="str">
        <f t="shared" si="269"/>
        <v/>
      </c>
      <c r="FM206" s="139" t="str">
        <f t="shared" si="270"/>
        <v/>
      </c>
      <c r="FN206" s="139" t="str">
        <f t="shared" si="271"/>
        <v/>
      </c>
      <c r="FO206" s="139" t="str">
        <f t="shared" si="272"/>
        <v/>
      </c>
      <c r="FP206" s="139" t="str">
        <f t="shared" si="273"/>
        <v/>
      </c>
      <c r="FQ206" s="139" t="str">
        <f t="shared" si="274"/>
        <v/>
      </c>
      <c r="FR206" s="139" t="str">
        <f t="shared" si="275"/>
        <v/>
      </c>
      <c r="FS206" s="139" t="str">
        <f t="shared" si="276"/>
        <v/>
      </c>
      <c r="FT206" s="139" t="str">
        <f t="shared" si="277"/>
        <v/>
      </c>
      <c r="FU206" s="148" t="str">
        <f t="shared" si="278"/>
        <v/>
      </c>
      <c r="FV206" s="149"/>
      <c r="FY206" s="211">
        <v>201</v>
      </c>
      <c r="FZ206">
        <v>42.012210977550517</v>
      </c>
      <c r="GA206">
        <v>59.495395695901649</v>
      </c>
      <c r="GB206">
        <v>55.423745371670272</v>
      </c>
      <c r="GC206">
        <v>31.503800395604699</v>
      </c>
      <c r="GD206">
        <v>15.891854467292021</v>
      </c>
      <c r="GE206">
        <v>20.941232472745977</v>
      </c>
      <c r="GF206">
        <v>47.543156402166993</v>
      </c>
      <c r="GG206">
        <v>35.255980652919213</v>
      </c>
      <c r="GH206">
        <v>20.149765399697614</v>
      </c>
      <c r="GI206">
        <v>43.12561046765034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262.58631106093952</v>
      </c>
      <c r="AO207">
        <v>81.471879777301382</v>
      </c>
      <c r="AP207">
        <v>649.90065627596789</v>
      </c>
      <c r="AQ207">
        <v>508.33505840475061</v>
      </c>
      <c r="AR207">
        <v>78.872663706822664</v>
      </c>
      <c r="AS207">
        <v>370.83892554428002</v>
      </c>
      <c r="AT207">
        <v>37.909861567941057</v>
      </c>
      <c r="AU207">
        <v>49.904566122141276</v>
      </c>
      <c r="AV207"/>
      <c r="AW207"/>
      <c r="AX207" s="146"/>
      <c r="AY207" s="76" t="str">
        <f t="shared" ca="1" si="169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4"/>
        <v/>
      </c>
      <c r="CL207" s="179" t="str">
        <f t="shared" si="205"/>
        <v/>
      </c>
      <c r="CM207" s="180" t="str">
        <f t="shared" si="206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7"/>
        <v/>
      </c>
      <c r="DB207" s="146"/>
      <c r="DC207" s="76" t="str">
        <f t="shared" ca="1" si="170"/>
        <v/>
      </c>
      <c r="DD207" t="str">
        <f t="shared" si="208"/>
        <v/>
      </c>
      <c r="DE207" s="129" t="str">
        <f t="shared" si="333"/>
        <v/>
      </c>
      <c r="DF207" s="161" t="str">
        <f t="shared" si="280"/>
        <v/>
      </c>
      <c r="DG207" s="161" t="str">
        <f t="shared" si="281"/>
        <v/>
      </c>
      <c r="DH207" s="161" t="str">
        <f t="shared" si="282"/>
        <v/>
      </c>
      <c r="DI207" s="161" t="str">
        <f t="shared" si="283"/>
        <v/>
      </c>
      <c r="DJ207" s="161" t="str">
        <f t="shared" si="284"/>
        <v/>
      </c>
      <c r="DK207" s="161" t="str">
        <f t="shared" si="285"/>
        <v/>
      </c>
      <c r="DL207" s="161" t="str">
        <f t="shared" si="286"/>
        <v/>
      </c>
      <c r="DM207" s="161" t="str">
        <f t="shared" si="287"/>
        <v/>
      </c>
      <c r="DN207" s="161" t="str">
        <f t="shared" si="310"/>
        <v/>
      </c>
      <c r="DO207" s="161" t="str">
        <f t="shared" ref="DO207:EJ207" si="334">IF($AZ207="", "", (BK207*$CW207)/$CZ207)</f>
        <v/>
      </c>
      <c r="DP207" s="161" t="str">
        <f t="shared" si="334"/>
        <v/>
      </c>
      <c r="DQ207" s="161" t="str">
        <f t="shared" si="334"/>
        <v/>
      </c>
      <c r="DR207" s="161" t="str">
        <f t="shared" si="334"/>
        <v/>
      </c>
      <c r="DS207" s="161" t="str">
        <f t="shared" si="334"/>
        <v/>
      </c>
      <c r="DT207" s="161" t="str">
        <f t="shared" si="334"/>
        <v/>
      </c>
      <c r="DU207" s="161" t="str">
        <f t="shared" si="334"/>
        <v/>
      </c>
      <c r="DV207" s="161" t="str">
        <f t="shared" si="334"/>
        <v/>
      </c>
      <c r="DW207" s="161" t="str">
        <f t="shared" si="334"/>
        <v/>
      </c>
      <c r="DX207" s="161" t="str">
        <f t="shared" si="334"/>
        <v/>
      </c>
      <c r="DY207" s="161" t="str">
        <f t="shared" si="334"/>
        <v/>
      </c>
      <c r="DZ207" s="161" t="str">
        <f t="shared" si="334"/>
        <v/>
      </c>
      <c r="EA207" s="161" t="str">
        <f t="shared" si="334"/>
        <v/>
      </c>
      <c r="EB207" s="161" t="str">
        <f t="shared" si="334"/>
        <v/>
      </c>
      <c r="EC207" s="161" t="str">
        <f t="shared" si="334"/>
        <v/>
      </c>
      <c r="ED207" s="161" t="str">
        <f t="shared" si="334"/>
        <v/>
      </c>
      <c r="EE207" s="161" t="str">
        <f t="shared" si="334"/>
        <v/>
      </c>
      <c r="EF207" s="161" t="str">
        <f t="shared" si="334"/>
        <v/>
      </c>
      <c r="EG207" s="161" t="str">
        <f t="shared" si="334"/>
        <v/>
      </c>
      <c r="EH207" s="161" t="str">
        <f t="shared" si="334"/>
        <v/>
      </c>
      <c r="EI207" s="161" t="str">
        <f t="shared" si="334"/>
        <v/>
      </c>
      <c r="EJ207" s="161" t="str">
        <f t="shared" si="334"/>
        <v/>
      </c>
      <c r="EK207" s="147" t="str">
        <f t="shared" si="246"/>
        <v/>
      </c>
      <c r="EL207" s="149"/>
      <c r="EN207" s="146"/>
      <c r="EO207" s="146"/>
      <c r="EP207" s="139" t="str">
        <f t="shared" si="247"/>
        <v/>
      </c>
      <c r="EQ207" s="139" t="str">
        <f t="shared" si="248"/>
        <v/>
      </c>
      <c r="ER207" s="139" t="str">
        <f t="shared" si="249"/>
        <v/>
      </c>
      <c r="ES207" s="139" t="str">
        <f t="shared" si="250"/>
        <v/>
      </c>
      <c r="ET207" s="139" t="str">
        <f t="shared" si="251"/>
        <v/>
      </c>
      <c r="EU207" s="139" t="str">
        <f t="shared" si="252"/>
        <v/>
      </c>
      <c r="EV207" s="139" t="str">
        <f t="shared" si="253"/>
        <v/>
      </c>
      <c r="EW207" s="139" t="str">
        <f t="shared" si="254"/>
        <v/>
      </c>
      <c r="EX207" s="139" t="str">
        <f t="shared" si="255"/>
        <v/>
      </c>
      <c r="EY207" s="139" t="str">
        <f t="shared" si="256"/>
        <v/>
      </c>
      <c r="EZ207" s="139" t="str">
        <f t="shared" si="257"/>
        <v/>
      </c>
      <c r="FA207" s="139" t="str">
        <f t="shared" si="258"/>
        <v/>
      </c>
      <c r="FB207" s="139" t="str">
        <f t="shared" si="259"/>
        <v/>
      </c>
      <c r="FC207" s="139" t="str">
        <f t="shared" si="260"/>
        <v/>
      </c>
      <c r="FD207" s="139" t="str">
        <f t="shared" si="261"/>
        <v/>
      </c>
      <c r="FE207" s="139" t="str">
        <f t="shared" si="262"/>
        <v/>
      </c>
      <c r="FF207" s="139" t="str">
        <f t="shared" si="263"/>
        <v/>
      </c>
      <c r="FG207" s="139" t="str">
        <f t="shared" si="264"/>
        <v/>
      </c>
      <c r="FH207" s="139" t="str">
        <f t="shared" si="265"/>
        <v/>
      </c>
      <c r="FI207" s="139" t="str">
        <f t="shared" si="266"/>
        <v/>
      </c>
      <c r="FJ207" s="139" t="str">
        <f t="shared" si="267"/>
        <v/>
      </c>
      <c r="FK207" s="139" t="str">
        <f t="shared" si="268"/>
        <v/>
      </c>
      <c r="FL207" s="139" t="str">
        <f t="shared" si="269"/>
        <v/>
      </c>
      <c r="FM207" s="139" t="str">
        <f t="shared" si="270"/>
        <v/>
      </c>
      <c r="FN207" s="139" t="str">
        <f t="shared" si="271"/>
        <v/>
      </c>
      <c r="FO207" s="139" t="str">
        <f t="shared" si="272"/>
        <v/>
      </c>
      <c r="FP207" s="139" t="str">
        <f t="shared" si="273"/>
        <v/>
      </c>
      <c r="FQ207" s="139" t="str">
        <f t="shared" si="274"/>
        <v/>
      </c>
      <c r="FR207" s="139" t="str">
        <f t="shared" si="275"/>
        <v/>
      </c>
      <c r="FS207" s="139" t="str">
        <f t="shared" si="276"/>
        <v/>
      </c>
      <c r="FT207" s="139" t="str">
        <f t="shared" si="277"/>
        <v/>
      </c>
      <c r="FU207" s="148" t="str">
        <f t="shared" si="278"/>
        <v/>
      </c>
      <c r="FV207" s="149"/>
      <c r="FY207" s="211">
        <v>202</v>
      </c>
      <c r="FZ207">
        <v>153.2052843101485</v>
      </c>
      <c r="GA207">
        <v>194.25655794919172</v>
      </c>
      <c r="GB207">
        <v>35.968966216641959</v>
      </c>
      <c r="GC207">
        <v>17.264327378097281</v>
      </c>
      <c r="GD207">
        <v>14.642976247107264</v>
      </c>
      <c r="GE207">
        <v>29.120406639055879</v>
      </c>
      <c r="GF207">
        <v>56.113538830974321</v>
      </c>
      <c r="GG207">
        <v>36.198247461117397</v>
      </c>
      <c r="GH207">
        <v>12.255459013888377</v>
      </c>
      <c r="GI207">
        <v>54.071471465038805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219.05624448466014</v>
      </c>
      <c r="AO208">
        <v>69.875148851457112</v>
      </c>
      <c r="AP208">
        <v>588.9713800555752</v>
      </c>
      <c r="AQ208">
        <v>460.88199438697791</v>
      </c>
      <c r="AR208">
        <v>68.085669670145037</v>
      </c>
      <c r="AS208">
        <v>329.68024054167057</v>
      </c>
      <c r="AT208">
        <v>34.975334141018124</v>
      </c>
      <c r="AU208">
        <v>-41.08474856748515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63.061232241965207</v>
      </c>
      <c r="GA208">
        <v>81.892482894086953</v>
      </c>
      <c r="GB208">
        <v>35.366013476559608</v>
      </c>
      <c r="GC208">
        <v>21.584385112701085</v>
      </c>
      <c r="GD208">
        <v>16.083341119390351</v>
      </c>
      <c r="GE208">
        <v>26.610657910389531</v>
      </c>
      <c r="GF208">
        <v>38.833412142183228</v>
      </c>
      <c r="GG208">
        <v>33.203512139280349</v>
      </c>
      <c r="GH208">
        <v>35.128499973075115</v>
      </c>
      <c r="GI208">
        <v>41.784681214115359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231.6991763566827</v>
      </c>
      <c r="AO209">
        <v>75.786236252982135</v>
      </c>
      <c r="AP209">
        <v>659.72579520133957</v>
      </c>
      <c r="AQ209">
        <v>520.86906197990118</v>
      </c>
      <c r="AR209">
        <v>72.199326272326047</v>
      </c>
      <c r="AS209">
        <v>368.80708204808445</v>
      </c>
      <c r="AT209">
        <v>37.197332932886674</v>
      </c>
      <c r="AU209">
        <v>-12.242996623586222</v>
      </c>
      <c r="AV209"/>
      <c r="AW209"/>
      <c r="FY209" s="211">
        <v>204</v>
      </c>
      <c r="FZ209">
        <v>127.1993267587177</v>
      </c>
      <c r="GA209">
        <v>157.47112069229422</v>
      </c>
      <c r="GB209">
        <v>32.325127720240204</v>
      </c>
      <c r="GC209">
        <v>12.418940541353438</v>
      </c>
      <c r="GD209">
        <v>15.024063653732245</v>
      </c>
      <c r="GE209">
        <v>29.004584376433588</v>
      </c>
      <c r="GF209">
        <v>39.831924089249412</v>
      </c>
      <c r="GG209">
        <v>25.136190229507889</v>
      </c>
      <c r="GH209">
        <v>19.824113104637426</v>
      </c>
      <c r="GI209">
        <v>47.791057904971318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201.44925335184041</v>
      </c>
      <c r="AO210">
        <v>72.18658289451875</v>
      </c>
      <c r="AP210">
        <v>598.34981599926948</v>
      </c>
      <c r="AQ210">
        <v>478.53804108161961</v>
      </c>
      <c r="AR210">
        <v>67.933285832946154</v>
      </c>
      <c r="AS210">
        <v>334.56037720106445</v>
      </c>
      <c r="AT210">
        <v>35.272263268634838</v>
      </c>
      <c r="AU210">
        <v>-32.314412301135043</v>
      </c>
      <c r="AV210"/>
      <c r="AW210"/>
      <c r="FY210" s="211">
        <v>205</v>
      </c>
      <c r="FZ210">
        <v>31.2505127508512</v>
      </c>
      <c r="GA210">
        <v>40.387703286871115</v>
      </c>
      <c r="GB210">
        <v>42.035024981646075</v>
      </c>
      <c r="GC210">
        <v>24.049364556439706</v>
      </c>
      <c r="GD210">
        <v>14.964153011755378</v>
      </c>
      <c r="GE210">
        <v>24.713471532499856</v>
      </c>
      <c r="GF210">
        <v>60.45219287606205</v>
      </c>
      <c r="GG210">
        <v>48.225890120537748</v>
      </c>
      <c r="GH210">
        <v>17.448515789793273</v>
      </c>
      <c r="GI210">
        <v>39.732493939146217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237.79200148300714</v>
      </c>
      <c r="AO211">
        <v>85.87029714308548</v>
      </c>
      <c r="AP211">
        <v>802.74356065588165</v>
      </c>
      <c r="AQ211">
        <v>630.51191692519353</v>
      </c>
      <c r="AR211">
        <v>82.18454954555969</v>
      </c>
      <c r="AS211">
        <v>385.24800331211446</v>
      </c>
      <c r="AT211">
        <v>45.256307139245422</v>
      </c>
      <c r="AU211">
        <v>29.954958599753279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1">
        <v>206</v>
      </c>
      <c r="FZ211">
        <v>41.009835291864256</v>
      </c>
      <c r="GA211">
        <v>55.17123993708482</v>
      </c>
      <c r="GB211">
        <v>51.915824286420232</v>
      </c>
      <c r="GC211">
        <v>24.703611927190359</v>
      </c>
      <c r="GD211">
        <v>19.519262670386698</v>
      </c>
      <c r="GE211">
        <v>30.615991628389729</v>
      </c>
      <c r="GF211">
        <v>80.948885613711255</v>
      </c>
      <c r="GG211">
        <v>69.785052722117484</v>
      </c>
      <c r="GH211">
        <v>21.691139407159724</v>
      </c>
      <c r="GI211">
        <v>51.391887398829923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222.38208217187974</v>
      </c>
      <c r="AO212">
        <v>88.465025330160358</v>
      </c>
      <c r="AP212">
        <v>776.78046808797046</v>
      </c>
      <c r="AQ212">
        <v>626.52933450316903</v>
      </c>
      <c r="AR212">
        <v>84.499245471046848</v>
      </c>
      <c r="AS212">
        <v>413.92348604040274</v>
      </c>
      <c r="AT212">
        <v>46.183757968918734</v>
      </c>
      <c r="AU212">
        <v>32.174383160045075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5">AVERAGE(DF88:DF97)</f>
        <v>0</v>
      </c>
      <c r="DG212" s="182">
        <f t="shared" si="335"/>
        <v>0</v>
      </c>
      <c r="DH212" s="182">
        <f t="shared" si="335"/>
        <v>9.375</v>
      </c>
      <c r="DI212" s="182">
        <f t="shared" si="335"/>
        <v>31.25</v>
      </c>
      <c r="DJ212" s="182">
        <f t="shared" si="335"/>
        <v>46.875</v>
      </c>
      <c r="DK212" s="182">
        <f t="shared" ref="DK212:DQ212" si="336">AVERAGE(DK88:DK97)</f>
        <v>9.375</v>
      </c>
      <c r="DL212" s="182">
        <f t="shared" si="336"/>
        <v>14.583333333333332</v>
      </c>
      <c r="DM212" s="182">
        <f t="shared" si="336"/>
        <v>6.25</v>
      </c>
      <c r="DN212" s="182">
        <f t="shared" si="336"/>
        <v>5.2083333333333339</v>
      </c>
      <c r="DO212" s="182">
        <f t="shared" si="336"/>
        <v>1.0416666666666665</v>
      </c>
      <c r="DP212" s="182">
        <f t="shared" si="336"/>
        <v>0</v>
      </c>
      <c r="DQ212" s="182">
        <f t="shared" si="336"/>
        <v>0</v>
      </c>
      <c r="DR212" s="182">
        <f t="shared" si="335"/>
        <v>0</v>
      </c>
      <c r="DS212" s="182">
        <f t="shared" si="335"/>
        <v>0</v>
      </c>
      <c r="DT212" s="182">
        <f t="shared" si="335"/>
        <v>0</v>
      </c>
      <c r="DU212" s="182">
        <f t="shared" si="335"/>
        <v>0</v>
      </c>
      <c r="DV212" s="182">
        <f t="shared" si="335"/>
        <v>0</v>
      </c>
      <c r="DW212" s="182">
        <f t="shared" si="335"/>
        <v>0</v>
      </c>
      <c r="DX212" s="182">
        <f t="shared" si="335"/>
        <v>0</v>
      </c>
      <c r="DY212" s="182">
        <f t="shared" si="335"/>
        <v>0</v>
      </c>
      <c r="DZ212" s="182">
        <f t="shared" si="335"/>
        <v>0</v>
      </c>
      <c r="EA212" s="182">
        <f t="shared" si="335"/>
        <v>0</v>
      </c>
      <c r="EB212" s="182">
        <f t="shared" si="335"/>
        <v>0</v>
      </c>
      <c r="EC212" s="182">
        <f t="shared" si="335"/>
        <v>0</v>
      </c>
      <c r="ED212" s="182">
        <f t="shared" si="335"/>
        <v>0</v>
      </c>
      <c r="EE212" s="182">
        <f t="shared" si="335"/>
        <v>0</v>
      </c>
      <c r="EF212" s="182">
        <f t="shared" si="335"/>
        <v>0</v>
      </c>
      <c r="EG212" s="182">
        <f t="shared" si="335"/>
        <v>0</v>
      </c>
      <c r="EH212" s="182">
        <f t="shared" si="335"/>
        <v>0</v>
      </c>
      <c r="EI212" s="182">
        <f t="shared" si="335"/>
        <v>0</v>
      </c>
      <c r="EJ212" s="182">
        <f t="shared" si="335"/>
        <v>0</v>
      </c>
      <c r="FY212" s="211">
        <v>207</v>
      </c>
      <c r="FZ212">
        <v>80.739523302404592</v>
      </c>
      <c r="GA212">
        <v>87.094659498983106</v>
      </c>
      <c r="GB212">
        <v>46.168407379860525</v>
      </c>
      <c r="GC212">
        <v>26.797829923591003</v>
      </c>
      <c r="GD212">
        <v>13.572417343214939</v>
      </c>
      <c r="GE212">
        <v>21.584301043918682</v>
      </c>
      <c r="GF212">
        <v>31.506793093610149</v>
      </c>
      <c r="GG212">
        <v>20.885887652877734</v>
      </c>
      <c r="GH212">
        <v>18.972007854648552</v>
      </c>
      <c r="GI212">
        <v>41.470017589772119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218.09989990360617</v>
      </c>
      <c r="AO213">
        <v>75.559280251460081</v>
      </c>
      <c r="AP213">
        <v>678.92028667233978</v>
      </c>
      <c r="AQ213">
        <v>521.02071781409143</v>
      </c>
      <c r="AR213">
        <v>71.168993128083443</v>
      </c>
      <c r="AS213">
        <v>337.0180761801459</v>
      </c>
      <c r="AT213">
        <v>37.039732281092832</v>
      </c>
      <c r="AU213">
        <v>-16.065221962787682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7">AVERAGE(DF98:DF107)</f>
        <v>0</v>
      </c>
      <c r="DG213" s="185">
        <f t="shared" si="337"/>
        <v>0</v>
      </c>
      <c r="DH213" s="185">
        <f t="shared" si="337"/>
        <v>1.0416666666666665</v>
      </c>
      <c r="DI213" s="185">
        <f t="shared" si="337"/>
        <v>18.854166666666664</v>
      </c>
      <c r="DJ213" s="185">
        <f t="shared" si="337"/>
        <v>20</v>
      </c>
      <c r="DK213" s="185">
        <f t="shared" ref="DK213:DQ213" si="338">AVERAGE(DK98:DK107)</f>
        <v>43.398692810457518</v>
      </c>
      <c r="DL213" s="185">
        <f t="shared" si="338"/>
        <v>39.345238095238088</v>
      </c>
      <c r="DM213" s="185">
        <f t="shared" si="338"/>
        <v>14.166666666666666</v>
      </c>
      <c r="DN213" s="185">
        <f t="shared" si="338"/>
        <v>1.0416666666666665</v>
      </c>
      <c r="DO213" s="185">
        <f t="shared" si="338"/>
        <v>12.291666666666668</v>
      </c>
      <c r="DP213" s="185">
        <f t="shared" si="338"/>
        <v>0</v>
      </c>
      <c r="DQ213" s="185">
        <f t="shared" si="338"/>
        <v>0</v>
      </c>
      <c r="DR213" s="185">
        <f t="shared" si="337"/>
        <v>0</v>
      </c>
      <c r="DS213" s="185">
        <f t="shared" si="337"/>
        <v>0</v>
      </c>
      <c r="DT213" s="185">
        <f t="shared" si="337"/>
        <v>0</v>
      </c>
      <c r="DU213" s="185">
        <f t="shared" si="337"/>
        <v>0</v>
      </c>
      <c r="DV213" s="185">
        <f t="shared" si="337"/>
        <v>0</v>
      </c>
      <c r="DW213" s="185">
        <f t="shared" si="337"/>
        <v>0</v>
      </c>
      <c r="DX213" s="185">
        <f t="shared" si="337"/>
        <v>0</v>
      </c>
      <c r="DY213" s="185">
        <f t="shared" si="337"/>
        <v>0</v>
      </c>
      <c r="DZ213" s="185">
        <f t="shared" si="337"/>
        <v>0</v>
      </c>
      <c r="EA213" s="185">
        <f t="shared" si="337"/>
        <v>0</v>
      </c>
      <c r="EB213" s="185">
        <f t="shared" si="337"/>
        <v>0</v>
      </c>
      <c r="EC213" s="185">
        <f t="shared" si="337"/>
        <v>0</v>
      </c>
      <c r="ED213" s="185">
        <f t="shared" si="337"/>
        <v>0</v>
      </c>
      <c r="EE213" s="185">
        <f t="shared" si="337"/>
        <v>0</v>
      </c>
      <c r="EF213" s="185">
        <f t="shared" si="337"/>
        <v>0</v>
      </c>
      <c r="EG213" s="185">
        <f t="shared" si="337"/>
        <v>0</v>
      </c>
      <c r="EH213" s="185">
        <f t="shared" si="337"/>
        <v>0</v>
      </c>
      <c r="EI213" s="185">
        <f t="shared" si="337"/>
        <v>0</v>
      </c>
      <c r="EJ213" s="185">
        <f t="shared" si="337"/>
        <v>0</v>
      </c>
      <c r="FY213" s="211">
        <v>208</v>
      </c>
      <c r="FZ213">
        <v>40.145155460523995</v>
      </c>
      <c r="GA213">
        <v>53.330142204734287</v>
      </c>
      <c r="GB213">
        <v>45.335141029996834</v>
      </c>
      <c r="GC213">
        <v>23.682251355872108</v>
      </c>
      <c r="GD213">
        <v>16.405267904678567</v>
      </c>
      <c r="GE213">
        <v>29.522439672945374</v>
      </c>
      <c r="GF213">
        <v>66.764903658759252</v>
      </c>
      <c r="GG213">
        <v>48.301830176092878</v>
      </c>
      <c r="GH213">
        <v>15.786554918548013</v>
      </c>
      <c r="GI213">
        <v>43.807708153801663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232.54311300716034</v>
      </c>
      <c r="AO214">
        <v>70.156680048761288</v>
      </c>
      <c r="AP214">
        <v>574.26963367024473</v>
      </c>
      <c r="AQ214">
        <v>453.17428463697792</v>
      </c>
      <c r="AR214">
        <v>69.953570232038956</v>
      </c>
      <c r="AS214">
        <v>329.91149661159147</v>
      </c>
      <c r="AT214">
        <v>34.220692158282965</v>
      </c>
      <c r="AU214">
        <v>-53.271467144514425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39">AVERAGE(DF108:DF117)</f>
        <v>0</v>
      </c>
      <c r="DG214" s="182">
        <f t="shared" si="339"/>
        <v>36.437331989247312</v>
      </c>
      <c r="DH214" s="182">
        <f t="shared" si="339"/>
        <v>45.365903417818743</v>
      </c>
      <c r="DI214" s="182">
        <f t="shared" si="339"/>
        <v>2.083333333333333</v>
      </c>
      <c r="DJ214" s="182">
        <f t="shared" si="339"/>
        <v>6.2499999999999991</v>
      </c>
      <c r="DK214" s="182">
        <f t="shared" si="339"/>
        <v>34.375</v>
      </c>
      <c r="DL214" s="182">
        <f t="shared" si="339"/>
        <v>33.333333333333329</v>
      </c>
      <c r="DM214" s="182">
        <f t="shared" si="339"/>
        <v>5.208333333333333</v>
      </c>
      <c r="DN214" s="182">
        <f t="shared" si="339"/>
        <v>4.1666666666666661</v>
      </c>
      <c r="DO214" s="182">
        <f t="shared" si="339"/>
        <v>0</v>
      </c>
      <c r="DP214" s="182">
        <f t="shared" si="339"/>
        <v>0</v>
      </c>
      <c r="DQ214" s="182">
        <f t="shared" si="339"/>
        <v>0</v>
      </c>
      <c r="DR214" s="182">
        <f t="shared" si="339"/>
        <v>0</v>
      </c>
      <c r="DS214" s="182">
        <f t="shared" si="339"/>
        <v>0</v>
      </c>
      <c r="DT214" s="182">
        <f t="shared" si="339"/>
        <v>0</v>
      </c>
      <c r="DU214" s="182">
        <f t="shared" si="339"/>
        <v>0</v>
      </c>
      <c r="DV214" s="182">
        <f t="shared" si="339"/>
        <v>0</v>
      </c>
      <c r="DW214" s="182">
        <f t="shared" si="339"/>
        <v>0</v>
      </c>
      <c r="DX214" s="182">
        <f t="shared" si="339"/>
        <v>0</v>
      </c>
      <c r="DY214" s="182">
        <f t="shared" si="339"/>
        <v>0</v>
      </c>
      <c r="DZ214" s="182">
        <f t="shared" si="339"/>
        <v>0</v>
      </c>
      <c r="EA214" s="182">
        <f t="shared" si="339"/>
        <v>0</v>
      </c>
      <c r="EB214" s="182">
        <f t="shared" si="339"/>
        <v>0</v>
      </c>
      <c r="EC214" s="182">
        <f t="shared" si="339"/>
        <v>0</v>
      </c>
      <c r="ED214" s="182">
        <f t="shared" si="339"/>
        <v>0</v>
      </c>
      <c r="EE214" s="182">
        <f t="shared" si="339"/>
        <v>0</v>
      </c>
      <c r="EF214" s="182">
        <f t="shared" si="339"/>
        <v>0</v>
      </c>
      <c r="EG214" s="182">
        <f t="shared" si="339"/>
        <v>0</v>
      </c>
      <c r="EH214" s="182">
        <f t="shared" si="339"/>
        <v>0</v>
      </c>
      <c r="EI214" s="182">
        <f t="shared" si="339"/>
        <v>0</v>
      </c>
      <c r="EJ214" s="182">
        <f t="shared" si="339"/>
        <v>0</v>
      </c>
      <c r="FY214" s="211">
        <v>209</v>
      </c>
      <c r="FZ214">
        <v>64.30042733623786</v>
      </c>
      <c r="GA214">
        <v>92.966781789832055</v>
      </c>
      <c r="GB214">
        <v>42.987115185840878</v>
      </c>
      <c r="GC214">
        <v>24.196132639587546</v>
      </c>
      <c r="GD214">
        <v>15.534966880827564</v>
      </c>
      <c r="GE214">
        <v>28.335244937637341</v>
      </c>
      <c r="GF214">
        <v>43.808643843180711</v>
      </c>
      <c r="GG214">
        <v>28.365645754844238</v>
      </c>
      <c r="GH214">
        <v>24.988083200619258</v>
      </c>
      <c r="GI214">
        <v>43.0235320275237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201.51181277204813</v>
      </c>
      <c r="AO215">
        <v>53.648756951276482</v>
      </c>
      <c r="AP215">
        <v>428.48771855308195</v>
      </c>
      <c r="AQ215">
        <v>322.788689803647</v>
      </c>
      <c r="AR215">
        <v>52.075346364773786</v>
      </c>
      <c r="AS215">
        <v>259.0967067426003</v>
      </c>
      <c r="AT215">
        <v>24.872982749732145</v>
      </c>
      <c r="AU215">
        <v>32.23424685395814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0">AVERAGE(DF118:DF127)</f>
        <v>0</v>
      </c>
      <c r="DG215" s="182">
        <f t="shared" ref="DG215:DH215" si="341">AVERAGE(DG118:DG127)</f>
        <v>38.389008620689651</v>
      </c>
      <c r="DH215" s="182">
        <f t="shared" si="341"/>
        <v>82.244892320323373</v>
      </c>
      <c r="DI215" s="182">
        <f t="shared" si="340"/>
        <v>65.449434542422352</v>
      </c>
      <c r="DJ215" s="182">
        <f t="shared" si="340"/>
        <v>30.076694139194139</v>
      </c>
      <c r="DK215" s="182">
        <f t="shared" si="340"/>
        <v>31.881313131313135</v>
      </c>
      <c r="DL215" s="182">
        <f t="shared" si="340"/>
        <v>39.820075757575765</v>
      </c>
      <c r="DM215" s="182">
        <f t="shared" si="340"/>
        <v>16.287878787878785</v>
      </c>
      <c r="DN215" s="182">
        <f t="shared" si="340"/>
        <v>10.369318181818182</v>
      </c>
      <c r="DO215" s="182">
        <f t="shared" si="340"/>
        <v>0</v>
      </c>
      <c r="DP215" s="182">
        <f t="shared" si="340"/>
        <v>0</v>
      </c>
      <c r="DQ215" s="182">
        <f t="shared" si="340"/>
        <v>0</v>
      </c>
      <c r="DR215" s="182">
        <f t="shared" si="340"/>
        <v>0</v>
      </c>
      <c r="DS215" s="182">
        <f t="shared" si="340"/>
        <v>0</v>
      </c>
      <c r="DT215" s="182">
        <f t="shared" si="340"/>
        <v>0</v>
      </c>
      <c r="DU215" s="182">
        <f t="shared" si="340"/>
        <v>0</v>
      </c>
      <c r="DV215" s="182">
        <f t="shared" si="340"/>
        <v>0</v>
      </c>
      <c r="DW215" s="182">
        <f t="shared" si="340"/>
        <v>0</v>
      </c>
      <c r="DX215" s="182">
        <f t="shared" si="340"/>
        <v>0</v>
      </c>
      <c r="DY215" s="182">
        <f t="shared" si="340"/>
        <v>0</v>
      </c>
      <c r="DZ215" s="182">
        <f t="shared" si="340"/>
        <v>0</v>
      </c>
      <c r="EA215" s="182">
        <f t="shared" si="340"/>
        <v>0</v>
      </c>
      <c r="EB215" s="182">
        <f t="shared" si="340"/>
        <v>0</v>
      </c>
      <c r="EC215" s="182">
        <f t="shared" si="340"/>
        <v>0</v>
      </c>
      <c r="ED215" s="182">
        <f t="shared" si="340"/>
        <v>0</v>
      </c>
      <c r="EE215" s="182">
        <f t="shared" si="340"/>
        <v>0</v>
      </c>
      <c r="EF215" s="182">
        <f t="shared" si="340"/>
        <v>0</v>
      </c>
      <c r="EG215" s="182">
        <f t="shared" si="340"/>
        <v>0</v>
      </c>
      <c r="EH215" s="182">
        <f t="shared" si="340"/>
        <v>0</v>
      </c>
      <c r="EI215" s="182">
        <f t="shared" si="340"/>
        <v>0</v>
      </c>
      <c r="EJ215" s="182">
        <f t="shared" si="340"/>
        <v>0</v>
      </c>
      <c r="FY215" s="211">
        <v>210</v>
      </c>
      <c r="FZ215">
        <v>112.38560829176721</v>
      </c>
      <c r="GA215">
        <v>143.90414692182173</v>
      </c>
      <c r="GB215">
        <v>53.190146656677356</v>
      </c>
      <c r="GC215">
        <v>28.462676371663722</v>
      </c>
      <c r="GD215">
        <v>17.706167529776991</v>
      </c>
      <c r="GE215">
        <v>31.154423186129705</v>
      </c>
      <c r="GF215">
        <v>39.778596732350401</v>
      </c>
      <c r="GG215">
        <v>25.701602059429469</v>
      </c>
      <c r="GH215">
        <v>18.497432103498483</v>
      </c>
      <c r="GI215">
        <v>52.026411183475766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185.3288888725472</v>
      </c>
      <c r="AO216">
        <v>57.916854516407476</v>
      </c>
      <c r="AP216">
        <v>476.41698101239831</v>
      </c>
      <c r="AQ216">
        <v>381.82253694766655</v>
      </c>
      <c r="AR216">
        <v>57.80097873620106</v>
      </c>
      <c r="AS216">
        <v>275.22053104672489</v>
      </c>
      <c r="AT216">
        <v>30.870685977610904</v>
      </c>
      <c r="AU216">
        <v>-33.21633303557941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2">AVERAGE(DF128:DF137)</f>
        <v>0</v>
      </c>
      <c r="DG216" s="182">
        <f t="shared" ref="DG216:DH216" si="343">AVERAGE(DG128:DG137)</f>
        <v>8.3333333333333339</v>
      </c>
      <c r="DH216" s="182">
        <f t="shared" si="343"/>
        <v>170.89736652236653</v>
      </c>
      <c r="DI216" s="182">
        <f t="shared" si="342"/>
        <v>39.696518759018758</v>
      </c>
      <c r="DJ216" s="182">
        <f t="shared" si="342"/>
        <v>14.962121212121213</v>
      </c>
      <c r="DK216" s="182">
        <f t="shared" si="342"/>
        <v>9.7222222222222214</v>
      </c>
      <c r="DL216" s="182">
        <f t="shared" si="342"/>
        <v>25.126262626262626</v>
      </c>
      <c r="DM216" s="182">
        <f t="shared" si="342"/>
        <v>16.3510101010101</v>
      </c>
      <c r="DN216" s="182">
        <f t="shared" si="342"/>
        <v>5.5555555555555554</v>
      </c>
      <c r="DO216" s="182">
        <f t="shared" si="342"/>
        <v>0</v>
      </c>
      <c r="DP216" s="182">
        <f t="shared" si="342"/>
        <v>0</v>
      </c>
      <c r="DQ216" s="182">
        <f t="shared" si="342"/>
        <v>0</v>
      </c>
      <c r="DR216" s="182">
        <f t="shared" si="342"/>
        <v>0</v>
      </c>
      <c r="DS216" s="182">
        <f t="shared" si="342"/>
        <v>0</v>
      </c>
      <c r="DT216" s="182">
        <f t="shared" si="342"/>
        <v>0</v>
      </c>
      <c r="DU216" s="182">
        <f t="shared" si="342"/>
        <v>0</v>
      </c>
      <c r="DV216" s="182">
        <f t="shared" si="342"/>
        <v>0</v>
      </c>
      <c r="DW216" s="182">
        <f t="shared" si="342"/>
        <v>0</v>
      </c>
      <c r="DX216" s="182">
        <f t="shared" si="342"/>
        <v>0</v>
      </c>
      <c r="DY216" s="182">
        <f t="shared" si="342"/>
        <v>0</v>
      </c>
      <c r="DZ216" s="182">
        <f t="shared" si="342"/>
        <v>0</v>
      </c>
      <c r="EA216" s="182">
        <f t="shared" si="342"/>
        <v>0</v>
      </c>
      <c r="EB216" s="182">
        <f t="shared" si="342"/>
        <v>0</v>
      </c>
      <c r="EC216" s="182">
        <f t="shared" si="342"/>
        <v>0</v>
      </c>
      <c r="ED216" s="182">
        <f t="shared" si="342"/>
        <v>0</v>
      </c>
      <c r="EE216" s="182">
        <f t="shared" si="342"/>
        <v>0</v>
      </c>
      <c r="EF216" s="182">
        <f t="shared" si="342"/>
        <v>0</v>
      </c>
      <c r="EG216" s="182">
        <f t="shared" si="342"/>
        <v>0</v>
      </c>
      <c r="EH216" s="182">
        <f t="shared" si="342"/>
        <v>0</v>
      </c>
      <c r="EI216" s="182">
        <f t="shared" si="342"/>
        <v>0</v>
      </c>
      <c r="EJ216" s="182">
        <f t="shared" si="342"/>
        <v>0</v>
      </c>
      <c r="FY216" s="211">
        <v>211</v>
      </c>
      <c r="FZ216">
        <v>38.360838273095013</v>
      </c>
      <c r="GA216">
        <v>49.498199017056614</v>
      </c>
      <c r="GB216">
        <v>44.809685443589544</v>
      </c>
      <c r="GC216">
        <v>21.20050303495087</v>
      </c>
      <c r="GD216">
        <v>14.117631476782895</v>
      </c>
      <c r="GE216">
        <v>23.558851996339587</v>
      </c>
      <c r="GF216">
        <v>49.940638899658389</v>
      </c>
      <c r="GG216">
        <v>38.932354794523611</v>
      </c>
      <c r="GH216">
        <v>17.528353777164295</v>
      </c>
      <c r="GI216">
        <v>38.953721385231852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214.4782768565683</v>
      </c>
      <c r="AO217">
        <v>63.515629123440384</v>
      </c>
      <c r="AP217">
        <v>483.41567574690413</v>
      </c>
      <c r="AQ217">
        <v>371.34275230319929</v>
      </c>
      <c r="AR217">
        <v>61.760799198398985</v>
      </c>
      <c r="AS217">
        <v>287.52228403944713</v>
      </c>
      <c r="AT217">
        <v>28.326368596978881</v>
      </c>
      <c r="AU217">
        <v>11.973468994280886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4">AVERAGE(DF138:DF147)</f>
        <v>15.064102564102564</v>
      </c>
      <c r="DG217" s="182">
        <f t="shared" ref="DG217:DH217" si="345">AVERAGE(DG138:DG147)</f>
        <v>67.513736263736277</v>
      </c>
      <c r="DH217" s="182">
        <f t="shared" si="345"/>
        <v>147.48693912296852</v>
      </c>
      <c r="DI217" s="182">
        <f t="shared" si="344"/>
        <v>12.5</v>
      </c>
      <c r="DJ217" s="182">
        <f t="shared" si="344"/>
        <v>1.0416666666666665</v>
      </c>
      <c r="DK217" s="182">
        <f t="shared" si="344"/>
        <v>5.5288461538461533</v>
      </c>
      <c r="DL217" s="182">
        <f t="shared" si="344"/>
        <v>15.544871794871796</v>
      </c>
      <c r="DM217" s="182">
        <f t="shared" si="344"/>
        <v>30.055361305361306</v>
      </c>
      <c r="DN217" s="182">
        <f t="shared" si="344"/>
        <v>5.5288461538461533</v>
      </c>
      <c r="DO217" s="182">
        <f t="shared" si="344"/>
        <v>1.0416666666666665</v>
      </c>
      <c r="DP217" s="182">
        <f t="shared" si="344"/>
        <v>0</v>
      </c>
      <c r="DQ217" s="182">
        <f t="shared" si="344"/>
        <v>0</v>
      </c>
      <c r="DR217" s="182">
        <f t="shared" si="344"/>
        <v>0</v>
      </c>
      <c r="DS217" s="182">
        <f t="shared" si="344"/>
        <v>0</v>
      </c>
      <c r="DT217" s="182">
        <f t="shared" si="344"/>
        <v>0</v>
      </c>
      <c r="DU217" s="182">
        <f t="shared" si="344"/>
        <v>0</v>
      </c>
      <c r="DV217" s="182">
        <f t="shared" si="344"/>
        <v>0</v>
      </c>
      <c r="DW217" s="182">
        <f t="shared" si="344"/>
        <v>0</v>
      </c>
      <c r="DX217" s="182">
        <f t="shared" si="344"/>
        <v>0</v>
      </c>
      <c r="DY217" s="182">
        <f t="shared" si="344"/>
        <v>0</v>
      </c>
      <c r="DZ217" s="182">
        <f t="shared" si="344"/>
        <v>0</v>
      </c>
      <c r="EA217" s="182">
        <f t="shared" si="344"/>
        <v>0</v>
      </c>
      <c r="EB217" s="182">
        <f t="shared" si="344"/>
        <v>0</v>
      </c>
      <c r="EC217" s="182">
        <f t="shared" si="344"/>
        <v>0</v>
      </c>
      <c r="ED217" s="182">
        <f t="shared" si="344"/>
        <v>0</v>
      </c>
      <c r="EE217" s="182">
        <f t="shared" si="344"/>
        <v>0</v>
      </c>
      <c r="EF217" s="182">
        <f t="shared" si="344"/>
        <v>0</v>
      </c>
      <c r="EG217" s="182">
        <f t="shared" si="344"/>
        <v>0</v>
      </c>
      <c r="EH217" s="182">
        <f t="shared" si="344"/>
        <v>0</v>
      </c>
      <c r="EI217" s="182">
        <f t="shared" si="344"/>
        <v>0</v>
      </c>
      <c r="EJ217" s="182">
        <f t="shared" si="344"/>
        <v>0</v>
      </c>
      <c r="FY217" s="211">
        <v>212</v>
      </c>
      <c r="FZ217">
        <v>127.95708348416045</v>
      </c>
      <c r="GA217">
        <v>156.59213681863818</v>
      </c>
      <c r="GB217">
        <v>44.449016718667735</v>
      </c>
      <c r="GC217">
        <v>24.127729982409104</v>
      </c>
      <c r="GD217">
        <v>15.938116406686321</v>
      </c>
      <c r="GE217">
        <v>21.805616717760426</v>
      </c>
      <c r="GF217">
        <v>34.772783883900708</v>
      </c>
      <c r="GG217">
        <v>24.958784108153349</v>
      </c>
      <c r="GH217">
        <v>28.433393884952068</v>
      </c>
      <c r="GI217">
        <v>51.845935945862365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225.29662842963324</v>
      </c>
      <c r="AO218">
        <v>82.437470146999047</v>
      </c>
      <c r="AP218">
        <v>749.27836064821645</v>
      </c>
      <c r="AQ218">
        <v>603.09723551126149</v>
      </c>
      <c r="AR218">
        <v>77.919840562023239</v>
      </c>
      <c r="AS218">
        <v>386.36219457053926</v>
      </c>
      <c r="AT218">
        <v>42.080467447446892</v>
      </c>
      <c r="AU218">
        <v>-52.947349701897281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6">AVERAGE(DF148:DF157)</f>
        <v>0</v>
      </c>
      <c r="DG218" s="182">
        <f t="shared" ref="DG218:DH218" si="347">AVERAGE(DG148:DG157)</f>
        <v>2.6041666666666665</v>
      </c>
      <c r="DH218" s="182">
        <f t="shared" si="347"/>
        <v>91.389973958333343</v>
      </c>
      <c r="DI218" s="182">
        <f t="shared" si="346"/>
        <v>9.9826388888888893</v>
      </c>
      <c r="DJ218" s="182">
        <f t="shared" si="346"/>
        <v>5.6423611111111107</v>
      </c>
      <c r="DK218" s="182">
        <f t="shared" si="346"/>
        <v>0</v>
      </c>
      <c r="DL218" s="182">
        <f t="shared" si="346"/>
        <v>2.6041666666666665</v>
      </c>
      <c r="DM218" s="182">
        <f t="shared" si="346"/>
        <v>21.701388888888886</v>
      </c>
      <c r="DN218" s="182">
        <f t="shared" si="346"/>
        <v>3.90625</v>
      </c>
      <c r="DO218" s="182">
        <f t="shared" si="346"/>
        <v>1.3020833333333333</v>
      </c>
      <c r="DP218" s="182">
        <f t="shared" si="346"/>
        <v>0</v>
      </c>
      <c r="DQ218" s="182">
        <f t="shared" si="346"/>
        <v>0</v>
      </c>
      <c r="DR218" s="182">
        <f t="shared" si="346"/>
        <v>0</v>
      </c>
      <c r="DS218" s="182">
        <f t="shared" si="346"/>
        <v>0</v>
      </c>
      <c r="DT218" s="182">
        <f t="shared" si="346"/>
        <v>0</v>
      </c>
      <c r="DU218" s="182">
        <f t="shared" si="346"/>
        <v>0</v>
      </c>
      <c r="DV218" s="182">
        <f t="shared" si="346"/>
        <v>0</v>
      </c>
      <c r="DW218" s="182">
        <f t="shared" si="346"/>
        <v>0</v>
      </c>
      <c r="DX218" s="182">
        <f t="shared" si="346"/>
        <v>0</v>
      </c>
      <c r="DY218" s="182">
        <f t="shared" si="346"/>
        <v>0</v>
      </c>
      <c r="DZ218" s="182">
        <f t="shared" si="346"/>
        <v>0</v>
      </c>
      <c r="EA218" s="182">
        <f t="shared" si="346"/>
        <v>0</v>
      </c>
      <c r="EB218" s="182">
        <f t="shared" si="346"/>
        <v>0</v>
      </c>
      <c r="EC218" s="182">
        <f t="shared" si="346"/>
        <v>0</v>
      </c>
      <c r="ED218" s="182">
        <f t="shared" si="346"/>
        <v>0</v>
      </c>
      <c r="EE218" s="182">
        <f t="shared" si="346"/>
        <v>0</v>
      </c>
      <c r="EF218" s="182">
        <f t="shared" si="346"/>
        <v>0</v>
      </c>
      <c r="EG218" s="182">
        <f t="shared" si="346"/>
        <v>0</v>
      </c>
      <c r="EH218" s="182">
        <f t="shared" si="346"/>
        <v>0</v>
      </c>
      <c r="EI218" s="182">
        <f t="shared" si="346"/>
        <v>0</v>
      </c>
      <c r="EJ218" s="182">
        <f t="shared" si="346"/>
        <v>0</v>
      </c>
      <c r="FY218" s="211">
        <v>213</v>
      </c>
      <c r="FZ218">
        <v>78.29337116872108</v>
      </c>
      <c r="GA218">
        <v>99.577236666882456</v>
      </c>
      <c r="GB218">
        <v>48.005056090804047</v>
      </c>
      <c r="GC218">
        <v>27.315766440121632</v>
      </c>
      <c r="GD218">
        <v>18.609126152537826</v>
      </c>
      <c r="GE218">
        <v>28.728421765399759</v>
      </c>
      <c r="GF218">
        <v>39.283407635595708</v>
      </c>
      <c r="GG218">
        <v>33.242952130664996</v>
      </c>
      <c r="GH218">
        <v>28.830102289583788</v>
      </c>
      <c r="GI218">
        <v>48.252277047618669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219.55328135080057</v>
      </c>
      <c r="AO219">
        <v>61.792553021551555</v>
      </c>
      <c r="AP219">
        <v>491.20560251930982</v>
      </c>
      <c r="AQ219">
        <v>393.5482182237468</v>
      </c>
      <c r="AR219">
        <v>59.945493190614158</v>
      </c>
      <c r="AS219">
        <v>298.73606951896738</v>
      </c>
      <c r="AT219">
        <v>29.433894245331462</v>
      </c>
      <c r="AU219">
        <v>1.5917672624265577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48">AVERAGE(DF158:DF167)</f>
        <v>0</v>
      </c>
      <c r="DG219" s="182">
        <f t="shared" si="348"/>
        <v>26.041666666666668</v>
      </c>
      <c r="DH219" s="182">
        <f t="shared" si="348"/>
        <v>149.88425925925927</v>
      </c>
      <c r="DI219" s="182">
        <f t="shared" ref="DI219" si="349">AVERAGE(DI158:DI167)</f>
        <v>177.59483421168201</v>
      </c>
      <c r="DJ219" s="182">
        <f t="shared" si="348"/>
        <v>0</v>
      </c>
      <c r="DK219" s="182">
        <f t="shared" si="348"/>
        <v>3.4375</v>
      </c>
      <c r="DL219" s="182">
        <f t="shared" si="348"/>
        <v>5.520833333333333</v>
      </c>
      <c r="DM219" s="182">
        <f t="shared" si="348"/>
        <v>16.098484848484851</v>
      </c>
      <c r="DN219" s="182">
        <f t="shared" si="348"/>
        <v>11.174242424242424</v>
      </c>
      <c r="DO219" s="182">
        <f t="shared" si="348"/>
        <v>1.0416666666666665</v>
      </c>
      <c r="DP219" s="182">
        <f t="shared" si="348"/>
        <v>3.4375</v>
      </c>
      <c r="DQ219" s="182">
        <f t="shared" si="348"/>
        <v>0</v>
      </c>
      <c r="DR219" s="182">
        <f t="shared" si="348"/>
        <v>0</v>
      </c>
      <c r="DS219" s="182">
        <f t="shared" si="348"/>
        <v>0</v>
      </c>
      <c r="DT219" s="182">
        <f t="shared" si="348"/>
        <v>0</v>
      </c>
      <c r="DU219" s="182">
        <f t="shared" si="348"/>
        <v>0</v>
      </c>
      <c r="DV219" s="182">
        <f t="shared" si="348"/>
        <v>0</v>
      </c>
      <c r="DW219" s="182">
        <f t="shared" si="348"/>
        <v>0</v>
      </c>
      <c r="DX219" s="182">
        <f t="shared" si="348"/>
        <v>0</v>
      </c>
      <c r="DY219" s="182">
        <f t="shared" si="348"/>
        <v>0</v>
      </c>
      <c r="DZ219" s="182">
        <f t="shared" si="348"/>
        <v>0</v>
      </c>
      <c r="EA219" s="182">
        <f t="shared" si="348"/>
        <v>0</v>
      </c>
      <c r="EB219" s="182">
        <f t="shared" si="348"/>
        <v>0</v>
      </c>
      <c r="EC219" s="182">
        <f t="shared" si="348"/>
        <v>0</v>
      </c>
      <c r="ED219" s="182">
        <f t="shared" si="348"/>
        <v>0</v>
      </c>
      <c r="EE219" s="182">
        <f t="shared" si="348"/>
        <v>0</v>
      </c>
      <c r="EF219" s="182">
        <f t="shared" si="348"/>
        <v>0</v>
      </c>
      <c r="EG219" s="182">
        <f t="shared" si="348"/>
        <v>0</v>
      </c>
      <c r="EH219" s="182">
        <f t="shared" si="348"/>
        <v>0</v>
      </c>
      <c r="EI219" s="182">
        <f t="shared" si="348"/>
        <v>0</v>
      </c>
      <c r="EJ219" s="182">
        <f t="shared" si="348"/>
        <v>0</v>
      </c>
      <c r="FY219" s="211">
        <v>214</v>
      </c>
      <c r="FZ219">
        <v>111.52401888839479</v>
      </c>
      <c r="GA219">
        <v>128.12695901855628</v>
      </c>
      <c r="GB219">
        <v>46.405966855686927</v>
      </c>
      <c r="GC219">
        <v>29.224363737131068</v>
      </c>
      <c r="GD219">
        <v>19.642622913904248</v>
      </c>
      <c r="GE219">
        <v>33.678959103134844</v>
      </c>
      <c r="GF219">
        <v>29.348612469161861</v>
      </c>
      <c r="GG219">
        <v>23.531867770689551</v>
      </c>
      <c r="GH219">
        <v>31.357171920761225</v>
      </c>
      <c r="GI219">
        <v>51.476173059476274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202.94716890717345</v>
      </c>
      <c r="AO220">
        <v>70.523618410285593</v>
      </c>
      <c r="AP220">
        <v>629.65214253552347</v>
      </c>
      <c r="AQ220">
        <v>506.02644907113734</v>
      </c>
      <c r="AR220">
        <v>68.97598522537362</v>
      </c>
      <c r="AS220">
        <v>321.8522937734669</v>
      </c>
      <c r="AT220">
        <v>36.821446261384033</v>
      </c>
      <c r="AU220">
        <v>72.50781555076702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0">AVERAGE(DF168:DF177)</f>
        <v>0</v>
      </c>
      <c r="DG220" s="182">
        <f t="shared" si="350"/>
        <v>0</v>
      </c>
      <c r="DH220" s="182">
        <f t="shared" si="350"/>
        <v>18.020025306706277</v>
      </c>
      <c r="DI220" s="182">
        <f t="shared" ref="DI220" si="351">AVERAGE(DI168:DI177)</f>
        <v>1.0416666666666665</v>
      </c>
      <c r="DJ220" s="182">
        <f t="shared" si="350"/>
        <v>10.8162100456621</v>
      </c>
      <c r="DK220" s="182">
        <f t="shared" si="350"/>
        <v>2.083333333333333</v>
      </c>
      <c r="DL220" s="182">
        <f t="shared" si="350"/>
        <v>0</v>
      </c>
      <c r="DM220" s="182">
        <f t="shared" si="350"/>
        <v>2.083333333333333</v>
      </c>
      <c r="DN220" s="182">
        <f t="shared" si="350"/>
        <v>1.0416666666666665</v>
      </c>
      <c r="DO220" s="182">
        <v>8</v>
      </c>
      <c r="DP220" s="182">
        <f t="shared" si="350"/>
        <v>1.0416666666666665</v>
      </c>
      <c r="DQ220" s="182">
        <f t="shared" si="350"/>
        <v>0</v>
      </c>
      <c r="DR220" s="182">
        <f t="shared" si="350"/>
        <v>0</v>
      </c>
      <c r="DS220" s="182">
        <f t="shared" si="350"/>
        <v>0</v>
      </c>
      <c r="DT220" s="182">
        <f t="shared" si="350"/>
        <v>0</v>
      </c>
      <c r="DU220" s="182">
        <f t="shared" si="350"/>
        <v>0</v>
      </c>
      <c r="DV220" s="182">
        <f t="shared" si="350"/>
        <v>0</v>
      </c>
      <c r="DW220" s="182">
        <f t="shared" si="350"/>
        <v>0</v>
      </c>
      <c r="DX220" s="182">
        <f t="shared" si="350"/>
        <v>0</v>
      </c>
      <c r="DY220" s="182">
        <f t="shared" si="350"/>
        <v>0</v>
      </c>
      <c r="DZ220" s="182">
        <f t="shared" si="350"/>
        <v>0</v>
      </c>
      <c r="EA220" s="182">
        <f t="shared" si="350"/>
        <v>0</v>
      </c>
      <c r="EB220" s="182">
        <f t="shared" si="350"/>
        <v>0</v>
      </c>
      <c r="EC220" s="182">
        <f t="shared" si="350"/>
        <v>0</v>
      </c>
      <c r="ED220" s="182">
        <f t="shared" si="350"/>
        <v>0</v>
      </c>
      <c r="EE220" s="182">
        <f t="shared" si="350"/>
        <v>0</v>
      </c>
      <c r="EF220" s="182">
        <f t="shared" si="350"/>
        <v>0</v>
      </c>
      <c r="EG220" s="182">
        <f t="shared" si="350"/>
        <v>0</v>
      </c>
      <c r="EH220" s="182">
        <f t="shared" si="350"/>
        <v>0</v>
      </c>
      <c r="EI220" s="182">
        <f t="shared" si="350"/>
        <v>0</v>
      </c>
      <c r="EJ220" s="182">
        <f t="shared" si="350"/>
        <v>0</v>
      </c>
      <c r="FY220" s="211">
        <v>215</v>
      </c>
      <c r="FZ220">
        <v>118.76759033728223</v>
      </c>
      <c r="GA220">
        <v>152.84682396562516</v>
      </c>
      <c r="GB220">
        <v>74.700719378490163</v>
      </c>
      <c r="GC220">
        <v>36.768989824768973</v>
      </c>
      <c r="GD220">
        <v>16.630879064611761</v>
      </c>
      <c r="GE220">
        <v>26.140914904197292</v>
      </c>
      <c r="GF220">
        <v>42.473002350366535</v>
      </c>
      <c r="GG220">
        <v>33.787357363302789</v>
      </c>
      <c r="GH220">
        <v>28.13129554218839</v>
      </c>
      <c r="GI220">
        <v>60.17821904364051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229.87437240047831</v>
      </c>
      <c r="AO221">
        <v>59.238901737637185</v>
      </c>
      <c r="AP221">
        <v>449.95401328947503</v>
      </c>
      <c r="AQ221">
        <v>343.25932284560258</v>
      </c>
      <c r="AR221">
        <v>57.074598914956681</v>
      </c>
      <c r="AS221">
        <v>287.5148455958485</v>
      </c>
      <c r="AT221">
        <v>25.949322809413058</v>
      </c>
      <c r="AU221">
        <v>16.482061450944975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2">AVERAGE(DF178:DF187)</f>
        <v>0</v>
      </c>
      <c r="DG221" s="182">
        <f t="shared" si="352"/>
        <v>0</v>
      </c>
      <c r="DH221" s="182">
        <f t="shared" si="352"/>
        <v>5.7779947916666661</v>
      </c>
      <c r="DI221" s="182">
        <f t="shared" si="352"/>
        <v>77.77069215075754</v>
      </c>
      <c r="DJ221" s="182">
        <f t="shared" si="352"/>
        <v>7.7570921985815602</v>
      </c>
      <c r="DK221" s="182">
        <f t="shared" si="352"/>
        <v>20.373774509803919</v>
      </c>
      <c r="DL221" s="182">
        <f t="shared" si="352"/>
        <v>6.2499999999999991</v>
      </c>
      <c r="DM221" s="182">
        <f t="shared" si="352"/>
        <v>2.083333333333333</v>
      </c>
      <c r="DN221" s="182">
        <f t="shared" si="352"/>
        <v>0</v>
      </c>
      <c r="DO221" s="182">
        <f t="shared" si="352"/>
        <v>1.0416666666666665</v>
      </c>
      <c r="DP221" s="182">
        <f t="shared" si="352"/>
        <v>0</v>
      </c>
      <c r="DQ221" s="182">
        <f t="shared" si="352"/>
        <v>0</v>
      </c>
      <c r="DR221" s="182">
        <f t="shared" si="352"/>
        <v>0</v>
      </c>
      <c r="DS221" s="182">
        <f t="shared" si="352"/>
        <v>0</v>
      </c>
      <c r="DT221" s="182">
        <f t="shared" si="352"/>
        <v>0</v>
      </c>
      <c r="DU221" s="182">
        <f t="shared" si="352"/>
        <v>0</v>
      </c>
      <c r="DV221" s="182">
        <f t="shared" si="352"/>
        <v>0</v>
      </c>
      <c r="DW221" s="182">
        <f t="shared" si="352"/>
        <v>0</v>
      </c>
      <c r="DX221" s="182">
        <f t="shared" si="352"/>
        <v>0</v>
      </c>
      <c r="DY221" s="182">
        <f t="shared" si="352"/>
        <v>0</v>
      </c>
      <c r="DZ221" s="182">
        <f t="shared" si="352"/>
        <v>0</v>
      </c>
      <c r="EA221" s="182">
        <f t="shared" si="352"/>
        <v>0</v>
      </c>
      <c r="EB221" s="182">
        <f t="shared" si="352"/>
        <v>0</v>
      </c>
      <c r="EC221" s="182">
        <f t="shared" si="352"/>
        <v>0</v>
      </c>
      <c r="ED221" s="182">
        <f t="shared" si="352"/>
        <v>0</v>
      </c>
      <c r="EE221" s="182">
        <f t="shared" si="352"/>
        <v>0</v>
      </c>
      <c r="EF221" s="182">
        <f t="shared" si="352"/>
        <v>0</v>
      </c>
      <c r="EG221" s="182">
        <f t="shared" si="352"/>
        <v>0</v>
      </c>
      <c r="EH221" s="182">
        <f t="shared" si="352"/>
        <v>0</v>
      </c>
      <c r="EI221" s="182">
        <f t="shared" si="352"/>
        <v>0</v>
      </c>
      <c r="EJ221" s="182">
        <f t="shared" si="352"/>
        <v>0</v>
      </c>
      <c r="FY221" s="211">
        <v>216</v>
      </c>
      <c r="FZ221">
        <v>61.67449903741668</v>
      </c>
      <c r="GA221">
        <v>86.146760580505315</v>
      </c>
      <c r="GB221">
        <v>56.653991382296276</v>
      </c>
      <c r="GC221">
        <v>35.144814549950013</v>
      </c>
      <c r="GD221">
        <v>16.337655534986016</v>
      </c>
      <c r="GE221">
        <v>17.603341460446071</v>
      </c>
      <c r="GF221">
        <v>9.7088537996549888</v>
      </c>
      <c r="GG221">
        <v>9.4724228175378826</v>
      </c>
      <c r="GH221">
        <v>18.487122071236499</v>
      </c>
      <c r="GI221">
        <v>38.779707555787184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261.50854552175741</v>
      </c>
      <c r="AO222">
        <v>75.425729978466791</v>
      </c>
      <c r="AP222">
        <v>587.84559604587366</v>
      </c>
      <c r="AQ222">
        <v>446.75273088315447</v>
      </c>
      <c r="AR222">
        <v>74.2866684861077</v>
      </c>
      <c r="AS222">
        <v>361.2344847086963</v>
      </c>
      <c r="AT222">
        <v>34.380464972227969</v>
      </c>
      <c r="AU222">
        <v>59.41323909013461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1">
        <v>217</v>
      </c>
      <c r="FZ222">
        <v>68.631130773974732</v>
      </c>
      <c r="GA222">
        <v>94.695034351973646</v>
      </c>
      <c r="GB222">
        <v>32.686347155058606</v>
      </c>
      <c r="GC222">
        <v>22.039445827015545</v>
      </c>
      <c r="GD222">
        <v>17.398954261763912</v>
      </c>
      <c r="GE222">
        <v>25.559712971394898</v>
      </c>
      <c r="GF222">
        <v>32.968123255436055</v>
      </c>
      <c r="GG222">
        <v>15.499902759571944</v>
      </c>
      <c r="GH222">
        <v>9.0229109446164415</v>
      </c>
      <c r="GI222">
        <v>37.387416233478412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198.68384977753956</v>
      </c>
      <c r="AO223">
        <v>60.671603657359888</v>
      </c>
      <c r="AP223">
        <v>485.7423621091686</v>
      </c>
      <c r="AQ223">
        <v>388.79184468288139</v>
      </c>
      <c r="AR223">
        <v>59.495191567328071</v>
      </c>
      <c r="AS223">
        <v>286.9027863787407</v>
      </c>
      <c r="AT223">
        <v>30.323560562740898</v>
      </c>
      <c r="AU223">
        <v>23.338389769811485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1">
        <v>218</v>
      </c>
      <c r="FZ223">
        <v>72.706855620632069</v>
      </c>
      <c r="GA223">
        <v>111.79449264433421</v>
      </c>
      <c r="GB223">
        <v>51.860805196509226</v>
      </c>
      <c r="GC223">
        <v>21.852922309823825</v>
      </c>
      <c r="GD223">
        <v>11.680383171682475</v>
      </c>
      <c r="GE223">
        <v>31.236609733998318</v>
      </c>
      <c r="GF223">
        <v>79.69214718508141</v>
      </c>
      <c r="GG223">
        <v>54.400163268659966</v>
      </c>
      <c r="GH223">
        <v>24.131078071773302</v>
      </c>
      <c r="GI223">
        <v>51.062611703030399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219.05685581491056</v>
      </c>
      <c r="AO224">
        <v>64.594481844267449</v>
      </c>
      <c r="AP224">
        <v>494.78022343664031</v>
      </c>
      <c r="AQ224">
        <v>383.081394535953</v>
      </c>
      <c r="AR224">
        <v>62.554427505548766</v>
      </c>
      <c r="AS224">
        <v>282.39981465364548</v>
      </c>
      <c r="AT224">
        <v>29.716177220121082</v>
      </c>
      <c r="AU224">
        <v>23.992270187582193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1">
        <v>219</v>
      </c>
      <c r="FZ224">
        <v>78.17114290483272</v>
      </c>
      <c r="GA224">
        <v>85.033156465056493</v>
      </c>
      <c r="GB224">
        <v>40.595671033019755</v>
      </c>
      <c r="GC224">
        <v>24.677531176881516</v>
      </c>
      <c r="GD224">
        <v>13.492513603499264</v>
      </c>
      <c r="GE224">
        <v>21.218470481920434</v>
      </c>
      <c r="GF224">
        <v>53.861398270990044</v>
      </c>
      <c r="GG224">
        <v>45.399542278800112</v>
      </c>
      <c r="GH224">
        <v>29.803902576403736</v>
      </c>
      <c r="GI224">
        <v>45.789950648190029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219.47136486677968</v>
      </c>
      <c r="AO225">
        <v>64.623509287069751</v>
      </c>
      <c r="AP225">
        <v>516.89931504010133</v>
      </c>
      <c r="AQ225">
        <v>408.5065735961312</v>
      </c>
      <c r="AR225">
        <v>61.594900744637613</v>
      </c>
      <c r="AS225">
        <v>318.55366570178904</v>
      </c>
      <c r="AT225">
        <v>30.927021350991765</v>
      </c>
      <c r="AU225">
        <v>-17.445317453803327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0.41207178441051012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1">
        <v>220</v>
      </c>
      <c r="FZ225">
        <v>71.842305208628503</v>
      </c>
      <c r="GA225">
        <v>96.937610119783329</v>
      </c>
      <c r="GB225">
        <v>48.684111586275819</v>
      </c>
      <c r="GC225">
        <v>23.910269727771578</v>
      </c>
      <c r="GD225">
        <v>11.256725391609461</v>
      </c>
      <c r="GE225">
        <v>17.933434761784206</v>
      </c>
      <c r="GF225">
        <v>57.936697767712666</v>
      </c>
      <c r="GG225">
        <v>41.296676630842143</v>
      </c>
      <c r="GH225">
        <v>16.857440025372686</v>
      </c>
      <c r="GI225">
        <v>44.290863459512963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248.24182487370823</v>
      </c>
      <c r="AO226">
        <v>78.559059816469684</v>
      </c>
      <c r="AP226">
        <v>650.86523549080778</v>
      </c>
      <c r="AQ226">
        <v>522.80721103659084</v>
      </c>
      <c r="AR226">
        <v>75.004998886138623</v>
      </c>
      <c r="AS226">
        <v>350.2964424735427</v>
      </c>
      <c r="AT226">
        <v>37.938085661723171</v>
      </c>
      <c r="AU226">
        <v>-1.5791319812658742</v>
      </c>
      <c r="AV226"/>
      <c r="AW226"/>
      <c r="DE226" s="187">
        <f>DE101</f>
        <v>39673</v>
      </c>
      <c r="DF226" s="205"/>
      <c r="DG226" s="205">
        <f t="shared" ref="DG226:DG234" si="353">((DG213*$H$372)+(DH213*$I$372)+(DI213*$J$372)+(DJ213*$K$372)+(DK213*$L$372)+(DL213*$M$372)+(DM213*$N$372)+(DN213*$O$372)+(DO213*$P$372)+(DP213*$Q$372)+(DQ213*$R$372)+(DR213*$S$372)+(DS213*$T$372)+(DT213*$U$372))/SUM(DG213:DT213)</f>
        <v>0.71211536625712779</v>
      </c>
      <c r="DH226" s="205">
        <f>(LN(DG226/DG225))/(DE213-DE212)</f>
        <v>2.0260828198803798E-2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1">
        <v>221</v>
      </c>
      <c r="FZ226">
        <v>33.088120543366287</v>
      </c>
      <c r="GA226">
        <v>46.071022177869501</v>
      </c>
      <c r="GB226">
        <v>40.362643950585671</v>
      </c>
      <c r="GC226">
        <v>24.918668660722034</v>
      </c>
      <c r="GD226">
        <v>17.096835210108324</v>
      </c>
      <c r="GE226">
        <v>27.762200828391098</v>
      </c>
      <c r="GF226">
        <v>23.098406996510775</v>
      </c>
      <c r="GG226">
        <v>18.571367039206731</v>
      </c>
      <c r="GH226">
        <v>31.778131632113606</v>
      </c>
      <c r="GI226">
        <v>35.750096540607679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196.82823102619903</v>
      </c>
      <c r="AO227">
        <v>56.676750657262801</v>
      </c>
      <c r="AP227">
        <v>440.58251611526936</v>
      </c>
      <c r="AQ227">
        <v>336.90077809839266</v>
      </c>
      <c r="AR227">
        <v>56.08451160858656</v>
      </c>
      <c r="AS227">
        <v>271.70234422862637</v>
      </c>
      <c r="AT227">
        <v>26.903768965538575</v>
      </c>
      <c r="AU227">
        <v>-20.918724012015204</v>
      </c>
      <c r="AV227"/>
      <c r="AW227"/>
      <c r="DE227" s="187">
        <f>DE111</f>
        <v>39714</v>
      </c>
      <c r="DF227" s="205"/>
      <c r="DG227" s="205">
        <f t="shared" si="353"/>
        <v>0.3578449171826214</v>
      </c>
      <c r="DH227" s="205">
        <f t="shared" ref="DH227:DH234" si="354">(LN(DG227/DG226))/(DE214-DE213)</f>
        <v>-1.6783908029946656E-2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1">
        <v>222</v>
      </c>
      <c r="FZ227">
        <v>71.201641102042089</v>
      </c>
      <c r="GA227">
        <v>96.157713533477306</v>
      </c>
      <c r="GB227">
        <v>49.532513639229826</v>
      </c>
      <c r="GC227">
        <v>20.803928961835624</v>
      </c>
      <c r="GD227">
        <v>11.12201330400681</v>
      </c>
      <c r="GE227">
        <v>26.108101848066635</v>
      </c>
      <c r="GF227">
        <v>42.984450209249594</v>
      </c>
      <c r="GG227">
        <v>34.985958069647204</v>
      </c>
      <c r="GH227">
        <v>22.429622310589899</v>
      </c>
      <c r="GI227">
        <v>42.50224054979428</v>
      </c>
      <c r="GJ227"/>
      <c r="GK227"/>
      <c r="GL227"/>
      <c r="GM227"/>
    </row>
    <row r="228" spans="1:195" s="7" customFormat="1">
      <c r="A228" s="9" t="s">
        <v>60</v>
      </c>
      <c r="B228">
        <v>0.76753413843133189</v>
      </c>
      <c r="C228">
        <v>8</v>
      </c>
      <c r="D228">
        <v>39646</v>
      </c>
      <c r="E228">
        <v>0</v>
      </c>
      <c r="F228">
        <v>0</v>
      </c>
      <c r="G228">
        <v>10.416666666666666</v>
      </c>
      <c r="H228">
        <v>52.083333333333336</v>
      </c>
      <c r="I228">
        <v>125</v>
      </c>
      <c r="J228">
        <v>0</v>
      </c>
      <c r="K228">
        <v>10.416666666666666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225.10099647323597</v>
      </c>
      <c r="AO228">
        <v>76.096966971618713</v>
      </c>
      <c r="AP228">
        <v>663.39896659094359</v>
      </c>
      <c r="AQ228">
        <v>530.88059795119068</v>
      </c>
      <c r="AR228">
        <v>74.944686939371934</v>
      </c>
      <c r="AS228">
        <v>333.76853278524834</v>
      </c>
      <c r="AT228">
        <v>39.473587461886794</v>
      </c>
      <c r="AU228">
        <v>-21.913464683576564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3"/>
        <v>0.32691098021836928</v>
      </c>
      <c r="DH228" s="205">
        <f t="shared" si="354"/>
        <v>-2.7397514615505663E-3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1">
        <v>223</v>
      </c>
      <c r="FZ228">
        <v>200.99023358959073</v>
      </c>
      <c r="GA228">
        <v>220.86198902944241</v>
      </c>
      <c r="GB228">
        <v>49.782343974226272</v>
      </c>
      <c r="GC228">
        <v>26.608080175139307</v>
      </c>
      <c r="GD228">
        <v>11.790674840084133</v>
      </c>
      <c r="GE228">
        <v>24.948431389902357</v>
      </c>
      <c r="GF228">
        <v>35.175105183375685</v>
      </c>
      <c r="GG228">
        <v>20.030747177248173</v>
      </c>
      <c r="GH228">
        <v>13.506819684220478</v>
      </c>
      <c r="GI228">
        <v>59.043046064926287</v>
      </c>
      <c r="GJ228"/>
      <c r="GK228"/>
      <c r="GL228"/>
      <c r="GM228"/>
    </row>
    <row r="229" spans="1:195" s="7" customFormat="1">
      <c r="A229" s="90"/>
      <c r="B229">
        <v>0.95969104055049859</v>
      </c>
      <c r="C229">
        <v>7</v>
      </c>
      <c r="D229">
        <v>39646</v>
      </c>
      <c r="E229">
        <v>0</v>
      </c>
      <c r="F229">
        <v>0</v>
      </c>
      <c r="G229">
        <v>20.833333333333332</v>
      </c>
      <c r="H229">
        <v>10.416666666666666</v>
      </c>
      <c r="I229">
        <v>10.416666666666666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215.91442831616027</v>
      </c>
      <c r="AO229">
        <v>71.913358666417395</v>
      </c>
      <c r="AP229">
        <v>568.05407350345899</v>
      </c>
      <c r="AQ229">
        <v>450.13771738793002</v>
      </c>
      <c r="AR229">
        <v>69.903241060762468</v>
      </c>
      <c r="AS229">
        <v>323.00123837682708</v>
      </c>
      <c r="AT229">
        <v>35.109179348152608</v>
      </c>
      <c r="AU229">
        <v>-18.717569606279305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3"/>
        <v>0.23680545834172781</v>
      </c>
      <c r="DH229" s="205">
        <f t="shared" si="354"/>
        <v>-1.1516033889770396E-2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1">
        <v>224</v>
      </c>
      <c r="FZ229">
        <v>118.33973577206129</v>
      </c>
      <c r="GA229">
        <v>140.48819482763903</v>
      </c>
      <c r="GB229">
        <v>36.960195048551007</v>
      </c>
      <c r="GC229">
        <v>21.044522118118866</v>
      </c>
      <c r="GD229">
        <v>12.88353641582844</v>
      </c>
      <c r="GE229">
        <v>19.376689635370102</v>
      </c>
      <c r="GF229">
        <v>62.469156311749153</v>
      </c>
      <c r="GG229">
        <v>54.527316549259048</v>
      </c>
      <c r="GH229">
        <v>31.042754148784113</v>
      </c>
      <c r="GI229">
        <v>52.204537939113173</v>
      </c>
      <c r="GJ229"/>
      <c r="GK229"/>
      <c r="GL229"/>
      <c r="GM229"/>
    </row>
    <row r="230" spans="1:195" s="7" customFormat="1">
      <c r="A230" s="77"/>
      <c r="B230">
        <v>0.31784241514731448</v>
      </c>
      <c r="C230">
        <v>3</v>
      </c>
      <c r="D230">
        <v>39646</v>
      </c>
      <c r="E230">
        <v>0</v>
      </c>
      <c r="F230">
        <v>0</v>
      </c>
      <c r="G230">
        <v>0</v>
      </c>
      <c r="H230">
        <v>20.833333333333332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222.79354844721996</v>
      </c>
      <c r="AO230">
        <v>77.199226579322655</v>
      </c>
      <c r="AP230">
        <v>614.38158822915636</v>
      </c>
      <c r="AQ230">
        <v>504.31671573689704</v>
      </c>
      <c r="AR230">
        <v>74.204414523624621</v>
      </c>
      <c r="AS230">
        <v>362.51037833262416</v>
      </c>
      <c r="AT230">
        <v>38.873540989220217</v>
      </c>
      <c r="AU230">
        <v>-30.287504316699149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3"/>
        <v>0.24689929363710844</v>
      </c>
      <c r="DH230" s="205">
        <f t="shared" si="354"/>
        <v>1.7392325935913387E-3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1">
        <v>225</v>
      </c>
      <c r="FZ230">
        <v>116.5764570731981</v>
      </c>
      <c r="GA230">
        <v>153.30029166102452</v>
      </c>
      <c r="GB230">
        <v>42.672665587197145</v>
      </c>
      <c r="GC230">
        <v>21.58349458704944</v>
      </c>
      <c r="GD230">
        <v>22.306519420188739</v>
      </c>
      <c r="GE230">
        <v>36.485939950514719</v>
      </c>
      <c r="GF230">
        <v>43.248906850744845</v>
      </c>
      <c r="GG230">
        <v>41.235295017578366</v>
      </c>
      <c r="GH230">
        <v>36.295036963681405</v>
      </c>
      <c r="GI230">
        <v>56.779511603081637</v>
      </c>
      <c r="GJ230"/>
      <c r="GK230"/>
      <c r="GL230"/>
      <c r="GM230"/>
    </row>
    <row r="231" spans="1:195" s="7" customFormat="1">
      <c r="A231" s="77"/>
      <c r="B231">
        <v>0.19663201809626685</v>
      </c>
      <c r="C231">
        <v>7</v>
      </c>
      <c r="D231">
        <v>39646</v>
      </c>
      <c r="E231">
        <v>0</v>
      </c>
      <c r="F231">
        <v>0</v>
      </c>
      <c r="G231">
        <v>20.833333333333332</v>
      </c>
      <c r="H231">
        <v>10.416666666666666</v>
      </c>
      <c r="I231">
        <v>10.416666666666666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254.58201108506668</v>
      </c>
      <c r="AO231">
        <v>89.925247174207541</v>
      </c>
      <c r="AP231">
        <v>757.41433332470501</v>
      </c>
      <c r="AQ231">
        <v>590.42579177447385</v>
      </c>
      <c r="AR231">
        <v>87.371912279217909</v>
      </c>
      <c r="AS231">
        <v>411.49263262544599</v>
      </c>
      <c r="AT231">
        <v>43.929708728162247</v>
      </c>
      <c r="AU231">
        <v>-60.392525248706853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 t="str">
        <f>DE151</f>
        <v/>
      </c>
      <c r="DF231" s="205"/>
      <c r="DG231" s="205">
        <f t="shared" si="353"/>
        <v>0.31644523802537777</v>
      </c>
      <c r="DH231" s="205">
        <f t="shared" si="354"/>
        <v>5.1702014078633058E-3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1">
        <v>226</v>
      </c>
      <c r="FZ231">
        <v>153.18178406057928</v>
      </c>
      <c r="GA231">
        <v>199.77020964359892</v>
      </c>
      <c r="GB231">
        <v>63.982536641654356</v>
      </c>
      <c r="GC231">
        <v>29.695725396536389</v>
      </c>
      <c r="GD231">
        <v>15.746279503270523</v>
      </c>
      <c r="GE231">
        <v>28.483454685903691</v>
      </c>
      <c r="GF231">
        <v>30.798413973744264</v>
      </c>
      <c r="GG231">
        <v>23.005634710939365</v>
      </c>
      <c r="GH231">
        <v>23.18527779141111</v>
      </c>
      <c r="GI231">
        <v>58.712276140523677</v>
      </c>
      <c r="GJ231"/>
      <c r="GK231"/>
      <c r="GL231"/>
      <c r="GM231"/>
    </row>
    <row r="232" spans="1:195" s="7" customFormat="1">
      <c r="A232" s="77"/>
      <c r="B232">
        <v>0.75004607783416599</v>
      </c>
      <c r="C232">
        <v>7</v>
      </c>
      <c r="D232">
        <v>39646</v>
      </c>
      <c r="E232">
        <v>0</v>
      </c>
      <c r="F232">
        <v>0</v>
      </c>
      <c r="G232">
        <v>20.833333333333332</v>
      </c>
      <c r="H232">
        <v>10.416666666666666</v>
      </c>
      <c r="I232">
        <v>10.416666666666666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167.14889289117536</v>
      </c>
      <c r="AO232">
        <v>58.51446739794909</v>
      </c>
      <c r="AP232">
        <v>433.86189349751567</v>
      </c>
      <c r="AQ232">
        <v>350.00916878981701</v>
      </c>
      <c r="AR232">
        <v>55.98437363035832</v>
      </c>
      <c r="AS232">
        <v>252.93845985989913</v>
      </c>
      <c r="AT232">
        <v>28.216395966629278</v>
      </c>
      <c r="AU232">
        <v>-37.203603448690544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3"/>
        <v>0.21528962302173762</v>
      </c>
      <c r="DH232" s="205">
        <f t="shared" si="354"/>
        <v>-6.1137459928751149E-3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1">
        <v>227</v>
      </c>
      <c r="FZ232">
        <v>74.723779673987906</v>
      </c>
      <c r="GA232">
        <v>109.84001165383391</v>
      </c>
      <c r="GB232">
        <v>48.114424413009566</v>
      </c>
      <c r="GC232">
        <v>22.421442621455906</v>
      </c>
      <c r="GD232">
        <v>12.437522729539378</v>
      </c>
      <c r="GE232">
        <v>21.408037947673286</v>
      </c>
      <c r="GF232">
        <v>29.118164116007183</v>
      </c>
      <c r="GG232">
        <v>16.337644385658482</v>
      </c>
      <c r="GH232">
        <v>20.787092164990277</v>
      </c>
      <c r="GI232">
        <v>40.516559087865417</v>
      </c>
      <c r="GJ232"/>
      <c r="GK232"/>
      <c r="GL232"/>
      <c r="GM232"/>
    </row>
    <row r="233" spans="1:195" s="7" customFormat="1">
      <c r="A233" s="77"/>
      <c r="B233">
        <v>0.599361880655918</v>
      </c>
      <c r="C233">
        <v>9</v>
      </c>
      <c r="D233">
        <v>39646</v>
      </c>
      <c r="E233">
        <v>0</v>
      </c>
      <c r="F233">
        <v>0</v>
      </c>
      <c r="G233">
        <v>0</v>
      </c>
      <c r="H233">
        <v>10.416666666666666</v>
      </c>
      <c r="I233">
        <v>41.666666666666664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214.09270407763302</v>
      </c>
      <c r="AO233">
        <v>56.119280250982357</v>
      </c>
      <c r="AP233">
        <v>429.66558852499827</v>
      </c>
      <c r="AQ233">
        <v>355.88897853428421</v>
      </c>
      <c r="AR233">
        <v>53.36653832587487</v>
      </c>
      <c r="AS233">
        <v>281.78820065043504</v>
      </c>
      <c r="AT233">
        <v>24.888497788548477</v>
      </c>
      <c r="AU233">
        <v>-44.990432358743952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3"/>
        <v>0.70601871311749842</v>
      </c>
      <c r="DH233" s="205">
        <f t="shared" si="354"/>
        <v>3.0452757372508552E-2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1">
        <v>228</v>
      </c>
      <c r="FZ233">
        <v>34.344368150237138</v>
      </c>
      <c r="GA233">
        <v>56.690203678791299</v>
      </c>
      <c r="GB233">
        <v>55.272152133157469</v>
      </c>
      <c r="GC233">
        <v>26.608451304819816</v>
      </c>
      <c r="GD233">
        <v>10.854069881587437</v>
      </c>
      <c r="GE233">
        <v>18.488717420890051</v>
      </c>
      <c r="GF233">
        <v>26.404952464563461</v>
      </c>
      <c r="GG233">
        <v>15.59455068063569</v>
      </c>
      <c r="GH233">
        <v>18.095830316847636</v>
      </c>
      <c r="GI233">
        <v>34.10064164501604</v>
      </c>
      <c r="GJ233"/>
      <c r="GK233"/>
      <c r="GL233"/>
      <c r="GM233"/>
    </row>
    <row r="234" spans="1:195" s="7" customFormat="1">
      <c r="A234" s="77"/>
      <c r="B234">
        <v>0.16076807699269224</v>
      </c>
      <c r="C234">
        <v>1</v>
      </c>
      <c r="D234">
        <v>39646</v>
      </c>
      <c r="E234">
        <v>0</v>
      </c>
      <c r="F234">
        <v>0</v>
      </c>
      <c r="G234">
        <v>10.416666666666666</v>
      </c>
      <c r="H234">
        <v>20.833333333333332</v>
      </c>
      <c r="I234">
        <v>31.25</v>
      </c>
      <c r="J234">
        <v>10.416666666666666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251.65414936705787</v>
      </c>
      <c r="AO234">
        <v>77.216047268368641</v>
      </c>
      <c r="AP234">
        <v>670.61940423239355</v>
      </c>
      <c r="AQ234">
        <v>510.41806890552516</v>
      </c>
      <c r="AR234">
        <v>72.905411930512443</v>
      </c>
      <c r="AS234">
        <v>363.23289162426067</v>
      </c>
      <c r="AT234">
        <v>35.605642026034069</v>
      </c>
      <c r="AU234">
        <v>20.195232411463266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3"/>
        <v>0.25671267144909454</v>
      </c>
      <c r="DH234" s="205">
        <f t="shared" si="354"/>
        <v>-2.6623270880102821E-2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1">
        <v>229</v>
      </c>
      <c r="FZ234">
        <v>123.50194190786991</v>
      </c>
      <c r="GA234">
        <v>133.70053964345064</v>
      </c>
      <c r="GB234">
        <v>38.865230818544333</v>
      </c>
      <c r="GC234">
        <v>25.043133057734565</v>
      </c>
      <c r="GD234">
        <v>15.141021336442691</v>
      </c>
      <c r="GE234">
        <v>23.024014463579778</v>
      </c>
      <c r="GF234">
        <v>34.177692694911315</v>
      </c>
      <c r="GG234">
        <v>18.474316575368714</v>
      </c>
      <c r="GH234">
        <v>14.726421712498844</v>
      </c>
      <c r="GI234">
        <v>46.91021708315683</v>
      </c>
      <c r="GJ234"/>
      <c r="GK234"/>
      <c r="GL234"/>
      <c r="GM234"/>
    </row>
    <row r="235" spans="1:195" s="7" customFormat="1">
      <c r="A235" s="77"/>
      <c r="B235">
        <v>0.45074540003156116</v>
      </c>
      <c r="C235">
        <v>2</v>
      </c>
      <c r="D235">
        <v>39646</v>
      </c>
      <c r="E235">
        <v>0</v>
      </c>
      <c r="F235">
        <v>0</v>
      </c>
      <c r="G235">
        <v>10.416666666666666</v>
      </c>
      <c r="H235">
        <v>20.833333333333332</v>
      </c>
      <c r="I235">
        <v>31.25</v>
      </c>
      <c r="J235">
        <v>0</v>
      </c>
      <c r="K235">
        <v>10.416666666666666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216.66593524213732</v>
      </c>
      <c r="AO235">
        <v>67.348129269867201</v>
      </c>
      <c r="AP235">
        <v>557.26267950403337</v>
      </c>
      <c r="AQ235">
        <v>438.04327943959413</v>
      </c>
      <c r="AR235">
        <v>65.94389907615313</v>
      </c>
      <c r="AS235">
        <v>317.45843017278202</v>
      </c>
      <c r="AT235">
        <v>32.935880338370509</v>
      </c>
      <c r="AU235">
        <v>27.649745216582975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1">
        <v>230</v>
      </c>
      <c r="FZ235">
        <v>80.35966310809097</v>
      </c>
      <c r="GA235">
        <v>107.73930080146506</v>
      </c>
      <c r="GB235">
        <v>53.308050048831888</v>
      </c>
      <c r="GC235">
        <v>23.857977176340185</v>
      </c>
      <c r="GD235">
        <v>12.683985594110093</v>
      </c>
      <c r="GE235">
        <v>21.129558864601034</v>
      </c>
      <c r="GF235">
        <v>51.668394977504974</v>
      </c>
      <c r="GG235">
        <v>40.695394914130354</v>
      </c>
      <c r="GH235">
        <v>20.062000377018293</v>
      </c>
      <c r="GI235">
        <v>47.047537583270746</v>
      </c>
      <c r="GJ235"/>
      <c r="GK235"/>
      <c r="GL235"/>
      <c r="GM235"/>
    </row>
    <row r="236" spans="1:195" s="7" customFormat="1">
      <c r="A236" s="77"/>
      <c r="B236">
        <v>0.24313668503905284</v>
      </c>
      <c r="C236">
        <v>1</v>
      </c>
      <c r="D236">
        <v>39646</v>
      </c>
      <c r="E236">
        <v>0</v>
      </c>
      <c r="F236">
        <v>0</v>
      </c>
      <c r="G236">
        <v>10.416666666666666</v>
      </c>
      <c r="H236">
        <v>20.833333333333332</v>
      </c>
      <c r="I236">
        <v>31.25</v>
      </c>
      <c r="J236">
        <v>10.416666666666666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219.76601781763435</v>
      </c>
      <c r="AO236">
        <v>65.294788934851709</v>
      </c>
      <c r="AP236">
        <v>560.6884679932441</v>
      </c>
      <c r="AQ236">
        <v>430.94613467929332</v>
      </c>
      <c r="AR236">
        <v>63.568624108839408</v>
      </c>
      <c r="AS236">
        <v>309.30352414436504</v>
      </c>
      <c r="AT236">
        <v>31.608303038065419</v>
      </c>
      <c r="AU236">
        <v>-24.590396358112308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1">
        <v>231</v>
      </c>
      <c r="FZ236">
        <v>72.376944186051759</v>
      </c>
      <c r="GA236">
        <v>102.54337044866266</v>
      </c>
      <c r="GB236">
        <v>56.905436527372771</v>
      </c>
      <c r="GC236">
        <v>28.949180391424932</v>
      </c>
      <c r="GD236">
        <v>17.989329570024566</v>
      </c>
      <c r="GE236">
        <v>31.797901520529624</v>
      </c>
      <c r="GF236">
        <v>44.509139064644195</v>
      </c>
      <c r="GG236">
        <v>32.021362903116966</v>
      </c>
      <c r="GH236">
        <v>30.023849529201975</v>
      </c>
      <c r="GI236">
        <v>50.279420091258146</v>
      </c>
      <c r="GJ236"/>
      <c r="GK236"/>
      <c r="GL236"/>
      <c r="GM236"/>
    </row>
    <row r="237" spans="1:195" s="7" customFormat="1">
      <c r="A237" s="77"/>
      <c r="B237">
        <v>0.10385359988412057</v>
      </c>
      <c r="C237">
        <v>6</v>
      </c>
      <c r="D237">
        <v>39646</v>
      </c>
      <c r="E237">
        <v>0</v>
      </c>
      <c r="F237">
        <v>0</v>
      </c>
      <c r="G237">
        <v>20.833333333333332</v>
      </c>
      <c r="H237">
        <v>83.333333333333329</v>
      </c>
      <c r="I237">
        <v>104.16666666666667</v>
      </c>
      <c r="J237">
        <v>10.416666666666666</v>
      </c>
      <c r="K237">
        <v>72.916666666666671</v>
      </c>
      <c r="L237">
        <v>20.833333333333332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183.72706651032752</v>
      </c>
      <c r="AO237">
        <v>52.508309617707368</v>
      </c>
      <c r="AP237">
        <v>369.97961456048671</v>
      </c>
      <c r="AQ237">
        <v>298.49749357948173</v>
      </c>
      <c r="AR237">
        <v>51.191857356802245</v>
      </c>
      <c r="AS237">
        <v>245.80952380309304</v>
      </c>
      <c r="AT237">
        <v>24.039487468120754</v>
      </c>
      <c r="AU237">
        <v>-5.2736235092158985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1">
        <v>232</v>
      </c>
      <c r="FZ237">
        <v>72.393441366806655</v>
      </c>
      <c r="GA237">
        <v>97.631159625548364</v>
      </c>
      <c r="GB237">
        <v>41.974702638133614</v>
      </c>
      <c r="GC237">
        <v>27.73099870127766</v>
      </c>
      <c r="GD237">
        <v>17.097641096832103</v>
      </c>
      <c r="GE237">
        <v>20.983153803007628</v>
      </c>
      <c r="GF237">
        <v>35.50824152662355</v>
      </c>
      <c r="GG237">
        <v>27.911075378753008</v>
      </c>
      <c r="GH237">
        <v>25.700181333579021</v>
      </c>
      <c r="GI237">
        <v>43.264038778103618</v>
      </c>
      <c r="GJ237"/>
      <c r="GK237"/>
      <c r="GL237"/>
      <c r="GM237"/>
    </row>
    <row r="238" spans="1:195" s="7" customFormat="1">
      <c r="A238" s="77"/>
      <c r="B238">
        <v>1.4798859640427153E-2</v>
      </c>
      <c r="C238">
        <v>7</v>
      </c>
      <c r="D238">
        <v>39673</v>
      </c>
      <c r="E238">
        <v>0</v>
      </c>
      <c r="F238">
        <v>0</v>
      </c>
      <c r="G238">
        <v>0</v>
      </c>
      <c r="H238">
        <v>10.416666666666666</v>
      </c>
      <c r="I238">
        <v>41.666666666666664</v>
      </c>
      <c r="J238">
        <v>20.833333333333332</v>
      </c>
      <c r="K238">
        <v>10.416666666666666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173.97527671919653</v>
      </c>
      <c r="AO238">
        <v>64.39963044522662</v>
      </c>
      <c r="AP238">
        <v>544.57729502959342</v>
      </c>
      <c r="AQ238">
        <v>417.82818352793925</v>
      </c>
      <c r="AR238">
        <v>61.501833476421119</v>
      </c>
      <c r="AS238">
        <v>299.07228883670189</v>
      </c>
      <c r="AT238">
        <v>30.347197420581157</v>
      </c>
      <c r="AU238">
        <v>39.090601797545027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1">
        <v>233</v>
      </c>
      <c r="FZ238">
        <v>71.255604914997008</v>
      </c>
      <c r="GA238">
        <v>84.639243989625427</v>
      </c>
      <c r="GB238">
        <v>44.314682476909717</v>
      </c>
      <c r="GC238">
        <v>26.09822167645483</v>
      </c>
      <c r="GD238">
        <v>11.710011116296679</v>
      </c>
      <c r="GE238">
        <v>15.491804115394567</v>
      </c>
      <c r="GF238">
        <v>45.518258761445161</v>
      </c>
      <c r="GG238">
        <v>36.289149931211526</v>
      </c>
      <c r="GH238">
        <v>27.659461085089916</v>
      </c>
      <c r="GI238">
        <v>42.680000180057171</v>
      </c>
      <c r="GJ238"/>
      <c r="GK238"/>
      <c r="GL238"/>
      <c r="GM238"/>
    </row>
    <row r="239" spans="1:195" s="7" customFormat="1">
      <c r="A239" s="77" t="s">
        <v>61</v>
      </c>
      <c r="B239">
        <v>0.36615354103939368</v>
      </c>
      <c r="C239">
        <v>3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20.833333333333332</v>
      </c>
      <c r="J239">
        <v>102.73692810457517</v>
      </c>
      <c r="K239">
        <v>0</v>
      </c>
      <c r="L239">
        <v>0</v>
      </c>
      <c r="M239">
        <v>0</v>
      </c>
      <c r="N239">
        <v>10.416666666666666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215.09034821261722</v>
      </c>
      <c r="AO239">
        <v>89.728652994702685</v>
      </c>
      <c r="AP239">
        <v>825.2760788272202</v>
      </c>
      <c r="AQ239">
        <v>662.73747110815577</v>
      </c>
      <c r="AR239">
        <v>86.020273752845853</v>
      </c>
      <c r="AS239">
        <v>368.04401660603372</v>
      </c>
      <c r="AT239">
        <v>46.965671698523558</v>
      </c>
      <c r="AU239">
        <v>-14.893626909401384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FY239" s="211">
        <v>234</v>
      </c>
      <c r="FZ239">
        <v>44.788330625237663</v>
      </c>
      <c r="GA239">
        <v>45.746823752946796</v>
      </c>
      <c r="GB239">
        <v>43.675398570253989</v>
      </c>
      <c r="GC239">
        <v>21.427946215879736</v>
      </c>
      <c r="GD239">
        <v>11.744916540356609</v>
      </c>
      <c r="GE239">
        <v>22.801592387241108</v>
      </c>
      <c r="GF239">
        <v>50.188547606824301</v>
      </c>
      <c r="GG239">
        <v>41.49466597009328</v>
      </c>
      <c r="GH239">
        <v>21.562950415897888</v>
      </c>
      <c r="GI239">
        <v>38.645336033564256</v>
      </c>
      <c r="GJ239"/>
      <c r="GK239"/>
      <c r="GL239"/>
      <c r="GM239"/>
    </row>
    <row r="240" spans="1:195" s="7" customFormat="1">
      <c r="A240" s="77" t="s">
        <v>62</v>
      </c>
      <c r="B240">
        <v>0.40686790402398237</v>
      </c>
      <c r="C240">
        <v>10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75</v>
      </c>
      <c r="J240">
        <v>300</v>
      </c>
      <c r="K240">
        <v>372.61904761904759</v>
      </c>
      <c r="L240">
        <v>131.25</v>
      </c>
      <c r="M240">
        <v>0</v>
      </c>
      <c r="N240">
        <v>112.5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252.1456935467383</v>
      </c>
      <c r="AO240">
        <v>77.618999004599658</v>
      </c>
      <c r="AP240">
        <v>696.73271086197383</v>
      </c>
      <c r="AQ240">
        <v>549.33663876647427</v>
      </c>
      <c r="AR240">
        <v>75.418351204103118</v>
      </c>
      <c r="AS240">
        <v>363.94848059455336</v>
      </c>
      <c r="AT240">
        <v>38.928589907758102</v>
      </c>
      <c r="AU240">
        <v>92.67623196263429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FY240" s="211">
        <v>235</v>
      </c>
      <c r="FZ240">
        <v>64.195649098467499</v>
      </c>
      <c r="GA240">
        <v>85.304063031358154</v>
      </c>
      <c r="GB240">
        <v>57.618617563334595</v>
      </c>
      <c r="GC240">
        <v>33.9664718124288</v>
      </c>
      <c r="GD240">
        <v>15.768870805830975</v>
      </c>
      <c r="GE240">
        <v>21.152156668535092</v>
      </c>
      <c r="GF240">
        <v>25.889851440750611</v>
      </c>
      <c r="GG240">
        <v>21.808203883966716</v>
      </c>
      <c r="GH240">
        <v>25.669412666762071</v>
      </c>
      <c r="GI240">
        <v>43.634559472134633</v>
      </c>
      <c r="GJ240"/>
      <c r="GK240"/>
      <c r="GL240"/>
      <c r="GM240"/>
    </row>
    <row r="241" spans="1:195" s="7" customFormat="1">
      <c r="A241" s="77"/>
      <c r="B241">
        <v>0.8258749619534429</v>
      </c>
      <c r="C241">
        <v>7</v>
      </c>
      <c r="D241">
        <v>39673</v>
      </c>
      <c r="E241">
        <v>0</v>
      </c>
      <c r="F241">
        <v>0</v>
      </c>
      <c r="G241">
        <v>0</v>
      </c>
      <c r="H241">
        <v>10.416666666666666</v>
      </c>
      <c r="I241">
        <v>41.666666666666664</v>
      </c>
      <c r="J241">
        <v>20.833333333333332</v>
      </c>
      <c r="K241">
        <v>10.416666666666666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231.117865460757</v>
      </c>
      <c r="AO241">
        <v>85.281460230011135</v>
      </c>
      <c r="AP241">
        <v>707.91466218008179</v>
      </c>
      <c r="AQ241">
        <v>570.4841187142589</v>
      </c>
      <c r="AR241">
        <v>82.409208053650602</v>
      </c>
      <c r="AS241">
        <v>383.97551566088981</v>
      </c>
      <c r="AT241">
        <v>43.258661368475629</v>
      </c>
      <c r="AU241">
        <v>9.6102802216750653</v>
      </c>
      <c r="AV241"/>
      <c r="AW241"/>
      <c r="FY241" s="211">
        <v>236</v>
      </c>
      <c r="FZ241">
        <v>26.040751878745048</v>
      </c>
      <c r="GA241">
        <v>39.879749428264681</v>
      </c>
      <c r="GB241">
        <v>45.586677337720353</v>
      </c>
      <c r="GC241">
        <v>25.756617632540031</v>
      </c>
      <c r="GD241">
        <v>13.020796375635985</v>
      </c>
      <c r="GE241">
        <v>19.900181244368351</v>
      </c>
      <c r="GF241">
        <v>26.646743691710537</v>
      </c>
      <c r="GG241">
        <v>18.443336482170007</v>
      </c>
      <c r="GH241">
        <v>21.851142955928218</v>
      </c>
      <c r="GI241">
        <v>32.374464664641629</v>
      </c>
      <c r="GJ241"/>
      <c r="GK241"/>
      <c r="GL241"/>
      <c r="GM241"/>
    </row>
    <row r="242" spans="1:195" s="7" customFormat="1">
      <c r="A242" s="1"/>
      <c r="B242">
        <v>0.89825974226201444</v>
      </c>
      <c r="C242">
        <v>3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20.833333333333332</v>
      </c>
      <c r="J242">
        <v>102.73692810457517</v>
      </c>
      <c r="K242">
        <v>0</v>
      </c>
      <c r="L242">
        <v>0</v>
      </c>
      <c r="M242">
        <v>0</v>
      </c>
      <c r="N242">
        <v>10.416666666666666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243.02812618151296</v>
      </c>
      <c r="AO242">
        <v>89.339956684644392</v>
      </c>
      <c r="AP242">
        <v>786.71898745407748</v>
      </c>
      <c r="AQ242">
        <v>626.56159254816157</v>
      </c>
      <c r="AR242">
        <v>85.274785381170688</v>
      </c>
      <c r="AS242">
        <v>384.44131821971268</v>
      </c>
      <c r="AT242">
        <v>45.078139159767062</v>
      </c>
      <c r="AU242">
        <v>-43.777011180750414</v>
      </c>
      <c r="AV242"/>
      <c r="AW242"/>
      <c r="BI242" s="162"/>
      <c r="FY242" s="211">
        <v>237</v>
      </c>
      <c r="FZ242">
        <v>78.780837086187702</v>
      </c>
      <c r="GA242">
        <v>86.190388375658415</v>
      </c>
      <c r="GB242">
        <v>47.661242082110348</v>
      </c>
      <c r="GC242">
        <v>28.976674693857106</v>
      </c>
      <c r="GD242">
        <v>13.990114440677107</v>
      </c>
      <c r="GE242">
        <v>22.835056569949415</v>
      </c>
      <c r="GF242">
        <v>71.843707201176159</v>
      </c>
      <c r="GG242">
        <v>52.608677657471922</v>
      </c>
      <c r="GH242">
        <v>16.802074468925657</v>
      </c>
      <c r="GI242">
        <v>49.801820555759193</v>
      </c>
      <c r="GJ242"/>
      <c r="GK242"/>
      <c r="GL242"/>
      <c r="GM242"/>
    </row>
    <row r="243" spans="1:195" s="7" customFormat="1">
      <c r="A243" s="1"/>
      <c r="B243">
        <v>0.51552448785340488</v>
      </c>
      <c r="C243">
        <v>6</v>
      </c>
      <c r="D243">
        <v>39673</v>
      </c>
      <c r="E243">
        <v>0</v>
      </c>
      <c r="F243">
        <v>0</v>
      </c>
      <c r="G243">
        <v>0</v>
      </c>
      <c r="H243">
        <v>10.416666666666666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152.96820517953574</v>
      </c>
      <c r="AO243">
        <v>60.431701494756886</v>
      </c>
      <c r="AP243">
        <v>507.58750332548834</v>
      </c>
      <c r="AQ243">
        <v>395.70467879402128</v>
      </c>
      <c r="AR243">
        <v>58.394757304259969</v>
      </c>
      <c r="AS243">
        <v>272.46233065239602</v>
      </c>
      <c r="AT243">
        <v>29.668180930159622</v>
      </c>
      <c r="AU243">
        <v>-20.612764206762215</v>
      </c>
      <c r="AV243"/>
      <c r="AW243"/>
      <c r="FY243" s="211">
        <v>238</v>
      </c>
      <c r="FZ243">
        <v>77.268260533844696</v>
      </c>
      <c r="GA243">
        <v>87.61766095334896</v>
      </c>
      <c r="GB243">
        <v>32.671408026263279</v>
      </c>
      <c r="GC243">
        <v>16.523735494379363</v>
      </c>
      <c r="GD243">
        <v>13.87612213876351</v>
      </c>
      <c r="GE243">
        <v>35.010883625826942</v>
      </c>
      <c r="GF243">
        <v>36.372071606366205</v>
      </c>
      <c r="GG243">
        <v>12.573773293207264</v>
      </c>
      <c r="GH243">
        <v>15.521752734542172</v>
      </c>
      <c r="GI243">
        <v>38.208890789303908</v>
      </c>
      <c r="GJ243"/>
      <c r="GK243"/>
      <c r="GL243"/>
      <c r="GM243"/>
    </row>
    <row r="244" spans="1:195" s="7" customFormat="1">
      <c r="A244" s="1"/>
      <c r="B244">
        <v>0.59595899220395077</v>
      </c>
      <c r="C244">
        <v>9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10.416666666666666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168.47060793477411</v>
      </c>
      <c r="AO244">
        <v>49.911730051459934</v>
      </c>
      <c r="AP244">
        <v>386.62200399932385</v>
      </c>
      <c r="AQ244">
        <v>296.45393767654599</v>
      </c>
      <c r="AR244">
        <v>48.80676909357117</v>
      </c>
      <c r="AS244">
        <v>242.38960145136272</v>
      </c>
      <c r="AT244">
        <v>22.709874140640093</v>
      </c>
      <c r="AU244">
        <v>-6.7896306759553937</v>
      </c>
      <c r="AV244"/>
      <c r="AW244"/>
      <c r="FY244" s="211">
        <v>239</v>
      </c>
      <c r="FZ244">
        <v>28.698665862509309</v>
      </c>
      <c r="GA244">
        <v>57.218199484434123</v>
      </c>
      <c r="GB244">
        <v>53.480842502641593</v>
      </c>
      <c r="GC244">
        <v>24.001946582040379</v>
      </c>
      <c r="GD244">
        <v>14.147220218047455</v>
      </c>
      <c r="GE244">
        <v>28.877410943973235</v>
      </c>
      <c r="GF244">
        <v>52.92263669081445</v>
      </c>
      <c r="GG244">
        <v>36.601355417632796</v>
      </c>
      <c r="GH244">
        <v>19.95601811665032</v>
      </c>
      <c r="GI244">
        <v>40.568538348949815</v>
      </c>
      <c r="GJ244"/>
      <c r="GK244"/>
      <c r="GL244"/>
      <c r="GM244"/>
    </row>
    <row r="245" spans="1:195" s="7" customFormat="1">
      <c r="A245" s="1"/>
      <c r="B245">
        <v>0.66767740338547821</v>
      </c>
      <c r="C245">
        <v>6</v>
      </c>
      <c r="D245">
        <v>39673</v>
      </c>
      <c r="E245">
        <v>0</v>
      </c>
      <c r="F245">
        <v>0</v>
      </c>
      <c r="G245">
        <v>0</v>
      </c>
      <c r="H245">
        <v>10.416666666666666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217.62842670290243</v>
      </c>
      <c r="AO245">
        <v>69.360638810995169</v>
      </c>
      <c r="AP245">
        <v>584.6856094063744</v>
      </c>
      <c r="AQ245">
        <v>473.56452929355765</v>
      </c>
      <c r="AR245">
        <v>67.571956372555803</v>
      </c>
      <c r="AS245">
        <v>319.66550666377901</v>
      </c>
      <c r="AT245">
        <v>35.294454615007744</v>
      </c>
      <c r="AU245">
        <v>6.2637953067584604</v>
      </c>
      <c r="AV245"/>
      <c r="AW245"/>
      <c r="FY245" s="211">
        <v>240</v>
      </c>
      <c r="FZ245">
        <v>48.382586046998043</v>
      </c>
      <c r="GA245">
        <v>41.986674207439677</v>
      </c>
      <c r="GB245">
        <v>26.843533334693255</v>
      </c>
      <c r="GC245">
        <v>15.953461507027011</v>
      </c>
      <c r="GD245">
        <v>15.498497533462334</v>
      </c>
      <c r="GE245">
        <v>22.30756699192121</v>
      </c>
      <c r="GF245">
        <v>22.883171646523433</v>
      </c>
      <c r="GG245">
        <v>21.432154893252452</v>
      </c>
      <c r="GH245">
        <v>22.018972263028907</v>
      </c>
      <c r="GI245">
        <v>31.919948642514033</v>
      </c>
      <c r="GJ245"/>
      <c r="GK245"/>
      <c r="GL245"/>
      <c r="GM245"/>
    </row>
    <row r="246" spans="1:195" s="7" customFormat="1">
      <c r="A246" s="1"/>
      <c r="B246">
        <v>6.1191838594103709E-2</v>
      </c>
      <c r="C246">
        <v>1</v>
      </c>
      <c r="D246">
        <v>39673</v>
      </c>
      <c r="E246">
        <v>0</v>
      </c>
      <c r="F246">
        <v>0</v>
      </c>
      <c r="G246">
        <v>0</v>
      </c>
      <c r="H246">
        <v>10.416666666666666</v>
      </c>
      <c r="I246">
        <v>20.833333333333332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198.32797653673339</v>
      </c>
      <c r="AO246">
        <v>69.844519347293499</v>
      </c>
      <c r="AP246">
        <v>598.23268901530912</v>
      </c>
      <c r="AQ246">
        <v>458.55186344536367</v>
      </c>
      <c r="AR246">
        <v>68.023758958458302</v>
      </c>
      <c r="AS246">
        <v>316.52764680394341</v>
      </c>
      <c r="AT246">
        <v>33.370367202893313</v>
      </c>
      <c r="AU246">
        <v>65.386727075874049</v>
      </c>
      <c r="AV246"/>
      <c r="AW246"/>
      <c r="FY246" s="211">
        <v>241</v>
      </c>
      <c r="FZ246">
        <v>70.735470647780488</v>
      </c>
      <c r="GA246">
        <v>95.051711946909649</v>
      </c>
      <c r="GB246">
        <v>48.688309123227619</v>
      </c>
      <c r="GC246">
        <v>31.298676589035615</v>
      </c>
      <c r="GD246">
        <v>18.632702017945935</v>
      </c>
      <c r="GE246">
        <v>27.020978885951028</v>
      </c>
      <c r="GF246">
        <v>53.191845253825399</v>
      </c>
      <c r="GG246">
        <v>35.731721571888336</v>
      </c>
      <c r="GH246">
        <v>14.9373816714313</v>
      </c>
      <c r="GI246">
        <v>47.394373762298478</v>
      </c>
      <c r="GJ246"/>
      <c r="GK246"/>
      <c r="GL246"/>
      <c r="GM246"/>
    </row>
    <row r="247" spans="1:195" s="7" customFormat="1">
      <c r="A247" s="77" t="s">
        <v>61</v>
      </c>
      <c r="B247">
        <v>0.2733256826925814</v>
      </c>
      <c r="C247">
        <v>8</v>
      </c>
      <c r="D247">
        <v>39673</v>
      </c>
      <c r="E247">
        <v>0</v>
      </c>
      <c r="F247">
        <v>0</v>
      </c>
      <c r="G247">
        <v>0</v>
      </c>
      <c r="H247">
        <v>10.416666666666666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227.94154688091857</v>
      </c>
      <c r="AO247">
        <v>74.598355911211897</v>
      </c>
      <c r="AP247">
        <v>593.04843135509952</v>
      </c>
      <c r="AQ247">
        <v>467.39593423228769</v>
      </c>
      <c r="AR247">
        <v>72.344729325653844</v>
      </c>
      <c r="AS247">
        <v>342.03683250114045</v>
      </c>
      <c r="AT247">
        <v>35.921646984045232</v>
      </c>
      <c r="AU247">
        <v>-18.882469540506019</v>
      </c>
      <c r="AV247"/>
      <c r="AW247"/>
      <c r="FY247" s="211">
        <v>242</v>
      </c>
      <c r="FZ247">
        <v>35.654382630646658</v>
      </c>
      <c r="GA247">
        <v>39.17865876468597</v>
      </c>
      <c r="GB247">
        <v>44.000202836902432</v>
      </c>
      <c r="GC247">
        <v>27.767393516055563</v>
      </c>
      <c r="GD247">
        <v>15.934034756349465</v>
      </c>
      <c r="GE247">
        <v>20.87885570763472</v>
      </c>
      <c r="GF247">
        <v>42.977964221529895</v>
      </c>
      <c r="GG247">
        <v>37.578464802636439</v>
      </c>
      <c r="GH247">
        <v>33.132290185920532</v>
      </c>
      <c r="GI247">
        <v>40.444019978238742</v>
      </c>
      <c r="GJ247"/>
      <c r="GK247"/>
      <c r="GL247"/>
      <c r="GM247"/>
    </row>
    <row r="248" spans="1:195" s="7" customFormat="1">
      <c r="A248" s="77" t="s">
        <v>62</v>
      </c>
      <c r="B248">
        <v>0.27085940299777089</v>
      </c>
      <c r="C248">
        <v>8</v>
      </c>
      <c r="D248">
        <v>39714</v>
      </c>
      <c r="E248">
        <v>0</v>
      </c>
      <c r="F248">
        <v>0</v>
      </c>
      <c r="G248">
        <v>0</v>
      </c>
      <c r="H248">
        <v>10.416666666666666</v>
      </c>
      <c r="I248">
        <v>0</v>
      </c>
      <c r="J248">
        <v>31.25</v>
      </c>
      <c r="K248">
        <v>62.5</v>
      </c>
      <c r="L248">
        <v>0</v>
      </c>
      <c r="M248">
        <v>31.25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246.60671329769889</v>
      </c>
      <c r="AO248">
        <v>64.593993061086891</v>
      </c>
      <c r="AP248">
        <v>513.00298712513825</v>
      </c>
      <c r="AQ248">
        <v>410.19463424866524</v>
      </c>
      <c r="AR248">
        <v>62.25716836566432</v>
      </c>
      <c r="AS248">
        <v>313.0162720987762</v>
      </c>
      <c r="AT248">
        <v>29.526744954224132</v>
      </c>
      <c r="AU248">
        <v>-3.2629467612786591</v>
      </c>
      <c r="AV248"/>
      <c r="AW248"/>
      <c r="FY248" s="211">
        <v>243</v>
      </c>
      <c r="FZ248">
        <v>38.14106961431326</v>
      </c>
      <c r="GA248">
        <v>43.187335098614653</v>
      </c>
      <c r="GB248">
        <v>39.973887839007716</v>
      </c>
      <c r="GC248">
        <v>23.430381481939222</v>
      </c>
      <c r="GD248">
        <v>18.707123129332562</v>
      </c>
      <c r="GE248">
        <v>26.824886299356692</v>
      </c>
      <c r="GF248">
        <v>23.68499480089821</v>
      </c>
      <c r="GG248">
        <v>21.152660949852351</v>
      </c>
      <c r="GH248">
        <v>22.748039200669933</v>
      </c>
      <c r="GI248">
        <v>36.158349890229459</v>
      </c>
      <c r="GJ248"/>
      <c r="GK248"/>
      <c r="GL248"/>
      <c r="GM248"/>
    </row>
    <row r="249" spans="1:195" s="7" customFormat="1">
      <c r="A249" s="1"/>
      <c r="B249">
        <v>0.4316853707590449</v>
      </c>
      <c r="C249">
        <v>4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10.416666666666666</v>
      </c>
      <c r="K249">
        <v>20.833333333333332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213.68887780927588</v>
      </c>
      <c r="AO249">
        <v>62.590963490951708</v>
      </c>
      <c r="AP249">
        <v>524.06583484760768</v>
      </c>
      <c r="AQ249">
        <v>405.65643824748196</v>
      </c>
      <c r="AR249">
        <v>61.647582204315519</v>
      </c>
      <c r="AS249">
        <v>296.67833705913694</v>
      </c>
      <c r="AT249">
        <v>29.994882816577814</v>
      </c>
      <c r="AU249">
        <v>72.6574850541123</v>
      </c>
      <c r="AV249"/>
      <c r="AW249"/>
      <c r="FY249" s="211">
        <v>244</v>
      </c>
      <c r="FZ249">
        <v>104.86156792543412</v>
      </c>
      <c r="GA249">
        <v>148.47626692551788</v>
      </c>
      <c r="GB249">
        <v>48.743182074625693</v>
      </c>
      <c r="GC249">
        <v>28.263410781324389</v>
      </c>
      <c r="GD249">
        <v>15.541254212659416</v>
      </c>
      <c r="GE249">
        <v>16.637439634474042</v>
      </c>
      <c r="GF249">
        <v>43.687941606145301</v>
      </c>
      <c r="GG249">
        <v>38.201614033915732</v>
      </c>
      <c r="GH249">
        <v>29.67562115441509</v>
      </c>
      <c r="GI249">
        <v>51.212279673758594</v>
      </c>
      <c r="GJ249"/>
      <c r="GK249"/>
      <c r="GL249"/>
      <c r="GM249"/>
    </row>
    <row r="250" spans="1:195" s="7" customFormat="1">
      <c r="A250" s="1"/>
      <c r="B250">
        <v>0.41247279433546979</v>
      </c>
      <c r="C250">
        <v>2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52.083333333333336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212.93689875649335</v>
      </c>
      <c r="AO250">
        <v>56.288170803054982</v>
      </c>
      <c r="AP250">
        <v>445.52680172943843</v>
      </c>
      <c r="AQ250">
        <v>342.07650811829564</v>
      </c>
      <c r="AR250">
        <v>55.492242902993603</v>
      </c>
      <c r="AS250">
        <v>286.66943688189247</v>
      </c>
      <c r="AT250">
        <v>25.622309912333179</v>
      </c>
      <c r="AU250">
        <v>44.326240410792316</v>
      </c>
      <c r="AV250"/>
      <c r="AW250"/>
      <c r="FY250" s="211">
        <v>245</v>
      </c>
      <c r="FZ250">
        <v>28.796670795635396</v>
      </c>
      <c r="GA250">
        <v>30.157783277356735</v>
      </c>
      <c r="GB250">
        <v>50.491974645297745</v>
      </c>
      <c r="GC250">
        <v>35.927204610208165</v>
      </c>
      <c r="GD250">
        <v>20.609185994954672</v>
      </c>
      <c r="GE250">
        <v>23.176878615494729</v>
      </c>
      <c r="GF250">
        <v>45.753681060896611</v>
      </c>
      <c r="GG250">
        <v>40.52681756825686</v>
      </c>
      <c r="GH250">
        <v>14.150436537165229</v>
      </c>
      <c r="GI250">
        <v>41.66225916930803</v>
      </c>
      <c r="GJ250"/>
      <c r="GK250"/>
      <c r="GL250"/>
      <c r="GM250"/>
    </row>
    <row r="251" spans="1:195" s="7" customFormat="1">
      <c r="A251" s="1"/>
      <c r="B251">
        <v>0.37923610972535227</v>
      </c>
      <c r="C251">
        <v>8</v>
      </c>
      <c r="D251">
        <v>39714</v>
      </c>
      <c r="E251">
        <v>0</v>
      </c>
      <c r="F251">
        <v>0</v>
      </c>
      <c r="G251">
        <v>0</v>
      </c>
      <c r="H251">
        <v>10.416666666666666</v>
      </c>
      <c r="I251">
        <v>0</v>
      </c>
      <c r="J251">
        <v>31.25</v>
      </c>
      <c r="K251">
        <v>62.5</v>
      </c>
      <c r="L251">
        <v>0</v>
      </c>
      <c r="M251">
        <v>31.25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200.88757405971762</v>
      </c>
      <c r="AO251">
        <v>65.552532895642585</v>
      </c>
      <c r="AP251">
        <v>503.00012185543517</v>
      </c>
      <c r="AQ251">
        <v>395.00785644356915</v>
      </c>
      <c r="AR251">
        <v>63.235822871546837</v>
      </c>
      <c r="AS251">
        <v>284.1738176871774</v>
      </c>
      <c r="AT251">
        <v>29.672433228879964</v>
      </c>
      <c r="AU251">
        <v>-0.27186491401459634</v>
      </c>
      <c r="AV251"/>
      <c r="AW251"/>
      <c r="FY251" s="211">
        <v>246</v>
      </c>
      <c r="FZ251">
        <v>44.993389373515555</v>
      </c>
      <c r="GA251">
        <v>50.516950265865965</v>
      </c>
      <c r="GB251">
        <v>37.920667973710842</v>
      </c>
      <c r="GC251">
        <v>21.738925717995201</v>
      </c>
      <c r="GD251">
        <v>16.194302960312093</v>
      </c>
      <c r="GE251">
        <v>21.829846004259718</v>
      </c>
      <c r="GF251">
        <v>38.030196169855259</v>
      </c>
      <c r="GG251">
        <v>38.435946633024038</v>
      </c>
      <c r="GH251">
        <v>21.393875882667423</v>
      </c>
      <c r="GI251">
        <v>37.633190800203906</v>
      </c>
      <c r="GJ251"/>
      <c r="GK251"/>
      <c r="GL251"/>
      <c r="GM251"/>
    </row>
    <row r="252" spans="1:195" s="7" customFormat="1">
      <c r="A252" s="1"/>
      <c r="B252">
        <v>0.55270656235153659</v>
      </c>
      <c r="C252">
        <v>9</v>
      </c>
      <c r="D252">
        <v>39714</v>
      </c>
      <c r="E252">
        <v>0</v>
      </c>
      <c r="F252">
        <v>201.61290322580646</v>
      </c>
      <c r="G252">
        <v>201.61290322580646</v>
      </c>
      <c r="H252">
        <v>10.416666666666666</v>
      </c>
      <c r="I252">
        <v>0</v>
      </c>
      <c r="J252">
        <v>83.333333333333329</v>
      </c>
      <c r="K252">
        <v>72.916666666666671</v>
      </c>
      <c r="L252">
        <v>0</v>
      </c>
      <c r="M252">
        <v>10.416666666666666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187.96341655798625</v>
      </c>
      <c r="AO252">
        <v>47.341705479199263</v>
      </c>
      <c r="AP252">
        <v>344.97272220512662</v>
      </c>
      <c r="AQ252">
        <v>269.50046169172487</v>
      </c>
      <c r="AR252">
        <v>46.224121552083325</v>
      </c>
      <c r="AS252">
        <v>223.32338234235979</v>
      </c>
      <c r="AT252">
        <v>20.577920426712915</v>
      </c>
      <c r="AU252">
        <v>-6.488548177709994</v>
      </c>
      <c r="AV252"/>
      <c r="AW252"/>
      <c r="FY252" s="211">
        <v>247</v>
      </c>
      <c r="FZ252">
        <v>78.057539259316428</v>
      </c>
      <c r="GA252">
        <v>93.00183142777216</v>
      </c>
      <c r="GB252">
        <v>43.61671261516112</v>
      </c>
      <c r="GC252">
        <v>24.987870005210727</v>
      </c>
      <c r="GD252">
        <v>18.155978685761394</v>
      </c>
      <c r="GE252">
        <v>28.562259126028756</v>
      </c>
      <c r="GF252">
        <v>41.597017406646138</v>
      </c>
      <c r="GG252">
        <v>34.418615367005117</v>
      </c>
      <c r="GH252">
        <v>39.287264075185419</v>
      </c>
      <c r="GI252">
        <v>48.628048118150453</v>
      </c>
      <c r="GJ252"/>
      <c r="GK252"/>
      <c r="GL252"/>
      <c r="GM252"/>
    </row>
    <row r="253" spans="1:195" s="7" customFormat="1">
      <c r="A253" s="1"/>
      <c r="B253">
        <v>0.21209115264903922</v>
      </c>
      <c r="C253">
        <v>4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10.416666666666666</v>
      </c>
      <c r="K253">
        <v>20.833333333333332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242.52043111659091</v>
      </c>
      <c r="AO253">
        <v>74.195969491105629</v>
      </c>
      <c r="AP253">
        <v>610.26445558965816</v>
      </c>
      <c r="AQ253">
        <v>469.49059313177293</v>
      </c>
      <c r="AR253">
        <v>71.740047572284411</v>
      </c>
      <c r="AS253">
        <v>347.33401527076705</v>
      </c>
      <c r="AT253">
        <v>34.415250958129171</v>
      </c>
      <c r="AU253">
        <v>-2.565712856915944</v>
      </c>
      <c r="AV253"/>
      <c r="AW253"/>
      <c r="FY253" s="211">
        <v>248</v>
      </c>
      <c r="FZ253">
        <v>28.229520987014237</v>
      </c>
      <c r="GA253">
        <v>35.738375563240638</v>
      </c>
      <c r="GB253">
        <v>45.733618631714108</v>
      </c>
      <c r="GC253">
        <v>23.85654111088234</v>
      </c>
      <c r="GD253">
        <v>14.256233165492977</v>
      </c>
      <c r="GE253">
        <v>29.393338841077224</v>
      </c>
      <c r="GF253">
        <v>48.672473322650042</v>
      </c>
      <c r="GG253">
        <v>28.639495179695356</v>
      </c>
      <c r="GH253">
        <v>26.424056190364649</v>
      </c>
      <c r="GI253">
        <v>38.866605037787693</v>
      </c>
      <c r="GJ253"/>
      <c r="GK253"/>
      <c r="GL253"/>
      <c r="GM253"/>
    </row>
    <row r="254" spans="1:195" s="7" customFormat="1">
      <c r="A254" s="1"/>
      <c r="B254">
        <v>9.4173929895476682E-2</v>
      </c>
      <c r="C254">
        <v>10</v>
      </c>
      <c r="D254">
        <v>39714</v>
      </c>
      <c r="E254">
        <v>0</v>
      </c>
      <c r="F254">
        <v>0</v>
      </c>
      <c r="G254">
        <v>89.285714285714278</v>
      </c>
      <c r="H254">
        <v>0</v>
      </c>
      <c r="I254">
        <v>10.416666666666666</v>
      </c>
      <c r="J254">
        <v>62.5</v>
      </c>
      <c r="K254">
        <v>31.25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181.58897634832053</v>
      </c>
      <c r="AO254">
        <v>56.129015012308557</v>
      </c>
      <c r="AP254">
        <v>447.21775442372348</v>
      </c>
      <c r="AQ254">
        <v>365.64455919584628</v>
      </c>
      <c r="AR254">
        <v>54.141123433947406</v>
      </c>
      <c r="AS254">
        <v>276.73383429287207</v>
      </c>
      <c r="AT254">
        <v>27.894869100378113</v>
      </c>
      <c r="AU254">
        <v>4.3080580566314097</v>
      </c>
      <c r="AV254"/>
      <c r="AW254"/>
      <c r="FY254" s="211">
        <v>249</v>
      </c>
      <c r="FZ254">
        <v>119.22255359625586</v>
      </c>
      <c r="GA254">
        <v>150.61957334890204</v>
      </c>
      <c r="GB254">
        <v>44.644766148149714</v>
      </c>
      <c r="GC254">
        <v>24.988848743820242</v>
      </c>
      <c r="GD254">
        <v>14.994678276156494</v>
      </c>
      <c r="GE254">
        <v>22.613700409394269</v>
      </c>
      <c r="GF254">
        <v>31.388575303959257</v>
      </c>
      <c r="GG254">
        <v>22.274424072049221</v>
      </c>
      <c r="GH254">
        <v>30.112242993443978</v>
      </c>
      <c r="GI254">
        <v>49.418266654845993</v>
      </c>
      <c r="GJ254"/>
      <c r="GK254"/>
      <c r="GL254"/>
      <c r="GM254"/>
    </row>
    <row r="255" spans="1:195" s="7" customFormat="1">
      <c r="A255" s="1"/>
      <c r="B255">
        <v>0.8194119392042154</v>
      </c>
      <c r="C255">
        <v>8</v>
      </c>
      <c r="D255">
        <v>39714</v>
      </c>
      <c r="E255">
        <v>0</v>
      </c>
      <c r="F255">
        <v>0</v>
      </c>
      <c r="G255">
        <v>0</v>
      </c>
      <c r="H255">
        <v>10.416666666666666</v>
      </c>
      <c r="I255">
        <v>0</v>
      </c>
      <c r="J255">
        <v>31.25</v>
      </c>
      <c r="K255">
        <v>62.5</v>
      </c>
      <c r="L255">
        <v>0</v>
      </c>
      <c r="M255">
        <v>31.25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215.07848136300149</v>
      </c>
      <c r="AO255">
        <v>60.488767697285198</v>
      </c>
      <c r="AP255">
        <v>468.13821805241082</v>
      </c>
      <c r="AQ255">
        <v>356.47283416769352</v>
      </c>
      <c r="AR255">
        <v>58.036170579144738</v>
      </c>
      <c r="AS255">
        <v>308.03240154417114</v>
      </c>
      <c r="AT255">
        <v>26.052333092607441</v>
      </c>
      <c r="AU255">
        <v>24.536712023376197</v>
      </c>
      <c r="AV255"/>
      <c r="AW255"/>
      <c r="FY255" s="211">
        <v>250</v>
      </c>
      <c r="FZ255">
        <v>76.176993689672528</v>
      </c>
      <c r="GA255">
        <v>96.263980890557946</v>
      </c>
      <c r="GB255">
        <v>54.485948975695379</v>
      </c>
      <c r="GC255">
        <v>30.755969493242944</v>
      </c>
      <c r="GD255">
        <v>11.082987337463519</v>
      </c>
      <c r="GE255">
        <v>11.061854362960627</v>
      </c>
      <c r="GF255">
        <v>37.365924086221725</v>
      </c>
      <c r="GG255">
        <v>28.769329244482616</v>
      </c>
      <c r="GH255">
        <v>15.701398909467505</v>
      </c>
      <c r="GI255">
        <v>42.225455403113926</v>
      </c>
      <c r="GJ255"/>
      <c r="GK255"/>
      <c r="GL255"/>
      <c r="GM255"/>
    </row>
    <row r="256" spans="1:195" s="7" customFormat="1">
      <c r="A256" s="1"/>
      <c r="B256">
        <v>0.7755033467179997</v>
      </c>
      <c r="C256">
        <v>9</v>
      </c>
      <c r="D256">
        <v>39714</v>
      </c>
      <c r="E256">
        <v>0</v>
      </c>
      <c r="F256">
        <v>201.61290322580646</v>
      </c>
      <c r="G256">
        <v>201.61290322580646</v>
      </c>
      <c r="H256">
        <v>10.416666666666666</v>
      </c>
      <c r="I256">
        <v>0</v>
      </c>
      <c r="J256">
        <v>83.333333333333329</v>
      </c>
      <c r="K256">
        <v>72.916666666666671</v>
      </c>
      <c r="L256">
        <v>0</v>
      </c>
      <c r="M256">
        <v>10.416666666666666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152.30890844474365</v>
      </c>
      <c r="AO256">
        <v>44.975262325082547</v>
      </c>
      <c r="AP256">
        <v>328.36952751713028</v>
      </c>
      <c r="AQ256">
        <v>269.22656706686035</v>
      </c>
      <c r="AR256">
        <v>45.823632050457491</v>
      </c>
      <c r="AS256">
        <v>224.32051175595558</v>
      </c>
      <c r="AT256">
        <v>22.437638327460508</v>
      </c>
      <c r="AU256">
        <v>41.707822983104606</v>
      </c>
      <c r="AV256"/>
      <c r="AW256"/>
      <c r="FY256" s="211">
        <v>251</v>
      </c>
      <c r="FZ256">
        <v>51.719461938656522</v>
      </c>
      <c r="GA256">
        <v>57.352576962407525</v>
      </c>
      <c r="GB256">
        <v>47.337811466984455</v>
      </c>
      <c r="GC256">
        <v>25.169766818630475</v>
      </c>
      <c r="GD256">
        <v>15.500067139110833</v>
      </c>
      <c r="GE256">
        <v>28.166102307810259</v>
      </c>
      <c r="GF256">
        <v>62.652813744889706</v>
      </c>
      <c r="GG256">
        <v>42.085405622978044</v>
      </c>
      <c r="GH256">
        <v>23.346411582980583</v>
      </c>
      <c r="GI256">
        <v>45.825099261646294</v>
      </c>
      <c r="GJ256"/>
      <c r="GK256"/>
      <c r="GL256"/>
      <c r="GM256"/>
    </row>
    <row r="257" spans="1:195" s="7" customFormat="1">
      <c r="A257" s="1"/>
      <c r="B257">
        <v>0.31501727877563468</v>
      </c>
      <c r="C257">
        <v>1</v>
      </c>
      <c r="D257">
        <v>39714</v>
      </c>
      <c r="E257">
        <v>0</v>
      </c>
      <c r="F257">
        <v>65.104166666666671</v>
      </c>
      <c r="G257">
        <v>65.104166666666671</v>
      </c>
      <c r="H257">
        <v>0</v>
      </c>
      <c r="I257">
        <v>0</v>
      </c>
      <c r="J257">
        <v>20.833333333333332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265.01355251265642</v>
      </c>
      <c r="AO257">
        <v>71.27565230734379</v>
      </c>
      <c r="AP257">
        <v>553.79260275220599</v>
      </c>
      <c r="AQ257">
        <v>442.68317147029381</v>
      </c>
      <c r="AR257">
        <v>67.818962471135308</v>
      </c>
      <c r="AS257">
        <v>330.84109312376972</v>
      </c>
      <c r="AT257">
        <v>33.160063218886563</v>
      </c>
      <c r="AU257">
        <v>-30.113796509606924</v>
      </c>
      <c r="AV257"/>
      <c r="AW257"/>
      <c r="FY257" s="211">
        <v>252</v>
      </c>
      <c r="FZ257">
        <v>77.621471369409505</v>
      </c>
      <c r="GA257">
        <v>86.581098564125696</v>
      </c>
      <c r="GB257">
        <v>47.83511230819213</v>
      </c>
      <c r="GC257">
        <v>27.630761631781876</v>
      </c>
      <c r="GD257">
        <v>15.317962268067332</v>
      </c>
      <c r="GE257">
        <v>21.003415296018623</v>
      </c>
      <c r="GF257">
        <v>36.244002961797008</v>
      </c>
      <c r="GG257">
        <v>30.004577471587439</v>
      </c>
      <c r="GH257">
        <v>27.948489712690517</v>
      </c>
      <c r="GI257">
        <v>45.22929778046614</v>
      </c>
      <c r="GJ257"/>
      <c r="GK257"/>
      <c r="GL257"/>
      <c r="GM257"/>
    </row>
    <row r="258" spans="1:195" s="7" customFormat="1">
      <c r="A258" s="1"/>
      <c r="B258">
        <v>0.27896989718185328</v>
      </c>
      <c r="C258">
        <v>1</v>
      </c>
      <c r="D258">
        <v>39747</v>
      </c>
      <c r="E258">
        <v>0</v>
      </c>
      <c r="F258">
        <v>0</v>
      </c>
      <c r="G258">
        <v>0</v>
      </c>
      <c r="H258">
        <v>86.805555555555557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222.70476874991658</v>
      </c>
      <c r="AO258">
        <v>58.232555171205959</v>
      </c>
      <c r="AP258">
        <v>435.27643856029755</v>
      </c>
      <c r="AQ258">
        <v>337.54626740060041</v>
      </c>
      <c r="AR258">
        <v>58.031604585755886</v>
      </c>
      <c r="AS258">
        <v>292.93712470304092</v>
      </c>
      <c r="AT258">
        <v>28.288527131621848</v>
      </c>
      <c r="AU258">
        <v>10.155277765839628</v>
      </c>
      <c r="AV258"/>
      <c r="AW258"/>
      <c r="FY258" s="211">
        <v>253</v>
      </c>
      <c r="FZ258">
        <v>117.67321609560715</v>
      </c>
      <c r="GA258">
        <v>141.65303159046874</v>
      </c>
      <c r="GB258">
        <v>57.632505769002151</v>
      </c>
      <c r="GC258">
        <v>32.703018238648532</v>
      </c>
      <c r="GD258">
        <v>15.366714450313971</v>
      </c>
      <c r="GE258">
        <v>24.168885307805017</v>
      </c>
      <c r="GF258">
        <v>55.126269973228489</v>
      </c>
      <c r="GG258">
        <v>42.439960549667234</v>
      </c>
      <c r="GH258">
        <v>25.50233769623587</v>
      </c>
      <c r="GI258">
        <v>56.976143036933387</v>
      </c>
      <c r="GJ258"/>
      <c r="GK258"/>
      <c r="GL258"/>
      <c r="GM258"/>
    </row>
    <row r="259" spans="1:195" s="7" customFormat="1">
      <c r="A259" s="90"/>
      <c r="B259">
        <v>0.92330876563713193</v>
      </c>
      <c r="C259">
        <v>6</v>
      </c>
      <c r="D259">
        <v>39747</v>
      </c>
      <c r="E259">
        <v>0</v>
      </c>
      <c r="F259">
        <v>0</v>
      </c>
      <c r="G259">
        <v>0</v>
      </c>
      <c r="H259">
        <v>130.20833333333334</v>
      </c>
      <c r="I259">
        <v>0</v>
      </c>
      <c r="J259">
        <v>10.416666666666666</v>
      </c>
      <c r="K259">
        <v>41.666666666666664</v>
      </c>
      <c r="L259">
        <v>10.416666666666666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176.13726104427971</v>
      </c>
      <c r="AO259">
        <v>52.495909956904654</v>
      </c>
      <c r="AP259">
        <v>362.74597521686383</v>
      </c>
      <c r="AQ259">
        <v>294.00872830421406</v>
      </c>
      <c r="AR259">
        <v>52.1523943918477</v>
      </c>
      <c r="AS259">
        <v>244.98068968639075</v>
      </c>
      <c r="AT259">
        <v>24.215857910652797</v>
      </c>
      <c r="AU259">
        <v>37.530879756546796</v>
      </c>
      <c r="AV259"/>
      <c r="AW259"/>
      <c r="FY259" s="211">
        <v>254</v>
      </c>
      <c r="FZ259">
        <v>37.018762505295513</v>
      </c>
      <c r="GA259">
        <v>40.200226878940995</v>
      </c>
      <c r="GB259">
        <v>40.027547267178655</v>
      </c>
      <c r="GC259">
        <v>23.403778727849215</v>
      </c>
      <c r="GD259">
        <v>13.428145244195639</v>
      </c>
      <c r="GE259">
        <v>25.779025183888216</v>
      </c>
      <c r="GF259">
        <v>35.508129812704198</v>
      </c>
      <c r="GG259">
        <v>25.051361794438058</v>
      </c>
      <c r="GH259">
        <v>29.039033557276433</v>
      </c>
      <c r="GI259">
        <v>35.940211007011904</v>
      </c>
      <c r="GJ259"/>
      <c r="GK259"/>
      <c r="GL259"/>
      <c r="GM259"/>
    </row>
    <row r="260" spans="1:195" s="7" customFormat="1">
      <c r="A260" s="77" t="s">
        <v>61</v>
      </c>
      <c r="B260">
        <v>0.68137012962407351</v>
      </c>
      <c r="C260">
        <v>2</v>
      </c>
      <c r="D260">
        <v>39747</v>
      </c>
      <c r="E260">
        <v>0</v>
      </c>
      <c r="F260">
        <v>0</v>
      </c>
      <c r="G260">
        <v>0</v>
      </c>
      <c r="H260">
        <v>208.33333333333334</v>
      </c>
      <c r="I260">
        <v>26.041666666666668</v>
      </c>
      <c r="J260">
        <v>156.25</v>
      </c>
      <c r="K260">
        <v>130.20833333333334</v>
      </c>
      <c r="L260">
        <v>0</v>
      </c>
      <c r="M260">
        <v>26.041666666666668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220.56118080846846</v>
      </c>
      <c r="AO260">
        <v>77.175148379747043</v>
      </c>
      <c r="AP260">
        <v>667.84274348333895</v>
      </c>
      <c r="AQ260">
        <v>525.30057802227032</v>
      </c>
      <c r="AR260">
        <v>74.287346015838281</v>
      </c>
      <c r="AS260">
        <v>347.3741837853168</v>
      </c>
      <c r="AT260">
        <v>39.400153053974741</v>
      </c>
      <c r="AU260">
        <v>-29.62432267097056</v>
      </c>
      <c r="AV260"/>
      <c r="AW260"/>
      <c r="FY260" s="211">
        <v>255</v>
      </c>
      <c r="FZ260">
        <v>198.79219463137377</v>
      </c>
      <c r="GA260">
        <v>240.94047607776253</v>
      </c>
      <c r="GB260">
        <v>28.380125115899922</v>
      </c>
      <c r="GC260">
        <v>17.366614364365887</v>
      </c>
      <c r="GD260">
        <v>14.606509175780504</v>
      </c>
      <c r="GE260">
        <v>26.832801663992331</v>
      </c>
      <c r="GF260">
        <v>38.395502768173486</v>
      </c>
      <c r="GG260">
        <v>26.511072204225705</v>
      </c>
      <c r="GH260">
        <v>30.176718724026273</v>
      </c>
      <c r="GI260">
        <v>58.168565346713528</v>
      </c>
      <c r="GJ260"/>
      <c r="GK260"/>
      <c r="GL260"/>
      <c r="GM260"/>
    </row>
    <row r="261" spans="1:195" s="7" customFormat="1">
      <c r="A261" s="77" t="s">
        <v>62</v>
      </c>
      <c r="B261">
        <v>0.11652190277504015</v>
      </c>
      <c r="C261">
        <v>8</v>
      </c>
      <c r="D261">
        <v>39747</v>
      </c>
      <c r="E261">
        <v>0</v>
      </c>
      <c r="F261">
        <v>0</v>
      </c>
      <c r="G261">
        <v>280.44871794871796</v>
      </c>
      <c r="H261">
        <v>140.22435897435898</v>
      </c>
      <c r="I261">
        <v>70.112179487179489</v>
      </c>
      <c r="J261">
        <v>31.25</v>
      </c>
      <c r="K261">
        <v>41.666666666666664</v>
      </c>
      <c r="L261">
        <v>0</v>
      </c>
      <c r="M261">
        <v>20.833333333333332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254.33982009129832</v>
      </c>
      <c r="AO261">
        <v>62.247522909538361</v>
      </c>
      <c r="AP261">
        <v>422.0280432205015</v>
      </c>
      <c r="AQ261">
        <v>331.25289227457409</v>
      </c>
      <c r="AR261">
        <v>60.186585268887626</v>
      </c>
      <c r="AS261">
        <v>310.81995901036959</v>
      </c>
      <c r="AT261">
        <v>28.322891984813555</v>
      </c>
      <c r="AU261">
        <v>-53.261038443854446</v>
      </c>
      <c r="AV261"/>
      <c r="AW261"/>
      <c r="FY261" s="211">
        <v>256</v>
      </c>
      <c r="FZ261">
        <v>65.085066383912221</v>
      </c>
      <c r="GA261">
        <v>87.65097828571291</v>
      </c>
      <c r="GB261">
        <v>52.645828800600079</v>
      </c>
      <c r="GC261">
        <v>31.695746667557231</v>
      </c>
      <c r="GD261">
        <v>18.049247207546173</v>
      </c>
      <c r="GE261">
        <v>33.79092044975075</v>
      </c>
      <c r="GF261">
        <v>68.224894289623535</v>
      </c>
      <c r="GG261">
        <v>43.901674099889952</v>
      </c>
      <c r="GH261">
        <v>16.582799155483858</v>
      </c>
      <c r="GI261">
        <v>50.66642241452832</v>
      </c>
      <c r="GJ261"/>
      <c r="GK261"/>
      <c r="GL261"/>
      <c r="GM261"/>
    </row>
    <row r="262" spans="1:195" s="7" customFormat="1" ht="12.75" customHeight="1">
      <c r="A262" s="77"/>
      <c r="B262">
        <v>0.42902294257648976</v>
      </c>
      <c r="C262">
        <v>4</v>
      </c>
      <c r="D262">
        <v>39747</v>
      </c>
      <c r="E262">
        <v>0</v>
      </c>
      <c r="F262">
        <v>188.57758620689654</v>
      </c>
      <c r="G262">
        <v>188.57758620689654</v>
      </c>
      <c r="H262">
        <v>0</v>
      </c>
      <c r="I262">
        <v>0</v>
      </c>
      <c r="J262">
        <v>0</v>
      </c>
      <c r="K262">
        <v>28.409090909090907</v>
      </c>
      <c r="L262">
        <v>142.04545454545453</v>
      </c>
      <c r="M262">
        <v>56.818181818181813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166.63219223466939</v>
      </c>
      <c r="AO262">
        <v>55.460703928387453</v>
      </c>
      <c r="AP262">
        <v>418.22525334479224</v>
      </c>
      <c r="AQ262">
        <v>328.68729178141001</v>
      </c>
      <c r="AR262">
        <v>54.436950917284378</v>
      </c>
      <c r="AS262">
        <v>252.02239432096889</v>
      </c>
      <c r="AT262">
        <v>26.713787619629439</v>
      </c>
      <c r="AU262">
        <v>92.253333938107573</v>
      </c>
      <c r="AV262"/>
      <c r="AW262"/>
      <c r="FY262" s="211">
        <v>257</v>
      </c>
      <c r="FZ262">
        <v>156.39699006576325</v>
      </c>
      <c r="GA262">
        <v>183.33750883281783</v>
      </c>
      <c r="GB262">
        <v>42.840758087213437</v>
      </c>
      <c r="GC262">
        <v>19.391596037502751</v>
      </c>
      <c r="GD262">
        <v>9.6802735963556454</v>
      </c>
      <c r="GE262">
        <v>21.119323675841319</v>
      </c>
      <c r="GF262">
        <v>30.979820337213425</v>
      </c>
      <c r="GG262">
        <v>18.605766401264869</v>
      </c>
      <c r="GH262">
        <v>16.306722358449779</v>
      </c>
      <c r="GI262">
        <v>48.829762520929435</v>
      </c>
      <c r="GJ262"/>
      <c r="GK262"/>
      <c r="GL262"/>
      <c r="GM262"/>
    </row>
    <row r="263" spans="1:195" s="7" customFormat="1">
      <c r="A263" s="77"/>
      <c r="B263">
        <v>0.59465829676405879</v>
      </c>
      <c r="C263">
        <v>10</v>
      </c>
      <c r="D263">
        <v>39747</v>
      </c>
      <c r="E263">
        <v>0</v>
      </c>
      <c r="F263">
        <v>195.3125</v>
      </c>
      <c r="G263">
        <v>130.20833333333334</v>
      </c>
      <c r="H263">
        <v>0</v>
      </c>
      <c r="I263">
        <v>130.20833333333334</v>
      </c>
      <c r="J263">
        <v>10.416666666666666</v>
      </c>
      <c r="K263">
        <v>72.916666666666671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212.97727340586795</v>
      </c>
      <c r="AO263">
        <v>70.433224101023086</v>
      </c>
      <c r="AP263">
        <v>562.06458866123728</v>
      </c>
      <c r="AQ263">
        <v>450.31313608623776</v>
      </c>
      <c r="AR263">
        <v>69.886524569648216</v>
      </c>
      <c r="AS263">
        <v>329.27090255444074</v>
      </c>
      <c r="AT263">
        <v>35.997265351043971</v>
      </c>
      <c r="AU263">
        <v>-15.393788657684354</v>
      </c>
      <c r="AV263"/>
      <c r="AW263"/>
      <c r="FY263" s="211">
        <v>258</v>
      </c>
      <c r="FZ263">
        <v>117.59219616288266</v>
      </c>
      <c r="GA263">
        <v>132.39231684269831</v>
      </c>
      <c r="GB263">
        <v>45.426947433204582</v>
      </c>
      <c r="GC263">
        <v>25.43486654160586</v>
      </c>
      <c r="GD263">
        <v>14.537522839850036</v>
      </c>
      <c r="GE263">
        <v>23.618628278138676</v>
      </c>
      <c r="GF263">
        <v>37.290451540604657</v>
      </c>
      <c r="GG263">
        <v>34.45946466454096</v>
      </c>
      <c r="GH263">
        <v>22.497780007265956</v>
      </c>
      <c r="GI263">
        <v>49.060045031823485</v>
      </c>
      <c r="GJ263"/>
      <c r="GK263"/>
      <c r="GL263"/>
      <c r="GM263"/>
    </row>
    <row r="264" spans="1:195" s="7" customFormat="1">
      <c r="A264" s="77"/>
      <c r="B264">
        <v>0.15469283623507657</v>
      </c>
      <c r="C264">
        <v>3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196.87804433864102</v>
      </c>
      <c r="AO264">
        <v>55.906433771464847</v>
      </c>
      <c r="AP264">
        <v>413.82636601629548</v>
      </c>
      <c r="AQ264">
        <v>319.81025802991923</v>
      </c>
      <c r="AR264">
        <v>55.276650790444528</v>
      </c>
      <c r="AS264">
        <v>268.61264224081276</v>
      </c>
      <c r="AT264">
        <v>25.50324055830697</v>
      </c>
      <c r="AU264">
        <v>-9.011110283820301</v>
      </c>
      <c r="AV264"/>
      <c r="AW264"/>
      <c r="FY264" s="211">
        <v>259</v>
      </c>
      <c r="FZ264">
        <v>42.514046145121156</v>
      </c>
      <c r="GA264">
        <v>40.620095133931699</v>
      </c>
      <c r="GB264">
        <v>60.552353685288196</v>
      </c>
      <c r="GC264">
        <v>31.397816618464585</v>
      </c>
      <c r="GD264">
        <v>20.779092017592362</v>
      </c>
      <c r="GE264">
        <v>43.695529228540515</v>
      </c>
      <c r="GF264">
        <v>55.498237576347336</v>
      </c>
      <c r="GG264">
        <v>42.558136859886467</v>
      </c>
      <c r="GH264">
        <v>30.589497348743617</v>
      </c>
      <c r="GI264">
        <v>50.95192723326776</v>
      </c>
      <c r="GJ264"/>
      <c r="GK264"/>
      <c r="GL264"/>
      <c r="GM264"/>
    </row>
    <row r="265" spans="1:195" s="7" customFormat="1">
      <c r="A265" s="77"/>
      <c r="B265">
        <v>0.76346005441113096</v>
      </c>
      <c r="C265">
        <v>7</v>
      </c>
      <c r="D265">
        <v>39747</v>
      </c>
      <c r="E265">
        <v>0</v>
      </c>
      <c r="F265">
        <v>0</v>
      </c>
      <c r="G265">
        <v>223.21428571428572</v>
      </c>
      <c r="H265">
        <v>0</v>
      </c>
      <c r="I265">
        <v>74.404761904761912</v>
      </c>
      <c r="J265">
        <v>0</v>
      </c>
      <c r="K265">
        <v>10.416666666666666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213.12801914419043</v>
      </c>
      <c r="AO265">
        <v>73.405047551125989</v>
      </c>
      <c r="AP265">
        <v>634.82947688165711</v>
      </c>
      <c r="AQ265">
        <v>510.2776295469771</v>
      </c>
      <c r="AR265">
        <v>71.190130829422628</v>
      </c>
      <c r="AS265">
        <v>362.28109336184525</v>
      </c>
      <c r="AT265">
        <v>37.904274183680151</v>
      </c>
      <c r="AU265">
        <v>-8.8764692900910376</v>
      </c>
      <c r="AV265"/>
      <c r="AW265"/>
      <c r="FY265" s="211">
        <v>260</v>
      </c>
      <c r="FZ265">
        <v>79.902716839739256</v>
      </c>
      <c r="GA265">
        <v>85.431435135038313</v>
      </c>
      <c r="GB265">
        <v>46.650900441626348</v>
      </c>
      <c r="GC265">
        <v>24.925491744554314</v>
      </c>
      <c r="GD265">
        <v>9.758580569110638</v>
      </c>
      <c r="GE265">
        <v>19.590909578945492</v>
      </c>
      <c r="GF265">
        <v>43.759066398814817</v>
      </c>
      <c r="GG265">
        <v>32.052135910145893</v>
      </c>
      <c r="GH265">
        <v>35.799673126131225</v>
      </c>
      <c r="GI265">
        <v>44.157276329217225</v>
      </c>
      <c r="GJ265"/>
      <c r="GK265"/>
      <c r="GL265"/>
      <c r="GM265"/>
    </row>
    <row r="266" spans="1:195" s="7" customFormat="1">
      <c r="A266" s="1"/>
      <c r="B266">
        <v>0.77106871128290067</v>
      </c>
      <c r="C266">
        <v>2</v>
      </c>
      <c r="D266">
        <v>39747</v>
      </c>
      <c r="E266">
        <v>0</v>
      </c>
      <c r="F266">
        <v>0</v>
      </c>
      <c r="G266">
        <v>0</v>
      </c>
      <c r="H266">
        <v>208.33333333333334</v>
      </c>
      <c r="I266">
        <v>26.041666666666668</v>
      </c>
      <c r="J266">
        <v>156.25</v>
      </c>
      <c r="K266">
        <v>130.20833333333334</v>
      </c>
      <c r="L266">
        <v>0</v>
      </c>
      <c r="M266">
        <v>26.041666666666668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176.82346410699847</v>
      </c>
      <c r="AO266">
        <v>62.829252487418842</v>
      </c>
      <c r="AP266">
        <v>524.7956603255451</v>
      </c>
      <c r="AQ266">
        <v>403.88984239287868</v>
      </c>
      <c r="AR266">
        <v>61.149680305201692</v>
      </c>
      <c r="AS266">
        <v>271.0042047350467</v>
      </c>
      <c r="AT266">
        <v>30.846843431406906</v>
      </c>
      <c r="AU266">
        <v>-56.930078505865694</v>
      </c>
      <c r="AV266"/>
      <c r="AW266"/>
      <c r="FY266" s="211">
        <v>261</v>
      </c>
      <c r="FZ266">
        <v>73.660790256034332</v>
      </c>
      <c r="GA266">
        <v>109.47873289795787</v>
      </c>
      <c r="GB266">
        <v>60.574848663363525</v>
      </c>
      <c r="GC266">
        <v>29.003899230504306</v>
      </c>
      <c r="GD266">
        <v>11.341289377521715</v>
      </c>
      <c r="GE266">
        <v>16.110713383862031</v>
      </c>
      <c r="GF266">
        <v>41.474928921636518</v>
      </c>
      <c r="GG266">
        <v>36.380560339795856</v>
      </c>
      <c r="GH266">
        <v>27.603651897540985</v>
      </c>
      <c r="GI266">
        <v>46.293544603921355</v>
      </c>
      <c r="GJ266"/>
      <c r="GK266"/>
      <c r="GL266"/>
      <c r="GM266"/>
    </row>
    <row r="267" spans="1:195" s="7" customFormat="1">
      <c r="A267" s="1"/>
      <c r="B267">
        <v>0.27370518035925961</v>
      </c>
      <c r="C267">
        <v>6</v>
      </c>
      <c r="D267">
        <v>39747</v>
      </c>
      <c r="E267">
        <v>0</v>
      </c>
      <c r="F267">
        <v>0</v>
      </c>
      <c r="G267">
        <v>0</v>
      </c>
      <c r="H267">
        <v>130.20833333333334</v>
      </c>
      <c r="I267">
        <v>0</v>
      </c>
      <c r="J267">
        <v>10.416666666666666</v>
      </c>
      <c r="K267">
        <v>41.666666666666664</v>
      </c>
      <c r="L267">
        <v>10.416666666666666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227.68242728207701</v>
      </c>
      <c r="AO267">
        <v>66.178366031619461</v>
      </c>
      <c r="AP267">
        <v>517.69280429037894</v>
      </c>
      <c r="AQ267">
        <v>399.15551684609471</v>
      </c>
      <c r="AR267">
        <v>65.692208934521986</v>
      </c>
      <c r="AS267">
        <v>310.10913923928666</v>
      </c>
      <c r="AT267">
        <v>30.747957211600152</v>
      </c>
      <c r="AU267">
        <v>2.111458053794081</v>
      </c>
      <c r="AV267"/>
      <c r="AW267"/>
      <c r="FY267" s="211">
        <v>262</v>
      </c>
      <c r="FZ267">
        <v>77.011399280526945</v>
      </c>
      <c r="GA267">
        <v>82.270835747045894</v>
      </c>
      <c r="GB267">
        <v>34.447367364630374</v>
      </c>
      <c r="GC267">
        <v>23.165547029932242</v>
      </c>
      <c r="GD267">
        <v>16.457254999279371</v>
      </c>
      <c r="GE267">
        <v>27.630461340458819</v>
      </c>
      <c r="GF267">
        <v>44.411993238412386</v>
      </c>
      <c r="GG267">
        <v>30.048123259279418</v>
      </c>
      <c r="GH267">
        <v>27.33645595596774</v>
      </c>
      <c r="GI267">
        <v>43.711266265260484</v>
      </c>
      <c r="GJ267"/>
      <c r="GK267"/>
      <c r="GL267"/>
      <c r="GM267"/>
    </row>
    <row r="268" spans="1:195" s="7" customFormat="1">
      <c r="A268" s="1"/>
      <c r="B268">
        <v>0.4743619088501112</v>
      </c>
      <c r="C268">
        <v>9</v>
      </c>
      <c r="D268">
        <v>39775</v>
      </c>
      <c r="E268">
        <v>0</v>
      </c>
      <c r="F268">
        <v>0</v>
      </c>
      <c r="G268">
        <v>52.083333333333336</v>
      </c>
      <c r="H268">
        <v>31.25</v>
      </c>
      <c r="I268">
        <v>20.833333333333332</v>
      </c>
      <c r="J268">
        <v>0</v>
      </c>
      <c r="K268">
        <v>20.833333333333332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194.50071536597497</v>
      </c>
      <c r="AO268">
        <v>66.007804779737455</v>
      </c>
      <c r="AP268">
        <v>525.96294334761876</v>
      </c>
      <c r="AQ268">
        <v>415.41618936413619</v>
      </c>
      <c r="AR268">
        <v>65.472979445342872</v>
      </c>
      <c r="AS268">
        <v>308.22091280948661</v>
      </c>
      <c r="AT268">
        <v>31.451171420988072</v>
      </c>
      <c r="AU268">
        <v>7.4889451482895026</v>
      </c>
      <c r="AV268"/>
      <c r="AW268"/>
      <c r="FY268" s="211">
        <v>263</v>
      </c>
      <c r="FZ268">
        <v>69.229907994162431</v>
      </c>
      <c r="GA268">
        <v>90.933738469760044</v>
      </c>
      <c r="GB268">
        <v>41.038104919098679</v>
      </c>
      <c r="GC268">
        <v>21.298693357045693</v>
      </c>
      <c r="GD268">
        <v>13.022435894190174</v>
      </c>
      <c r="GE268">
        <v>19.908467986355323</v>
      </c>
      <c r="GF268">
        <v>30.470394948650938</v>
      </c>
      <c r="GG268">
        <v>25.188555327640117</v>
      </c>
      <c r="GH268">
        <v>22.150111599657659</v>
      </c>
      <c r="GI268">
        <v>38.500853823640419</v>
      </c>
      <c r="GJ268"/>
      <c r="GK268"/>
      <c r="GL268"/>
      <c r="GM268"/>
    </row>
    <row r="269" spans="1:195" s="7" customFormat="1">
      <c r="A269" s="1"/>
      <c r="B269">
        <v>0.65650726842695772</v>
      </c>
      <c r="C269">
        <v>9</v>
      </c>
      <c r="D269">
        <v>39775</v>
      </c>
      <c r="E269">
        <v>0</v>
      </c>
      <c r="F269">
        <v>0</v>
      </c>
      <c r="G269">
        <v>52.083333333333336</v>
      </c>
      <c r="H269">
        <v>31.25</v>
      </c>
      <c r="I269">
        <v>20.833333333333332</v>
      </c>
      <c r="J269">
        <v>0</v>
      </c>
      <c r="K269">
        <v>20.833333333333332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238.64219674482428</v>
      </c>
      <c r="AO269">
        <v>85.602307684253589</v>
      </c>
      <c r="AP269">
        <v>727.67075897894779</v>
      </c>
      <c r="AQ269">
        <v>569.24208270791053</v>
      </c>
      <c r="AR269">
        <v>82.525154825825524</v>
      </c>
      <c r="AS269">
        <v>387.17289968254352</v>
      </c>
      <c r="AT269">
        <v>42.287184401331906</v>
      </c>
      <c r="AU269">
        <v>13.478473933004146</v>
      </c>
      <c r="AV269"/>
      <c r="AW269"/>
      <c r="FY269" s="211">
        <v>264</v>
      </c>
      <c r="FZ269">
        <v>60.767335042778143</v>
      </c>
      <c r="GA269">
        <v>83.937033404612677</v>
      </c>
      <c r="GB269">
        <v>41.032828148882174</v>
      </c>
      <c r="GC269">
        <v>21.786539256929867</v>
      </c>
      <c r="GD269">
        <v>16.303080378851128</v>
      </c>
      <c r="GE269">
        <v>24.797567600352455</v>
      </c>
      <c r="GF269">
        <v>29.647885635952687</v>
      </c>
      <c r="GG269">
        <v>33.483260649304576</v>
      </c>
      <c r="GH269">
        <v>29.944327022589896</v>
      </c>
      <c r="GI269">
        <v>40.648715548722514</v>
      </c>
      <c r="GJ269"/>
      <c r="GK269"/>
      <c r="GL269"/>
      <c r="GM269"/>
    </row>
    <row r="270" spans="1:195" s="7" customFormat="1">
      <c r="A270" s="1"/>
      <c r="B270">
        <v>0.46835014586495038</v>
      </c>
      <c r="C270">
        <v>5</v>
      </c>
      <c r="D270">
        <v>39775</v>
      </c>
      <c r="E270">
        <v>0</v>
      </c>
      <c r="F270">
        <v>0</v>
      </c>
      <c r="G270">
        <v>148.80952380952382</v>
      </c>
      <c r="H270">
        <v>29.761904761904763</v>
      </c>
      <c r="I270">
        <v>0</v>
      </c>
      <c r="J270">
        <v>0</v>
      </c>
      <c r="K270">
        <v>41.666666666666664</v>
      </c>
      <c r="L270">
        <v>31.25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154.19121137204047</v>
      </c>
      <c r="AO270">
        <v>52.109126314280367</v>
      </c>
      <c r="AP270">
        <v>386.10833458702126</v>
      </c>
      <c r="AQ270">
        <v>305.39622197877884</v>
      </c>
      <c r="AR270">
        <v>51.053659104908007</v>
      </c>
      <c r="AS270">
        <v>245.72910261292699</v>
      </c>
      <c r="AT270">
        <v>25.686240345732926</v>
      </c>
      <c r="AU270">
        <v>26.807186669595644</v>
      </c>
      <c r="AV270"/>
      <c r="AW270"/>
      <c r="FY270" s="211">
        <v>265</v>
      </c>
      <c r="FZ270">
        <v>68.677574465817756</v>
      </c>
      <c r="GA270">
        <v>78.70324647004675</v>
      </c>
      <c r="GB270">
        <v>46.749854897604983</v>
      </c>
      <c r="GC270">
        <v>27.99281873310612</v>
      </c>
      <c r="GD270">
        <v>12.033415870899841</v>
      </c>
      <c r="GE270">
        <v>20.111189077844621</v>
      </c>
      <c r="GF270">
        <v>30.886057724438256</v>
      </c>
      <c r="GG270">
        <v>21.406051673819437</v>
      </c>
      <c r="GH270">
        <v>29.166449759625589</v>
      </c>
      <c r="GI270">
        <v>40.389599274538561</v>
      </c>
      <c r="GJ270"/>
      <c r="GK270"/>
      <c r="GL270"/>
      <c r="GM270"/>
    </row>
    <row r="271" spans="1:195" s="7" customFormat="1">
      <c r="A271" s="77"/>
      <c r="B271">
        <v>0.48297016609375931</v>
      </c>
      <c r="C271">
        <v>3</v>
      </c>
      <c r="D271">
        <v>39775</v>
      </c>
      <c r="E271">
        <v>0</v>
      </c>
      <c r="F271">
        <v>52.083333333333336</v>
      </c>
      <c r="G271">
        <v>937.5</v>
      </c>
      <c r="H271">
        <v>62.5</v>
      </c>
      <c r="I271">
        <v>114.58333333333333</v>
      </c>
      <c r="J271">
        <v>0</v>
      </c>
      <c r="K271">
        <v>0</v>
      </c>
      <c r="L271">
        <v>52.083333333333336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223.63071038588583</v>
      </c>
      <c r="AO271">
        <v>88.764386260207559</v>
      </c>
      <c r="AP271">
        <v>833.18714876399372</v>
      </c>
      <c r="AQ271">
        <v>680.17058007231401</v>
      </c>
      <c r="AR271">
        <v>84.301712273144048</v>
      </c>
      <c r="AS271">
        <v>404.49235638283653</v>
      </c>
      <c r="AT271">
        <v>47.927892132365805</v>
      </c>
      <c r="AU271">
        <v>10.895009392097478</v>
      </c>
      <c r="AV271"/>
      <c r="AW271"/>
      <c r="FY271" s="211">
        <v>266</v>
      </c>
      <c r="FZ271">
        <v>70.884889603350956</v>
      </c>
      <c r="GA271">
        <v>109.71426299099842</v>
      </c>
      <c r="GB271">
        <v>44.733586359150955</v>
      </c>
      <c r="GC271">
        <v>20.106329991807129</v>
      </c>
      <c r="GD271">
        <v>12.615507264530029</v>
      </c>
      <c r="GE271">
        <v>17.920537996971106</v>
      </c>
      <c r="GF271">
        <v>20.169520901846216</v>
      </c>
      <c r="GG271">
        <v>12.608703673574121</v>
      </c>
      <c r="GH271">
        <v>23.043246859887848</v>
      </c>
      <c r="GI271">
        <v>37.515720133438627</v>
      </c>
      <c r="GJ271"/>
      <c r="GK271"/>
      <c r="GL271"/>
      <c r="GM271"/>
    </row>
    <row r="272" spans="1:195" s="7" customFormat="1">
      <c r="A272" s="77"/>
      <c r="B272">
        <v>0.8404655613089238</v>
      </c>
      <c r="C272">
        <v>6</v>
      </c>
      <c r="D272">
        <v>39775</v>
      </c>
      <c r="E272">
        <v>0</v>
      </c>
      <c r="F272">
        <v>0</v>
      </c>
      <c r="G272">
        <v>10.416666666666666</v>
      </c>
      <c r="H272">
        <v>52.083333333333336</v>
      </c>
      <c r="I272">
        <v>0</v>
      </c>
      <c r="J272">
        <v>10.416666666666666</v>
      </c>
      <c r="K272">
        <v>10.416666666666666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246.28636063665166</v>
      </c>
      <c r="AO272">
        <v>76.905972931953485</v>
      </c>
      <c r="AP272">
        <v>597.19101498014584</v>
      </c>
      <c r="AQ272">
        <v>468.293577754605</v>
      </c>
      <c r="AR272">
        <v>72.407294278953827</v>
      </c>
      <c r="AS272">
        <v>380.30357461978639</v>
      </c>
      <c r="AT272">
        <v>34.96718188796158</v>
      </c>
      <c r="AU272">
        <v>1.3856236455585282</v>
      </c>
      <c r="AV272"/>
      <c r="AW272"/>
      <c r="FY272" s="211">
        <v>267</v>
      </c>
      <c r="FZ272">
        <v>168.87022562094896</v>
      </c>
      <c r="GA272">
        <v>192.16119878149053</v>
      </c>
      <c r="GB272">
        <v>48.803414153797462</v>
      </c>
      <c r="GC272">
        <v>24.544912548997999</v>
      </c>
      <c r="GD272">
        <v>13.218449374521731</v>
      </c>
      <c r="GE272">
        <v>25.959495814565599</v>
      </c>
      <c r="GF272">
        <v>48.231065953402009</v>
      </c>
      <c r="GG272">
        <v>31.801041195538573</v>
      </c>
      <c r="GH272">
        <v>23.504302517900786</v>
      </c>
      <c r="GI272">
        <v>59.140403081675572</v>
      </c>
      <c r="GJ272"/>
      <c r="GK272"/>
      <c r="GL272"/>
      <c r="GM272"/>
    </row>
    <row r="273" spans="1:195" s="7" customFormat="1">
      <c r="A273" s="1"/>
      <c r="B273">
        <v>0.4442866312067455</v>
      </c>
      <c r="C273">
        <v>9</v>
      </c>
      <c r="D273">
        <v>39775</v>
      </c>
      <c r="E273">
        <v>0</v>
      </c>
      <c r="F273">
        <v>0</v>
      </c>
      <c r="G273">
        <v>52.083333333333336</v>
      </c>
      <c r="H273">
        <v>31.25</v>
      </c>
      <c r="I273">
        <v>20.833333333333332</v>
      </c>
      <c r="J273">
        <v>0</v>
      </c>
      <c r="K273">
        <v>20.833333333333332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194.45112978778857</v>
      </c>
      <c r="AO273">
        <v>73.203495770198543</v>
      </c>
      <c r="AP273">
        <v>682.13929809544697</v>
      </c>
      <c r="AQ273">
        <v>547.48852191335175</v>
      </c>
      <c r="AR273">
        <v>70.786718782943709</v>
      </c>
      <c r="AS273">
        <v>332.40162316702782</v>
      </c>
      <c r="AT273">
        <v>39.482164927312596</v>
      </c>
      <c r="AU273">
        <v>-26.553571145402074</v>
      </c>
      <c r="AV273"/>
      <c r="AW273"/>
      <c r="FY273" s="211">
        <v>268</v>
      </c>
      <c r="FZ273">
        <v>40.892342358367507</v>
      </c>
      <c r="GA273">
        <v>32.674888168810092</v>
      </c>
      <c r="GB273">
        <v>45.141404638296144</v>
      </c>
      <c r="GC273">
        <v>26.50579403881261</v>
      </c>
      <c r="GD273">
        <v>12.040290879504198</v>
      </c>
      <c r="GE273">
        <v>22.402073609275149</v>
      </c>
      <c r="GF273">
        <v>83.39403625163061</v>
      </c>
      <c r="GG273">
        <v>68.283941059562864</v>
      </c>
      <c r="GH273">
        <v>23.238266178584702</v>
      </c>
      <c r="GI273">
        <v>45.717248273162767</v>
      </c>
      <c r="GJ273"/>
      <c r="GK273"/>
      <c r="GL273"/>
      <c r="GM273"/>
    </row>
    <row r="274" spans="1:195" s="7" customFormat="1">
      <c r="A274" s="1"/>
      <c r="B274">
        <v>0.90785312997387968</v>
      </c>
      <c r="C274">
        <v>9</v>
      </c>
      <c r="D274">
        <v>39775</v>
      </c>
      <c r="E274">
        <v>0</v>
      </c>
      <c r="F274">
        <v>0</v>
      </c>
      <c r="G274">
        <v>52.083333333333336</v>
      </c>
      <c r="H274">
        <v>31.25</v>
      </c>
      <c r="I274">
        <v>20.833333333333332</v>
      </c>
      <c r="J274">
        <v>0</v>
      </c>
      <c r="K274">
        <v>20.833333333333332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234.73191854260395</v>
      </c>
      <c r="AO274">
        <v>73.729396683652823</v>
      </c>
      <c r="AP274">
        <v>626.32635466649742</v>
      </c>
      <c r="AQ274">
        <v>502.31021934261514</v>
      </c>
      <c r="AR274">
        <v>71.114528932721697</v>
      </c>
      <c r="AS274">
        <v>343.56528627320523</v>
      </c>
      <c r="AT274">
        <v>36.314605413385642</v>
      </c>
      <c r="AU274">
        <v>-1.622350245836536</v>
      </c>
      <c r="AV274"/>
      <c r="AW274"/>
      <c r="FY274" s="211">
        <v>269</v>
      </c>
      <c r="FZ274">
        <v>101.44118800994781</v>
      </c>
      <c r="GA274">
        <v>131.93611305857237</v>
      </c>
      <c r="GB274">
        <v>45.29834334569275</v>
      </c>
      <c r="GC274">
        <v>28.025414400855375</v>
      </c>
      <c r="GD274">
        <v>19.690227080635768</v>
      </c>
      <c r="GE274">
        <v>27.718930948629627</v>
      </c>
      <c r="GF274">
        <v>68.279082996335788</v>
      </c>
      <c r="GG274">
        <v>65.131975886034738</v>
      </c>
      <c r="GH274">
        <v>27.340324575391733</v>
      </c>
      <c r="GI274">
        <v>57.205414738346029</v>
      </c>
      <c r="GJ274"/>
      <c r="GK274"/>
      <c r="GL274"/>
      <c r="GM274"/>
    </row>
    <row r="275" spans="1:195" s="7" customFormat="1">
      <c r="A275" s="1"/>
      <c r="B275">
        <v>0.47612274238909347</v>
      </c>
      <c r="C275">
        <v>7</v>
      </c>
      <c r="D275">
        <v>39775</v>
      </c>
      <c r="E275">
        <v>0</v>
      </c>
      <c r="F275">
        <v>0</v>
      </c>
      <c r="G275">
        <v>69.444444444444443</v>
      </c>
      <c r="H275">
        <v>138.88888888888889</v>
      </c>
      <c r="I275">
        <v>14.204545454545453</v>
      </c>
      <c r="J275">
        <v>0</v>
      </c>
      <c r="K275">
        <v>56.818181818181813</v>
      </c>
      <c r="L275">
        <v>14.204545454545453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252.0546072477236</v>
      </c>
      <c r="AO275">
        <v>74.783261533817267</v>
      </c>
      <c r="AP275">
        <v>534.21309807091609</v>
      </c>
      <c r="AQ275">
        <v>419.15673184718372</v>
      </c>
      <c r="AR275">
        <v>73.128100750548995</v>
      </c>
      <c r="AS275">
        <v>353.35311043323179</v>
      </c>
      <c r="AT275">
        <v>34.779524430641438</v>
      </c>
      <c r="AU275">
        <v>27.519350204520833</v>
      </c>
      <c r="AV275"/>
      <c r="AW275"/>
      <c r="FY275" s="211">
        <v>270</v>
      </c>
      <c r="FZ275">
        <v>31.996245335939971</v>
      </c>
      <c r="GA275">
        <v>43.610858968705188</v>
      </c>
      <c r="GB275">
        <v>29.732607405803158</v>
      </c>
      <c r="GC275">
        <v>19.493611959715079</v>
      </c>
      <c r="GD275">
        <v>18.516144546058971</v>
      </c>
      <c r="GE275">
        <v>27.433161812707361</v>
      </c>
      <c r="GF275">
        <v>36.205165106229714</v>
      </c>
      <c r="GG275">
        <v>28.961558168293756</v>
      </c>
      <c r="GH275">
        <v>26.040061761388465</v>
      </c>
      <c r="GI275">
        <v>35.815767734287448</v>
      </c>
      <c r="GJ275"/>
      <c r="GK275"/>
      <c r="GL275"/>
      <c r="GM275"/>
    </row>
    <row r="276" spans="1:195" s="7" customFormat="1">
      <c r="A276" s="1"/>
      <c r="B276">
        <v>0.33256492806013083</v>
      </c>
      <c r="C276">
        <v>5</v>
      </c>
      <c r="D276">
        <v>39775</v>
      </c>
      <c r="E276">
        <v>0</v>
      </c>
      <c r="F276">
        <v>0</v>
      </c>
      <c r="G276">
        <v>148.80952380952382</v>
      </c>
      <c r="H276">
        <v>29.761904761904763</v>
      </c>
      <c r="I276">
        <v>0</v>
      </c>
      <c r="J276">
        <v>0</v>
      </c>
      <c r="K276">
        <v>41.666666666666664</v>
      </c>
      <c r="L276">
        <v>31.25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202.54878968640321</v>
      </c>
      <c r="AO276">
        <v>63.254304411808377</v>
      </c>
      <c r="AP276">
        <v>541.91282137704695</v>
      </c>
      <c r="AQ276">
        <v>422.02818607332347</v>
      </c>
      <c r="AR276">
        <v>62.904573172751938</v>
      </c>
      <c r="AS276">
        <v>313.62686082672724</v>
      </c>
      <c r="AT276">
        <v>33.02089153861332</v>
      </c>
      <c r="AU276">
        <v>1.4008090033367893</v>
      </c>
      <c r="AV276"/>
      <c r="AW276"/>
      <c r="FY276" s="211">
        <v>271</v>
      </c>
      <c r="FZ276">
        <v>33.546046312918001</v>
      </c>
      <c r="GA276">
        <v>44.584612330385887</v>
      </c>
      <c r="GB276">
        <v>30.189110131594688</v>
      </c>
      <c r="GC276">
        <v>13.917579417328941</v>
      </c>
      <c r="GD276">
        <v>11.521015513820135</v>
      </c>
      <c r="GE276">
        <v>23.591508116580805</v>
      </c>
      <c r="GF276">
        <v>55.681105096230766</v>
      </c>
      <c r="GG276">
        <v>41.843611163857304</v>
      </c>
      <c r="GH276">
        <v>21.977870501073404</v>
      </c>
      <c r="GI276">
        <v>34.604543363065432</v>
      </c>
      <c r="GJ276"/>
      <c r="GK276"/>
      <c r="GL276"/>
      <c r="GM276"/>
    </row>
    <row r="277" spans="1:195" s="7" customFormat="1">
      <c r="A277" s="1"/>
      <c r="B277">
        <v>0.96924390443523656</v>
      </c>
      <c r="C277">
        <v>8</v>
      </c>
      <c r="D277">
        <v>39775</v>
      </c>
      <c r="E277">
        <v>0</v>
      </c>
      <c r="F277">
        <v>0</v>
      </c>
      <c r="G277">
        <v>156.25</v>
      </c>
      <c r="H277">
        <v>0</v>
      </c>
      <c r="I277">
        <v>0</v>
      </c>
      <c r="J277">
        <v>34.722222222222221</v>
      </c>
      <c r="K277">
        <v>69.444444444444443</v>
      </c>
      <c r="L277">
        <v>34.722222222222221</v>
      </c>
      <c r="M277">
        <v>34.722222222222221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217.90994382846603</v>
      </c>
      <c r="AO277">
        <v>69.155204475129551</v>
      </c>
      <c r="AP277">
        <v>595.15419781500987</v>
      </c>
      <c r="AQ277">
        <v>451.92295957213855</v>
      </c>
      <c r="AR277">
        <v>67.005010880927898</v>
      </c>
      <c r="AS277">
        <v>333.49579675561171</v>
      </c>
      <c r="AT277">
        <v>35.147978581213287</v>
      </c>
      <c r="AU277">
        <v>-6.2000455100352099</v>
      </c>
      <c r="AV277"/>
      <c r="AW277"/>
      <c r="FY277" s="211">
        <v>272</v>
      </c>
      <c r="FZ277">
        <v>47.861003652246083</v>
      </c>
      <c r="GA277">
        <v>47.401062771487361</v>
      </c>
      <c r="GB277">
        <v>36.752370825135174</v>
      </c>
      <c r="GC277">
        <v>20.707056229635992</v>
      </c>
      <c r="GD277">
        <v>15.157473825469259</v>
      </c>
      <c r="GE277">
        <v>21.862037261981573</v>
      </c>
      <c r="GF277">
        <v>61.142686119279773</v>
      </c>
      <c r="GG277">
        <v>55.713399255950378</v>
      </c>
      <c r="GH277">
        <v>22.960643004652997</v>
      </c>
      <c r="GI277">
        <v>41.973408423107557</v>
      </c>
      <c r="GJ277"/>
      <c r="GK277"/>
      <c r="GL277"/>
      <c r="GM277"/>
    </row>
    <row r="278" spans="1:195" s="7" customFormat="1">
      <c r="A278" s="1"/>
      <c r="B278">
        <v>2.0264931006808817E-2</v>
      </c>
      <c r="C278">
        <v>10</v>
      </c>
      <c r="D278">
        <v>39799</v>
      </c>
      <c r="E278">
        <v>10.416666666666666</v>
      </c>
      <c r="F278">
        <v>20.833333333333332</v>
      </c>
      <c r="G278">
        <v>10.416666666666666</v>
      </c>
      <c r="H278">
        <v>0</v>
      </c>
      <c r="I278">
        <v>0</v>
      </c>
      <c r="J278">
        <v>10.416666666666666</v>
      </c>
      <c r="K278">
        <v>41.666666666666664</v>
      </c>
      <c r="L278">
        <v>31.25</v>
      </c>
      <c r="M278">
        <v>20.833333333333332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244.22703653861134</v>
      </c>
      <c r="AO278">
        <v>63.577779994476955</v>
      </c>
      <c r="AP278">
        <v>500.65103029570588</v>
      </c>
      <c r="AQ278">
        <v>406.49070448079357</v>
      </c>
      <c r="AR278">
        <v>62.523249097704202</v>
      </c>
      <c r="AS278">
        <v>308.20100057399003</v>
      </c>
      <c r="AT278">
        <v>31.11174936459771</v>
      </c>
      <c r="AU278">
        <v>-0.73431717576746536</v>
      </c>
      <c r="AV278"/>
      <c r="AW278"/>
      <c r="FY278" s="211">
        <v>273</v>
      </c>
      <c r="FZ278">
        <v>61.844185400987108</v>
      </c>
      <c r="GA278">
        <v>85.932745227452386</v>
      </c>
      <c r="GB278">
        <v>49.870559626565495</v>
      </c>
      <c r="GC278">
        <v>26.992904724869561</v>
      </c>
      <c r="GD278">
        <v>11.457167278417264</v>
      </c>
      <c r="GE278">
        <v>16.914552952933047</v>
      </c>
      <c r="GF278">
        <v>35.460292566149164</v>
      </c>
      <c r="GG278">
        <v>26.071016247507593</v>
      </c>
      <c r="GH278">
        <v>14.492053318663501</v>
      </c>
      <c r="GI278">
        <v>38.626412670615657</v>
      </c>
      <c r="GJ278"/>
      <c r="GK278"/>
      <c r="GL278"/>
      <c r="GM278"/>
    </row>
    <row r="279" spans="1:195" s="7" customFormat="1">
      <c r="A279" s="1"/>
      <c r="B279">
        <v>0.30140629093632487</v>
      </c>
      <c r="C279">
        <v>2</v>
      </c>
      <c r="D279">
        <v>39799</v>
      </c>
      <c r="E279">
        <v>0</v>
      </c>
      <c r="F279">
        <v>10.416666666666666</v>
      </c>
      <c r="G279">
        <v>104.16666666666667</v>
      </c>
      <c r="H279">
        <v>41.666666666666664</v>
      </c>
      <c r="I279">
        <v>10.416666666666666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178.40984464143483</v>
      </c>
      <c r="AO279">
        <v>56.874512766481573</v>
      </c>
      <c r="AP279">
        <v>467.26553286276635</v>
      </c>
      <c r="AQ279">
        <v>371.74126432020148</v>
      </c>
      <c r="AR279">
        <v>55.462518591952907</v>
      </c>
      <c r="AS279">
        <v>282.71099768230454</v>
      </c>
      <c r="AT279">
        <v>28.794675330220119</v>
      </c>
      <c r="AU279">
        <v>-8.9205221598760112</v>
      </c>
      <c r="AV279"/>
      <c r="AW279"/>
      <c r="FY279" s="211">
        <v>274</v>
      </c>
      <c r="FZ279">
        <v>71.415845015363516</v>
      </c>
      <c r="GA279">
        <v>92.816325006144368</v>
      </c>
      <c r="GB279">
        <v>42.522539644888781</v>
      </c>
      <c r="GC279">
        <v>28.463117516794931</v>
      </c>
      <c r="GD279">
        <v>20.675226876876433</v>
      </c>
      <c r="GE279">
        <v>36.103894952198665</v>
      </c>
      <c r="GF279">
        <v>60.195061390028229</v>
      </c>
      <c r="GG279">
        <v>37.819007540659534</v>
      </c>
      <c r="GH279">
        <v>33.494155366826462</v>
      </c>
      <c r="GI279">
        <v>51.783557282989776</v>
      </c>
      <c r="GJ279"/>
      <c r="GK279"/>
      <c r="GL279"/>
      <c r="GM279"/>
    </row>
    <row r="280" spans="1:195" s="7" customFormat="1">
      <c r="A280" s="1"/>
      <c r="B280">
        <v>0.67725554959144851</v>
      </c>
      <c r="C280">
        <v>5</v>
      </c>
      <c r="D280">
        <v>39799</v>
      </c>
      <c r="E280">
        <v>140.22435897435898</v>
      </c>
      <c r="F280">
        <v>420.67307692307696</v>
      </c>
      <c r="G280">
        <v>140.22435897435898</v>
      </c>
      <c r="H280">
        <v>0</v>
      </c>
      <c r="I280">
        <v>0</v>
      </c>
      <c r="J280">
        <v>10.416666666666666</v>
      </c>
      <c r="K280">
        <v>10.416666666666666</v>
      </c>
      <c r="L280">
        <v>31.25</v>
      </c>
      <c r="M280">
        <v>10.416666666666666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148.14743887216252</v>
      </c>
      <c r="AO280">
        <v>61.419688940030952</v>
      </c>
      <c r="AP280">
        <v>483.75333689545181</v>
      </c>
      <c r="AQ280">
        <v>382.34857268897611</v>
      </c>
      <c r="AR280">
        <v>59.287272182771311</v>
      </c>
      <c r="AS280">
        <v>307.61118245220052</v>
      </c>
      <c r="AT280">
        <v>30.891498480550911</v>
      </c>
      <c r="AU280">
        <v>19.440424592642444</v>
      </c>
      <c r="AV280"/>
      <c r="AW280"/>
      <c r="FY280" s="211">
        <v>275</v>
      </c>
      <c r="FZ280">
        <v>57.524614143377583</v>
      </c>
      <c r="GA280">
        <v>52.034557568207823</v>
      </c>
      <c r="GB280">
        <v>44.518252278386697</v>
      </c>
      <c r="GC280">
        <v>27.933716843054103</v>
      </c>
      <c r="GD280">
        <v>19.657092451098123</v>
      </c>
      <c r="GE280">
        <v>31.520187273739548</v>
      </c>
      <c r="GF280">
        <v>73.637939077539386</v>
      </c>
      <c r="GG280">
        <v>59.761147457798401</v>
      </c>
      <c r="GH280">
        <v>15.878161435315885</v>
      </c>
      <c r="GI280">
        <v>49.54616450032119</v>
      </c>
      <c r="GJ280"/>
      <c r="GK280"/>
      <c r="GL280"/>
      <c r="GM280"/>
    </row>
    <row r="281" spans="1:195" s="7" customFormat="1">
      <c r="A281" s="1"/>
      <c r="B281">
        <v>0.63906230478867987</v>
      </c>
      <c r="C281">
        <v>10</v>
      </c>
      <c r="D281">
        <v>39799</v>
      </c>
      <c r="E281">
        <v>10.416666666666666</v>
      </c>
      <c r="F281">
        <v>20.833333333333332</v>
      </c>
      <c r="G281">
        <v>10.416666666666666</v>
      </c>
      <c r="H281">
        <v>0</v>
      </c>
      <c r="I281">
        <v>0</v>
      </c>
      <c r="J281">
        <v>10.416666666666666</v>
      </c>
      <c r="K281">
        <v>41.666666666666664</v>
      </c>
      <c r="L281">
        <v>31.25</v>
      </c>
      <c r="M281">
        <v>20.833333333333332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196.84163429710938</v>
      </c>
      <c r="AO281">
        <v>59.142823461541965</v>
      </c>
      <c r="AP281">
        <v>474.49759589845183</v>
      </c>
      <c r="AQ281">
        <v>376.11625794774193</v>
      </c>
      <c r="AR281">
        <v>57.83521806533016</v>
      </c>
      <c r="AS281">
        <v>274.94370347198713</v>
      </c>
      <c r="AT281">
        <v>29.027371950862786</v>
      </c>
      <c r="AU281">
        <v>-29.209061170389305</v>
      </c>
      <c r="AV281"/>
      <c r="AW281"/>
      <c r="FY281" s="211">
        <v>276</v>
      </c>
      <c r="FZ281">
        <v>67.800988986919663</v>
      </c>
      <c r="GA281">
        <v>74.415119287168039</v>
      </c>
      <c r="GB281">
        <v>35.454359829861588</v>
      </c>
      <c r="GC281">
        <v>25.46417079943204</v>
      </c>
      <c r="GD281">
        <v>18.585146387173353</v>
      </c>
      <c r="GE281">
        <v>28.706022728600281</v>
      </c>
      <c r="GF281">
        <v>15.642624535758726</v>
      </c>
      <c r="GG281">
        <v>13.04821524368656</v>
      </c>
      <c r="GH281">
        <v>20.668267897570349</v>
      </c>
      <c r="GI281">
        <v>37.246573256822153</v>
      </c>
      <c r="GJ281"/>
      <c r="GK281"/>
      <c r="GL281"/>
      <c r="GM281"/>
    </row>
    <row r="282" spans="1:195" s="7" customFormat="1">
      <c r="A282" s="1"/>
      <c r="B282">
        <v>0.31804782259748698</v>
      </c>
      <c r="C282">
        <v>10</v>
      </c>
      <c r="D282">
        <v>39799</v>
      </c>
      <c r="E282">
        <v>10.416666666666666</v>
      </c>
      <c r="F282">
        <v>20.833333333333332</v>
      </c>
      <c r="G282">
        <v>10.416666666666666</v>
      </c>
      <c r="H282">
        <v>0</v>
      </c>
      <c r="I282">
        <v>0</v>
      </c>
      <c r="J282">
        <v>10.416666666666666</v>
      </c>
      <c r="K282">
        <v>41.666666666666664</v>
      </c>
      <c r="L282">
        <v>31.25</v>
      </c>
      <c r="M282">
        <v>20.833333333333332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164.90230406041908</v>
      </c>
      <c r="AO282">
        <v>54.970147690498571</v>
      </c>
      <c r="AP282">
        <v>465.7547586699182</v>
      </c>
      <c r="AQ282">
        <v>369.31230577555544</v>
      </c>
      <c r="AR282">
        <v>53.952308271501472</v>
      </c>
      <c r="AS282">
        <v>250.19163979697038</v>
      </c>
      <c r="AT282">
        <v>27.700137238090814</v>
      </c>
      <c r="AU282">
        <v>-32.430257788008532</v>
      </c>
      <c r="AV282"/>
      <c r="AW282"/>
      <c r="FY282" s="211">
        <v>277</v>
      </c>
      <c r="FZ282">
        <v>111.12323853980212</v>
      </c>
      <c r="GA282">
        <v>136.02307027766332</v>
      </c>
      <c r="GB282">
        <v>38.958974905969662</v>
      </c>
      <c r="GC282">
        <v>22.444367246337109</v>
      </c>
      <c r="GD282">
        <v>17.625039370715381</v>
      </c>
      <c r="GE282">
        <v>32.237712349786634</v>
      </c>
      <c r="GF282">
        <v>68.135731614949137</v>
      </c>
      <c r="GG282">
        <v>49.750604785855124</v>
      </c>
      <c r="GH282">
        <v>31.130443818887919</v>
      </c>
      <c r="GI282">
        <v>55.963783527422343</v>
      </c>
      <c r="GJ282"/>
      <c r="GK282"/>
      <c r="GL282"/>
      <c r="GM282"/>
    </row>
    <row r="283" spans="1:195" s="7" customFormat="1">
      <c r="A283" s="1"/>
      <c r="B283">
        <v>0.42556303999293732</v>
      </c>
      <c r="C283">
        <v>7</v>
      </c>
      <c r="D283">
        <v>39799</v>
      </c>
      <c r="E283">
        <v>0</v>
      </c>
      <c r="F283">
        <v>0</v>
      </c>
      <c r="G283">
        <v>60.763888888888886</v>
      </c>
      <c r="H283">
        <v>0</v>
      </c>
      <c r="I283">
        <v>0</v>
      </c>
      <c r="J283">
        <v>0</v>
      </c>
      <c r="K283">
        <v>10.416666666666666</v>
      </c>
      <c r="L283">
        <v>0</v>
      </c>
      <c r="M283">
        <v>0</v>
      </c>
      <c r="N283">
        <v>10.416666666666666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237.67721498813768</v>
      </c>
      <c r="AO283">
        <v>88.10343197830062</v>
      </c>
      <c r="AP283">
        <v>800.34514514530986</v>
      </c>
      <c r="AQ283">
        <v>636.23450904283925</v>
      </c>
      <c r="AR283">
        <v>85.841643421568975</v>
      </c>
      <c r="AS283">
        <v>402.15836327584867</v>
      </c>
      <c r="AT283">
        <v>47.8561275948991</v>
      </c>
      <c r="AU283">
        <v>-2.5671920013483529</v>
      </c>
      <c r="AV283"/>
      <c r="AW283"/>
      <c r="FY283" s="211">
        <v>278</v>
      </c>
      <c r="FZ283">
        <v>106.77620507163437</v>
      </c>
      <c r="GA283">
        <v>144.63050227220569</v>
      </c>
      <c r="GB283">
        <v>39.218565807649568</v>
      </c>
      <c r="GC283">
        <v>19.178061487397233</v>
      </c>
      <c r="GD283">
        <v>13.248848192233476</v>
      </c>
      <c r="GE283">
        <v>27.085414094817018</v>
      </c>
      <c r="GF283">
        <v>32.207784044096933</v>
      </c>
      <c r="GG283">
        <v>17.599869194159744</v>
      </c>
      <c r="GH283">
        <v>17.315592828553555</v>
      </c>
      <c r="GI283">
        <v>43.106854389858647</v>
      </c>
      <c r="GJ283"/>
      <c r="GK283"/>
      <c r="GL283"/>
      <c r="GM283"/>
    </row>
    <row r="284" spans="1:195" s="7" customFormat="1">
      <c r="A284" s="1"/>
      <c r="B284">
        <v>9.2066149905313255E-2</v>
      </c>
      <c r="C284">
        <v>10</v>
      </c>
      <c r="D284">
        <v>39799</v>
      </c>
      <c r="E284">
        <v>10.416666666666666</v>
      </c>
      <c r="F284">
        <v>20.833333333333332</v>
      </c>
      <c r="G284">
        <v>10.416666666666666</v>
      </c>
      <c r="H284">
        <v>0</v>
      </c>
      <c r="I284">
        <v>0</v>
      </c>
      <c r="J284">
        <v>10.416666666666666</v>
      </c>
      <c r="K284">
        <v>41.666666666666664</v>
      </c>
      <c r="L284">
        <v>31.25</v>
      </c>
      <c r="M284">
        <v>20.833333333333332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227.3519951967231</v>
      </c>
      <c r="AO284">
        <v>67.5004440058472</v>
      </c>
      <c r="AP284">
        <v>539.20431639902552</v>
      </c>
      <c r="AQ284">
        <v>400.2902854560067</v>
      </c>
      <c r="AR284">
        <v>65.877636390825245</v>
      </c>
      <c r="AS284">
        <v>316.41492566665067</v>
      </c>
      <c r="AT284">
        <v>30.436157485214668</v>
      </c>
      <c r="AU284">
        <v>46.277075988899753</v>
      </c>
      <c r="AV284"/>
      <c r="AW284"/>
      <c r="FY284" s="211">
        <v>279</v>
      </c>
      <c r="FZ284">
        <v>67.162246383351658</v>
      </c>
      <c r="GA284">
        <v>92.087503758067683</v>
      </c>
      <c r="GB284">
        <v>40.452746056556514</v>
      </c>
      <c r="GC284">
        <v>21.200691099074682</v>
      </c>
      <c r="GD284">
        <v>14.363244279620281</v>
      </c>
      <c r="GE284">
        <v>24.657665377103701</v>
      </c>
      <c r="GF284">
        <v>27.833071968214341</v>
      </c>
      <c r="GG284">
        <v>16.727729754014575</v>
      </c>
      <c r="GH284">
        <v>25.734121071770815</v>
      </c>
      <c r="GI284">
        <v>38.975181221013663</v>
      </c>
      <c r="GJ284"/>
      <c r="GK284"/>
      <c r="GL284"/>
      <c r="GM284"/>
    </row>
    <row r="285" spans="1:195" s="7" customFormat="1">
      <c r="A285" s="1"/>
      <c r="B285">
        <v>0.43543194334352542</v>
      </c>
      <c r="C285">
        <v>8</v>
      </c>
      <c r="D285">
        <v>39799</v>
      </c>
      <c r="E285">
        <v>0</v>
      </c>
      <c r="F285">
        <v>223.21428571428572</v>
      </c>
      <c r="G285">
        <v>74.404761904761912</v>
      </c>
      <c r="H285">
        <v>0</v>
      </c>
      <c r="I285">
        <v>0</v>
      </c>
      <c r="J285">
        <v>10.416666666666666</v>
      </c>
      <c r="K285">
        <v>20.833333333333332</v>
      </c>
      <c r="L285">
        <v>10.416666666666666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270.32092734119612</v>
      </c>
      <c r="AO285">
        <v>87.781010792165205</v>
      </c>
      <c r="AP285">
        <v>730.67590381590173</v>
      </c>
      <c r="AQ285">
        <v>572.06701504044202</v>
      </c>
      <c r="AR285">
        <v>83.500763115146469</v>
      </c>
      <c r="AS285">
        <v>396.30934634836319</v>
      </c>
      <c r="AT285">
        <v>42.913164813690322</v>
      </c>
      <c r="AU285">
        <v>-44.475085667994271</v>
      </c>
      <c r="AV285"/>
      <c r="AW285"/>
      <c r="FY285" s="211">
        <v>280</v>
      </c>
      <c r="FZ285">
        <v>37.090621111039226</v>
      </c>
      <c r="GA285">
        <v>47.061996879892966</v>
      </c>
      <c r="GB285">
        <v>32.555964017369284</v>
      </c>
      <c r="GC285">
        <v>19.936891927637767</v>
      </c>
      <c r="GD285">
        <v>16.445089072021243</v>
      </c>
      <c r="GE285">
        <v>24.127271393934404</v>
      </c>
      <c r="GF285">
        <v>43.416760304552696</v>
      </c>
      <c r="GG285">
        <v>37.661059265510588</v>
      </c>
      <c r="GH285">
        <v>27.378394388607688</v>
      </c>
      <c r="GI285">
        <v>37.37438600401066</v>
      </c>
      <c r="GJ285"/>
      <c r="GK285"/>
      <c r="GL285"/>
      <c r="GM285"/>
    </row>
    <row r="286" spans="1:195" s="7" customFormat="1">
      <c r="A286" s="1"/>
      <c r="B286">
        <v>0.43164459950947798</v>
      </c>
      <c r="C286">
        <v>8</v>
      </c>
      <c r="D286">
        <v>39799</v>
      </c>
      <c r="E286">
        <v>0</v>
      </c>
      <c r="F286">
        <v>223.21428571428572</v>
      </c>
      <c r="G286">
        <v>74.404761904761912</v>
      </c>
      <c r="H286">
        <v>0</v>
      </c>
      <c r="I286">
        <v>0</v>
      </c>
      <c r="J286">
        <v>10.416666666666666</v>
      </c>
      <c r="K286">
        <v>20.833333333333332</v>
      </c>
      <c r="L286">
        <v>10.416666666666666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167.82322905873102</v>
      </c>
      <c r="AO286">
        <v>52.587456763243452</v>
      </c>
      <c r="AP286">
        <v>372.85354154895003</v>
      </c>
      <c r="AQ286">
        <v>297.80518279912906</v>
      </c>
      <c r="AR286">
        <v>51.677096919535416</v>
      </c>
      <c r="AS286">
        <v>240.88301781150935</v>
      </c>
      <c r="AT286">
        <v>24.172432177634018</v>
      </c>
      <c r="AU286">
        <v>36.199399687203226</v>
      </c>
      <c r="AV286"/>
      <c r="AW286"/>
      <c r="FY286" s="211">
        <v>281</v>
      </c>
      <c r="FZ286">
        <v>41.295266961900239</v>
      </c>
      <c r="GA286">
        <v>44.341309437470386</v>
      </c>
      <c r="GB286">
        <v>32.132900441136577</v>
      </c>
      <c r="GC286">
        <v>23.143214017779201</v>
      </c>
      <c r="GD286">
        <v>16.388208974936866</v>
      </c>
      <c r="GE286">
        <v>19.801640858470929</v>
      </c>
      <c r="GF286">
        <v>56.294823086264948</v>
      </c>
      <c r="GG286">
        <v>49.285848761964139</v>
      </c>
      <c r="GH286">
        <v>28.919119357678731</v>
      </c>
      <c r="GI286">
        <v>40.531123566073042</v>
      </c>
      <c r="GJ286"/>
      <c r="GK286"/>
      <c r="GL286"/>
      <c r="GM286"/>
    </row>
    <row r="287" spans="1:195" s="7" customFormat="1">
      <c r="A287" s="1"/>
      <c r="B287">
        <v>0.95159355906003351</v>
      </c>
      <c r="C287">
        <v>10</v>
      </c>
      <c r="D287">
        <v>39799</v>
      </c>
      <c r="E287">
        <v>10.416666666666666</v>
      </c>
      <c r="F287">
        <v>20.833333333333332</v>
      </c>
      <c r="G287">
        <v>10.416666666666666</v>
      </c>
      <c r="H287">
        <v>0</v>
      </c>
      <c r="I287">
        <v>0</v>
      </c>
      <c r="J287">
        <v>10.416666666666666</v>
      </c>
      <c r="K287">
        <v>41.666666666666664</v>
      </c>
      <c r="L287">
        <v>31.25</v>
      </c>
      <c r="M287">
        <v>20.833333333333332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180.81678163256711</v>
      </c>
      <c r="AO287">
        <v>50.217377572049934</v>
      </c>
      <c r="AP287">
        <v>404.69134688492255</v>
      </c>
      <c r="AQ287">
        <v>311.45700194685537</v>
      </c>
      <c r="AR287">
        <v>49.434773178631964</v>
      </c>
      <c r="AS287">
        <v>246.00713171906773</v>
      </c>
      <c r="AT287">
        <v>23.403513121731311</v>
      </c>
      <c r="AU287">
        <v>-16.897105374131598</v>
      </c>
      <c r="AV287"/>
      <c r="AW287"/>
      <c r="FY287" s="211">
        <v>282</v>
      </c>
      <c r="FZ287">
        <v>26.024553760430305</v>
      </c>
      <c r="GA287">
        <v>52.721074689362645</v>
      </c>
      <c r="GB287">
        <v>48.900395197539098</v>
      </c>
      <c r="GC287">
        <v>21.472867187635128</v>
      </c>
      <c r="GD287">
        <v>11.63435357125381</v>
      </c>
      <c r="GE287">
        <v>24.44577461706935</v>
      </c>
      <c r="GF287">
        <v>41.746981710606349</v>
      </c>
      <c r="GG287">
        <v>28.200987006428424</v>
      </c>
      <c r="GH287">
        <v>24.40915463549787</v>
      </c>
      <c r="GI287">
        <v>36.01781472294288</v>
      </c>
      <c r="GJ287"/>
      <c r="GK287"/>
      <c r="GL287"/>
      <c r="GM287"/>
    </row>
    <row r="288" spans="1:195" s="7" customFormat="1">
      <c r="A288" s="1"/>
      <c r="B288">
        <v>0.76613258044341692</v>
      </c>
      <c r="C288">
        <v>2</v>
      </c>
      <c r="D288">
        <v>39847</v>
      </c>
      <c r="E288">
        <v>0</v>
      </c>
      <c r="F288">
        <v>0</v>
      </c>
      <c r="G288">
        <v>569.66145833333337</v>
      </c>
      <c r="H288">
        <v>0</v>
      </c>
      <c r="I288">
        <v>34.722222222222221</v>
      </c>
      <c r="J288">
        <v>0</v>
      </c>
      <c r="K288">
        <v>0</v>
      </c>
      <c r="L288">
        <v>69.444444444444443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223.83977286193641</v>
      </c>
      <c r="AO288">
        <v>61.068083055421042</v>
      </c>
      <c r="AP288">
        <v>482.24133937339968</v>
      </c>
      <c r="AQ288">
        <v>371.53114136894612</v>
      </c>
      <c r="AR288">
        <v>60.554874503107726</v>
      </c>
      <c r="AS288">
        <v>297.07636641370271</v>
      </c>
      <c r="AT288">
        <v>29.017072150299231</v>
      </c>
      <c r="AU288">
        <v>34.376375991312116</v>
      </c>
      <c r="AV288"/>
      <c r="AW288"/>
      <c r="FY288" s="211">
        <v>283</v>
      </c>
      <c r="FZ288">
        <v>73.807237840649194</v>
      </c>
      <c r="GA288">
        <v>76.630192085537715</v>
      </c>
      <c r="GB288">
        <v>33.399541984124234</v>
      </c>
      <c r="GC288">
        <v>19.424487631512431</v>
      </c>
      <c r="GD288">
        <v>12.616731728931638</v>
      </c>
      <c r="GE288">
        <v>24.421926277846346</v>
      </c>
      <c r="GF288">
        <v>60.619553190799778</v>
      </c>
      <c r="GG288">
        <v>43.711383992985091</v>
      </c>
      <c r="GH288">
        <v>27.141549892348536</v>
      </c>
      <c r="GI288">
        <v>43.65526242776081</v>
      </c>
      <c r="GJ288"/>
      <c r="GK288"/>
      <c r="GL288"/>
      <c r="GM288"/>
    </row>
    <row r="289" spans="1:195" s="7" customFormat="1">
      <c r="A289" s="1"/>
      <c r="B289">
        <v>0.70513770593677094</v>
      </c>
      <c r="C289">
        <v>8</v>
      </c>
      <c r="D289">
        <v>39847</v>
      </c>
      <c r="E289">
        <v>0</v>
      </c>
      <c r="F289">
        <v>0</v>
      </c>
      <c r="G289">
        <v>0</v>
      </c>
      <c r="H289">
        <v>69.444444444444443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166.29141056684472</v>
      </c>
      <c r="AO289">
        <v>58.513469525394513</v>
      </c>
      <c r="AP289">
        <v>476.77341226333141</v>
      </c>
      <c r="AQ289">
        <v>367.6618900141608</v>
      </c>
      <c r="AR289">
        <v>55.87409894180314</v>
      </c>
      <c r="AS289">
        <v>254.07715742919129</v>
      </c>
      <c r="AT289">
        <v>27.104251446001708</v>
      </c>
      <c r="AU289">
        <v>-2.4438969869140834</v>
      </c>
      <c r="AV289"/>
      <c r="AW289"/>
      <c r="FY289" s="211">
        <v>284</v>
      </c>
      <c r="FZ289">
        <v>63.412961774355068</v>
      </c>
      <c r="GA289">
        <v>84.439441712971359</v>
      </c>
      <c r="GB289">
        <v>50.120754545728374</v>
      </c>
      <c r="GC289">
        <v>30.235917479852979</v>
      </c>
      <c r="GD289">
        <v>17.747668433808293</v>
      </c>
      <c r="GE289">
        <v>33.385161238954979</v>
      </c>
      <c r="GF289">
        <v>37.690922209676501</v>
      </c>
      <c r="GG289">
        <v>23.414401527540189</v>
      </c>
      <c r="GH289">
        <v>33.277631607419444</v>
      </c>
      <c r="GI289">
        <v>46.287103703828691</v>
      </c>
      <c r="GJ289"/>
      <c r="GK289"/>
      <c r="GL289"/>
      <c r="GM289"/>
    </row>
    <row r="290" spans="1:195" s="7" customFormat="1">
      <c r="A290" s="1"/>
      <c r="B290">
        <v>0.77510471227528255</v>
      </c>
      <c r="C290">
        <v>7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10.416666666666666</v>
      </c>
      <c r="L290">
        <v>10.416666666666666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226.79639311291294</v>
      </c>
      <c r="AO290">
        <v>76.503813837785174</v>
      </c>
      <c r="AP290">
        <v>592.35772345092721</v>
      </c>
      <c r="AQ290">
        <v>475.28873059277072</v>
      </c>
      <c r="AR290">
        <v>73.969043490868444</v>
      </c>
      <c r="AS290">
        <v>335.63004492182785</v>
      </c>
      <c r="AT290">
        <v>38.987733387450774</v>
      </c>
      <c r="AU290">
        <v>-36.415555474556975</v>
      </c>
      <c r="AV290"/>
      <c r="AW290"/>
      <c r="FY290" s="211">
        <v>285</v>
      </c>
      <c r="FZ290">
        <v>188.74528734044458</v>
      </c>
      <c r="GA290">
        <v>234.86790529045803</v>
      </c>
      <c r="GB290">
        <v>36.13931912951589</v>
      </c>
      <c r="GC290">
        <v>20.103846485392072</v>
      </c>
      <c r="GD290">
        <v>15.526809794558092</v>
      </c>
      <c r="GE290">
        <v>25.654213938822146</v>
      </c>
      <c r="GF290">
        <v>49.807195611409036</v>
      </c>
      <c r="GG290">
        <v>30.954294369230446</v>
      </c>
      <c r="GH290">
        <v>29.220621235558525</v>
      </c>
      <c r="GI290">
        <v>61.348336803019613</v>
      </c>
      <c r="GJ290"/>
      <c r="GK290"/>
      <c r="GL290"/>
      <c r="GM290"/>
    </row>
    <row r="291" spans="1:195" s="7" customFormat="1">
      <c r="A291" s="1"/>
      <c r="B291">
        <v>0.66476199583808793</v>
      </c>
      <c r="C291">
        <v>1</v>
      </c>
      <c r="D291">
        <v>39847</v>
      </c>
      <c r="E291">
        <v>0</v>
      </c>
      <c r="F291">
        <v>20.833333333333332</v>
      </c>
      <c r="G291">
        <v>31.25</v>
      </c>
      <c r="H291">
        <v>10.416666666666666</v>
      </c>
      <c r="I291">
        <v>0</v>
      </c>
      <c r="J291">
        <v>0</v>
      </c>
      <c r="K291">
        <v>10.416666666666666</v>
      </c>
      <c r="L291">
        <v>52.083333333333336</v>
      </c>
      <c r="M291">
        <v>10.416666666666666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265.49306309276631</v>
      </c>
      <c r="AO291">
        <v>73.342456783817767</v>
      </c>
      <c r="AP291">
        <v>552.3008547287925</v>
      </c>
      <c r="AQ291">
        <v>432.01183302883874</v>
      </c>
      <c r="AR291">
        <v>71.371619652445148</v>
      </c>
      <c r="AS291">
        <v>362.5166233547431</v>
      </c>
      <c r="AT291">
        <v>33.392994187272166</v>
      </c>
      <c r="AU291">
        <v>68.201160287884321</v>
      </c>
      <c r="AV291"/>
      <c r="AW291"/>
      <c r="FY291" s="211">
        <v>286</v>
      </c>
      <c r="FZ291">
        <v>32.115895601233575</v>
      </c>
      <c r="GA291">
        <v>45.681427041388083</v>
      </c>
      <c r="GB291">
        <v>48.249221997044586</v>
      </c>
      <c r="GC291">
        <v>26.733185415945826</v>
      </c>
      <c r="GD291">
        <v>15.201924129126061</v>
      </c>
      <c r="GE291">
        <v>25.322793809576449</v>
      </c>
      <c r="GF291">
        <v>46.5970695565412</v>
      </c>
      <c r="GG291">
        <v>40.881554734393774</v>
      </c>
      <c r="GH291">
        <v>27.568308585141828</v>
      </c>
      <c r="GI291">
        <v>40.490996743687937</v>
      </c>
      <c r="GJ291"/>
      <c r="GK291"/>
      <c r="GL291"/>
      <c r="GM291"/>
    </row>
    <row r="292" spans="1:195" s="7" customFormat="1">
      <c r="A292" s="1"/>
      <c r="B292">
        <v>0.88766100631872491</v>
      </c>
      <c r="C292">
        <v>10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10.416666666666666</v>
      </c>
      <c r="J292">
        <v>0</v>
      </c>
      <c r="K292">
        <v>0</v>
      </c>
      <c r="L292">
        <v>0</v>
      </c>
      <c r="M292">
        <v>10.416666666666666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175.58404680326103</v>
      </c>
      <c r="AO292">
        <v>56.073585442397793</v>
      </c>
      <c r="AP292">
        <v>401.67745960937668</v>
      </c>
      <c r="AQ292">
        <v>337.03148895299279</v>
      </c>
      <c r="AR292">
        <v>53.65096499703418</v>
      </c>
      <c r="AS292">
        <v>254.16163251111854</v>
      </c>
      <c r="AT292">
        <v>26.639430557033577</v>
      </c>
      <c r="AU292">
        <v>-12.590202201733323</v>
      </c>
      <c r="AV292"/>
      <c r="AW292"/>
      <c r="FY292" s="211">
        <v>287</v>
      </c>
      <c r="FZ292">
        <v>64.856095449233919</v>
      </c>
      <c r="GA292">
        <v>97.832283966178892</v>
      </c>
      <c r="GB292">
        <v>43.818143921653537</v>
      </c>
      <c r="GC292">
        <v>25.631035981098549</v>
      </c>
      <c r="GD292">
        <v>17.281652132809448</v>
      </c>
      <c r="GE292">
        <v>24.434334535484126</v>
      </c>
      <c r="GF292">
        <v>36.64229560460339</v>
      </c>
      <c r="GG292">
        <v>33.194277213193729</v>
      </c>
      <c r="GH292">
        <v>33.063245677993315</v>
      </c>
      <c r="GI292">
        <v>44.396054241569246</v>
      </c>
      <c r="GJ292"/>
      <c r="GK292"/>
      <c r="GL292"/>
      <c r="GM292"/>
    </row>
    <row r="293" spans="1:195" s="7" customFormat="1">
      <c r="A293" s="1"/>
      <c r="B293">
        <v>0.33188363464842574</v>
      </c>
      <c r="C293">
        <v>5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10.416666666666666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278.01229057003923</v>
      </c>
      <c r="AO293">
        <v>83.214342142721506</v>
      </c>
      <c r="AP293">
        <v>708.10553709392332</v>
      </c>
      <c r="AQ293">
        <v>563.39296643738874</v>
      </c>
      <c r="AR293">
        <v>80.473739624920242</v>
      </c>
      <c r="AS293">
        <v>395.58859806596485</v>
      </c>
      <c r="AT293">
        <v>40.839340789368855</v>
      </c>
      <c r="AU293">
        <v>3.6305573520529748</v>
      </c>
      <c r="AV293"/>
      <c r="AW293"/>
      <c r="FY293" s="211">
        <v>288</v>
      </c>
      <c r="FZ293">
        <v>30.935034139361914</v>
      </c>
      <c r="GA293">
        <v>28.833263475552958</v>
      </c>
      <c r="GB293">
        <v>45.58273218651118</v>
      </c>
      <c r="GC293">
        <v>30.35177988391861</v>
      </c>
      <c r="GD293">
        <v>22.55227137586785</v>
      </c>
      <c r="GE293">
        <v>35.112446233073165</v>
      </c>
      <c r="GF293">
        <v>50.147134138734735</v>
      </c>
      <c r="GG293">
        <v>41.05704678273127</v>
      </c>
      <c r="GH293">
        <v>24.513288198795024</v>
      </c>
      <c r="GI293">
        <v>44.691615336290177</v>
      </c>
      <c r="GJ293"/>
      <c r="GK293"/>
      <c r="GL293"/>
      <c r="GM293"/>
    </row>
    <row r="294" spans="1:195" s="7" customFormat="1">
      <c r="A294" s="1"/>
      <c r="B294">
        <v>0.13099875045147691</v>
      </c>
      <c r="C294">
        <v>9</v>
      </c>
      <c r="D294">
        <v>39847</v>
      </c>
      <c r="E294">
        <v>0</v>
      </c>
      <c r="F294">
        <v>0</v>
      </c>
      <c r="G294">
        <v>130.20833333333334</v>
      </c>
      <c r="H294">
        <v>0</v>
      </c>
      <c r="I294">
        <v>0</v>
      </c>
      <c r="J294">
        <v>0</v>
      </c>
      <c r="K294">
        <v>0</v>
      </c>
      <c r="L294">
        <v>41.666666666666664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208.69850390149526</v>
      </c>
      <c r="AO294">
        <v>65.518040767015194</v>
      </c>
      <c r="AP294">
        <v>568.1043955639858</v>
      </c>
      <c r="AQ294">
        <v>460.36769738260625</v>
      </c>
      <c r="AR294">
        <v>61.893164041423539</v>
      </c>
      <c r="AS294">
        <v>316.4637501117806</v>
      </c>
      <c r="AT294">
        <v>32.061381433525419</v>
      </c>
      <c r="AU294">
        <v>-30.589390248192196</v>
      </c>
      <c r="AV294"/>
      <c r="AW294"/>
      <c r="FY294" s="211">
        <v>289</v>
      </c>
      <c r="FZ294">
        <v>158.39243774700432</v>
      </c>
      <c r="GA294">
        <v>195.10365699915707</v>
      </c>
      <c r="GB294">
        <v>40.121335099266609</v>
      </c>
      <c r="GC294">
        <v>14.201535165284454</v>
      </c>
      <c r="GD294">
        <v>7.0824661628315511</v>
      </c>
      <c r="GE294">
        <v>17.423824235949063</v>
      </c>
      <c r="GF294">
        <v>43.949172981937544</v>
      </c>
      <c r="GG294">
        <v>33.264347976721616</v>
      </c>
      <c r="GH294">
        <v>18.241492942971828</v>
      </c>
      <c r="GI294">
        <v>49.647267515602771</v>
      </c>
      <c r="GJ294"/>
      <c r="GK294"/>
      <c r="GL294"/>
      <c r="GM294"/>
    </row>
    <row r="295" spans="1:195" s="7" customFormat="1">
      <c r="A295" s="1"/>
      <c r="B295">
        <v>0.51693564326391162</v>
      </c>
      <c r="C295">
        <v>9</v>
      </c>
      <c r="D295">
        <v>39847</v>
      </c>
      <c r="E295">
        <v>0</v>
      </c>
      <c r="F295">
        <v>0</v>
      </c>
      <c r="G295">
        <v>130.20833333333334</v>
      </c>
      <c r="H295">
        <v>0</v>
      </c>
      <c r="I295">
        <v>0</v>
      </c>
      <c r="J295">
        <v>0</v>
      </c>
      <c r="K295">
        <v>0</v>
      </c>
      <c r="L295">
        <v>41.666666666666664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175.61103395129217</v>
      </c>
      <c r="AO295">
        <v>57.415662211396331</v>
      </c>
      <c r="AP295">
        <v>461.71625650051436</v>
      </c>
      <c r="AQ295">
        <v>369.19420096878792</v>
      </c>
      <c r="AR295">
        <v>56.026506293275688</v>
      </c>
      <c r="AS295">
        <v>257.27137540294723</v>
      </c>
      <c r="AT295">
        <v>27.942732343275694</v>
      </c>
      <c r="AU295">
        <v>-33.663960985009822</v>
      </c>
      <c r="AV295"/>
      <c r="AW295"/>
      <c r="FY295" s="211">
        <v>290</v>
      </c>
      <c r="FZ295">
        <v>80.794070870738324</v>
      </c>
      <c r="GA295">
        <v>84.174678324301482</v>
      </c>
      <c r="GB295">
        <v>37.729036457347881</v>
      </c>
      <c r="GC295">
        <v>18.099808427844934</v>
      </c>
      <c r="GD295">
        <v>12.96563788081373</v>
      </c>
      <c r="GE295">
        <v>30.358578702839029</v>
      </c>
      <c r="GF295">
        <v>49.313962827704053</v>
      </c>
      <c r="GG295">
        <v>30.055246262424468</v>
      </c>
      <c r="GH295">
        <v>19.716493183963379</v>
      </c>
      <c r="GI295">
        <v>42.716623632918562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182.98585838925374</v>
      </c>
      <c r="AO296">
        <v>54.626988015862068</v>
      </c>
      <c r="AP296">
        <v>411.50851146181373</v>
      </c>
      <c r="AQ296">
        <v>323.04843436457651</v>
      </c>
      <c r="AR296">
        <v>53.862525981241092</v>
      </c>
      <c r="AS296">
        <v>249.84144420504049</v>
      </c>
      <c r="AT296">
        <v>26.755878672388324</v>
      </c>
      <c r="AU296">
        <v>29.453355642234307</v>
      </c>
      <c r="AV296"/>
      <c r="AW296"/>
      <c r="FY296" s="211">
        <v>291</v>
      </c>
      <c r="FZ296">
        <v>39.502658585204131</v>
      </c>
      <c r="GA296">
        <v>56.171024416607857</v>
      </c>
      <c r="GB296">
        <v>47.658896128109149</v>
      </c>
      <c r="GC296">
        <v>23.336949148350989</v>
      </c>
      <c r="GD296">
        <v>14.05010564606736</v>
      </c>
      <c r="GE296">
        <v>23.371408462274825</v>
      </c>
      <c r="GF296">
        <v>53.218716396113578</v>
      </c>
      <c r="GG296">
        <v>41.898074590098219</v>
      </c>
      <c r="GH296">
        <v>29.493019644795261</v>
      </c>
      <c r="GI296">
        <v>42.314675155690573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214.19663130244152</v>
      </c>
      <c r="AO297">
        <v>58.856856655938735</v>
      </c>
      <c r="AP297">
        <v>450.34728714027943</v>
      </c>
      <c r="AQ297">
        <v>352.13345546367509</v>
      </c>
      <c r="AR297">
        <v>58.147197115787712</v>
      </c>
      <c r="AS297">
        <v>280.05536813160938</v>
      </c>
      <c r="AT297">
        <v>26.759136196349047</v>
      </c>
      <c r="AU297">
        <v>32.471121184031894</v>
      </c>
      <c r="AV297"/>
      <c r="AW297"/>
      <c r="FY297" s="211">
        <v>292</v>
      </c>
      <c r="FZ297">
        <v>165.44917547472807</v>
      </c>
      <c r="GA297">
        <v>195.98694789954345</v>
      </c>
      <c r="GB297">
        <v>50.446014413481549</v>
      </c>
      <c r="GC297">
        <v>25.536936637246111</v>
      </c>
      <c r="GD297">
        <v>12.740253214677102</v>
      </c>
      <c r="GE297">
        <v>20.405929103234868</v>
      </c>
      <c r="GF297">
        <v>34.840776881009987</v>
      </c>
      <c r="GG297">
        <v>25.251454001407296</v>
      </c>
      <c r="GH297">
        <v>19.196584174798325</v>
      </c>
      <c r="GI297">
        <v>55.214592813886611</v>
      </c>
      <c r="GJ297"/>
      <c r="GK297"/>
      <c r="GL297"/>
      <c r="GM297"/>
    </row>
    <row r="298" spans="1:195" s="7" customFormat="1">
      <c r="A298" s="1"/>
      <c r="B298">
        <v>0.37305809107628018</v>
      </c>
      <c r="C298">
        <v>4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192.69926073675151</v>
      </c>
      <c r="AO298">
        <v>53.114131583694231</v>
      </c>
      <c r="AP298">
        <v>416.28638463158188</v>
      </c>
      <c r="AQ298">
        <v>315.57395709876585</v>
      </c>
      <c r="AR298">
        <v>51.385867203451014</v>
      </c>
      <c r="AS298">
        <v>260.76441221775684</v>
      </c>
      <c r="AT298">
        <v>23.643354170566187</v>
      </c>
      <c r="AU298">
        <v>14.125816581499144</v>
      </c>
      <c r="AV298"/>
      <c r="AW298"/>
      <c r="FY298" s="211">
        <v>293</v>
      </c>
      <c r="FZ298">
        <v>76.350751722242961</v>
      </c>
      <c r="GA298">
        <v>101.40437330127402</v>
      </c>
      <c r="GB298">
        <v>44.807706884674076</v>
      </c>
      <c r="GC298">
        <v>22.471862125256557</v>
      </c>
      <c r="GD298">
        <v>15.167229913803258</v>
      </c>
      <c r="GE298">
        <v>29.904923802467675</v>
      </c>
      <c r="GF298">
        <v>34.475107286801311</v>
      </c>
      <c r="GG298">
        <v>14.169171214084612</v>
      </c>
      <c r="GH298">
        <v>18.655120509109182</v>
      </c>
      <c r="GI298">
        <v>42.033296211597907</v>
      </c>
      <c r="GJ298"/>
      <c r="GK298"/>
      <c r="GL298"/>
      <c r="GM298"/>
    </row>
    <row r="299" spans="1:195" s="7" customFormat="1">
      <c r="A299" s="1"/>
      <c r="B299">
        <v>0.50757383617718443</v>
      </c>
      <c r="C299">
        <v>10</v>
      </c>
      <c r="D299">
        <v>39910</v>
      </c>
      <c r="E299">
        <v>0</v>
      </c>
      <c r="F299">
        <v>0</v>
      </c>
      <c r="G299">
        <v>312.5</v>
      </c>
      <c r="H299">
        <v>729.16666666666663</v>
      </c>
      <c r="I299">
        <v>0</v>
      </c>
      <c r="J299">
        <v>0</v>
      </c>
      <c r="K299">
        <v>20.833333333333332</v>
      </c>
      <c r="L299">
        <v>104.16666666666667</v>
      </c>
      <c r="M299">
        <v>83.333333333333329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191.40305350208843</v>
      </c>
      <c r="AO299">
        <v>63.22848971082162</v>
      </c>
      <c r="AP299">
        <v>528.78685601271661</v>
      </c>
      <c r="AQ299">
        <v>415.42786705249569</v>
      </c>
      <c r="AR299">
        <v>62.342765933069423</v>
      </c>
      <c r="AS299">
        <v>325.78581130938386</v>
      </c>
      <c r="AT299">
        <v>32.302446222228163</v>
      </c>
      <c r="AU299">
        <v>12.38896833201467</v>
      </c>
      <c r="AV299"/>
      <c r="AW299"/>
      <c r="FY299" s="211">
        <v>294</v>
      </c>
      <c r="FZ299">
        <v>27.971304592940978</v>
      </c>
      <c r="GA299">
        <v>32.120349703806909</v>
      </c>
      <c r="GB299">
        <v>27.516719606667149</v>
      </c>
      <c r="GC299">
        <v>19.505683530454764</v>
      </c>
      <c r="GD299">
        <v>12.58381147849286</v>
      </c>
      <c r="GE299">
        <v>15.397276577367553</v>
      </c>
      <c r="GF299">
        <v>17.270992176943412</v>
      </c>
      <c r="GG299">
        <v>6.4694592463071166</v>
      </c>
      <c r="GH299">
        <v>9.5394497654454966</v>
      </c>
      <c r="GI299">
        <v>23.960042007849655</v>
      </c>
      <c r="GJ299"/>
      <c r="GK299"/>
      <c r="GL299"/>
      <c r="GM299"/>
    </row>
    <row r="300" spans="1:195" s="7" customFormat="1">
      <c r="A300" s="1"/>
      <c r="B300">
        <v>0.85741099823882738</v>
      </c>
      <c r="C300">
        <v>10</v>
      </c>
      <c r="D300">
        <v>39910</v>
      </c>
      <c r="E300">
        <v>0</v>
      </c>
      <c r="F300">
        <v>0</v>
      </c>
      <c r="G300">
        <v>312.5</v>
      </c>
      <c r="H300">
        <v>729.16666666666663</v>
      </c>
      <c r="I300">
        <v>0</v>
      </c>
      <c r="J300">
        <v>0</v>
      </c>
      <c r="K300">
        <v>20.833333333333332</v>
      </c>
      <c r="L300">
        <v>104.16666666666667</v>
      </c>
      <c r="M300">
        <v>83.333333333333329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196.82834811554608</v>
      </c>
      <c r="AO300">
        <v>69.240323859265416</v>
      </c>
      <c r="AP300">
        <v>525.75350743331808</v>
      </c>
      <c r="AQ300">
        <v>420.01196423413586</v>
      </c>
      <c r="AR300">
        <v>66.292309527003596</v>
      </c>
      <c r="AS300">
        <v>300.96130609872017</v>
      </c>
      <c r="AT300">
        <v>32.546590354958688</v>
      </c>
      <c r="AU300">
        <v>-24.178873853050103</v>
      </c>
      <c r="AV300"/>
      <c r="AW300"/>
      <c r="FY300" s="211">
        <v>295</v>
      </c>
      <c r="FZ300">
        <v>79.349886822511621</v>
      </c>
      <c r="GA300">
        <v>100.44199625937158</v>
      </c>
      <c r="GB300">
        <v>36.186728074256777</v>
      </c>
      <c r="GC300">
        <v>21.837847796535939</v>
      </c>
      <c r="GD300">
        <v>16.867138849649621</v>
      </c>
      <c r="GE300">
        <v>23.315071162147522</v>
      </c>
      <c r="GF300">
        <v>57.111189945997943</v>
      </c>
      <c r="GG300">
        <v>46.038756733932651</v>
      </c>
      <c r="GH300">
        <v>21.784483884957254</v>
      </c>
      <c r="GI300">
        <v>46.459654194794602</v>
      </c>
      <c r="GJ300"/>
      <c r="GK300"/>
      <c r="GL300"/>
      <c r="GM300"/>
    </row>
    <row r="301" spans="1:195" s="7" customFormat="1">
      <c r="A301" s="1"/>
      <c r="B301">
        <v>0.62447186784139586</v>
      </c>
      <c r="C301">
        <v>5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254.72456001990963</v>
      </c>
      <c r="AO301">
        <v>91.778964694016253</v>
      </c>
      <c r="AP301">
        <v>856.37463762368895</v>
      </c>
      <c r="AQ301">
        <v>692.36782999840841</v>
      </c>
      <c r="AR301">
        <v>88.703300974928325</v>
      </c>
      <c r="AS301">
        <v>395.02150535853531</v>
      </c>
      <c r="AT301">
        <v>50.693119432491272</v>
      </c>
      <c r="AU301">
        <v>-61.010897821188586</v>
      </c>
      <c r="AV301"/>
      <c r="AW301"/>
      <c r="FY301" s="211">
        <v>296</v>
      </c>
      <c r="FZ301">
        <v>26.628572328756807</v>
      </c>
      <c r="GA301">
        <v>48.931474005994595</v>
      </c>
      <c r="GB301">
        <v>51.990780939823978</v>
      </c>
      <c r="GC301">
        <v>26.845664752464693</v>
      </c>
      <c r="GD301">
        <v>13.533435508820867</v>
      </c>
      <c r="GE301">
        <v>19.93969481273761</v>
      </c>
      <c r="GF301">
        <v>55.630074388184035</v>
      </c>
      <c r="GG301">
        <v>49.344099306205287</v>
      </c>
      <c r="GH301">
        <v>28.720214661845471</v>
      </c>
      <c r="GI301">
        <v>41.652618758552535</v>
      </c>
      <c r="GJ301"/>
      <c r="GK301"/>
      <c r="GL301"/>
      <c r="GM301"/>
    </row>
    <row r="302" spans="1:195" s="7" customFormat="1">
      <c r="A302" s="1"/>
      <c r="B302">
        <v>0.35807442163281067</v>
      </c>
      <c r="C302">
        <v>3</v>
      </c>
      <c r="D302">
        <v>39910</v>
      </c>
      <c r="E302">
        <v>0</v>
      </c>
      <c r="F302">
        <v>260.41666666666669</v>
      </c>
      <c r="G302">
        <v>781.25</v>
      </c>
      <c r="H302">
        <v>288.82575757575756</v>
      </c>
      <c r="I302">
        <v>0</v>
      </c>
      <c r="J302">
        <v>0</v>
      </c>
      <c r="K302">
        <v>0</v>
      </c>
      <c r="L302">
        <v>56.818181818181813</v>
      </c>
      <c r="M302">
        <v>28.409090909090907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197.47484633372375</v>
      </c>
      <c r="AO302">
        <v>60.60217452634447</v>
      </c>
      <c r="AP302">
        <v>455.34485989574335</v>
      </c>
      <c r="AQ302">
        <v>348.84237761407934</v>
      </c>
      <c r="AR302">
        <v>58.518147618393016</v>
      </c>
      <c r="AS302">
        <v>272.06539152599743</v>
      </c>
      <c r="AT302">
        <v>25.895566374496919</v>
      </c>
      <c r="AU302">
        <v>24.667669230525373</v>
      </c>
      <c r="AV302"/>
      <c r="AW302"/>
      <c r="FY302" s="211">
        <v>297</v>
      </c>
      <c r="FZ302">
        <v>155.00850298246766</v>
      </c>
      <c r="GA302">
        <v>190.13527690014743</v>
      </c>
      <c r="GB302">
        <v>50.194243994843021</v>
      </c>
      <c r="GC302">
        <v>28.302240170052023</v>
      </c>
      <c r="GD302">
        <v>17.366880646993394</v>
      </c>
      <c r="GE302">
        <v>25.203870807553013</v>
      </c>
      <c r="GF302">
        <v>27.681528294546066</v>
      </c>
      <c r="GG302">
        <v>24.318273243812392</v>
      </c>
      <c r="GH302">
        <v>23.314490566914436</v>
      </c>
      <c r="GI302">
        <v>55.814928498838185</v>
      </c>
      <c r="GJ302"/>
      <c r="GK302"/>
      <c r="GL302"/>
      <c r="GM302"/>
    </row>
    <row r="303" spans="1:195" s="7" customFormat="1">
      <c r="A303" s="1"/>
      <c r="B303">
        <v>0.71835901459689211</v>
      </c>
      <c r="C303">
        <v>7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216.82474073570378</v>
      </c>
      <c r="AO303">
        <v>66.912010198972879</v>
      </c>
      <c r="AP303">
        <v>531.63807264998138</v>
      </c>
      <c r="AQ303">
        <v>421.1494187238182</v>
      </c>
      <c r="AR303">
        <v>64.172380317127946</v>
      </c>
      <c r="AS303">
        <v>313.00858557109939</v>
      </c>
      <c r="AT303">
        <v>30.719029402056417</v>
      </c>
      <c r="AU303">
        <v>4.4127692592215411</v>
      </c>
      <c r="AV303"/>
      <c r="AW303"/>
      <c r="FY303" s="211">
        <v>298</v>
      </c>
      <c r="FZ303">
        <v>105.50171879341936</v>
      </c>
      <c r="GA303">
        <v>123.96215009250794</v>
      </c>
      <c r="GB303">
        <v>40.631963262282596</v>
      </c>
      <c r="GC303">
        <v>24.55978213485027</v>
      </c>
      <c r="GD303">
        <v>12.734704938540284</v>
      </c>
      <c r="GE303">
        <v>24.755499991652943</v>
      </c>
      <c r="GF303">
        <v>57.858761060472581</v>
      </c>
      <c r="GG303">
        <v>38.10023432710237</v>
      </c>
      <c r="GH303">
        <v>16.685025721053609</v>
      </c>
      <c r="GI303">
        <v>48.136200526364085</v>
      </c>
      <c r="GJ303"/>
      <c r="GK303"/>
      <c r="GL303"/>
      <c r="GM303"/>
    </row>
    <row r="304" spans="1:195" s="7" customFormat="1">
      <c r="A304" s="1"/>
      <c r="B304">
        <v>0.23027855783843143</v>
      </c>
      <c r="C304">
        <v>6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244.5800715903668</v>
      </c>
      <c r="AO304">
        <v>65.906134604352175</v>
      </c>
      <c r="AP304">
        <v>445.36055545588761</v>
      </c>
      <c r="AQ304">
        <v>353.77661175083688</v>
      </c>
      <c r="AR304">
        <v>64.495455509975727</v>
      </c>
      <c r="AS304">
        <v>320.11865669253604</v>
      </c>
      <c r="AT304">
        <v>29.396222247625186</v>
      </c>
      <c r="AU304">
        <v>-31.035631597170486</v>
      </c>
      <c r="AV304"/>
      <c r="AW304"/>
      <c r="FY304" s="211">
        <v>299</v>
      </c>
      <c r="FZ304">
        <v>68.083286631157549</v>
      </c>
      <c r="GA304">
        <v>102.15721339458823</v>
      </c>
      <c r="GB304">
        <v>34.452849744817961</v>
      </c>
      <c r="GC304">
        <v>17.916055366133428</v>
      </c>
      <c r="GD304">
        <v>18.632286386739015</v>
      </c>
      <c r="GE304">
        <v>27.714551905385616</v>
      </c>
      <c r="GF304">
        <v>22.624079795215991</v>
      </c>
      <c r="GG304">
        <v>17.339721230627759</v>
      </c>
      <c r="GH304">
        <v>32.469989003421382</v>
      </c>
      <c r="GI304">
        <v>40.327851483568267</v>
      </c>
      <c r="GJ304"/>
      <c r="GK304"/>
      <c r="GL304"/>
      <c r="GM304"/>
    </row>
    <row r="305" spans="1:195" s="7" customFormat="1">
      <c r="A305" s="1"/>
      <c r="B305">
        <v>0.22829754788659429</v>
      </c>
      <c r="C305">
        <v>3</v>
      </c>
      <c r="D305">
        <v>39910</v>
      </c>
      <c r="E305">
        <v>0</v>
      </c>
      <c r="F305">
        <v>260.41666666666669</v>
      </c>
      <c r="G305">
        <v>781.25</v>
      </c>
      <c r="H305">
        <v>288.82575757575756</v>
      </c>
      <c r="I305">
        <v>0</v>
      </c>
      <c r="J305">
        <v>0</v>
      </c>
      <c r="K305">
        <v>0</v>
      </c>
      <c r="L305">
        <v>56.818181818181813</v>
      </c>
      <c r="M305">
        <v>28.409090909090907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218.80994827922217</v>
      </c>
      <c r="AO305">
        <v>74.652620140324203</v>
      </c>
      <c r="AP305">
        <v>732.91697674693648</v>
      </c>
      <c r="AQ305">
        <v>577.42753682672674</v>
      </c>
      <c r="AR305">
        <v>71.944131616260663</v>
      </c>
      <c r="AS305">
        <v>333.2253054066594</v>
      </c>
      <c r="AT305">
        <v>40.252183567530516</v>
      </c>
      <c r="AU305">
        <v>-6.9271850063153764</v>
      </c>
      <c r="AV305"/>
      <c r="AW305"/>
      <c r="FY305" s="211">
        <v>300</v>
      </c>
      <c r="FZ305">
        <v>147.60461722605268</v>
      </c>
      <c r="GA305">
        <v>188.99762914832746</v>
      </c>
      <c r="GB305">
        <v>45.52038666320928</v>
      </c>
      <c r="GC305">
        <v>27.406637172779483</v>
      </c>
      <c r="GD305">
        <v>15.708491103710863</v>
      </c>
      <c r="GE305">
        <v>15.881265940691197</v>
      </c>
      <c r="GF305">
        <v>39.287729809360521</v>
      </c>
      <c r="GG305">
        <v>34.618749535053574</v>
      </c>
      <c r="GH305">
        <v>22.785621948962557</v>
      </c>
      <c r="GI305">
        <v>54.620250991494501</v>
      </c>
      <c r="GJ305"/>
      <c r="GK305"/>
      <c r="GL305"/>
      <c r="GM305"/>
    </row>
    <row r="306" spans="1:195" s="7" customFormat="1">
      <c r="A306" s="1"/>
      <c r="B306">
        <v>0.78835647957387178</v>
      </c>
      <c r="C306">
        <v>4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205.39976122138955</v>
      </c>
      <c r="AO306">
        <v>62.194305491373655</v>
      </c>
      <c r="AP306">
        <v>511.74683433797657</v>
      </c>
      <c r="AQ306">
        <v>405.92413657089594</v>
      </c>
      <c r="AR306">
        <v>61.204690841509112</v>
      </c>
      <c r="AS306">
        <v>307.17328004788385</v>
      </c>
      <c r="AT306">
        <v>30.436044373386789</v>
      </c>
      <c r="AU306">
        <v>10.089064174075432</v>
      </c>
      <c r="AV306"/>
      <c r="AW306"/>
      <c r="FY306" s="211">
        <v>301</v>
      </c>
      <c r="FZ306">
        <v>34.296685518844434</v>
      </c>
      <c r="GA306">
        <v>47.838887733542563</v>
      </c>
      <c r="GB306">
        <v>42.175215587821612</v>
      </c>
      <c r="GC306">
        <v>23.681413963659061</v>
      </c>
      <c r="GD306">
        <v>13.753512042771819</v>
      </c>
      <c r="GE306">
        <v>16.539656382241716</v>
      </c>
      <c r="GF306">
        <v>19.950875412369292</v>
      </c>
      <c r="GG306">
        <v>22.820714688051964</v>
      </c>
      <c r="GH306">
        <v>41.113932291334891</v>
      </c>
      <c r="GI306">
        <v>35.118414545814503</v>
      </c>
      <c r="GJ306"/>
      <c r="GK306"/>
      <c r="GL306"/>
      <c r="GM306"/>
    </row>
    <row r="307" spans="1:195" s="7" customFormat="1">
      <c r="A307" s="1"/>
      <c r="B307">
        <v>0.75752586210631234</v>
      </c>
      <c r="C307">
        <v>8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217.72116388267386</v>
      </c>
      <c r="AO307">
        <v>61.113920344599499</v>
      </c>
      <c r="AP307">
        <v>485.01573727739174</v>
      </c>
      <c r="AQ307">
        <v>371.01552817331185</v>
      </c>
      <c r="AR307">
        <v>60.69974901040456</v>
      </c>
      <c r="AS307">
        <v>309.75809810556615</v>
      </c>
      <c r="AT307">
        <v>29.792218085594026</v>
      </c>
      <c r="AU307">
        <v>-2.2020241224185355</v>
      </c>
      <c r="AV307"/>
      <c r="AW307"/>
      <c r="FY307" s="211">
        <v>302</v>
      </c>
      <c r="FZ307">
        <v>48.32191006831836</v>
      </c>
      <c r="GA307">
        <v>45.6594392144304</v>
      </c>
      <c r="GB307">
        <v>37.852572998576903</v>
      </c>
      <c r="GC307">
        <v>22.200619401066373</v>
      </c>
      <c r="GD307">
        <v>13.108874941334442</v>
      </c>
      <c r="GE307">
        <v>24.499665971332917</v>
      </c>
      <c r="GF307">
        <v>34.827549080707399</v>
      </c>
      <c r="GG307">
        <v>20.30864357698805</v>
      </c>
      <c r="GH307">
        <v>14.435590080685966</v>
      </c>
      <c r="GI307">
        <v>34.332267512389777</v>
      </c>
      <c r="GJ307"/>
      <c r="GK307"/>
      <c r="GL307"/>
      <c r="GM307"/>
    </row>
    <row r="308" spans="1:195" s="7" customFormat="1">
      <c r="A308" s="1"/>
      <c r="B308">
        <v>0.51805772398604333</v>
      </c>
      <c r="C308">
        <v>7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20.833333333333332</v>
      </c>
      <c r="M308">
        <v>0</v>
      </c>
      <c r="N308">
        <v>31.25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199.19767128880486</v>
      </c>
      <c r="AO308">
        <v>82.813293019454278</v>
      </c>
      <c r="AP308">
        <v>755.5296710842324</v>
      </c>
      <c r="AQ308">
        <v>605.06866461401341</v>
      </c>
      <c r="AR308">
        <v>80.144796511960749</v>
      </c>
      <c r="AS308">
        <v>381.68683990745444</v>
      </c>
      <c r="AT308">
        <v>45.097033799049761</v>
      </c>
      <c r="AU308">
        <v>21.537478082206189</v>
      </c>
      <c r="AV308"/>
      <c r="AW308"/>
      <c r="FY308" s="211">
        <v>303</v>
      </c>
      <c r="FZ308">
        <v>26.856639281891187</v>
      </c>
      <c r="GA308">
        <v>50.929625659575294</v>
      </c>
      <c r="GB308">
        <v>45.511536844408425</v>
      </c>
      <c r="GC308">
        <v>19.004504911863293</v>
      </c>
      <c r="GD308">
        <v>19.547915669886105</v>
      </c>
      <c r="GE308">
        <v>34.663369344607162</v>
      </c>
      <c r="GF308">
        <v>58.059559517990238</v>
      </c>
      <c r="GG308">
        <v>54.352900291118807</v>
      </c>
      <c r="GH308">
        <v>25.495578421988061</v>
      </c>
      <c r="GI308">
        <v>43.650314536700932</v>
      </c>
      <c r="GJ308"/>
      <c r="GK308"/>
      <c r="GL308"/>
      <c r="GM308"/>
    </row>
    <row r="309" spans="1:195" s="7" customFormat="1">
      <c r="A309" s="1"/>
      <c r="B309">
        <v>0.31267412141604489</v>
      </c>
      <c r="C309">
        <v>5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209.95776334096226</v>
      </c>
      <c r="AO309">
        <v>61.591085297241001</v>
      </c>
      <c r="AP309">
        <v>493.85812313641372</v>
      </c>
      <c r="AQ309">
        <v>399.4395429713116</v>
      </c>
      <c r="AR309">
        <v>59.800835129483602</v>
      </c>
      <c r="AS309">
        <v>306.0363573469715</v>
      </c>
      <c r="AT309">
        <v>30.15284317708964</v>
      </c>
      <c r="AU309">
        <v>-18.452407468439681</v>
      </c>
      <c r="AV309"/>
      <c r="AW309"/>
      <c r="FY309" s="211">
        <v>304</v>
      </c>
      <c r="FZ309">
        <v>66.131452415544516</v>
      </c>
      <c r="GA309">
        <v>86.463260334373274</v>
      </c>
      <c r="GB309">
        <v>48.493857341011193</v>
      </c>
      <c r="GC309">
        <v>26.305418510129581</v>
      </c>
      <c r="GD309">
        <v>14.03754194669837</v>
      </c>
      <c r="GE309">
        <v>21.597512927221555</v>
      </c>
      <c r="GF309">
        <v>32.49072240496546</v>
      </c>
      <c r="GG309">
        <v>28.843595387435283</v>
      </c>
      <c r="GH309">
        <v>29.082320698044345</v>
      </c>
      <c r="GI309">
        <v>42.352952219858892</v>
      </c>
      <c r="GJ309"/>
      <c r="GK309"/>
      <c r="GL309"/>
      <c r="GM309"/>
    </row>
    <row r="310" spans="1:195" s="7" customFormat="1">
      <c r="A310" s="1"/>
      <c r="B310">
        <v>0.29125619938879854</v>
      </c>
      <c r="C310">
        <v>7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20.833333333333332</v>
      </c>
      <c r="M310">
        <v>0</v>
      </c>
      <c r="N310">
        <v>31.25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137.2969683280518</v>
      </c>
      <c r="AO310">
        <v>34.254970759586129</v>
      </c>
      <c r="AP310">
        <v>232.46145735571827</v>
      </c>
      <c r="AQ310">
        <v>192.33508868627592</v>
      </c>
      <c r="AR310">
        <v>34.025160564991239</v>
      </c>
      <c r="AS310">
        <v>169.87052303069706</v>
      </c>
      <c r="AT310">
        <v>15.963147474970919</v>
      </c>
      <c r="AU310">
        <v>-7.3215924837397459</v>
      </c>
      <c r="AV310"/>
      <c r="AW310"/>
      <c r="FY310" s="211">
        <v>305</v>
      </c>
      <c r="FZ310">
        <v>24.670555667336341</v>
      </c>
      <c r="GA310">
        <v>43.082504775966456</v>
      </c>
      <c r="GB310">
        <v>54.923910099026855</v>
      </c>
      <c r="GC310">
        <v>27.414338556541928</v>
      </c>
      <c r="GD310">
        <v>14.630967996633865</v>
      </c>
      <c r="GE310">
        <v>27.030185372677778</v>
      </c>
      <c r="GF310">
        <v>80.885371617955698</v>
      </c>
      <c r="GG310">
        <v>66.378686094062871</v>
      </c>
      <c r="GH310">
        <v>20.185694388150807</v>
      </c>
      <c r="GI310">
        <v>46.262384951195223</v>
      </c>
      <c r="GJ310"/>
      <c r="GK310"/>
      <c r="GL310"/>
      <c r="GM310"/>
    </row>
    <row r="311" spans="1:195" s="7" customFormat="1">
      <c r="A311" s="1"/>
      <c r="B311">
        <v>0.48867311312269557</v>
      </c>
      <c r="C311">
        <v>4</v>
      </c>
      <c r="D311">
        <v>39949</v>
      </c>
      <c r="E311">
        <v>0</v>
      </c>
      <c r="F311">
        <v>0</v>
      </c>
      <c r="G311">
        <v>45.662100456620998</v>
      </c>
      <c r="H311">
        <v>0</v>
      </c>
      <c r="I311">
        <v>45.662100456620998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222.22939912889598</v>
      </c>
      <c r="AO311">
        <v>68.964800982205929</v>
      </c>
      <c r="AP311">
        <v>568.1784735444943</v>
      </c>
      <c r="AQ311">
        <v>449.39275372415551</v>
      </c>
      <c r="AR311">
        <v>66.894749451457741</v>
      </c>
      <c r="AS311">
        <v>341.60145070285205</v>
      </c>
      <c r="AT311">
        <v>33.019019464635356</v>
      </c>
      <c r="AU311">
        <v>2.3632358241922446</v>
      </c>
      <c r="AV311"/>
      <c r="AW311"/>
      <c r="FY311" s="211">
        <v>306</v>
      </c>
      <c r="FZ311">
        <v>33.005603847468571</v>
      </c>
      <c r="GA311">
        <v>50.907167768503861</v>
      </c>
      <c r="GB311">
        <v>52.764864312222187</v>
      </c>
      <c r="GC311">
        <v>27.275823885857292</v>
      </c>
      <c r="GD311">
        <v>18.376270497069861</v>
      </c>
      <c r="GE311">
        <v>30.164600978970384</v>
      </c>
      <c r="GF311">
        <v>52.550436314660182</v>
      </c>
      <c r="GG311">
        <v>36.457615702345102</v>
      </c>
      <c r="GH311">
        <v>13.951626049559533</v>
      </c>
      <c r="GI311">
        <v>42.806407332913075</v>
      </c>
      <c r="GJ311"/>
      <c r="GK311"/>
      <c r="GL311"/>
      <c r="GM311"/>
    </row>
    <row r="312" spans="1:195" s="7" customFormat="1">
      <c r="A312" s="1"/>
      <c r="B312">
        <v>0.49828739490028551</v>
      </c>
      <c r="C312">
        <v>9</v>
      </c>
      <c r="D312">
        <v>39949</v>
      </c>
      <c r="E312">
        <v>0</v>
      </c>
      <c r="F312">
        <v>0</v>
      </c>
      <c r="G312">
        <v>41.666666666666664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226.94689610452411</v>
      </c>
      <c r="AO312">
        <v>62.031570287319688</v>
      </c>
      <c r="AP312">
        <v>488.42762017628854</v>
      </c>
      <c r="AQ312">
        <v>363.21662946338586</v>
      </c>
      <c r="AR312">
        <v>60.361448042544858</v>
      </c>
      <c r="AS312">
        <v>301.09673313694384</v>
      </c>
      <c r="AT312">
        <v>26.898373843426697</v>
      </c>
      <c r="AU312">
        <v>-4.0419388650066281</v>
      </c>
      <c r="AV312"/>
      <c r="AW312"/>
      <c r="FY312" s="211">
        <v>307</v>
      </c>
      <c r="FZ312">
        <v>56.770508062681699</v>
      </c>
      <c r="GA312">
        <v>85.444311579209796</v>
      </c>
      <c r="GB312">
        <v>46.175273858407721</v>
      </c>
      <c r="GC312">
        <v>28.098845269831699</v>
      </c>
      <c r="GD312">
        <v>18.450381783832135</v>
      </c>
      <c r="GE312">
        <v>33.641851108241816</v>
      </c>
      <c r="GF312">
        <v>58.400111698658947</v>
      </c>
      <c r="GG312">
        <v>42.490072809253498</v>
      </c>
      <c r="GH312">
        <v>25.331970246875098</v>
      </c>
      <c r="GI312">
        <v>47.637632518533955</v>
      </c>
      <c r="GJ312"/>
      <c r="GK312"/>
      <c r="GL312"/>
      <c r="GM312"/>
    </row>
    <row r="313" spans="1:195" s="7" customFormat="1">
      <c r="A313" s="1"/>
      <c r="B313">
        <v>0.45007902233199548</v>
      </c>
      <c r="C313">
        <v>2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10.416666666666666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222.90564462350184</v>
      </c>
      <c r="AO313">
        <v>84.524422542107288</v>
      </c>
      <c r="AP313">
        <v>735.16469442271523</v>
      </c>
      <c r="AQ313">
        <v>597.34023610616759</v>
      </c>
      <c r="AR313">
        <v>81.098456904164124</v>
      </c>
      <c r="AS313">
        <v>379.17295103780992</v>
      </c>
      <c r="AT313">
        <v>44.880864832210072</v>
      </c>
      <c r="AU313">
        <v>-41.702755461766728</v>
      </c>
      <c r="AV313"/>
      <c r="AW313"/>
      <c r="FY313" s="211">
        <v>308</v>
      </c>
      <c r="FZ313">
        <v>46.478305625742642</v>
      </c>
      <c r="GA313">
        <v>55.469014690778693</v>
      </c>
      <c r="GB313">
        <v>30.010930250089686</v>
      </c>
      <c r="GC313">
        <v>12.144649448949556</v>
      </c>
      <c r="GD313">
        <v>9.2839850234834955</v>
      </c>
      <c r="GE313">
        <v>20.825119999517003</v>
      </c>
      <c r="GF313">
        <v>40.666468107431157</v>
      </c>
      <c r="GG313">
        <v>25.213372402807838</v>
      </c>
      <c r="GH313">
        <v>20.564602267826327</v>
      </c>
      <c r="GI313">
        <v>31.765320171147433</v>
      </c>
      <c r="GJ313"/>
      <c r="GK313"/>
      <c r="GL313"/>
      <c r="GM313"/>
    </row>
    <row r="314" spans="1:195" s="7" customFormat="1">
      <c r="A314" s="1"/>
      <c r="B314">
        <v>0.50090800091161514</v>
      </c>
      <c r="C314">
        <v>5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202.13642752510108</v>
      </c>
      <c r="AO314">
        <v>72.879926892731987</v>
      </c>
      <c r="AP314">
        <v>625.59489183844971</v>
      </c>
      <c r="AQ314">
        <v>492.92604084824598</v>
      </c>
      <c r="AR314">
        <v>69.270282984787158</v>
      </c>
      <c r="AS314">
        <v>348.71020088533209</v>
      </c>
      <c r="AT314">
        <v>35.922475194084882</v>
      </c>
      <c r="AU314">
        <v>19.374668980340594</v>
      </c>
      <c r="AV314"/>
      <c r="AW314"/>
      <c r="FY314" s="211">
        <v>309</v>
      </c>
      <c r="FZ314">
        <v>82.332840894163368</v>
      </c>
      <c r="GA314">
        <v>85.750717125129412</v>
      </c>
      <c r="GB314">
        <v>39.942012525973901</v>
      </c>
      <c r="GC314">
        <v>24.376611417408242</v>
      </c>
      <c r="GD314">
        <v>18.043003582756967</v>
      </c>
      <c r="GE314">
        <v>26.657330656150453</v>
      </c>
      <c r="GF314">
        <v>27.578743222057074</v>
      </c>
      <c r="GG314">
        <v>17.906554425489453</v>
      </c>
      <c r="GH314">
        <v>17.31654265419148</v>
      </c>
      <c r="GI314">
        <v>41.988546846304665</v>
      </c>
      <c r="GJ314"/>
      <c r="GK314"/>
      <c r="GL314"/>
      <c r="GM314"/>
    </row>
    <row r="315" spans="1:195" s="7" customFormat="1">
      <c r="A315" s="1"/>
      <c r="B315">
        <v>0.51392526318548537</v>
      </c>
      <c r="C315">
        <v>10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202.29495669475904</v>
      </c>
      <c r="AO315">
        <v>58.92323839350945</v>
      </c>
      <c r="AP315">
        <v>467.74944049141146</v>
      </c>
      <c r="AQ315">
        <v>381.71788494165526</v>
      </c>
      <c r="AR315">
        <v>58.048464508494888</v>
      </c>
      <c r="AS315">
        <v>292.8227727447877</v>
      </c>
      <c r="AT315">
        <v>28.663173829121423</v>
      </c>
      <c r="AU315">
        <v>-38.593915355711715</v>
      </c>
      <c r="AV315"/>
      <c r="AW315"/>
      <c r="FY315" s="211">
        <v>310</v>
      </c>
      <c r="FZ315">
        <v>112.82089911022312</v>
      </c>
      <c r="GA315">
        <v>141.45487638207067</v>
      </c>
      <c r="GB315">
        <v>46.938345691065592</v>
      </c>
      <c r="GC315">
        <v>25.320644193471352</v>
      </c>
      <c r="GD315">
        <v>18.482138335960315</v>
      </c>
      <c r="GE315">
        <v>30.261782258342429</v>
      </c>
      <c r="GF315">
        <v>27.899845225407535</v>
      </c>
      <c r="GG315">
        <v>17.733583452040978</v>
      </c>
      <c r="GH315">
        <v>19.817893733095385</v>
      </c>
      <c r="GI315">
        <v>49.091801344057899</v>
      </c>
      <c r="GJ315"/>
      <c r="GK315"/>
      <c r="GL315"/>
      <c r="GM315"/>
    </row>
    <row r="316" spans="1:195" s="7" customFormat="1">
      <c r="A316" s="1"/>
      <c r="B316">
        <v>0.40684807355020203</v>
      </c>
      <c r="C316">
        <v>9</v>
      </c>
      <c r="D316">
        <v>39949</v>
      </c>
      <c r="E316">
        <v>0</v>
      </c>
      <c r="F316">
        <v>0</v>
      </c>
      <c r="G316">
        <v>41.666666666666664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230.17614981852267</v>
      </c>
      <c r="AO316">
        <v>82.762238914392029</v>
      </c>
      <c r="AP316">
        <v>738.83978611993928</v>
      </c>
      <c r="AQ316">
        <v>592.43137953964208</v>
      </c>
      <c r="AR316">
        <v>79.59567304019744</v>
      </c>
      <c r="AS316">
        <v>356.10443754637657</v>
      </c>
      <c r="AT316">
        <v>43.672917295655886</v>
      </c>
      <c r="AU316">
        <v>-135.67320258280458</v>
      </c>
      <c r="AV316"/>
      <c r="AW316"/>
      <c r="FY316" s="211">
        <v>311</v>
      </c>
      <c r="FZ316">
        <v>146.81323773083503</v>
      </c>
      <c r="GA316">
        <v>178.07272562623629</v>
      </c>
      <c r="GB316">
        <v>38.478476818015828</v>
      </c>
      <c r="GC316">
        <v>21.035028171719372</v>
      </c>
      <c r="GD316">
        <v>14.022508810296967</v>
      </c>
      <c r="GE316">
        <v>30.75406143369376</v>
      </c>
      <c r="GF316">
        <v>44.633451862025026</v>
      </c>
      <c r="GG316">
        <v>25.256960123139869</v>
      </c>
      <c r="GH316">
        <v>12.750973550416301</v>
      </c>
      <c r="GI316">
        <v>51.15414473005324</v>
      </c>
      <c r="GJ316"/>
      <c r="GK316"/>
      <c r="GL316"/>
      <c r="GM316"/>
    </row>
    <row r="317" spans="1:195" s="7" customFormat="1">
      <c r="A317" s="1"/>
      <c r="B317">
        <v>0.20765771500583652</v>
      </c>
      <c r="C317">
        <v>6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166.93770534458358</v>
      </c>
      <c r="AO317">
        <v>49.890041413704388</v>
      </c>
      <c r="AP317">
        <v>380.88214603675721</v>
      </c>
      <c r="AQ317">
        <v>297.28930816645186</v>
      </c>
      <c r="AR317">
        <v>50.622464267161746</v>
      </c>
      <c r="AS317">
        <v>244.48369110188952</v>
      </c>
      <c r="AT317">
        <v>24.924185437577023</v>
      </c>
      <c r="AU317">
        <v>60.494542606813759</v>
      </c>
      <c r="AV317"/>
      <c r="AW317"/>
      <c r="FY317" s="211">
        <v>312</v>
      </c>
      <c r="FZ317">
        <v>36.190658464800663</v>
      </c>
      <c r="GA317">
        <v>58.042931166432616</v>
      </c>
      <c r="GB317">
        <v>59.186558292795105</v>
      </c>
      <c r="GC317">
        <v>26.288453430874679</v>
      </c>
      <c r="GD317">
        <v>10.436232158231906</v>
      </c>
      <c r="GE317">
        <v>20.802402180141414</v>
      </c>
      <c r="GF317">
        <v>37.56313539377765</v>
      </c>
      <c r="GG317">
        <v>26.696462069095301</v>
      </c>
      <c r="GH317">
        <v>16.544857778289195</v>
      </c>
      <c r="GI317">
        <v>37.13443421016148</v>
      </c>
      <c r="GJ317"/>
      <c r="GK317"/>
      <c r="GL317"/>
      <c r="GM317"/>
    </row>
    <row r="318" spans="1:195" s="7" customFormat="1">
      <c r="A318" s="1"/>
      <c r="B318">
        <v>0.24131260133546339</v>
      </c>
      <c r="C318">
        <v>6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20.833333333333332</v>
      </c>
      <c r="L318">
        <v>20.833333333333332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170.86665526854469</v>
      </c>
      <c r="AO318">
        <v>49.753204848387739</v>
      </c>
      <c r="AP318">
        <v>368.74829833543816</v>
      </c>
      <c r="AQ318">
        <v>295.54713284583062</v>
      </c>
      <c r="AR318">
        <v>48.845082562360112</v>
      </c>
      <c r="AS318">
        <v>244.33977202599692</v>
      </c>
      <c r="AT318">
        <v>24.133685041783213</v>
      </c>
      <c r="AU318">
        <v>25.981329831229843</v>
      </c>
      <c r="AV318"/>
      <c r="AW318"/>
      <c r="FY318" s="211">
        <v>313</v>
      </c>
      <c r="FZ318">
        <v>44.303339411388734</v>
      </c>
      <c r="GA318">
        <v>57.152355177500091</v>
      </c>
      <c r="GB318">
        <v>61.198317025427997</v>
      </c>
      <c r="GC318">
        <v>32.562599694942556</v>
      </c>
      <c r="GD318">
        <v>13.348062451984051</v>
      </c>
      <c r="GE318">
        <v>18.350847529333475</v>
      </c>
      <c r="GF318">
        <v>43.015739535031507</v>
      </c>
      <c r="GG318">
        <v>39.712619755526916</v>
      </c>
      <c r="GH318">
        <v>32.297517253130401</v>
      </c>
      <c r="GI318">
        <v>44.346754258645149</v>
      </c>
      <c r="GJ318"/>
      <c r="GK318"/>
      <c r="GL318"/>
      <c r="GM318"/>
    </row>
    <row r="319" spans="1:195" s="7" customFormat="1">
      <c r="A319" s="1"/>
      <c r="B319">
        <v>0.78929010214106476</v>
      </c>
      <c r="C319">
        <v>3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10.416666666666666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226.05165104500071</v>
      </c>
      <c r="AO319">
        <v>64.736789100283232</v>
      </c>
      <c r="AP319">
        <v>486.56724894359741</v>
      </c>
      <c r="AQ319">
        <v>378.07194448002952</v>
      </c>
      <c r="AR319">
        <v>62.978079940606357</v>
      </c>
      <c r="AS319">
        <v>325.0646333014746</v>
      </c>
      <c r="AT319">
        <v>28.975240064737566</v>
      </c>
      <c r="AU319">
        <v>45.290551950824387</v>
      </c>
      <c r="AV319"/>
      <c r="AW319"/>
      <c r="FY319" s="211">
        <v>314</v>
      </c>
      <c r="FZ319">
        <v>76.572565497066279</v>
      </c>
      <c r="GA319">
        <v>90.430043815551088</v>
      </c>
      <c r="GB319">
        <v>55.458726080193685</v>
      </c>
      <c r="GC319">
        <v>29.653233883733741</v>
      </c>
      <c r="GD319">
        <v>16.324519110262667</v>
      </c>
      <c r="GE319">
        <v>27.516579358815541</v>
      </c>
      <c r="GF319">
        <v>49.806372428716081</v>
      </c>
      <c r="GG319">
        <v>42.899397830479735</v>
      </c>
      <c r="GH319">
        <v>22.627562570913476</v>
      </c>
      <c r="GI319">
        <v>49.425511555072376</v>
      </c>
      <c r="GJ319"/>
      <c r="GK319"/>
      <c r="GL319"/>
      <c r="GM319"/>
    </row>
    <row r="320" spans="1:195" s="7" customFormat="1">
      <c r="A320" s="1"/>
      <c r="B320">
        <v>0.12118852443111638</v>
      </c>
      <c r="C320">
        <v>7</v>
      </c>
      <c r="D320">
        <v>39987</v>
      </c>
      <c r="E320">
        <v>0</v>
      </c>
      <c r="F320">
        <v>0</v>
      </c>
      <c r="G320">
        <v>0</v>
      </c>
      <c r="H320">
        <v>428.92156862745094</v>
      </c>
      <c r="I320">
        <v>0</v>
      </c>
      <c r="J320">
        <v>142.97385620915031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165.92852802899444</v>
      </c>
      <c r="AO320">
        <v>63.082569515722938</v>
      </c>
      <c r="AP320">
        <v>506.59694493075574</v>
      </c>
      <c r="AQ320">
        <v>395.79863418528248</v>
      </c>
      <c r="AR320">
        <v>61.406651135691163</v>
      </c>
      <c r="AS320">
        <v>293.60090593998143</v>
      </c>
      <c r="AT320">
        <v>31.328561324666254</v>
      </c>
      <c r="AU320">
        <v>-22.66402118990802</v>
      </c>
      <c r="AV320"/>
      <c r="AW320"/>
      <c r="FY320" s="211">
        <v>315</v>
      </c>
      <c r="FZ320">
        <v>31.64958574504459</v>
      </c>
      <c r="GA320">
        <v>41.420201127965115</v>
      </c>
      <c r="GB320">
        <v>45.178196882709322</v>
      </c>
      <c r="GC320">
        <v>23.352231425576523</v>
      </c>
      <c r="GD320">
        <v>11.651259780993426</v>
      </c>
      <c r="GE320">
        <v>19.055825021033112</v>
      </c>
      <c r="GF320">
        <v>32.906264121636703</v>
      </c>
      <c r="GG320">
        <v>31.889437291067921</v>
      </c>
      <c r="GH320">
        <v>32.176757921831992</v>
      </c>
      <c r="GI320">
        <v>35.30616658007127</v>
      </c>
      <c r="GJ320"/>
      <c r="GK320"/>
      <c r="GL320"/>
      <c r="GM320"/>
    </row>
    <row r="321" spans="1:195" s="7" customFormat="1">
      <c r="A321" s="1"/>
      <c r="B321">
        <v>0.7377363625112956</v>
      </c>
      <c r="C321">
        <v>6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20.833333333333332</v>
      </c>
      <c r="L321">
        <v>20.833333333333332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271.84639148913197</v>
      </c>
      <c r="AO321">
        <v>69.449876570364552</v>
      </c>
      <c r="AP321">
        <v>545.3400350958899</v>
      </c>
      <c r="AQ321">
        <v>405.46459951954779</v>
      </c>
      <c r="AR321">
        <v>66.459947758587035</v>
      </c>
      <c r="AS321">
        <v>356.26252087312088</v>
      </c>
      <c r="AT321">
        <v>29.861804749383996</v>
      </c>
      <c r="AU321">
        <v>169.82960599718564</v>
      </c>
      <c r="AV321"/>
      <c r="AW321"/>
      <c r="FY321" s="211">
        <v>316</v>
      </c>
      <c r="FZ321">
        <v>73.999919508604933</v>
      </c>
      <c r="GA321">
        <v>88.7996984378685</v>
      </c>
      <c r="GB321">
        <v>40.995444978586633</v>
      </c>
      <c r="GC321">
        <v>27.928323930986778</v>
      </c>
      <c r="GD321">
        <v>22.150951570517947</v>
      </c>
      <c r="GE321">
        <v>35.465053106063422</v>
      </c>
      <c r="GF321">
        <v>16.723799023316207</v>
      </c>
      <c r="GG321">
        <v>7.942015123235838</v>
      </c>
      <c r="GH321">
        <v>24.448698221894709</v>
      </c>
      <c r="GI321">
        <v>42.563347605197009</v>
      </c>
      <c r="GJ321"/>
      <c r="GK321"/>
      <c r="GL321"/>
      <c r="GM321"/>
    </row>
    <row r="322" spans="1:195" s="7" customFormat="1">
      <c r="A322" s="1"/>
      <c r="B322">
        <v>0.21198998390730761</v>
      </c>
      <c r="C322">
        <v>9</v>
      </c>
      <c r="D322">
        <v>39987</v>
      </c>
      <c r="E322">
        <v>0</v>
      </c>
      <c r="F322">
        <v>0</v>
      </c>
      <c r="G322">
        <v>0</v>
      </c>
      <c r="H322">
        <v>70.112179487179489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227.84692225257703</v>
      </c>
      <c r="AO322">
        <v>63.275123154708218</v>
      </c>
      <c r="AP322">
        <v>461.91201234604034</v>
      </c>
      <c r="AQ322">
        <v>358.26041668957004</v>
      </c>
      <c r="AR322">
        <v>61.460697401472032</v>
      </c>
      <c r="AS322">
        <v>304.15979040326351</v>
      </c>
      <c r="AT322">
        <v>27.07402293229713</v>
      </c>
      <c r="AU322">
        <v>-13.470987719255646</v>
      </c>
      <c r="AV322"/>
      <c r="AW322"/>
      <c r="FY322" s="211">
        <v>317</v>
      </c>
      <c r="FZ322">
        <v>80.899577016042514</v>
      </c>
      <c r="GA322">
        <v>91.670215719744292</v>
      </c>
      <c r="GB322">
        <v>36.710466111325843</v>
      </c>
      <c r="GC322">
        <v>20.27174647447902</v>
      </c>
      <c r="GD322">
        <v>14.879224660014042</v>
      </c>
      <c r="GE322">
        <v>27.408781211716594</v>
      </c>
      <c r="GF322">
        <v>40.557491693040205</v>
      </c>
      <c r="GG322">
        <v>29.511837838218405</v>
      </c>
      <c r="GH322">
        <v>26.098183016640196</v>
      </c>
      <c r="GI322">
        <v>42.947649950484013</v>
      </c>
      <c r="GJ322"/>
      <c r="GK322"/>
      <c r="GL322"/>
      <c r="GM322"/>
    </row>
    <row r="323" spans="1:195" s="7" customFormat="1">
      <c r="A323" s="1"/>
      <c r="B323">
        <v>0.9764184792730477</v>
      </c>
      <c r="C323">
        <v>1</v>
      </c>
      <c r="D323">
        <v>39987</v>
      </c>
      <c r="E323">
        <v>0</v>
      </c>
      <c r="F323">
        <v>0</v>
      </c>
      <c r="G323">
        <v>0</v>
      </c>
      <c r="H323">
        <v>77.570921985815602</v>
      </c>
      <c r="I323">
        <v>77.570921985815602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241.01860301257071</v>
      </c>
      <c r="AO323">
        <v>73.041544508163028</v>
      </c>
      <c r="AP323">
        <v>563.84737915689016</v>
      </c>
      <c r="AQ323">
        <v>442.44095893552634</v>
      </c>
      <c r="AR323">
        <v>68.560229879097534</v>
      </c>
      <c r="AS323">
        <v>330.84542426713386</v>
      </c>
      <c r="AT323">
        <v>31.18740199909492</v>
      </c>
      <c r="AU323">
        <v>78.871188492007889</v>
      </c>
      <c r="AV323"/>
      <c r="AW323"/>
      <c r="FY323" s="211">
        <v>318</v>
      </c>
      <c r="FZ323">
        <v>31.016015536405085</v>
      </c>
      <c r="GA323">
        <v>44.125216799699331</v>
      </c>
      <c r="GB323">
        <v>39.981001616686761</v>
      </c>
      <c r="GC323">
        <v>24.874723241544935</v>
      </c>
      <c r="GD323">
        <v>11.475372557219325</v>
      </c>
      <c r="GE323">
        <v>14.360686644734198</v>
      </c>
      <c r="GF323">
        <v>33.468652116595841</v>
      </c>
      <c r="GG323">
        <v>25.556442652525124</v>
      </c>
      <c r="GH323">
        <v>28.243571208890376</v>
      </c>
      <c r="GI323">
        <v>33.15223349972684</v>
      </c>
      <c r="GJ323"/>
      <c r="GK323"/>
      <c r="GL323"/>
      <c r="GM323"/>
    </row>
    <row r="324" spans="1:195" s="7" customFormat="1">
      <c r="A324" s="1"/>
      <c r="B324">
        <v>0.8043798117162817</v>
      </c>
      <c r="C324">
        <v>2</v>
      </c>
      <c r="D324">
        <v>39987</v>
      </c>
      <c r="E324">
        <v>0</v>
      </c>
      <c r="F324">
        <v>0</v>
      </c>
      <c r="G324">
        <v>57.779947916666664</v>
      </c>
      <c r="H324">
        <v>0</v>
      </c>
      <c r="I324">
        <v>0</v>
      </c>
      <c r="J324">
        <v>0</v>
      </c>
      <c r="K324">
        <v>10.416666666666666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160.27548368279534</v>
      </c>
      <c r="AO324">
        <v>44.907550784766372</v>
      </c>
      <c r="AP324">
        <v>376.21988590240159</v>
      </c>
      <c r="AQ324">
        <v>292.42176798777382</v>
      </c>
      <c r="AR324">
        <v>45.180532722415968</v>
      </c>
      <c r="AS324">
        <v>223.37120566978189</v>
      </c>
      <c r="AT324">
        <v>21.614411337085713</v>
      </c>
      <c r="AU324">
        <v>12.845424322020882</v>
      </c>
      <c r="AV324"/>
      <c r="AW324"/>
      <c r="FY324" s="211">
        <v>319</v>
      </c>
      <c r="FZ324">
        <v>39.6678652988385</v>
      </c>
      <c r="GA324">
        <v>45.372896881479967</v>
      </c>
      <c r="GB324">
        <v>39.778850255011619</v>
      </c>
      <c r="GC324">
        <v>19.993124725149684</v>
      </c>
      <c r="GD324">
        <v>13.208460254086498</v>
      </c>
      <c r="GE324">
        <v>26.412978195826966</v>
      </c>
      <c r="GF324">
        <v>56.0116806192704</v>
      </c>
      <c r="GG324">
        <v>38.063380167443924</v>
      </c>
      <c r="GH324">
        <v>24.12599786262907</v>
      </c>
      <c r="GI324">
        <v>39.257773703039369</v>
      </c>
      <c r="GJ324"/>
      <c r="GK324"/>
      <c r="GL324"/>
      <c r="GM324"/>
    </row>
    <row r="325" spans="1:195" s="7" customFormat="1">
      <c r="A325" s="1"/>
      <c r="B325">
        <v>0.86968389977036065</v>
      </c>
      <c r="C325">
        <v>2</v>
      </c>
      <c r="D325">
        <v>39987</v>
      </c>
      <c r="E325">
        <v>0</v>
      </c>
      <c r="F325">
        <v>0</v>
      </c>
      <c r="G325">
        <v>57.779947916666664</v>
      </c>
      <c r="H325">
        <v>0</v>
      </c>
      <c r="I325">
        <v>0</v>
      </c>
      <c r="J325">
        <v>0</v>
      </c>
      <c r="K325">
        <v>10.416666666666666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193.12344640565658</v>
      </c>
      <c r="AO325">
        <v>60.805001640265552</v>
      </c>
      <c r="AP325">
        <v>462.43067544750011</v>
      </c>
      <c r="AQ325">
        <v>381.89290334962499</v>
      </c>
      <c r="AR325">
        <v>60.260644420325193</v>
      </c>
      <c r="AS325">
        <v>298.70985700769103</v>
      </c>
      <c r="AT325">
        <v>31.167299628032293</v>
      </c>
      <c r="AU325">
        <v>16.480275302554475</v>
      </c>
      <c r="AV325"/>
      <c r="AW325"/>
      <c r="FY325" s="211">
        <v>320</v>
      </c>
      <c r="FZ325">
        <v>75.117925740422407</v>
      </c>
      <c r="GA325">
        <v>78.56223594563086</v>
      </c>
      <c r="GB325">
        <v>39.84811084737165</v>
      </c>
      <c r="GC325">
        <v>24.169692686563447</v>
      </c>
      <c r="GD325">
        <v>14.788551706083567</v>
      </c>
      <c r="GE325">
        <v>25.15656315151395</v>
      </c>
      <c r="GF325">
        <v>61.17488993253874</v>
      </c>
      <c r="GG325">
        <v>44.891921425871509</v>
      </c>
      <c r="GH325">
        <v>18.666153756863508</v>
      </c>
      <c r="GI325">
        <v>45.623038600525021</v>
      </c>
      <c r="GJ325"/>
      <c r="GK325"/>
      <c r="GL325"/>
      <c r="GM325"/>
    </row>
    <row r="326" spans="1:195" s="7" customFormat="1">
      <c r="A326" s="1"/>
      <c r="B326">
        <v>0.71963105570593799</v>
      </c>
      <c r="C326">
        <v>6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20.833333333333332</v>
      </c>
      <c r="L326">
        <v>20.833333333333332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187.359206237953</v>
      </c>
      <c r="AO326">
        <v>73.535518014859761</v>
      </c>
      <c r="AP326">
        <v>600.15744589448866</v>
      </c>
      <c r="AQ326">
        <v>489.82180972573531</v>
      </c>
      <c r="AR326">
        <v>70.931407790400868</v>
      </c>
      <c r="AS326">
        <v>330.63818075448944</v>
      </c>
      <c r="AT326">
        <v>37.091548275643454</v>
      </c>
      <c r="AU326">
        <v>-9.6153108468293524</v>
      </c>
      <c r="AV326"/>
      <c r="AW326"/>
      <c r="FY326" s="211">
        <v>321</v>
      </c>
      <c r="FZ326">
        <v>96.174987517342032</v>
      </c>
      <c r="GA326">
        <v>100.27651621323189</v>
      </c>
      <c r="GB326">
        <v>52.348037627500929</v>
      </c>
      <c r="GC326">
        <v>29.374373296240304</v>
      </c>
      <c r="GD326">
        <v>20.999819809691747</v>
      </c>
      <c r="GE326">
        <v>34.113881966639582</v>
      </c>
      <c r="GF326">
        <v>22.304637951611291</v>
      </c>
      <c r="GG326">
        <v>9.6671789211491532</v>
      </c>
      <c r="GH326">
        <v>14.636723655356125</v>
      </c>
      <c r="GI326">
        <v>47.540703980251152</v>
      </c>
      <c r="GJ326"/>
      <c r="GK326"/>
      <c r="GL326"/>
      <c r="GM326"/>
    </row>
    <row r="327" spans="1:195" s="7" customFormat="1">
      <c r="A327" s="1"/>
      <c r="B327">
        <v>0.75266079422849597</v>
      </c>
      <c r="C327">
        <v>7</v>
      </c>
      <c r="D327">
        <v>39987</v>
      </c>
      <c r="E327">
        <v>0</v>
      </c>
      <c r="F327">
        <v>0</v>
      </c>
      <c r="G327">
        <v>0</v>
      </c>
      <c r="H327">
        <v>428.92156862745094</v>
      </c>
      <c r="I327">
        <v>0</v>
      </c>
      <c r="J327">
        <v>142.97385620915031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231.44128311751643</v>
      </c>
      <c r="AO327">
        <v>78.536793627066373</v>
      </c>
      <c r="AP327">
        <v>694.91618310999456</v>
      </c>
      <c r="AQ327">
        <v>562.97156885643176</v>
      </c>
      <c r="AR327">
        <v>73.803396568635563</v>
      </c>
      <c r="AS327">
        <v>353.99989734808145</v>
      </c>
      <c r="AT327">
        <v>40.259167249308192</v>
      </c>
      <c r="AU327">
        <v>-13.020298787706043</v>
      </c>
      <c r="AV327"/>
      <c r="AW327"/>
      <c r="FY327" s="211">
        <v>322</v>
      </c>
      <c r="FZ327">
        <v>20.27673119819892</v>
      </c>
      <c r="GA327">
        <v>31.300062301054457</v>
      </c>
      <c r="GB327">
        <v>33.155588570450583</v>
      </c>
      <c r="GC327">
        <v>23.107565410157491</v>
      </c>
      <c r="GD327">
        <v>18.99937199402591</v>
      </c>
      <c r="GE327">
        <v>27.324562283410593</v>
      </c>
      <c r="GF327">
        <v>14.029115592394286</v>
      </c>
      <c r="GG327">
        <v>12.130516566239917</v>
      </c>
      <c r="GH327">
        <v>26.339547115998215</v>
      </c>
      <c r="GI327">
        <v>30.523867785844995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179.65573106053836</v>
      </c>
      <c r="AO328">
        <v>55.042661667761493</v>
      </c>
      <c r="AP328">
        <v>437.25421188880119</v>
      </c>
      <c r="AQ328">
        <v>328.88612514460004</v>
      </c>
      <c r="AR328">
        <v>53.257569805524497</v>
      </c>
      <c r="AS328">
        <v>250.30467840767616</v>
      </c>
      <c r="AT328">
        <v>25.45611614852794</v>
      </c>
      <c r="AU328">
        <v>-4.0210858645034691</v>
      </c>
      <c r="AV328"/>
      <c r="AW328"/>
      <c r="FY328" s="211">
        <v>323</v>
      </c>
      <c r="FZ328">
        <v>76.247312591431111</v>
      </c>
      <c r="GA328">
        <v>95.956345677763437</v>
      </c>
      <c r="GB328">
        <v>44.202779860571496</v>
      </c>
      <c r="GC328">
        <v>24.62493647153034</v>
      </c>
      <c r="GD328">
        <v>19.643994726100242</v>
      </c>
      <c r="GE328">
        <v>33.628717629161891</v>
      </c>
      <c r="GF328">
        <v>45.731170386521612</v>
      </c>
      <c r="GG328">
        <v>33.853654377193514</v>
      </c>
      <c r="GH328">
        <v>21.9189305977023</v>
      </c>
      <c r="GI328">
        <v>47.687060827376826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202.0229341241257</v>
      </c>
      <c r="AO329">
        <v>64.854962411843985</v>
      </c>
      <c r="AP329">
        <v>511.24258830614997</v>
      </c>
      <c r="AQ329">
        <v>386.28815209291088</v>
      </c>
      <c r="AR329">
        <v>63.920013753438553</v>
      </c>
      <c r="AS329">
        <v>284.02000034408883</v>
      </c>
      <c r="AT329">
        <v>31.496089614155192</v>
      </c>
      <c r="AU329">
        <v>38.027565915481603</v>
      </c>
      <c r="AV329"/>
      <c r="AW329"/>
      <c r="FY329" s="211">
        <v>324</v>
      </c>
      <c r="FZ329">
        <v>64.246089233784488</v>
      </c>
      <c r="GA329">
        <v>76.983538609250061</v>
      </c>
      <c r="GB329">
        <v>45.170324680732406</v>
      </c>
      <c r="GC329">
        <v>26.160097489989404</v>
      </c>
      <c r="GD329">
        <v>15.043951753243428</v>
      </c>
      <c r="GE329">
        <v>35.446424071194841</v>
      </c>
      <c r="GF329">
        <v>52.440078935908801</v>
      </c>
      <c r="GG329">
        <v>25.637543487955853</v>
      </c>
      <c r="GH329">
        <v>17.298059786545526</v>
      </c>
      <c r="GI329">
        <v>43.70070923870955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208.00220121234389</v>
      </c>
      <c r="AO330">
        <v>74.176115393645603</v>
      </c>
      <c r="AP330">
        <v>590.74347375217587</v>
      </c>
      <c r="AQ330">
        <v>460.71451213080474</v>
      </c>
      <c r="AR330">
        <v>71.718396701050011</v>
      </c>
      <c r="AS330">
        <v>347.55330065827843</v>
      </c>
      <c r="AT330">
        <v>35.640763620718481</v>
      </c>
      <c r="AU330">
        <v>47.195394889447002</v>
      </c>
      <c r="AV330"/>
      <c r="AW330"/>
      <c r="FY330" s="211">
        <v>325</v>
      </c>
      <c r="FZ330">
        <v>110.53413196418411</v>
      </c>
      <c r="GA330">
        <v>123.30552110911182</v>
      </c>
      <c r="GB330">
        <v>29.334489922162327</v>
      </c>
      <c r="GC330">
        <v>19.154781108928709</v>
      </c>
      <c r="GD330">
        <v>17.316835745070971</v>
      </c>
      <c r="GE330">
        <v>32.093399326621906</v>
      </c>
      <c r="GF330">
        <v>41.166765011527218</v>
      </c>
      <c r="GG330">
        <v>27.177202732067265</v>
      </c>
      <c r="GH330">
        <v>28.688272923237534</v>
      </c>
      <c r="GI330">
        <v>47.570234580274978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178.05008841645002</v>
      </c>
      <c r="AO331">
        <v>51.470997214656869</v>
      </c>
      <c r="AP331">
        <v>399.02806789557422</v>
      </c>
      <c r="AQ331">
        <v>304.58592589792994</v>
      </c>
      <c r="AR331">
        <v>50.907904702158795</v>
      </c>
      <c r="AS331">
        <v>256.3501511302934</v>
      </c>
      <c r="AT331">
        <v>24.524467846866987</v>
      </c>
      <c r="AU331">
        <v>6.5261763570092199</v>
      </c>
      <c r="AV331"/>
      <c r="AW331"/>
      <c r="FY331" s="211">
        <v>326</v>
      </c>
      <c r="FZ331">
        <v>157.34597805122135</v>
      </c>
      <c r="GA331">
        <v>190.70113729533927</v>
      </c>
      <c r="GB331">
        <v>40.467417781179925</v>
      </c>
      <c r="GC331">
        <v>22.228947094490255</v>
      </c>
      <c r="GD331">
        <v>16.287138489025374</v>
      </c>
      <c r="GE331">
        <v>26.556317165746179</v>
      </c>
      <c r="GF331">
        <v>31.051161923138817</v>
      </c>
      <c r="GG331">
        <v>20.732627596078942</v>
      </c>
      <c r="GH331">
        <v>27.882371337355529</v>
      </c>
      <c r="GI331">
        <v>54.344591836112969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194.29909017741502</v>
      </c>
      <c r="AO332">
        <v>63.259374563655093</v>
      </c>
      <c r="AP332">
        <v>449.82455001961154</v>
      </c>
      <c r="AQ332">
        <v>381.01725150627192</v>
      </c>
      <c r="AR332">
        <v>61.03902431892049</v>
      </c>
      <c r="AS332">
        <v>284.91499990592416</v>
      </c>
      <c r="AT332">
        <v>30.180041616052076</v>
      </c>
      <c r="AU332">
        <v>-11.047170773814468</v>
      </c>
      <c r="AV332"/>
      <c r="AW332"/>
      <c r="FY332" s="211">
        <v>327</v>
      </c>
      <c r="FZ332">
        <v>108.07608935454522</v>
      </c>
      <c r="GA332">
        <v>139.25495727239988</v>
      </c>
      <c r="GB332">
        <v>47.712243544228443</v>
      </c>
      <c r="GC332">
        <v>23.089506347349303</v>
      </c>
      <c r="GD332">
        <v>19.947689359963711</v>
      </c>
      <c r="GE332">
        <v>39.743812132299375</v>
      </c>
      <c r="GF332">
        <v>66.127132874181981</v>
      </c>
      <c r="GG332">
        <v>50.692974939636493</v>
      </c>
      <c r="GH332">
        <v>27.160596575979579</v>
      </c>
      <c r="GI332">
        <v>58.280474067381959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171.85007050621863</v>
      </c>
      <c r="AO333">
        <v>62.990291409648705</v>
      </c>
      <c r="AP333">
        <v>511.67935165992117</v>
      </c>
      <c r="AQ333">
        <v>410.95517369170511</v>
      </c>
      <c r="AR333">
        <v>61.81820982827827</v>
      </c>
      <c r="AS333">
        <v>292.72043491299274</v>
      </c>
      <c r="AT333">
        <v>31.748505830992059</v>
      </c>
      <c r="AU333">
        <v>-1.6387810699237377</v>
      </c>
      <c r="AV333"/>
      <c r="AW333"/>
      <c r="FY333" s="211">
        <v>328</v>
      </c>
      <c r="FZ333">
        <v>76.023722193244097</v>
      </c>
      <c r="GA333">
        <v>100.10839244886431</v>
      </c>
      <c r="GB333">
        <v>41.677215430187587</v>
      </c>
      <c r="GC333">
        <v>20.787465705570739</v>
      </c>
      <c r="GD333">
        <v>14.301606555314779</v>
      </c>
      <c r="GE333">
        <v>21.584859952867212</v>
      </c>
      <c r="GF333">
        <v>22.473261849712525</v>
      </c>
      <c r="GG333">
        <v>19.557952475887582</v>
      </c>
      <c r="GH333">
        <v>25.041279568426319</v>
      </c>
      <c r="GI333">
        <v>39.385346515577119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169.18822049526531</v>
      </c>
      <c r="AO334">
        <v>48.079278634079778</v>
      </c>
      <c r="AP334">
        <v>369.85442372572965</v>
      </c>
      <c r="AQ334">
        <v>286.25391587402783</v>
      </c>
      <c r="AR334">
        <v>47.418579663921292</v>
      </c>
      <c r="AS334">
        <v>224.77660828880366</v>
      </c>
      <c r="AT334">
        <v>22.203537311406588</v>
      </c>
      <c r="AU334">
        <v>-4.2425600456405839</v>
      </c>
      <c r="AV334"/>
      <c r="AW334"/>
      <c r="FY334" s="211">
        <v>329</v>
      </c>
      <c r="FZ334">
        <v>82.332193330143014</v>
      </c>
      <c r="GA334">
        <v>92.4622527110985</v>
      </c>
      <c r="GB334">
        <v>54.548840498320175</v>
      </c>
      <c r="GC334">
        <v>26.996798564833107</v>
      </c>
      <c r="GD334">
        <v>14.796173472309025</v>
      </c>
      <c r="GE334">
        <v>26.670597472963429</v>
      </c>
      <c r="GF334">
        <v>83.126777681870905</v>
      </c>
      <c r="GG334">
        <v>67.03248076937048</v>
      </c>
      <c r="GH334">
        <v>24.2450472528507</v>
      </c>
      <c r="GI334">
        <v>55.802768621084653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181.43787147019034</v>
      </c>
      <c r="AO335">
        <v>56.219593010952885</v>
      </c>
      <c r="AP335">
        <v>440.70492627901962</v>
      </c>
      <c r="AQ335">
        <v>341.89300796277604</v>
      </c>
      <c r="AR335">
        <v>55.706551122502233</v>
      </c>
      <c r="AS335">
        <v>265.14504149325438</v>
      </c>
      <c r="AT335">
        <v>28.286733116459526</v>
      </c>
      <c r="AU335">
        <v>11.145113988725477</v>
      </c>
      <c r="AV335"/>
      <c r="AW335"/>
      <c r="FY335" s="211">
        <v>330</v>
      </c>
      <c r="FZ335">
        <v>73.236683742630646</v>
      </c>
      <c r="GA335">
        <v>82.481332551686421</v>
      </c>
      <c r="GB335">
        <v>42.42648846911689</v>
      </c>
      <c r="GC335">
        <v>25.43488805672883</v>
      </c>
      <c r="GD335">
        <v>15.867934817980226</v>
      </c>
      <c r="GE335">
        <v>24.037584253435544</v>
      </c>
      <c r="GF335">
        <v>43.478025763880602</v>
      </c>
      <c r="GG335">
        <v>30.697775201855453</v>
      </c>
      <c r="GH335">
        <v>17.129745863674081</v>
      </c>
      <c r="GI335">
        <v>43.155744137934128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210.62667656198877</v>
      </c>
      <c r="AO336">
        <v>67.077344026213638</v>
      </c>
      <c r="AP336">
        <v>542.84442895019686</v>
      </c>
      <c r="AQ336">
        <v>427.99908379338461</v>
      </c>
      <c r="AR336">
        <v>65.59055881510109</v>
      </c>
      <c r="AS336">
        <v>302.07143508603684</v>
      </c>
      <c r="AT336">
        <v>33.42034258981807</v>
      </c>
      <c r="AU336">
        <v>-15.559924700364867</v>
      </c>
      <c r="AV336"/>
      <c r="AW336"/>
      <c r="FY336" s="211">
        <v>331</v>
      </c>
      <c r="FZ336">
        <v>79.443049146471239</v>
      </c>
      <c r="GA336">
        <v>100.43647897223272</v>
      </c>
      <c r="GB336">
        <v>53.226761156864555</v>
      </c>
      <c r="GC336">
        <v>30.547450367246061</v>
      </c>
      <c r="GD336">
        <v>16.562481107956934</v>
      </c>
      <c r="GE336">
        <v>19.466721555634848</v>
      </c>
      <c r="GF336">
        <v>30.606016996200559</v>
      </c>
      <c r="GG336">
        <v>23.537847262680661</v>
      </c>
      <c r="GH336">
        <v>16.016083940602961</v>
      </c>
      <c r="GI336">
        <v>44.563719529136606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242.96069463781373</v>
      </c>
      <c r="AO337">
        <v>69.124774776535091</v>
      </c>
      <c r="AP337">
        <v>515.77438726557978</v>
      </c>
      <c r="AQ337">
        <v>427.43686093901431</v>
      </c>
      <c r="AR337">
        <v>68.313542465612613</v>
      </c>
      <c r="AS337">
        <v>321.69309098869979</v>
      </c>
      <c r="AT337">
        <v>32.238378760058957</v>
      </c>
      <c r="AU337">
        <v>-1.9801757843006129</v>
      </c>
      <c r="AV337"/>
      <c r="AW337"/>
      <c r="FY337" s="211">
        <v>332</v>
      </c>
      <c r="FZ337">
        <v>87.086951804493296</v>
      </c>
      <c r="GA337">
        <v>97.811541955525144</v>
      </c>
      <c r="GB337">
        <v>47.577643043498377</v>
      </c>
      <c r="GC337">
        <v>20.128761958553451</v>
      </c>
      <c r="GD337">
        <v>17.228140081056367</v>
      </c>
      <c r="GE337">
        <v>33.602828365977558</v>
      </c>
      <c r="GF337">
        <v>41.482053023665777</v>
      </c>
      <c r="GG337">
        <v>32.252944920800601</v>
      </c>
      <c r="GH337">
        <v>27.290400770670736</v>
      </c>
      <c r="GI337">
        <v>48.609723147813554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163.93855293594203</v>
      </c>
      <c r="AO338">
        <v>44.976662645790782</v>
      </c>
      <c r="AP338">
        <v>284.92767168603575</v>
      </c>
      <c r="AQ338">
        <v>237.18692881777537</v>
      </c>
      <c r="AR338">
        <v>43.725680342368747</v>
      </c>
      <c r="AS338">
        <v>209.43466963352068</v>
      </c>
      <c r="AT338">
        <v>20.196081275026422</v>
      </c>
      <c r="AU338">
        <v>1.4820603194194426</v>
      </c>
      <c r="AV338"/>
      <c r="AW338"/>
      <c r="FY338" s="211">
        <v>333</v>
      </c>
      <c r="FZ338">
        <v>26.134773810138654</v>
      </c>
      <c r="GA338">
        <v>45.019867352122127</v>
      </c>
      <c r="GB338">
        <v>51.667319155237166</v>
      </c>
      <c r="GC338">
        <v>28.007689620362907</v>
      </c>
      <c r="GD338">
        <v>12.865943120505085</v>
      </c>
      <c r="GE338">
        <v>20.680137803245195</v>
      </c>
      <c r="GF338">
        <v>62.883043229578881</v>
      </c>
      <c r="GG338">
        <v>54.262730017566426</v>
      </c>
      <c r="GH338">
        <v>21.78970132760448</v>
      </c>
      <c r="GI338">
        <v>41.402958006210355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225.22742814193799</v>
      </c>
      <c r="AO339">
        <v>70.980668949278638</v>
      </c>
      <c r="AP339">
        <v>553.17083585691978</v>
      </c>
      <c r="AQ339">
        <v>443.49490314535274</v>
      </c>
      <c r="AR339">
        <v>68.747336601752266</v>
      </c>
      <c r="AS339">
        <v>355.08817147354989</v>
      </c>
      <c r="AT339">
        <v>34.771999735947347</v>
      </c>
      <c r="AU339">
        <v>-5.9934160256720688</v>
      </c>
      <c r="AV339"/>
      <c r="AW339"/>
      <c r="FY339" s="211">
        <v>334</v>
      </c>
      <c r="FZ339">
        <v>24.545636438210654</v>
      </c>
      <c r="GA339">
        <v>53.789258407594517</v>
      </c>
      <c r="GB339">
        <v>37.724807486293727</v>
      </c>
      <c r="GC339">
        <v>21.18988097376922</v>
      </c>
      <c r="GD339">
        <v>13.857754046342871</v>
      </c>
      <c r="GE339">
        <v>20.639972242434435</v>
      </c>
      <c r="GF339">
        <v>55.402168628405747</v>
      </c>
      <c r="GG339">
        <v>36.496385511459259</v>
      </c>
      <c r="GH339">
        <v>20.350283448444785</v>
      </c>
      <c r="GI339">
        <v>36.37632565146383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209.0129807017135</v>
      </c>
      <c r="AO340">
        <v>65.394019072510417</v>
      </c>
      <c r="AP340">
        <v>504.48690583773879</v>
      </c>
      <c r="AQ340">
        <v>402.12681728731434</v>
      </c>
      <c r="AR340">
        <v>62.068760294621775</v>
      </c>
      <c r="AS340">
        <v>310.43116875109922</v>
      </c>
      <c r="AT340">
        <v>30.03746759215738</v>
      </c>
      <c r="AU340">
        <v>-6.0904934805907835</v>
      </c>
      <c r="AV340"/>
      <c r="AW340"/>
      <c r="FY340" s="211">
        <v>335</v>
      </c>
      <c r="FZ340">
        <v>143.28355830057885</v>
      </c>
      <c r="GA340">
        <v>189.87162465316385</v>
      </c>
      <c r="GB340">
        <v>63.979077666428154</v>
      </c>
      <c r="GC340">
        <v>29.53479451105127</v>
      </c>
      <c r="GD340">
        <v>14.252513462885405</v>
      </c>
      <c r="GE340">
        <v>24.445829887569111</v>
      </c>
      <c r="GF340">
        <v>22.636055616989207</v>
      </c>
      <c r="GG340">
        <v>19.299648971711935</v>
      </c>
      <c r="GH340">
        <v>22.055325192940309</v>
      </c>
      <c r="GI340">
        <v>54.425762153619452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195.80215769264984</v>
      </c>
      <c r="AO341">
        <v>70.545432067532573</v>
      </c>
      <c r="AP341">
        <v>582.1185070469428</v>
      </c>
      <c r="AQ341">
        <v>476.34163442318692</v>
      </c>
      <c r="AR341">
        <v>68.496109893001844</v>
      </c>
      <c r="AS341">
        <v>336.56567035907807</v>
      </c>
      <c r="AT341">
        <v>35.681034041707143</v>
      </c>
      <c r="AU341">
        <v>3.5370294819136419</v>
      </c>
      <c r="AV341"/>
      <c r="AW341"/>
      <c r="FY341" s="211">
        <v>336</v>
      </c>
      <c r="FZ341">
        <v>113.82183294164429</v>
      </c>
      <c r="GA341">
        <v>154.85356890485608</v>
      </c>
      <c r="GB341">
        <v>58.829283623996893</v>
      </c>
      <c r="GC341">
        <v>28.572749014497852</v>
      </c>
      <c r="GD341">
        <v>10.810853666323725</v>
      </c>
      <c r="GE341">
        <v>18.231418174429599</v>
      </c>
      <c r="GF341">
        <v>39.906298540828345</v>
      </c>
      <c r="GG341">
        <v>25.049355024111183</v>
      </c>
      <c r="GH341">
        <v>22.013790408224125</v>
      </c>
      <c r="GI341">
        <v>50.056215993229515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216.34775629395546</v>
      </c>
      <c r="AO342">
        <v>81.148040899032821</v>
      </c>
      <c r="AP342">
        <v>721.99424773112764</v>
      </c>
      <c r="AQ342">
        <v>587.59768856968856</v>
      </c>
      <c r="AR342">
        <v>78.697203809309357</v>
      </c>
      <c r="AS342">
        <v>352.99810067907742</v>
      </c>
      <c r="AT342">
        <v>44.030151705669446</v>
      </c>
      <c r="AU342">
        <v>-23.817471774827048</v>
      </c>
      <c r="AV342"/>
      <c r="AW342"/>
      <c r="FY342" s="211">
        <v>337</v>
      </c>
      <c r="FZ342">
        <v>31.260899687473405</v>
      </c>
      <c r="GA342">
        <v>35.833843378392245</v>
      </c>
      <c r="GB342">
        <v>44.079914819500175</v>
      </c>
      <c r="GC342">
        <v>25.118499769097106</v>
      </c>
      <c r="GD342">
        <v>16.05252047358853</v>
      </c>
      <c r="GE342">
        <v>23.811994274796451</v>
      </c>
      <c r="GF342">
        <v>39.51923296747939</v>
      </c>
      <c r="GG342">
        <v>36.698962412721563</v>
      </c>
      <c r="GH342">
        <v>24.919199373425002</v>
      </c>
      <c r="GI342">
        <v>38.053145997639831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262.65577646431024</v>
      </c>
      <c r="AO343">
        <v>87.789180660064318</v>
      </c>
      <c r="AP343">
        <v>729.236289301738</v>
      </c>
      <c r="AQ343">
        <v>580.08547646796592</v>
      </c>
      <c r="AR343">
        <v>84.174282556298579</v>
      </c>
      <c r="AS343">
        <v>373.83375129330528</v>
      </c>
      <c r="AT343">
        <v>42.693271914499576</v>
      </c>
      <c r="AU343">
        <v>4.2425093583780367</v>
      </c>
      <c r="AV343"/>
      <c r="AW343"/>
      <c r="FY343" s="211">
        <v>338</v>
      </c>
      <c r="FZ343">
        <v>74.830725758540311</v>
      </c>
      <c r="GA343">
        <v>82.358213440292118</v>
      </c>
      <c r="GB343">
        <v>43.349694476986279</v>
      </c>
      <c r="GC343">
        <v>23.274743238847421</v>
      </c>
      <c r="GD343">
        <v>14.112222187398205</v>
      </c>
      <c r="GE343">
        <v>22.490644554630965</v>
      </c>
      <c r="GF343">
        <v>41.700627499587362</v>
      </c>
      <c r="GG343">
        <v>39.250337788265853</v>
      </c>
      <c r="GH343">
        <v>31.728880263502148</v>
      </c>
      <c r="GI343">
        <v>44.350442417345889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164.06471709951148</v>
      </c>
      <c r="AO344">
        <v>57.932561247029298</v>
      </c>
      <c r="AP344">
        <v>474.44264333744661</v>
      </c>
      <c r="AQ344">
        <v>380.94110269565226</v>
      </c>
      <c r="AR344">
        <v>56.892284453279856</v>
      </c>
      <c r="AS344">
        <v>263.94713519062543</v>
      </c>
      <c r="AT344">
        <v>29.557184513561566</v>
      </c>
      <c r="AU344">
        <v>-9.7406566603288489</v>
      </c>
      <c r="AV344"/>
      <c r="AW344"/>
      <c r="FY344" s="211">
        <v>339</v>
      </c>
      <c r="FZ344">
        <v>86.365543606512517</v>
      </c>
      <c r="GA344">
        <v>99.988050532195942</v>
      </c>
      <c r="GB344">
        <v>55.362936740817176</v>
      </c>
      <c r="GC344">
        <v>31.151846201789688</v>
      </c>
      <c r="GD344">
        <v>14.83312488485215</v>
      </c>
      <c r="GE344">
        <v>24.363248804443675</v>
      </c>
      <c r="GF344">
        <v>43.884218333337905</v>
      </c>
      <c r="GG344">
        <v>27.368548049464842</v>
      </c>
      <c r="GH344">
        <v>18.215189980473873</v>
      </c>
      <c r="GI344">
        <v>47.987831694585374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267.40933004010174</v>
      </c>
      <c r="AO345">
        <v>82.169683099057664</v>
      </c>
      <c r="AP345">
        <v>689.31379738226201</v>
      </c>
      <c r="AQ345">
        <v>528.01393037484399</v>
      </c>
      <c r="AR345">
        <v>80.531511459138386</v>
      </c>
      <c r="AS345">
        <v>401.71646879959223</v>
      </c>
      <c r="AT345">
        <v>38.996511305558315</v>
      </c>
      <c r="AU345">
        <v>16.255534215311734</v>
      </c>
      <c r="AV345"/>
      <c r="AW345"/>
      <c r="FY345" s="211">
        <v>340</v>
      </c>
      <c r="FZ345">
        <v>63.148661632992365</v>
      </c>
      <c r="GA345">
        <v>83.64308589091614</v>
      </c>
      <c r="GB345">
        <v>29.075667703516931</v>
      </c>
      <c r="GC345">
        <v>19.517831301759429</v>
      </c>
      <c r="GD345">
        <v>15.814675087170182</v>
      </c>
      <c r="GE345">
        <v>24.37131623121898</v>
      </c>
      <c r="GF345">
        <v>61.874256719091569</v>
      </c>
      <c r="GG345">
        <v>54.87458232460537</v>
      </c>
      <c r="GH345">
        <v>20.163428619325895</v>
      </c>
      <c r="GI345">
        <v>42.448560772390579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211.71170501456717</v>
      </c>
      <c r="AO346">
        <v>63.629882222559615</v>
      </c>
      <c r="AP346">
        <v>500.29476783723197</v>
      </c>
      <c r="AQ346">
        <v>397.94620285892285</v>
      </c>
      <c r="AR346">
        <v>62.117178225537479</v>
      </c>
      <c r="AS346">
        <v>299.99536581624619</v>
      </c>
      <c r="AT346">
        <v>29.282510549966499</v>
      </c>
      <c r="AU346">
        <v>10.214161629100559</v>
      </c>
      <c r="AV346"/>
      <c r="AW346"/>
      <c r="FY346" s="211">
        <v>341</v>
      </c>
      <c r="FZ346">
        <v>71.031771238896269</v>
      </c>
      <c r="GA346">
        <v>94.849864229913393</v>
      </c>
      <c r="GB346">
        <v>60.909859045981328</v>
      </c>
      <c r="GC346">
        <v>32.196478813121544</v>
      </c>
      <c r="GD346">
        <v>16.408101655241357</v>
      </c>
      <c r="GE346">
        <v>27.875115448940164</v>
      </c>
      <c r="GF346">
        <v>71.456177446320027</v>
      </c>
      <c r="GG346">
        <v>57.584011208345665</v>
      </c>
      <c r="GH346">
        <v>24.708495676439263</v>
      </c>
      <c r="GI346">
        <v>54.832531342997633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208.15079408605766</v>
      </c>
      <c r="AO347">
        <v>66.248716329928101</v>
      </c>
      <c r="AP347">
        <v>523.45490149117791</v>
      </c>
      <c r="AQ347">
        <v>414.4066100350272</v>
      </c>
      <c r="AR347">
        <v>64.571394242394419</v>
      </c>
      <c r="AS347">
        <v>324.44028737508353</v>
      </c>
      <c r="AT347">
        <v>30.894157861978513</v>
      </c>
      <c r="AU347">
        <v>-65.881950852034294</v>
      </c>
      <c r="AV347"/>
      <c r="AW347"/>
      <c r="FY347" s="211">
        <v>342</v>
      </c>
      <c r="FZ347">
        <v>100.40566012184854</v>
      </c>
      <c r="GA347">
        <v>135.83389493278491</v>
      </c>
      <c r="GB347">
        <v>55.295609431142168</v>
      </c>
      <c r="GC347">
        <v>30.719855039872677</v>
      </c>
      <c r="GD347">
        <v>12.576072333229034</v>
      </c>
      <c r="GE347">
        <v>13.818054263089923</v>
      </c>
      <c r="GF347">
        <v>30.160212444117931</v>
      </c>
      <c r="GG347">
        <v>21.868653842128808</v>
      </c>
      <c r="GH347">
        <v>17.525272243682537</v>
      </c>
      <c r="GI347">
        <v>45.578299423007302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233.32545632137803</v>
      </c>
      <c r="AO348">
        <v>70.098198950648566</v>
      </c>
      <c r="AP348">
        <v>568.54379041971515</v>
      </c>
      <c r="AQ348">
        <v>453.07098907205477</v>
      </c>
      <c r="AR348">
        <v>70.181147628338707</v>
      </c>
      <c r="AS348">
        <v>337.55248758480138</v>
      </c>
      <c r="AT348">
        <v>34.328033251811384</v>
      </c>
      <c r="AU348">
        <v>23.310893501288035</v>
      </c>
      <c r="AV348"/>
      <c r="AW348"/>
      <c r="FY348" s="211">
        <v>343</v>
      </c>
      <c r="FZ348">
        <v>18.414214044966798</v>
      </c>
      <c r="GA348">
        <v>30.344176405876205</v>
      </c>
      <c r="GB348">
        <v>50.429074602227651</v>
      </c>
      <c r="GC348">
        <v>32.929399151287377</v>
      </c>
      <c r="GD348">
        <v>14.247284907314649</v>
      </c>
      <c r="GE348">
        <v>20.87307685691939</v>
      </c>
      <c r="GF348">
        <v>51.327531499003442</v>
      </c>
      <c r="GG348">
        <v>35.586601671999503</v>
      </c>
      <c r="GH348">
        <v>24.028951783364366</v>
      </c>
      <c r="GI348">
        <v>38.80856146977154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237.0876267258584</v>
      </c>
      <c r="AO349">
        <v>62.66151938558103</v>
      </c>
      <c r="AP349">
        <v>489.2513934373294</v>
      </c>
      <c r="AQ349">
        <v>364.71416344257125</v>
      </c>
      <c r="AR349">
        <v>59.75503930160621</v>
      </c>
      <c r="AS349">
        <v>303.82559009427246</v>
      </c>
      <c r="AT349">
        <v>26.029323987310651</v>
      </c>
      <c r="AU349">
        <v>53.984907224428412</v>
      </c>
      <c r="AV349"/>
      <c r="AW349"/>
      <c r="FY349" s="211">
        <v>344</v>
      </c>
      <c r="FZ349">
        <v>35.091898236929808</v>
      </c>
      <c r="GA349">
        <v>52.633995701676149</v>
      </c>
      <c r="GB349">
        <v>46.476041458747247</v>
      </c>
      <c r="GC349">
        <v>22.853510207778378</v>
      </c>
      <c r="GD349">
        <v>14.083791243196604</v>
      </c>
      <c r="GE349">
        <v>27.468870042304708</v>
      </c>
      <c r="GF349">
        <v>37.590998485032436</v>
      </c>
      <c r="GG349">
        <v>23.246431006113156</v>
      </c>
      <c r="GH349">
        <v>19.97075144251076</v>
      </c>
      <c r="GI349">
        <v>36.642502014021218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181.9094029115648</v>
      </c>
      <c r="AO350">
        <v>53.560166471632144</v>
      </c>
      <c r="AP350">
        <v>418.68398321447785</v>
      </c>
      <c r="AQ350">
        <v>320.372472834419</v>
      </c>
      <c r="AR350">
        <v>51.869780821130391</v>
      </c>
      <c r="AS350">
        <v>256.2034925682326</v>
      </c>
      <c r="AT350">
        <v>24.590021995713816</v>
      </c>
      <c r="AU350">
        <v>-0.59802065884671762</v>
      </c>
      <c r="AV350"/>
      <c r="AW350"/>
      <c r="FY350" s="211">
        <v>345</v>
      </c>
      <c r="FZ350">
        <v>78.456570174003815</v>
      </c>
      <c r="GA350">
        <v>96.980783233571103</v>
      </c>
      <c r="GB350">
        <v>37.835083926266655</v>
      </c>
      <c r="GC350">
        <v>23.989879570567254</v>
      </c>
      <c r="GD350">
        <v>18.365324450031135</v>
      </c>
      <c r="GE350">
        <v>30.313165977037443</v>
      </c>
      <c r="GF350">
        <v>69.020586086240073</v>
      </c>
      <c r="GG350">
        <v>49.188510739775154</v>
      </c>
      <c r="GH350">
        <v>18.123754031486364</v>
      </c>
      <c r="GI350">
        <v>49.566955470883272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229.83135955832989</v>
      </c>
      <c r="AO351">
        <v>83.055594413090859</v>
      </c>
      <c r="AP351">
        <v>731.94796837649608</v>
      </c>
      <c r="AQ351">
        <v>583.78419041693758</v>
      </c>
      <c r="AR351">
        <v>79.178703253012543</v>
      </c>
      <c r="AS351">
        <v>375.70955473015795</v>
      </c>
      <c r="AT351">
        <v>42.320043192053568</v>
      </c>
      <c r="AU351">
        <v>-26.9043197519436</v>
      </c>
      <c r="AV351"/>
      <c r="AW351"/>
      <c r="FY351" s="211">
        <v>346</v>
      </c>
      <c r="FZ351">
        <v>40.920069513057072</v>
      </c>
      <c r="GA351">
        <v>59.493047246613337</v>
      </c>
      <c r="GB351">
        <v>40.756487342214619</v>
      </c>
      <c r="GC351">
        <v>22.910990751063164</v>
      </c>
      <c r="GD351">
        <v>19.502032691055682</v>
      </c>
      <c r="GE351">
        <v>24.642957519284909</v>
      </c>
      <c r="GF351">
        <v>7.9605171814306894</v>
      </c>
      <c r="GG351">
        <v>7.7096982638067608</v>
      </c>
      <c r="GH351">
        <v>20.985774986464715</v>
      </c>
      <c r="GI351">
        <v>33.842445870998738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218.57925616207081</v>
      </c>
      <c r="AO352">
        <v>75.260898071655873</v>
      </c>
      <c r="AP352">
        <v>669.83349777636272</v>
      </c>
      <c r="AQ352">
        <v>522.1453662921416</v>
      </c>
      <c r="AR352">
        <v>72.18626246255117</v>
      </c>
      <c r="AS352">
        <v>321.5819922315593</v>
      </c>
      <c r="AT352">
        <v>36.001397617884969</v>
      </c>
      <c r="AU352">
        <v>-57.969987514079058</v>
      </c>
      <c r="AV352"/>
      <c r="AW352"/>
      <c r="FY352" s="211">
        <v>347</v>
      </c>
      <c r="FZ352">
        <v>133.65075737344964</v>
      </c>
      <c r="GA352">
        <v>145.36044003373235</v>
      </c>
      <c r="GB352">
        <v>45.322948939954244</v>
      </c>
      <c r="GC352">
        <v>24.691551876271713</v>
      </c>
      <c r="GD352">
        <v>13.421782298711795</v>
      </c>
      <c r="GE352">
        <v>20.32217149218619</v>
      </c>
      <c r="GF352">
        <v>32.360869096637309</v>
      </c>
      <c r="GG352">
        <v>26.983541122808521</v>
      </c>
      <c r="GH352">
        <v>32.26076155727894</v>
      </c>
      <c r="GI352">
        <v>51.32202584516812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205.3451158843308</v>
      </c>
      <c r="AO353">
        <v>56.017634780408478</v>
      </c>
      <c r="AP353">
        <v>408.99036075443041</v>
      </c>
      <c r="AQ353">
        <v>315.34821315411369</v>
      </c>
      <c r="AR353">
        <v>55.197944291673082</v>
      </c>
      <c r="AS353">
        <v>277.84694333405878</v>
      </c>
      <c r="AT353">
        <v>24.845949578131371</v>
      </c>
      <c r="AU353">
        <v>-5.1854210140171659</v>
      </c>
      <c r="AV353"/>
      <c r="AW353"/>
      <c r="FY353" s="211">
        <v>348</v>
      </c>
      <c r="FZ353">
        <v>112.05758973142588</v>
      </c>
      <c r="GA353">
        <v>139.83334994974723</v>
      </c>
      <c r="GB353">
        <v>49.726024448114941</v>
      </c>
      <c r="GC353">
        <v>24.317580667816035</v>
      </c>
      <c r="GD353">
        <v>11.618347165952841</v>
      </c>
      <c r="GE353">
        <v>22.498945401049742</v>
      </c>
      <c r="GF353">
        <v>47.35214376290989</v>
      </c>
      <c r="GG353">
        <v>43.857801204942596</v>
      </c>
      <c r="GH353">
        <v>35.443984213172904</v>
      </c>
      <c r="GI353">
        <v>51.756852860042002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207.86491680111652</v>
      </c>
      <c r="AO354">
        <v>64.937205246267212</v>
      </c>
      <c r="AP354">
        <v>532.93447006086274</v>
      </c>
      <c r="AQ354">
        <v>417.44653162539663</v>
      </c>
      <c r="AR354">
        <v>64.146358155599941</v>
      </c>
      <c r="AS354">
        <v>284.8142549127237</v>
      </c>
      <c r="AT354">
        <v>31.324780808923297</v>
      </c>
      <c r="AU354">
        <v>11.186940757439523</v>
      </c>
      <c r="AV354"/>
      <c r="AW354"/>
      <c r="FY354" s="211">
        <v>349</v>
      </c>
      <c r="FZ354">
        <v>82.093338192070036</v>
      </c>
      <c r="GA354">
        <v>88.442604459576202</v>
      </c>
      <c r="GB354">
        <v>36.457375251714247</v>
      </c>
      <c r="GC354">
        <v>24.38052011591072</v>
      </c>
      <c r="GD354">
        <v>15.021457075177779</v>
      </c>
      <c r="GE354">
        <v>24.190427417889673</v>
      </c>
      <c r="GF354">
        <v>48.451106987036802</v>
      </c>
      <c r="GG354">
        <v>34.238119236240571</v>
      </c>
      <c r="GH354">
        <v>29.007094104284683</v>
      </c>
      <c r="GI354">
        <v>45.493492569514025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219.26855004996673</v>
      </c>
      <c r="AO355">
        <v>71.205346778650096</v>
      </c>
      <c r="AP355">
        <v>575.27611619069251</v>
      </c>
      <c r="AQ355">
        <v>449.52053882847321</v>
      </c>
      <c r="AR355">
        <v>69.033356994926336</v>
      </c>
      <c r="AS355">
        <v>313.60912388214996</v>
      </c>
      <c r="AT355">
        <v>33.239566129906258</v>
      </c>
      <c r="AU355">
        <v>-6.1210303927711607</v>
      </c>
      <c r="AV355"/>
      <c r="AW355"/>
      <c r="FY355" s="211">
        <v>350</v>
      </c>
      <c r="FZ355">
        <v>34.582928426980075</v>
      </c>
      <c r="GA355">
        <v>47.904420664219352</v>
      </c>
      <c r="GB355">
        <v>43.852323112812613</v>
      </c>
      <c r="GC355">
        <v>27.20804972779197</v>
      </c>
      <c r="GD355">
        <v>16.899546380910344</v>
      </c>
      <c r="GE355">
        <v>27.981730556064626</v>
      </c>
      <c r="GF355">
        <v>34.288418458539134</v>
      </c>
      <c r="GG355">
        <v>20.072163107446578</v>
      </c>
      <c r="GH355">
        <v>27.515266798338061</v>
      </c>
      <c r="GI355">
        <v>38.060695317824383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206.2406715889511</v>
      </c>
      <c r="AO356">
        <v>65.127177930543297</v>
      </c>
      <c r="AP356">
        <v>528.18401037144952</v>
      </c>
      <c r="AQ356">
        <v>414.93206628298736</v>
      </c>
      <c r="AR356">
        <v>61.489862608358905</v>
      </c>
      <c r="AS356">
        <v>294.44151627958166</v>
      </c>
      <c r="AT356">
        <v>30.137716887434475</v>
      </c>
      <c r="AU356">
        <v>-3.7017307189781263</v>
      </c>
      <c r="AV356"/>
      <c r="AW356"/>
      <c r="FY356" s="211">
        <v>351</v>
      </c>
      <c r="FZ356">
        <v>36.458424178033596</v>
      </c>
      <c r="GA356">
        <v>52.44949755190023</v>
      </c>
      <c r="GB356">
        <v>55.5070960870341</v>
      </c>
      <c r="GC356">
        <v>27.167620675930003</v>
      </c>
      <c r="GD356">
        <v>14.854622639149875</v>
      </c>
      <c r="GE356">
        <v>31.134218396634161</v>
      </c>
      <c r="GF356">
        <v>48.08026277191744</v>
      </c>
      <c r="GG356">
        <v>34.598029268159941</v>
      </c>
      <c r="GH356">
        <v>21.292039179590098</v>
      </c>
      <c r="GI356">
        <v>41.956984198530101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264.74423477110412</v>
      </c>
      <c r="AO357">
        <v>82.623013305509602</v>
      </c>
      <c r="AP357">
        <v>672.18467198579333</v>
      </c>
      <c r="AQ357">
        <v>511.85240610619661</v>
      </c>
      <c r="AR357">
        <v>79.358997812166223</v>
      </c>
      <c r="AS357">
        <v>393.72812463962521</v>
      </c>
      <c r="AT357">
        <v>37.923037618296888</v>
      </c>
      <c r="AU357">
        <v>-17.673809128110634</v>
      </c>
      <c r="AV357"/>
      <c r="AW357"/>
      <c r="FY357" s="211">
        <v>352</v>
      </c>
      <c r="FZ357">
        <v>81.614938907012515</v>
      </c>
      <c r="GA357">
        <v>103.10550865626179</v>
      </c>
      <c r="GB357">
        <v>68.446807676494572</v>
      </c>
      <c r="GC357">
        <v>38.242716663740872</v>
      </c>
      <c r="GD357">
        <v>14.636744736807113</v>
      </c>
      <c r="GE357">
        <v>21.251607680501532</v>
      </c>
      <c r="GF357">
        <v>38.836225276318942</v>
      </c>
      <c r="GG357">
        <v>24.004496405878797</v>
      </c>
      <c r="GH357">
        <v>16.825321111718353</v>
      </c>
      <c r="GI357">
        <v>49.353638198171723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186.99058060957373</v>
      </c>
      <c r="AO358">
        <v>68.442279874316753</v>
      </c>
      <c r="AP358">
        <v>588.57173986307373</v>
      </c>
      <c r="AQ358">
        <v>463.78158407490389</v>
      </c>
      <c r="AR358">
        <v>66.01494559595578</v>
      </c>
      <c r="AS358">
        <v>331.51261199129925</v>
      </c>
      <c r="AT358">
        <v>35.846872360907035</v>
      </c>
      <c r="AU358">
        <v>-58.494644663461159</v>
      </c>
      <c r="AV358"/>
      <c r="AW358"/>
      <c r="FY358" s="211">
        <v>353</v>
      </c>
      <c r="FZ358">
        <v>117.23235466736666</v>
      </c>
      <c r="GA358">
        <v>142.25074624848412</v>
      </c>
      <c r="GB358">
        <v>30.982032986905409</v>
      </c>
      <c r="GC358">
        <v>16.391646590962146</v>
      </c>
      <c r="GD358">
        <v>12.331382555320088</v>
      </c>
      <c r="GE358">
        <v>21.388581026726811</v>
      </c>
      <c r="GF358">
        <v>45.837262653221508</v>
      </c>
      <c r="GG358">
        <v>33.589864827370164</v>
      </c>
      <c r="GH358">
        <v>20.738077112100161</v>
      </c>
      <c r="GI358">
        <v>45.461883248283954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219.14181243921908</v>
      </c>
      <c r="AO359">
        <v>57.767632581593887</v>
      </c>
      <c r="AP359">
        <v>418.2846636637949</v>
      </c>
      <c r="AQ359">
        <v>316.98887239273091</v>
      </c>
      <c r="AR359">
        <v>55.472542060463098</v>
      </c>
      <c r="AS359">
        <v>289.184092390052</v>
      </c>
      <c r="AT359">
        <v>24.053412530538306</v>
      </c>
      <c r="AU359">
        <v>5.4755798702610861</v>
      </c>
      <c r="AV359"/>
      <c r="AW359"/>
      <c r="FY359" s="211">
        <v>354</v>
      </c>
      <c r="FZ359">
        <v>149.70122628699784</v>
      </c>
      <c r="GA359">
        <v>176.58983745090205</v>
      </c>
      <c r="GB359">
        <v>46.128211484748398</v>
      </c>
      <c r="GC359">
        <v>27.14575566111683</v>
      </c>
      <c r="GD359">
        <v>16.842781732295233</v>
      </c>
      <c r="GE359">
        <v>30.782343969504275</v>
      </c>
      <c r="GF359">
        <v>33.721793587609433</v>
      </c>
      <c r="GG359">
        <v>17.301543736724632</v>
      </c>
      <c r="GH359">
        <v>20.127696773359844</v>
      </c>
      <c r="GI359">
        <v>54.363756368878093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177.57400139423723</v>
      </c>
      <c r="AO360">
        <v>53.912080388704069</v>
      </c>
      <c r="AP360">
        <v>404.00655926730593</v>
      </c>
      <c r="AQ360">
        <v>316.05878983831047</v>
      </c>
      <c r="AR360">
        <v>52.335222618330448</v>
      </c>
      <c r="AS360">
        <v>251.91447530390948</v>
      </c>
      <c r="AT360">
        <v>24.430696464989861</v>
      </c>
      <c r="AU360">
        <v>-20.100032046323044</v>
      </c>
      <c r="AV360"/>
      <c r="AW360"/>
      <c r="FY360" s="211">
        <v>355</v>
      </c>
      <c r="FZ360">
        <v>75.400879766592226</v>
      </c>
      <c r="GA360">
        <v>88.89405784430997</v>
      </c>
      <c r="GB360">
        <v>43.772186940244275</v>
      </c>
      <c r="GC360">
        <v>27.207960410554808</v>
      </c>
      <c r="GD360">
        <v>16.448160466992132</v>
      </c>
      <c r="GE360">
        <v>21.708532145274354</v>
      </c>
      <c r="GF360">
        <v>34.277041184432399</v>
      </c>
      <c r="GG360">
        <v>37.27639225499103</v>
      </c>
      <c r="GH360">
        <v>35.332575356761396</v>
      </c>
      <c r="GI360">
        <v>45.487413795783397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242.70579202863991</v>
      </c>
      <c r="AO361">
        <v>74.133830878873724</v>
      </c>
      <c r="AP361">
        <v>595.14386976367041</v>
      </c>
      <c r="AQ361">
        <v>471.84061365986224</v>
      </c>
      <c r="AR361">
        <v>71.155013734140823</v>
      </c>
      <c r="AS361">
        <v>345.36120281836628</v>
      </c>
      <c r="AT361">
        <v>35.008707894631947</v>
      </c>
      <c r="AU361">
        <v>9.0832823701777308</v>
      </c>
      <c r="AV361"/>
      <c r="AW361"/>
      <c r="FY361" s="211">
        <v>356</v>
      </c>
      <c r="FZ361">
        <v>153.27622849399216</v>
      </c>
      <c r="GA361">
        <v>183.7589438829533</v>
      </c>
      <c r="GB361">
        <v>51.087310375176315</v>
      </c>
      <c r="GC361">
        <v>29.120518544446867</v>
      </c>
      <c r="GD361">
        <v>15.476577550659707</v>
      </c>
      <c r="GE361">
        <v>22.559453915737592</v>
      </c>
      <c r="GF361">
        <v>31.908617755191088</v>
      </c>
      <c r="GG361">
        <v>31.08442421785703</v>
      </c>
      <c r="GH361">
        <v>28.640971202017255</v>
      </c>
      <c r="GI361">
        <v>56.375180345982933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155.55561384438337</v>
      </c>
      <c r="AO362">
        <v>49.1363748854872</v>
      </c>
      <c r="AP362">
        <v>336.58872836585323</v>
      </c>
      <c r="AQ362">
        <v>278.7240213659897</v>
      </c>
      <c r="AR362">
        <v>48.923200695186736</v>
      </c>
      <c r="AS362">
        <v>242.8639317783838</v>
      </c>
      <c r="AT362">
        <v>23.430367326141024</v>
      </c>
      <c r="AU362">
        <v>26.899010376593161</v>
      </c>
      <c r="AV362"/>
      <c r="AW362"/>
      <c r="FY362" s="211">
        <v>357</v>
      </c>
      <c r="FZ362">
        <v>91.540117896385567</v>
      </c>
      <c r="GA362">
        <v>87.264290538487018</v>
      </c>
      <c r="GB362">
        <v>32.332914296940622</v>
      </c>
      <c r="GC362">
        <v>25.561747634579397</v>
      </c>
      <c r="GD362">
        <v>22.235285660391195</v>
      </c>
      <c r="GE362">
        <v>26.431487914364997</v>
      </c>
      <c r="GF362">
        <v>41.701399048826566</v>
      </c>
      <c r="GG362">
        <v>32.721363570549023</v>
      </c>
      <c r="GH362">
        <v>22.724694071332532</v>
      </c>
      <c r="GI362">
        <v>47.598347172413433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204.75690299540022</v>
      </c>
      <c r="AO363">
        <v>74.678485457127366</v>
      </c>
      <c r="AP363">
        <v>657.33372715791734</v>
      </c>
      <c r="AQ363">
        <v>525.69684963619875</v>
      </c>
      <c r="AR363">
        <v>74.213697574123586</v>
      </c>
      <c r="AS363">
        <v>356.63654149770639</v>
      </c>
      <c r="AT363">
        <v>39.989688719676884</v>
      </c>
      <c r="AU363">
        <v>4.7240802280530048</v>
      </c>
      <c r="AV363"/>
      <c r="AW363"/>
      <c r="FY363" s="211">
        <v>358</v>
      </c>
      <c r="FZ363">
        <v>65.056832609593854</v>
      </c>
      <c r="GA363">
        <v>92.734247986929489</v>
      </c>
      <c r="GB363">
        <v>63.220936578066187</v>
      </c>
      <c r="GC363">
        <v>30.35448510871236</v>
      </c>
      <c r="GD363">
        <v>14.948008773150979</v>
      </c>
      <c r="GE363">
        <v>28.771230665277525</v>
      </c>
      <c r="GF363">
        <v>31.413751301037074</v>
      </c>
      <c r="GG363">
        <v>24.818763828601075</v>
      </c>
      <c r="GH363">
        <v>41.302949580323947</v>
      </c>
      <c r="GI363">
        <v>48.187190943417988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227.00908601071569</v>
      </c>
      <c r="AO364">
        <v>78.125685764094129</v>
      </c>
      <c r="AP364">
        <v>696.00971431616836</v>
      </c>
      <c r="AQ364">
        <v>538.462619405174</v>
      </c>
      <c r="AR364">
        <v>75.072337408120433</v>
      </c>
      <c r="AS364">
        <v>380.4614115397863</v>
      </c>
      <c r="AT364">
        <v>39.810345567218164</v>
      </c>
      <c r="AU364">
        <v>82.142743540221204</v>
      </c>
      <c r="AV364"/>
      <c r="AW364"/>
      <c r="FY364" s="211">
        <v>359</v>
      </c>
      <c r="FZ364">
        <v>48.010062444824278</v>
      </c>
      <c r="GA364">
        <v>62.009527287004282</v>
      </c>
      <c r="GB364">
        <v>39.260373174615594</v>
      </c>
      <c r="GC364">
        <v>21.983773218307949</v>
      </c>
      <c r="GD364">
        <v>18.275640797133601</v>
      </c>
      <c r="GE364">
        <v>32.934432991522918</v>
      </c>
      <c r="GF364">
        <v>41.664875076862586</v>
      </c>
      <c r="GG364">
        <v>25.222815327705852</v>
      </c>
      <c r="GH364">
        <v>20.616575878652448</v>
      </c>
      <c r="GI364">
        <v>40.255847958495302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202.56784239111383</v>
      </c>
      <c r="AO365">
        <v>66.592679712804312</v>
      </c>
      <c r="AP365">
        <v>539.6533441815244</v>
      </c>
      <c r="AQ365">
        <v>427.77553540941472</v>
      </c>
      <c r="AR365">
        <v>65.475376311198247</v>
      </c>
      <c r="AS365">
        <v>311.52785007076574</v>
      </c>
      <c r="AT365">
        <v>34.309873404760459</v>
      </c>
      <c r="AU365">
        <v>18.054353581131732</v>
      </c>
      <c r="AV365"/>
      <c r="AW365"/>
      <c r="FY365" s="211">
        <v>360</v>
      </c>
      <c r="FZ365">
        <v>46.40530446539185</v>
      </c>
      <c r="GA365">
        <v>43.0073418385388</v>
      </c>
      <c r="GB365">
        <v>45.357191273486059</v>
      </c>
      <c r="GC365">
        <v>25.995176455758603</v>
      </c>
      <c r="GD365">
        <v>12.612855520587807</v>
      </c>
      <c r="GE365">
        <v>20.109243494404442</v>
      </c>
      <c r="GF365">
        <v>58.377190083147035</v>
      </c>
      <c r="GG365">
        <v>51.972510519659799</v>
      </c>
      <c r="GH365">
        <v>39.315100812966705</v>
      </c>
      <c r="GI365">
        <v>44.332649961994491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181.01015810753091</v>
      </c>
      <c r="AO366">
        <v>55.369086289353085</v>
      </c>
      <c r="AP366">
        <v>396.82513485353377</v>
      </c>
      <c r="AQ366">
        <v>318.3655425509271</v>
      </c>
      <c r="AR366">
        <v>54.087582160651124</v>
      </c>
      <c r="AS366">
        <v>268.23980584572701</v>
      </c>
      <c r="AT366">
        <v>26.80095903129936</v>
      </c>
      <c r="AU366">
        <v>-33.978279649873151</v>
      </c>
      <c r="AV366"/>
      <c r="AW366"/>
      <c r="FY366" s="211">
        <v>361</v>
      </c>
      <c r="FZ366">
        <v>29.081384125992166</v>
      </c>
      <c r="GA366">
        <v>55.911765988902886</v>
      </c>
      <c r="GB366">
        <v>54.068747091071351</v>
      </c>
      <c r="GC366">
        <v>21.876803718732027</v>
      </c>
      <c r="GD366">
        <v>14.064898817599282</v>
      </c>
      <c r="GE366">
        <v>28.724570765627004</v>
      </c>
      <c r="GF366">
        <v>74.301854275501483</v>
      </c>
      <c r="GG366">
        <v>55.631319096193572</v>
      </c>
      <c r="GH366">
        <v>15.164011983165812</v>
      </c>
      <c r="GI366">
        <v>44.410221780006957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213.14062598860613</v>
      </c>
      <c r="AO367">
        <v>62.611485879485102</v>
      </c>
      <c r="AP367">
        <v>472.19542671593268</v>
      </c>
      <c r="AQ367">
        <v>363.49879494687963</v>
      </c>
      <c r="AR367">
        <v>60.063350148631798</v>
      </c>
      <c r="AS367">
        <v>270.42035466253265</v>
      </c>
      <c r="AT367">
        <v>26.64431624863597</v>
      </c>
      <c r="AU367">
        <v>38.039477914888451</v>
      </c>
      <c r="AV367"/>
      <c r="AW367"/>
      <c r="FY367" s="211">
        <v>362</v>
      </c>
      <c r="FZ367">
        <v>37.741983223176049</v>
      </c>
      <c r="GA367">
        <v>50.958168048957496</v>
      </c>
      <c r="GB367">
        <v>44.32211994383119</v>
      </c>
      <c r="GC367">
        <v>22.247011365771524</v>
      </c>
      <c r="GD367">
        <v>16.282091609735939</v>
      </c>
      <c r="GE367">
        <v>31.85333494782018</v>
      </c>
      <c r="GF367">
        <v>24.73421536941688</v>
      </c>
      <c r="GG367">
        <v>14.915776894557526</v>
      </c>
      <c r="GH367">
        <v>20.393665499256254</v>
      </c>
      <c r="GI367">
        <v>35.448415508101434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224.86240190952702</v>
      </c>
      <c r="AO368">
        <v>73.868346501257747</v>
      </c>
      <c r="AP368">
        <v>587.80517955701475</v>
      </c>
      <c r="AQ368">
        <v>456.31800531290622</v>
      </c>
      <c r="AR368">
        <v>71.165704196718295</v>
      </c>
      <c r="AS368">
        <v>338.17689103516113</v>
      </c>
      <c r="AT368">
        <v>33.525939940912146</v>
      </c>
      <c r="AU368">
        <v>-16.26964670484184</v>
      </c>
      <c r="AV368"/>
      <c r="AW368"/>
      <c r="FY368" s="211">
        <v>363</v>
      </c>
      <c r="FZ368">
        <v>80.482447840255958</v>
      </c>
      <c r="GA368">
        <v>102.56308652618362</v>
      </c>
      <c r="GB368">
        <v>46.044771288817437</v>
      </c>
      <c r="GC368">
        <v>21.244128901312141</v>
      </c>
      <c r="GD368">
        <v>10.296229700932379</v>
      </c>
      <c r="GE368">
        <v>18.913224638148257</v>
      </c>
      <c r="GF368">
        <v>48.23865445073794</v>
      </c>
      <c r="GG368">
        <v>36.301085141340039</v>
      </c>
      <c r="GH368">
        <v>21.574978376606687</v>
      </c>
      <c r="GI368">
        <v>43.413054351820449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213.98372906792648</v>
      </c>
      <c r="AO369">
        <v>68.027814484620336</v>
      </c>
      <c r="AP369">
        <v>611.41699997129967</v>
      </c>
      <c r="AQ369">
        <v>486.20383191674091</v>
      </c>
      <c r="AR369">
        <v>65.786733644583151</v>
      </c>
      <c r="AS369">
        <v>336.08512845467499</v>
      </c>
      <c r="AT369">
        <v>33.751332495640135</v>
      </c>
      <c r="AU369">
        <v>-10.242224814368406</v>
      </c>
      <c r="AV369"/>
      <c r="AW369"/>
      <c r="FY369" s="211">
        <v>364</v>
      </c>
      <c r="FZ369">
        <v>38.793337860193411</v>
      </c>
      <c r="GA369">
        <v>39.520989845576977</v>
      </c>
      <c r="GB369">
        <v>56.537484096473847</v>
      </c>
      <c r="GC369">
        <v>31.811248488912586</v>
      </c>
      <c r="GD369">
        <v>14.562709400324245</v>
      </c>
      <c r="GE369">
        <v>20.011445315687233</v>
      </c>
      <c r="GF369">
        <v>49.726498899588648</v>
      </c>
      <c r="GG369">
        <v>48.053657807329934</v>
      </c>
      <c r="GH369">
        <v>26.586274546734828</v>
      </c>
      <c r="GI369">
        <v>43.720293382655058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187.39296424929469</v>
      </c>
      <c r="AO370">
        <v>82.043407477309955</v>
      </c>
      <c r="AP370">
        <v>702.06126824293483</v>
      </c>
      <c r="AQ370">
        <v>572.70494705213662</v>
      </c>
      <c r="AR370">
        <v>78.490869469918408</v>
      </c>
      <c r="AS370">
        <v>372.36007086705183</v>
      </c>
      <c r="AT370">
        <v>43.518911340587429</v>
      </c>
      <c r="AU370">
        <v>-27.609860371745491</v>
      </c>
      <c r="AV370"/>
      <c r="AW370"/>
      <c r="FY370" s="211">
        <v>365</v>
      </c>
      <c r="FZ370">
        <v>77.84394332133283</v>
      </c>
      <c r="GA370">
        <v>105.26218467391647</v>
      </c>
      <c r="GB370">
        <v>42.819798120446443</v>
      </c>
      <c r="GC370">
        <v>22.351308322122911</v>
      </c>
      <c r="GD370">
        <v>13.141503859914135</v>
      </c>
      <c r="GE370">
        <v>18.668558103823166</v>
      </c>
      <c r="GF370">
        <v>38.451064182036795</v>
      </c>
      <c r="GG370">
        <v>36.494592539807584</v>
      </c>
      <c r="GH370">
        <v>37.385864374725479</v>
      </c>
      <c r="GI370">
        <v>44.253133320127638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192.63719905112816</v>
      </c>
      <c r="AO371">
        <v>67.840205925889805</v>
      </c>
      <c r="AP371">
        <v>542.10368862449127</v>
      </c>
      <c r="AQ371">
        <v>425.80520016593596</v>
      </c>
      <c r="AR371">
        <v>66.121492353049902</v>
      </c>
      <c r="AS371">
        <v>326.51169209399995</v>
      </c>
      <c r="AT371">
        <v>34.17452666110168</v>
      </c>
      <c r="AU371">
        <v>45.638555034804497</v>
      </c>
      <c r="AV371"/>
      <c r="AW371"/>
      <c r="FY371" s="211">
        <v>366</v>
      </c>
      <c r="FZ371">
        <v>63.977791577031851</v>
      </c>
      <c r="GA371">
        <v>85.212518576860404</v>
      </c>
      <c r="GB371">
        <v>36.271061480162544</v>
      </c>
      <c r="GC371">
        <v>22.346434367800622</v>
      </c>
      <c r="GD371">
        <v>19.330982038811619</v>
      </c>
      <c r="GE371">
        <v>31.510656294685099</v>
      </c>
      <c r="GF371">
        <v>40.493353097688278</v>
      </c>
      <c r="GG371">
        <v>29.249978622589463</v>
      </c>
      <c r="GH371">
        <v>23.341067482012608</v>
      </c>
      <c r="GI371">
        <v>42.655744159057406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9.0179821009927358E-4</v>
      </c>
      <c r="H372" s="59">
        <f t="shared" ref="H372:AK372" si="355">+H36</f>
        <v>5.9581999999999994E-3</v>
      </c>
      <c r="I372" s="59">
        <f t="shared" si="355"/>
        <v>3.9365954425760054E-2</v>
      </c>
      <c r="J372" s="59">
        <f t="shared" si="355"/>
        <v>0.11879369063332791</v>
      </c>
      <c r="K372" s="59">
        <f t="shared" si="355"/>
        <v>0.26009170015290151</v>
      </c>
      <c r="L372" s="59">
        <f t="shared" si="355"/>
        <v>0.47764954565651402</v>
      </c>
      <c r="M372" s="59">
        <f t="shared" si="355"/>
        <v>0.78487244663479294</v>
      </c>
      <c r="N372" s="59">
        <f t="shared" si="355"/>
        <v>1.1944339475291872</v>
      </c>
      <c r="O372" s="59">
        <f t="shared" si="355"/>
        <v>1.7184314079315166</v>
      </c>
      <c r="P372" s="59">
        <f t="shared" si="355"/>
        <v>2.3684906405100232</v>
      </c>
      <c r="Q372" s="59">
        <f t="shared" si="355"/>
        <v>3.1558407313952781</v>
      </c>
      <c r="R372" s="59">
        <f t="shared" si="355"/>
        <v>4.0913699544533273</v>
      </c>
      <c r="S372" s="59">
        <f t="shared" si="355"/>
        <v>5.1856689879930276</v>
      </c>
      <c r="T372" s="59">
        <f t="shared" si="355"/>
        <v>6.4490652174806335</v>
      </c>
      <c r="U372" s="59">
        <f t="shared" si="355"/>
        <v>7.8916505560428751</v>
      </c>
      <c r="V372" s="59">
        <f t="shared" si="355"/>
        <v>9.5233044137272334</v>
      </c>
      <c r="W372" s="59">
        <f t="shared" si="355"/>
        <v>11.353712948277471</v>
      </c>
      <c r="X372" s="59">
        <f t="shared" si="355"/>
        <v>13.392385407473196</v>
      </c>
      <c r="Y372" s="59">
        <f t="shared" si="355"/>
        <v>15.648668156852196</v>
      </c>
      <c r="Z372" s="59">
        <f t="shared" si="355"/>
        <v>18.131756837509794</v>
      </c>
      <c r="AA372" s="59">
        <f t="shared" si="355"/>
        <v>20.850706993230137</v>
      </c>
      <c r="AB372" s="59">
        <f t="shared" si="355"/>
        <v>23.814443430016944</v>
      </c>
      <c r="AC372" s="59">
        <f t="shared" si="355"/>
        <v>27.031768514976598</v>
      </c>
      <c r="AD372" s="59">
        <f t="shared" si="355"/>
        <v>30.511369579468642</v>
      </c>
      <c r="AE372" s="59">
        <f t="shared" si="355"/>
        <v>34.261825559466111</v>
      </c>
      <c r="AF372" s="59">
        <f t="shared" si="355"/>
        <v>38.291612981416243</v>
      </c>
      <c r="AG372" s="59">
        <f t="shared" si="355"/>
        <v>42.609111382648663</v>
      </c>
      <c r="AH372" s="59">
        <f t="shared" si="355"/>
        <v>47.222608240186645</v>
      </c>
      <c r="AI372" s="59">
        <f t="shared" si="355"/>
        <v>52.140303469706964</v>
      </c>
      <c r="AJ372" s="59">
        <f t="shared" si="355"/>
        <v>57.370313546634669</v>
      </c>
      <c r="AK372" s="59">
        <f t="shared" si="355"/>
        <v>62.920675293448724</v>
      </c>
      <c r="AL372" s="78"/>
      <c r="AM372" s="43">
        <v>356</v>
      </c>
      <c r="AN372">
        <v>215.33566251309966</v>
      </c>
      <c r="AO372">
        <v>85.703522312805063</v>
      </c>
      <c r="AP372">
        <v>754.2131639433419</v>
      </c>
      <c r="AQ372">
        <v>603.28822628401429</v>
      </c>
      <c r="AR372">
        <v>82.198913411424186</v>
      </c>
      <c r="AS372">
        <v>381.92180718831719</v>
      </c>
      <c r="AT372">
        <v>45.071332261041249</v>
      </c>
      <c r="AU372">
        <v>-14.509376030882962</v>
      </c>
      <c r="AV372"/>
      <c r="AW372"/>
      <c r="FY372" s="211">
        <v>367</v>
      </c>
      <c r="FZ372">
        <v>76.286782743048718</v>
      </c>
      <c r="GA372">
        <v>109.00577802478153</v>
      </c>
      <c r="GB372">
        <v>46.159789714216387</v>
      </c>
      <c r="GC372">
        <v>24.217232879079589</v>
      </c>
      <c r="GD372">
        <v>13.0645370891962</v>
      </c>
      <c r="GE372">
        <v>14.801735300270234</v>
      </c>
      <c r="GF372">
        <v>27.397499788010286</v>
      </c>
      <c r="GG372">
        <v>23.497797212423187</v>
      </c>
      <c r="GH372">
        <v>31.072238468082226</v>
      </c>
      <c r="GI372">
        <v>41.614132906158126</v>
      </c>
      <c r="GJ372"/>
      <c r="GK372"/>
      <c r="GL372"/>
      <c r="GM372"/>
    </row>
    <row r="373" spans="1:195" s="7" customFormat="1">
      <c r="A373" s="95"/>
      <c r="B373" s="71">
        <f t="shared" ref="B373:B378" si="356">+C4</f>
        <v>39646</v>
      </c>
      <c r="C373" s="18">
        <f t="shared" ref="C373:C382" si="357">+D70</f>
        <v>92.708333333333329</v>
      </c>
      <c r="D373" s="18">
        <f t="shared" ref="D373:D382" si="358">SUM(G373:AK373)</f>
        <v>25.220194663014194</v>
      </c>
      <c r="E373" s="19">
        <f t="shared" ref="E373:E382" si="359">IF(C373&lt;1, 0.000001, D373/C373)</f>
        <v>0.27203805479206322</v>
      </c>
      <c r="F373" s="19"/>
      <c r="G373" s="18">
        <f>AVERAGE(E228:E237)*G$372</f>
        <v>0</v>
      </c>
      <c r="H373" s="18">
        <f t="shared" ref="H373:AK373" si="360">AVERAGE(F228:F237)*H$372</f>
        <v>0</v>
      </c>
      <c r="I373" s="18">
        <f t="shared" si="360"/>
        <v>0.49207443032200066</v>
      </c>
      <c r="J373" s="18">
        <f t="shared" si="360"/>
        <v>3.093585693576248</v>
      </c>
      <c r="K373" s="18">
        <f t="shared" si="360"/>
        <v>10.295296464385684</v>
      </c>
      <c r="L373" s="18">
        <f t="shared" si="360"/>
        <v>1.4926548301766063</v>
      </c>
      <c r="M373" s="18">
        <f t="shared" si="360"/>
        <v>7.3581791872011841</v>
      </c>
      <c r="N373" s="18">
        <f t="shared" si="360"/>
        <v>2.4884040573524731</v>
      </c>
      <c r="O373" s="18">
        <f t="shared" si="360"/>
        <v>0</v>
      </c>
      <c r="P373" s="18">
        <f t="shared" si="360"/>
        <v>0</v>
      </c>
      <c r="Q373" s="18">
        <f t="shared" si="360"/>
        <v>0</v>
      </c>
      <c r="R373" s="18">
        <f t="shared" si="360"/>
        <v>0</v>
      </c>
      <c r="S373" s="18">
        <f t="shared" si="360"/>
        <v>0</v>
      </c>
      <c r="T373" s="18">
        <f t="shared" si="360"/>
        <v>0</v>
      </c>
      <c r="U373" s="18">
        <f t="shared" si="360"/>
        <v>0</v>
      </c>
      <c r="V373" s="18">
        <f t="shared" si="360"/>
        <v>0</v>
      </c>
      <c r="W373" s="18">
        <f t="shared" si="360"/>
        <v>0</v>
      </c>
      <c r="X373" s="18">
        <f t="shared" si="360"/>
        <v>0</v>
      </c>
      <c r="Y373" s="18">
        <f t="shared" si="360"/>
        <v>0</v>
      </c>
      <c r="Z373" s="18">
        <f t="shared" si="360"/>
        <v>0</v>
      </c>
      <c r="AA373" s="18">
        <f t="shared" si="360"/>
        <v>0</v>
      </c>
      <c r="AB373" s="18">
        <f t="shared" si="360"/>
        <v>0</v>
      </c>
      <c r="AC373" s="18">
        <f t="shared" si="360"/>
        <v>0</v>
      </c>
      <c r="AD373" s="18">
        <f t="shared" si="360"/>
        <v>0</v>
      </c>
      <c r="AE373" s="18">
        <f t="shared" si="360"/>
        <v>0</v>
      </c>
      <c r="AF373" s="18">
        <f t="shared" si="360"/>
        <v>0</v>
      </c>
      <c r="AG373" s="18">
        <f t="shared" si="360"/>
        <v>0</v>
      </c>
      <c r="AH373" s="18">
        <f t="shared" si="360"/>
        <v>0</v>
      </c>
      <c r="AI373" s="18">
        <f t="shared" si="360"/>
        <v>0</v>
      </c>
      <c r="AJ373" s="18">
        <f t="shared" si="360"/>
        <v>0</v>
      </c>
      <c r="AK373" s="18">
        <f t="shared" si="360"/>
        <v>0</v>
      </c>
      <c r="AL373" s="78"/>
      <c r="AM373" s="43">
        <v>357</v>
      </c>
      <c r="AN373">
        <v>222.85105045957692</v>
      </c>
      <c r="AO373">
        <v>68.304659995294301</v>
      </c>
      <c r="AP373">
        <v>519.45811434976406</v>
      </c>
      <c r="AQ373">
        <v>430.11164780427032</v>
      </c>
      <c r="AR373">
        <v>68.744935444136772</v>
      </c>
      <c r="AS373">
        <v>335.9538978215121</v>
      </c>
      <c r="AT373">
        <v>35.681017936548962</v>
      </c>
      <c r="AU373">
        <v>0.18762106213600305</v>
      </c>
      <c r="AV373"/>
      <c r="AW373"/>
      <c r="FY373" s="211">
        <v>368</v>
      </c>
      <c r="FZ373">
        <v>39.202770858297058</v>
      </c>
      <c r="GA373">
        <v>60.078184188098504</v>
      </c>
      <c r="GB373">
        <v>48.681419458351527</v>
      </c>
      <c r="GC373">
        <v>24.953911555118321</v>
      </c>
      <c r="GD373">
        <v>21.401810157982553</v>
      </c>
      <c r="GE373">
        <v>33.405396796492148</v>
      </c>
      <c r="GF373">
        <v>19.556731592833138</v>
      </c>
      <c r="GG373">
        <v>21.487554470936885</v>
      </c>
      <c r="GH373">
        <v>30.888966099728329</v>
      </c>
      <c r="GI373">
        <v>40.756100922769207</v>
      </c>
      <c r="GJ373"/>
      <c r="GK373"/>
      <c r="GL373"/>
      <c r="GM373"/>
    </row>
    <row r="374" spans="1:195" s="7" customFormat="1">
      <c r="A374" s="95"/>
      <c r="B374" s="71">
        <f t="shared" si="356"/>
        <v>39673</v>
      </c>
      <c r="C374" s="18">
        <f t="shared" si="357"/>
        <v>149.89262371615314</v>
      </c>
      <c r="D374" s="18">
        <f t="shared" si="358"/>
        <v>111.02903740404317</v>
      </c>
      <c r="E374" s="19">
        <f t="shared" si="359"/>
        <v>0.74072382383735769</v>
      </c>
      <c r="F374" s="19">
        <f>IF(F388&lt;0,0,F388)</f>
        <v>3.7099477208066771E-2</v>
      </c>
      <c r="G374" s="18">
        <f>AVERAGE(E238:E247)*G$372</f>
        <v>0</v>
      </c>
      <c r="H374" s="18">
        <f t="shared" ref="H374:AK374" si="361">AVERAGE(F238:F247)*H$372</f>
        <v>0</v>
      </c>
      <c r="I374" s="18">
        <f t="shared" si="361"/>
        <v>0</v>
      </c>
      <c r="J374" s="18">
        <f t="shared" si="361"/>
        <v>0.74246056645829939</v>
      </c>
      <c r="K374" s="18">
        <f t="shared" si="361"/>
        <v>6.0146205660358474</v>
      </c>
      <c r="L374" s="18">
        <f t="shared" si="361"/>
        <v>26.134142216190149</v>
      </c>
      <c r="M374" s="18">
        <f t="shared" si="361"/>
        <v>30.880993287237985</v>
      </c>
      <c r="N374" s="18">
        <f t="shared" si="361"/>
        <v>15.676945561320581</v>
      </c>
      <c r="O374" s="18">
        <f t="shared" si="361"/>
        <v>0</v>
      </c>
      <c r="P374" s="18">
        <f t="shared" si="361"/>
        <v>31.57987520680031</v>
      </c>
      <c r="Q374" s="18">
        <f t="shared" si="361"/>
        <v>0</v>
      </c>
      <c r="R374" s="18">
        <f t="shared" si="361"/>
        <v>0</v>
      </c>
      <c r="S374" s="18">
        <f t="shared" si="361"/>
        <v>0</v>
      </c>
      <c r="T374" s="18">
        <f t="shared" si="361"/>
        <v>0</v>
      </c>
      <c r="U374" s="18">
        <f t="shared" si="361"/>
        <v>0</v>
      </c>
      <c r="V374" s="18">
        <f t="shared" si="361"/>
        <v>0</v>
      </c>
      <c r="W374" s="18">
        <f t="shared" si="361"/>
        <v>0</v>
      </c>
      <c r="X374" s="18">
        <f t="shared" si="361"/>
        <v>0</v>
      </c>
      <c r="Y374" s="18">
        <f t="shared" si="361"/>
        <v>0</v>
      </c>
      <c r="Z374" s="18">
        <f t="shared" si="361"/>
        <v>0</v>
      </c>
      <c r="AA374" s="18">
        <f t="shared" si="361"/>
        <v>0</v>
      </c>
      <c r="AB374" s="18">
        <f t="shared" si="361"/>
        <v>0</v>
      </c>
      <c r="AC374" s="18">
        <f t="shared" si="361"/>
        <v>0</v>
      </c>
      <c r="AD374" s="18">
        <f t="shared" si="361"/>
        <v>0</v>
      </c>
      <c r="AE374" s="18">
        <f t="shared" si="361"/>
        <v>0</v>
      </c>
      <c r="AF374" s="18">
        <f t="shared" si="361"/>
        <v>0</v>
      </c>
      <c r="AG374" s="18">
        <f t="shared" si="361"/>
        <v>0</v>
      </c>
      <c r="AH374" s="18">
        <f t="shared" si="361"/>
        <v>0</v>
      </c>
      <c r="AI374" s="18">
        <f t="shared" si="361"/>
        <v>0</v>
      </c>
      <c r="AJ374" s="18">
        <f t="shared" si="361"/>
        <v>0</v>
      </c>
      <c r="AK374" s="18">
        <f t="shared" si="361"/>
        <v>0</v>
      </c>
      <c r="AL374" s="78"/>
      <c r="AM374" s="43">
        <v>358</v>
      </c>
      <c r="AN374">
        <v>230.71231916919334</v>
      </c>
      <c r="AO374">
        <v>70.777026396113968</v>
      </c>
      <c r="AP374">
        <v>566.20391390549594</v>
      </c>
      <c r="AQ374">
        <v>440.80839737511047</v>
      </c>
      <c r="AR374">
        <v>69.392556929929953</v>
      </c>
      <c r="AS374">
        <v>321.03290238455241</v>
      </c>
      <c r="AT374">
        <v>33.236214456055748</v>
      </c>
      <c r="AU374">
        <v>-30.924083420560244</v>
      </c>
      <c r="AV374"/>
      <c r="AW374"/>
      <c r="FY374" s="211">
        <v>369</v>
      </c>
      <c r="FZ374">
        <v>120.41562255278393</v>
      </c>
      <c r="GA374">
        <v>139.78371903279981</v>
      </c>
      <c r="GB374">
        <v>39.076142487500498</v>
      </c>
      <c r="GC374">
        <v>25.733045012493257</v>
      </c>
      <c r="GD374">
        <v>13.680991874286557</v>
      </c>
      <c r="GE374">
        <v>14.012486154522637</v>
      </c>
      <c r="GF374">
        <v>30.615053192667602</v>
      </c>
      <c r="GG374">
        <v>21.003118319519348</v>
      </c>
      <c r="GH374">
        <v>17.311060304753635</v>
      </c>
      <c r="GI374">
        <v>45.299950332415129</v>
      </c>
      <c r="GJ374"/>
      <c r="GK374"/>
      <c r="GL374"/>
      <c r="GM374"/>
    </row>
    <row r="375" spans="1:195" s="7" customFormat="1">
      <c r="A375" s="95"/>
      <c r="B375" s="71">
        <f t="shared" si="356"/>
        <v>39714</v>
      </c>
      <c r="C375" s="18">
        <f t="shared" si="357"/>
        <v>202.59456605222735</v>
      </c>
      <c r="D375" s="18">
        <f t="shared" si="358"/>
        <v>76.441780436738341</v>
      </c>
      <c r="E375" s="19">
        <f t="shared" si="359"/>
        <v>0.3773140707882176</v>
      </c>
      <c r="F375" s="19">
        <f>IF(F389&lt;0,0,F389)</f>
        <v>0</v>
      </c>
      <c r="G375" s="18">
        <f>AVERAGE(E248:E257)*G$372</f>
        <v>0</v>
      </c>
      <c r="H375" s="18">
        <f t="shared" ref="H375:AK375" si="362">AVERAGE(F248:F257)*H$372</f>
        <v>0.27904036458333331</v>
      </c>
      <c r="I375" s="18">
        <f t="shared" si="362"/>
        <v>2.1951073737434488</v>
      </c>
      <c r="J375" s="18">
        <f t="shared" si="362"/>
        <v>0.61871713871524947</v>
      </c>
      <c r="K375" s="18">
        <f t="shared" si="362"/>
        <v>0.27092885432593905</v>
      </c>
      <c r="L375" s="18">
        <f t="shared" si="362"/>
        <v>17.414306352060404</v>
      </c>
      <c r="M375" s="18">
        <f t="shared" si="362"/>
        <v>35.973320470761337</v>
      </c>
      <c r="N375" s="18">
        <f t="shared" si="362"/>
        <v>0</v>
      </c>
      <c r="O375" s="18">
        <f t="shared" si="362"/>
        <v>19.690359882548631</v>
      </c>
      <c r="P375" s="18">
        <f t="shared" si="362"/>
        <v>0</v>
      </c>
      <c r="Q375" s="18">
        <f t="shared" si="362"/>
        <v>0</v>
      </c>
      <c r="R375" s="18">
        <f t="shared" si="362"/>
        <v>0</v>
      </c>
      <c r="S375" s="18">
        <f t="shared" si="362"/>
        <v>0</v>
      </c>
      <c r="T375" s="18">
        <f t="shared" si="362"/>
        <v>0</v>
      </c>
      <c r="U375" s="18">
        <f t="shared" si="362"/>
        <v>0</v>
      </c>
      <c r="V375" s="18">
        <f t="shared" si="362"/>
        <v>0</v>
      </c>
      <c r="W375" s="18">
        <f t="shared" si="362"/>
        <v>0</v>
      </c>
      <c r="X375" s="18">
        <f t="shared" si="362"/>
        <v>0</v>
      </c>
      <c r="Y375" s="18">
        <f t="shared" si="362"/>
        <v>0</v>
      </c>
      <c r="Z375" s="18">
        <f t="shared" si="362"/>
        <v>0</v>
      </c>
      <c r="AA375" s="18">
        <f t="shared" si="362"/>
        <v>0</v>
      </c>
      <c r="AB375" s="18">
        <f t="shared" si="362"/>
        <v>0</v>
      </c>
      <c r="AC375" s="18">
        <f t="shared" si="362"/>
        <v>0</v>
      </c>
      <c r="AD375" s="18">
        <f t="shared" si="362"/>
        <v>0</v>
      </c>
      <c r="AE375" s="18">
        <f t="shared" si="362"/>
        <v>0</v>
      </c>
      <c r="AF375" s="18">
        <f t="shared" si="362"/>
        <v>0</v>
      </c>
      <c r="AG375" s="18">
        <f t="shared" si="362"/>
        <v>0</v>
      </c>
      <c r="AH375" s="18">
        <f t="shared" si="362"/>
        <v>0</v>
      </c>
      <c r="AI375" s="18">
        <f t="shared" si="362"/>
        <v>0</v>
      </c>
      <c r="AJ375" s="18">
        <f t="shared" si="362"/>
        <v>0</v>
      </c>
      <c r="AK375" s="18">
        <f t="shared" si="362"/>
        <v>0</v>
      </c>
      <c r="AL375" s="78"/>
      <c r="AM375" s="43">
        <v>359</v>
      </c>
      <c r="AN375">
        <v>226.63223826459301</v>
      </c>
      <c r="AO375">
        <v>59.357298971225461</v>
      </c>
      <c r="AP375">
        <v>439.1250531952648</v>
      </c>
      <c r="AQ375">
        <v>350.23392415512484</v>
      </c>
      <c r="AR375">
        <v>57.446164803325871</v>
      </c>
      <c r="AS375">
        <v>324.72755664105301</v>
      </c>
      <c r="AT375">
        <v>26.247792174339924</v>
      </c>
      <c r="AU375">
        <v>105.80044123646181</v>
      </c>
      <c r="AV375"/>
      <c r="AW375"/>
      <c r="FY375" s="211">
        <v>370</v>
      </c>
      <c r="FZ375">
        <v>32.639489765030362</v>
      </c>
      <c r="GA375">
        <v>60.956852095023336</v>
      </c>
      <c r="GB375">
        <v>46.978685701881737</v>
      </c>
      <c r="GC375">
        <v>23.241132392409021</v>
      </c>
      <c r="GD375">
        <v>14.832661310077457</v>
      </c>
      <c r="GE375">
        <v>24.496403107013837</v>
      </c>
      <c r="GF375">
        <v>48.489804403386422</v>
      </c>
      <c r="GG375">
        <v>38.683685888051556</v>
      </c>
      <c r="GH375">
        <v>24.789847708653035</v>
      </c>
      <c r="GI375">
        <v>39.82423868546455</v>
      </c>
      <c r="GJ375"/>
      <c r="GK375"/>
      <c r="GL375"/>
      <c r="GM375"/>
    </row>
    <row r="376" spans="1:195" s="7" customFormat="1">
      <c r="A376" s="95"/>
      <c r="B376" s="71">
        <f t="shared" si="356"/>
        <v>39747</v>
      </c>
      <c r="C376" s="18">
        <f t="shared" si="357"/>
        <v>360.20335926047147</v>
      </c>
      <c r="D376" s="18">
        <f t="shared" si="358"/>
        <v>121.38803802828687</v>
      </c>
      <c r="E376" s="19">
        <f t="shared" si="359"/>
        <v>0.33699862843452366</v>
      </c>
      <c r="F376" s="19">
        <f>IF(F390&lt;0,0,F390)</f>
        <v>0</v>
      </c>
      <c r="G376" s="18">
        <f>AVERAGE(E258:E267)*G$372</f>
        <v>0</v>
      </c>
      <c r="H376" s="18">
        <f t="shared" ref="H376:AK376" si="363">AVERAGE(F258:F267)*H$372</f>
        <v>0.22872939116379307</v>
      </c>
      <c r="I376" s="18">
        <f t="shared" si="363"/>
        <v>3.2376486828333926</v>
      </c>
      <c r="J376" s="18">
        <f t="shared" si="363"/>
        <v>10.740294946416</v>
      </c>
      <c r="K376" s="18">
        <f t="shared" si="363"/>
        <v>8.5000206494566601</v>
      </c>
      <c r="L376" s="18">
        <f t="shared" si="363"/>
        <v>17.911857962119274</v>
      </c>
      <c r="M376" s="18">
        <f t="shared" si="363"/>
        <v>39.020647204854768</v>
      </c>
      <c r="N376" s="18">
        <f t="shared" si="363"/>
        <v>19.454795357482972</v>
      </c>
      <c r="O376" s="18">
        <f t="shared" si="363"/>
        <v>22.294043833960014</v>
      </c>
      <c r="P376" s="18">
        <f t="shared" si="363"/>
        <v>0</v>
      </c>
      <c r="Q376" s="18">
        <f t="shared" si="363"/>
        <v>0</v>
      </c>
      <c r="R376" s="18">
        <f t="shared" si="363"/>
        <v>0</v>
      </c>
      <c r="S376" s="18">
        <f t="shared" si="363"/>
        <v>0</v>
      </c>
      <c r="T376" s="18">
        <f t="shared" si="363"/>
        <v>0</v>
      </c>
      <c r="U376" s="18">
        <f t="shared" si="363"/>
        <v>0</v>
      </c>
      <c r="V376" s="18">
        <f t="shared" si="363"/>
        <v>0</v>
      </c>
      <c r="W376" s="18">
        <f t="shared" si="363"/>
        <v>0</v>
      </c>
      <c r="X376" s="18">
        <f t="shared" si="363"/>
        <v>0</v>
      </c>
      <c r="Y376" s="18">
        <f t="shared" si="363"/>
        <v>0</v>
      </c>
      <c r="Z376" s="18">
        <f t="shared" si="363"/>
        <v>0</v>
      </c>
      <c r="AA376" s="18">
        <f t="shared" si="363"/>
        <v>0</v>
      </c>
      <c r="AB376" s="18">
        <f t="shared" si="363"/>
        <v>0</v>
      </c>
      <c r="AC376" s="18">
        <f t="shared" si="363"/>
        <v>0</v>
      </c>
      <c r="AD376" s="18">
        <f t="shared" si="363"/>
        <v>0</v>
      </c>
      <c r="AE376" s="18">
        <f t="shared" si="363"/>
        <v>0</v>
      </c>
      <c r="AF376" s="18">
        <f t="shared" si="363"/>
        <v>0</v>
      </c>
      <c r="AG376" s="18">
        <f t="shared" si="363"/>
        <v>0</v>
      </c>
      <c r="AH376" s="18">
        <f t="shared" si="363"/>
        <v>0</v>
      </c>
      <c r="AI376" s="18">
        <f t="shared" si="363"/>
        <v>0</v>
      </c>
      <c r="AJ376" s="18">
        <f t="shared" si="363"/>
        <v>0</v>
      </c>
      <c r="AK376" s="18">
        <f t="shared" si="363"/>
        <v>0</v>
      </c>
      <c r="AL376" s="78"/>
      <c r="AM376" s="43">
        <v>360</v>
      </c>
      <c r="AN376">
        <v>207.76939178097922</v>
      </c>
      <c r="AO376">
        <v>63.638188600275917</v>
      </c>
      <c r="AP376">
        <v>510.67856844346898</v>
      </c>
      <c r="AQ376">
        <v>387.48456442593556</v>
      </c>
      <c r="AR376">
        <v>63.747847890576772</v>
      </c>
      <c r="AS376">
        <v>293.42933251914974</v>
      </c>
      <c r="AT376">
        <v>31.328814095322031</v>
      </c>
      <c r="AU376">
        <v>110.92941872417332</v>
      </c>
      <c r="AV376"/>
      <c r="AW376"/>
      <c r="FY376" s="211">
        <v>371</v>
      </c>
      <c r="FZ376">
        <v>38.598874363266681</v>
      </c>
      <c r="GA376">
        <v>42.839818589631115</v>
      </c>
      <c r="GB376">
        <v>36.353218419541491</v>
      </c>
      <c r="GC376">
        <v>22.703301044929724</v>
      </c>
      <c r="GD376">
        <v>13.157888357458143</v>
      </c>
      <c r="GE376">
        <v>17.623417514182133</v>
      </c>
      <c r="GF376">
        <v>53.776477898432837</v>
      </c>
      <c r="GG376">
        <v>44.844204235887162</v>
      </c>
      <c r="GH376">
        <v>23.887529193968142</v>
      </c>
      <c r="GI376">
        <v>37.745390619478812</v>
      </c>
      <c r="GJ376"/>
      <c r="GK376"/>
      <c r="GL376"/>
      <c r="GM376"/>
    </row>
    <row r="377" spans="1:195" s="7" customFormat="1">
      <c r="A377" s="95"/>
      <c r="B377" s="71">
        <f t="shared" si="356"/>
        <v>39775</v>
      </c>
      <c r="C377" s="18">
        <f t="shared" si="357"/>
        <v>292.84812409812412</v>
      </c>
      <c r="D377" s="18">
        <f t="shared" si="358"/>
        <v>68.824830247768503</v>
      </c>
      <c r="E377" s="19">
        <f t="shared" si="359"/>
        <v>0.23501885306496786</v>
      </c>
      <c r="F377" s="19">
        <f>IF(F391&lt;0,0,F391)</f>
        <v>0</v>
      </c>
      <c r="G377" s="18">
        <f>AVERAGE(E268:E277)*G$372</f>
        <v>0</v>
      </c>
      <c r="H377" s="18">
        <f t="shared" ref="H377:AK377" si="364">AVERAGE(F268:F277)*H$372</f>
        <v>3.1032291666666666E-2</v>
      </c>
      <c r="I377" s="18">
        <f t="shared" si="364"/>
        <v>6.6117619883741829</v>
      </c>
      <c r="J377" s="18">
        <f t="shared" si="364"/>
        <v>5.2031165093863372</v>
      </c>
      <c r="K377" s="18">
        <f t="shared" si="364"/>
        <v>5.5170966699100319</v>
      </c>
      <c r="L377" s="18">
        <f t="shared" si="364"/>
        <v>2.1560569769217643</v>
      </c>
      <c r="M377" s="18">
        <f t="shared" si="364"/>
        <v>23.808788548485985</v>
      </c>
      <c r="N377" s="18">
        <f t="shared" si="364"/>
        <v>19.530201541039112</v>
      </c>
      <c r="O377" s="18">
        <f t="shared" si="364"/>
        <v>5.9667757219844324</v>
      </c>
      <c r="P377" s="18">
        <f t="shared" si="364"/>
        <v>0</v>
      </c>
      <c r="Q377" s="18">
        <f t="shared" si="364"/>
        <v>0</v>
      </c>
      <c r="R377" s="18">
        <f t="shared" si="364"/>
        <v>0</v>
      </c>
      <c r="S377" s="18">
        <f t="shared" si="364"/>
        <v>0</v>
      </c>
      <c r="T377" s="18">
        <f t="shared" si="364"/>
        <v>0</v>
      </c>
      <c r="U377" s="18">
        <f t="shared" si="364"/>
        <v>0</v>
      </c>
      <c r="V377" s="18">
        <f t="shared" si="364"/>
        <v>0</v>
      </c>
      <c r="W377" s="18">
        <f t="shared" si="364"/>
        <v>0</v>
      </c>
      <c r="X377" s="18">
        <f t="shared" si="364"/>
        <v>0</v>
      </c>
      <c r="Y377" s="18">
        <f t="shared" si="364"/>
        <v>0</v>
      </c>
      <c r="Z377" s="18">
        <f t="shared" si="364"/>
        <v>0</v>
      </c>
      <c r="AA377" s="18">
        <f t="shared" si="364"/>
        <v>0</v>
      </c>
      <c r="AB377" s="18">
        <f t="shared" si="364"/>
        <v>0</v>
      </c>
      <c r="AC377" s="18">
        <f t="shared" si="364"/>
        <v>0</v>
      </c>
      <c r="AD377" s="18">
        <f t="shared" si="364"/>
        <v>0</v>
      </c>
      <c r="AE377" s="18">
        <f t="shared" si="364"/>
        <v>0</v>
      </c>
      <c r="AF377" s="18">
        <f t="shared" si="364"/>
        <v>0</v>
      </c>
      <c r="AG377" s="18">
        <f t="shared" si="364"/>
        <v>0</v>
      </c>
      <c r="AH377" s="18">
        <f t="shared" si="364"/>
        <v>0</v>
      </c>
      <c r="AI377" s="18">
        <f t="shared" si="364"/>
        <v>0</v>
      </c>
      <c r="AJ377" s="18">
        <f t="shared" si="364"/>
        <v>0</v>
      </c>
      <c r="AK377" s="18">
        <f t="shared" si="364"/>
        <v>0</v>
      </c>
      <c r="AL377" s="78"/>
      <c r="AM377" s="43">
        <v>361</v>
      </c>
      <c r="AN377">
        <v>235.05586909797634</v>
      </c>
      <c r="AO377">
        <v>65.931685278811003</v>
      </c>
      <c r="AP377">
        <v>528.34920892360071</v>
      </c>
      <c r="AQ377">
        <v>393.23557764279252</v>
      </c>
      <c r="AR377">
        <v>63.913102266724678</v>
      </c>
      <c r="AS377">
        <v>331.87392226120687</v>
      </c>
      <c r="AT377">
        <v>29.345294062696624</v>
      </c>
      <c r="AU377">
        <v>-18.518127647283457</v>
      </c>
      <c r="AV377"/>
      <c r="AW377"/>
      <c r="FY377" s="211">
        <v>372</v>
      </c>
      <c r="FZ377">
        <v>84.49662951463381</v>
      </c>
      <c r="GA377">
        <v>87.891621506047727</v>
      </c>
      <c r="GB377">
        <v>39.229410566654344</v>
      </c>
      <c r="GC377">
        <v>21.550754608443867</v>
      </c>
      <c r="GD377">
        <v>14.407715430815434</v>
      </c>
      <c r="GE377">
        <v>23.212230867504612</v>
      </c>
      <c r="GF377">
        <v>62.517373280982447</v>
      </c>
      <c r="GG377">
        <v>59.243698211108175</v>
      </c>
      <c r="GH377">
        <v>24.126437375204219</v>
      </c>
      <c r="GI377">
        <v>47.904446813032486</v>
      </c>
      <c r="GJ377"/>
      <c r="GK377"/>
      <c r="GL377"/>
      <c r="GM377"/>
    </row>
    <row r="378" spans="1:195" s="7" customFormat="1">
      <c r="A378" s="95"/>
      <c r="B378" s="71">
        <f t="shared" si="356"/>
        <v>39799</v>
      </c>
      <c r="C378" s="18">
        <f t="shared" si="357"/>
        <v>241.96237789987794</v>
      </c>
      <c r="D378" s="18">
        <f t="shared" si="358"/>
        <v>75.639210919484157</v>
      </c>
      <c r="E378" s="19">
        <f t="shared" si="359"/>
        <v>0.31260732174975997</v>
      </c>
      <c r="F378" s="19">
        <f t="shared" ref="F378:F382" si="365">IF(F392&lt;0,0,F392)</f>
        <v>1.188675429510945E-2</v>
      </c>
      <c r="G378" s="18">
        <f>AVERAGE(E278:E287)*G$372</f>
        <v>1.7342273271139873E-2</v>
      </c>
      <c r="H378" s="18">
        <f t="shared" ref="H378:AK378" si="366">AVERAGE(F278:F287)*H$372</f>
        <v>0.58490754578754589</v>
      </c>
      <c r="I378" s="18">
        <f t="shared" si="366"/>
        <v>1.9921053516927762</v>
      </c>
      <c r="J378" s="18">
        <f t="shared" si="366"/>
        <v>0.49497371097219955</v>
      </c>
      <c r="K378" s="18">
        <f t="shared" si="366"/>
        <v>0.27092885432593905</v>
      </c>
      <c r="L378" s="18">
        <f t="shared" si="366"/>
        <v>3.9804128804709498</v>
      </c>
      <c r="M378" s="18">
        <f t="shared" si="366"/>
        <v>21.256962096358976</v>
      </c>
      <c r="N378" s="18">
        <f t="shared" si="366"/>
        <v>24.884040573524732</v>
      </c>
      <c r="O378" s="18">
        <f t="shared" si="366"/>
        <v>19.690359882548627</v>
      </c>
      <c r="P378" s="18">
        <f t="shared" si="366"/>
        <v>2.467177750531274</v>
      </c>
      <c r="Q378" s="18">
        <f t="shared" si="366"/>
        <v>0</v>
      </c>
      <c r="R378" s="18">
        <f t="shared" si="366"/>
        <v>0</v>
      </c>
      <c r="S378" s="18">
        <f t="shared" si="366"/>
        <v>0</v>
      </c>
      <c r="T378" s="18">
        <f t="shared" si="366"/>
        <v>0</v>
      </c>
      <c r="U378" s="18">
        <f t="shared" si="366"/>
        <v>0</v>
      </c>
      <c r="V378" s="18">
        <f t="shared" si="366"/>
        <v>0</v>
      </c>
      <c r="W378" s="18">
        <f t="shared" si="366"/>
        <v>0</v>
      </c>
      <c r="X378" s="18">
        <f t="shared" si="366"/>
        <v>0</v>
      </c>
      <c r="Y378" s="18">
        <f t="shared" si="366"/>
        <v>0</v>
      </c>
      <c r="Z378" s="18">
        <f t="shared" si="366"/>
        <v>0</v>
      </c>
      <c r="AA378" s="18">
        <f t="shared" si="366"/>
        <v>0</v>
      </c>
      <c r="AB378" s="18">
        <f t="shared" si="366"/>
        <v>0</v>
      </c>
      <c r="AC378" s="18">
        <f t="shared" si="366"/>
        <v>0</v>
      </c>
      <c r="AD378" s="18">
        <f t="shared" si="366"/>
        <v>0</v>
      </c>
      <c r="AE378" s="18">
        <f t="shared" si="366"/>
        <v>0</v>
      </c>
      <c r="AF378" s="18">
        <f t="shared" si="366"/>
        <v>0</v>
      </c>
      <c r="AG378" s="18">
        <f t="shared" si="366"/>
        <v>0</v>
      </c>
      <c r="AH378" s="18">
        <f t="shared" si="366"/>
        <v>0</v>
      </c>
      <c r="AI378" s="18">
        <f t="shared" si="366"/>
        <v>0</v>
      </c>
      <c r="AJ378" s="18">
        <f t="shared" si="366"/>
        <v>0</v>
      </c>
      <c r="AK378" s="18">
        <f t="shared" si="366"/>
        <v>0</v>
      </c>
      <c r="AL378" s="78"/>
      <c r="AM378" s="43">
        <v>362</v>
      </c>
      <c r="AN378">
        <v>190.03940656443166</v>
      </c>
      <c r="AO378">
        <v>52.193916506506199</v>
      </c>
      <c r="AP378">
        <v>372.25120629956353</v>
      </c>
      <c r="AQ378">
        <v>298.8967824106245</v>
      </c>
      <c r="AR378">
        <v>50.67779472165973</v>
      </c>
      <c r="AS378">
        <v>250.3323931580565</v>
      </c>
      <c r="AT378">
        <v>23.252767136364017</v>
      </c>
      <c r="AU378">
        <v>-1.4768922162906861</v>
      </c>
      <c r="AV378"/>
      <c r="AW378"/>
      <c r="FY378" s="211">
        <v>373</v>
      </c>
      <c r="FZ378">
        <v>168.70646501304091</v>
      </c>
      <c r="GA378">
        <v>192.61338013405134</v>
      </c>
      <c r="GB378">
        <v>51.230143970741565</v>
      </c>
      <c r="GC378">
        <v>27.499748623770017</v>
      </c>
      <c r="GD378">
        <v>15.148521173535984</v>
      </c>
      <c r="GE378">
        <v>26.4386635282928</v>
      </c>
      <c r="GF378">
        <v>40.463421715038521</v>
      </c>
      <c r="GG378">
        <v>25.006265616412243</v>
      </c>
      <c r="GH378">
        <v>23.556180323600284</v>
      </c>
      <c r="GI378">
        <v>59.244531975833155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7">+C10</f>
        <v>39847</v>
      </c>
      <c r="C379" s="18">
        <f t="shared" si="357"/>
        <v>159.31532118055557</v>
      </c>
      <c r="D379" s="18">
        <f t="shared" si="358"/>
        <v>48.652175803833281</v>
      </c>
      <c r="E379" s="19">
        <f t="shared" si="359"/>
        <v>0.30538290632257958</v>
      </c>
      <c r="F379" s="19">
        <f t="shared" si="365"/>
        <v>0</v>
      </c>
      <c r="G379" s="18">
        <f>AVERAGE(E288:E297)*G$372</f>
        <v>0</v>
      </c>
      <c r="H379" s="18">
        <f t="shared" ref="H379:AK379" si="368">AVERAGE(F288:F297)*H$372</f>
        <v>1.5516145833333331E-2</v>
      </c>
      <c r="I379" s="18">
        <f t="shared" si="368"/>
        <v>4.2383754642969205</v>
      </c>
      <c r="J379" s="18">
        <f t="shared" si="368"/>
        <v>1.185874515870895</v>
      </c>
      <c r="K379" s="18">
        <f t="shared" si="368"/>
        <v>1.4675312942655032</v>
      </c>
      <c r="L379" s="18">
        <f t="shared" si="368"/>
        <v>0</v>
      </c>
      <c r="M379" s="18">
        <f t="shared" si="368"/>
        <v>2.0439386631114398</v>
      </c>
      <c r="N379" s="18">
        <f t="shared" si="368"/>
        <v>32.141885740802778</v>
      </c>
      <c r="O379" s="18">
        <f t="shared" si="368"/>
        <v>4.4750817914883241</v>
      </c>
      <c r="P379" s="18">
        <f t="shared" si="368"/>
        <v>3.0839721881640925</v>
      </c>
      <c r="Q379" s="18">
        <f t="shared" si="368"/>
        <v>0</v>
      </c>
      <c r="R379" s="18">
        <f t="shared" si="368"/>
        <v>0</v>
      </c>
      <c r="S379" s="18">
        <f t="shared" si="368"/>
        <v>0</v>
      </c>
      <c r="T379" s="18">
        <f t="shared" si="368"/>
        <v>0</v>
      </c>
      <c r="U379" s="18">
        <f t="shared" si="368"/>
        <v>0</v>
      </c>
      <c r="V379" s="18">
        <f t="shared" si="368"/>
        <v>0</v>
      </c>
      <c r="W379" s="18">
        <f t="shared" si="368"/>
        <v>0</v>
      </c>
      <c r="X379" s="18">
        <f t="shared" si="368"/>
        <v>0</v>
      </c>
      <c r="Y379" s="18">
        <f t="shared" si="368"/>
        <v>0</v>
      </c>
      <c r="Z379" s="18">
        <f t="shared" si="368"/>
        <v>0</v>
      </c>
      <c r="AA379" s="18">
        <f t="shared" si="368"/>
        <v>0</v>
      </c>
      <c r="AB379" s="18">
        <f t="shared" si="368"/>
        <v>0</v>
      </c>
      <c r="AC379" s="18">
        <f t="shared" si="368"/>
        <v>0</v>
      </c>
      <c r="AD379" s="18">
        <f t="shared" si="368"/>
        <v>0</v>
      </c>
      <c r="AE379" s="18">
        <f t="shared" si="368"/>
        <v>0</v>
      </c>
      <c r="AF379" s="18">
        <f t="shared" si="368"/>
        <v>0</v>
      </c>
      <c r="AG379" s="18">
        <f t="shared" si="368"/>
        <v>0</v>
      </c>
      <c r="AH379" s="18">
        <f t="shared" si="368"/>
        <v>0</v>
      </c>
      <c r="AI379" s="18">
        <f t="shared" si="368"/>
        <v>0</v>
      </c>
      <c r="AJ379" s="18">
        <f t="shared" si="368"/>
        <v>0</v>
      </c>
      <c r="AK379" s="18">
        <f t="shared" si="368"/>
        <v>0</v>
      </c>
      <c r="AL379" s="78"/>
      <c r="AM379" s="43">
        <v>363</v>
      </c>
      <c r="AN379">
        <v>213.00150612916801</v>
      </c>
      <c r="AO379">
        <v>64.461263708110806</v>
      </c>
      <c r="AP379">
        <v>563.12445463898382</v>
      </c>
      <c r="AQ379">
        <v>429.07166121615495</v>
      </c>
      <c r="AR379">
        <v>62.831373649027356</v>
      </c>
      <c r="AS379">
        <v>307.96401647888285</v>
      </c>
      <c r="AT379">
        <v>31.33866066121163</v>
      </c>
      <c r="AU379">
        <v>29.809520759767224</v>
      </c>
      <c r="AV379"/>
      <c r="AW379"/>
      <c r="FY379" s="211">
        <v>374</v>
      </c>
      <c r="FZ379">
        <v>80.2510979158818</v>
      </c>
      <c r="GA379">
        <v>109.35969278346222</v>
      </c>
      <c r="GB379">
        <v>43.851657917715031</v>
      </c>
      <c r="GC379">
        <v>20.412424256845235</v>
      </c>
      <c r="GD379">
        <v>15.511421827852226</v>
      </c>
      <c r="GE379">
        <v>29.261608978337023</v>
      </c>
      <c r="GF379">
        <v>55.719312870810192</v>
      </c>
      <c r="GG379">
        <v>41.186994498538262</v>
      </c>
      <c r="GH379">
        <v>18.860761415094643</v>
      </c>
      <c r="GI379">
        <v>47.143162650057043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7"/>
        <v>39910</v>
      </c>
      <c r="C380" s="18">
        <f t="shared" si="357"/>
        <v>533.14393939393938</v>
      </c>
      <c r="D380" s="18">
        <f t="shared" si="358"/>
        <v>113.2396346277323</v>
      </c>
      <c r="E380" s="19">
        <f t="shared" si="359"/>
        <v>0.21239974097137712</v>
      </c>
      <c r="F380" s="19">
        <f t="shared" si="365"/>
        <v>0</v>
      </c>
      <c r="G380" s="18">
        <f>AVERAGE(E298:E307)*G$372</f>
        <v>0</v>
      </c>
      <c r="H380" s="18">
        <f t="shared" ref="H380:AK380" si="369">AVERAGE(F298:F307)*H$372</f>
        <v>0.31032291666666667</v>
      </c>
      <c r="I380" s="18">
        <f t="shared" si="369"/>
        <v>8.6113025306350117</v>
      </c>
      <c r="J380" s="18">
        <f t="shared" si="369"/>
        <v>24.186215422505207</v>
      </c>
      <c r="K380" s="18">
        <f t="shared" si="369"/>
        <v>0</v>
      </c>
      <c r="L380" s="18">
        <f t="shared" si="369"/>
        <v>0</v>
      </c>
      <c r="M380" s="18">
        <f t="shared" si="369"/>
        <v>3.2703018609783037</v>
      </c>
      <c r="N380" s="18">
        <f t="shared" si="369"/>
        <v>38.457153613629131</v>
      </c>
      <c r="O380" s="18">
        <f t="shared" si="369"/>
        <v>38.404338283317983</v>
      </c>
      <c r="P380" s="18">
        <f t="shared" si="369"/>
        <v>0</v>
      </c>
      <c r="Q380" s="18">
        <f t="shared" si="369"/>
        <v>0</v>
      </c>
      <c r="R380" s="18">
        <f t="shared" si="369"/>
        <v>0</v>
      </c>
      <c r="S380" s="18">
        <f t="shared" si="369"/>
        <v>0</v>
      </c>
      <c r="T380" s="18">
        <f t="shared" si="369"/>
        <v>0</v>
      </c>
      <c r="U380" s="18">
        <f t="shared" si="369"/>
        <v>0</v>
      </c>
      <c r="V380" s="18">
        <f t="shared" si="369"/>
        <v>0</v>
      </c>
      <c r="W380" s="18">
        <f t="shared" si="369"/>
        <v>0</v>
      </c>
      <c r="X380" s="18">
        <f t="shared" si="369"/>
        <v>0</v>
      </c>
      <c r="Y380" s="18">
        <f t="shared" si="369"/>
        <v>0</v>
      </c>
      <c r="Z380" s="18">
        <f t="shared" si="369"/>
        <v>0</v>
      </c>
      <c r="AA380" s="18">
        <f t="shared" si="369"/>
        <v>0</v>
      </c>
      <c r="AB380" s="18">
        <f t="shared" si="369"/>
        <v>0</v>
      </c>
      <c r="AC380" s="18">
        <f t="shared" si="369"/>
        <v>0</v>
      </c>
      <c r="AD380" s="18">
        <f t="shared" si="369"/>
        <v>0</v>
      </c>
      <c r="AE380" s="18">
        <f t="shared" si="369"/>
        <v>0</v>
      </c>
      <c r="AF380" s="18">
        <f t="shared" si="369"/>
        <v>0</v>
      </c>
      <c r="AG380" s="18">
        <f t="shared" si="369"/>
        <v>0</v>
      </c>
      <c r="AH380" s="18">
        <f t="shared" si="369"/>
        <v>0</v>
      </c>
      <c r="AI380" s="18">
        <f t="shared" si="369"/>
        <v>0</v>
      </c>
      <c r="AJ380" s="18">
        <f t="shared" si="369"/>
        <v>0</v>
      </c>
      <c r="AK380" s="18">
        <f t="shared" si="369"/>
        <v>0</v>
      </c>
      <c r="AL380" s="78"/>
      <c r="AM380" s="43">
        <v>364</v>
      </c>
      <c r="AN380">
        <v>216.51121059263406</v>
      </c>
      <c r="AO380">
        <v>64.519174344987761</v>
      </c>
      <c r="AP380">
        <v>490.06999980068935</v>
      </c>
      <c r="AQ380">
        <v>369.32393964347682</v>
      </c>
      <c r="AR380">
        <v>63.584282135408884</v>
      </c>
      <c r="AS380">
        <v>310.81164883139087</v>
      </c>
      <c r="AT380">
        <v>29.932293737814657</v>
      </c>
      <c r="AU380">
        <v>122.88073828971369</v>
      </c>
      <c r="AV380"/>
      <c r="AW380"/>
      <c r="FY380" s="211">
        <v>375</v>
      </c>
      <c r="FZ380">
        <v>39.424967410055842</v>
      </c>
      <c r="GA380">
        <v>41.417707705677245</v>
      </c>
      <c r="GB380">
        <v>45.439535919806914</v>
      </c>
      <c r="GC380">
        <v>20.867291763410812</v>
      </c>
      <c r="GD380">
        <v>11.223025537447379</v>
      </c>
      <c r="GE380">
        <v>25.985824345578521</v>
      </c>
      <c r="GF380">
        <v>57.888354153842904</v>
      </c>
      <c r="GG380">
        <v>45.993093353489904</v>
      </c>
      <c r="GH380">
        <v>21.373082899233811</v>
      </c>
      <c r="GI380">
        <v>39.556883574196412</v>
      </c>
      <c r="GJ380"/>
      <c r="GK380"/>
      <c r="GL380"/>
      <c r="GM380"/>
    </row>
    <row r="381" spans="1:195" s="7" customFormat="1">
      <c r="A381" s="1"/>
      <c r="B381" s="71">
        <f t="shared" si="367"/>
        <v>39949</v>
      </c>
      <c r="C381" s="18">
        <f t="shared" si="357"/>
        <v>28.924086757990864</v>
      </c>
      <c r="D381" s="18">
        <f t="shared" si="358"/>
        <v>21.746239643020694</v>
      </c>
      <c r="E381" s="19">
        <f t="shared" si="359"/>
        <v>0.75183841844247179</v>
      </c>
      <c r="F381" s="19">
        <f t="shared" si="365"/>
        <v>3.2411573382943433E-2</v>
      </c>
      <c r="G381" s="18">
        <f>AVERAGE(E308:E317)*G$372</f>
        <v>0</v>
      </c>
      <c r="H381" s="18">
        <f t="shared" ref="H381:AK381" si="370">AVERAGE(F308:F317)*H$372</f>
        <v>0</v>
      </c>
      <c r="I381" s="18">
        <f t="shared" si="370"/>
        <v>0.50780283677064897</v>
      </c>
      <c r="J381" s="18">
        <f t="shared" si="370"/>
        <v>0</v>
      </c>
      <c r="K381" s="18">
        <f t="shared" si="370"/>
        <v>1.4585621883574524</v>
      </c>
      <c r="L381" s="18">
        <f t="shared" si="370"/>
        <v>0</v>
      </c>
      <c r="M381" s="18">
        <f t="shared" si="370"/>
        <v>0</v>
      </c>
      <c r="N381" s="18">
        <f t="shared" si="370"/>
        <v>4.9768081147049461</v>
      </c>
      <c r="O381" s="18">
        <f t="shared" si="370"/>
        <v>0</v>
      </c>
      <c r="P381" s="18">
        <f t="shared" si="370"/>
        <v>14.803066503187646</v>
      </c>
      <c r="Q381" s="18">
        <f t="shared" si="370"/>
        <v>0</v>
      </c>
      <c r="R381" s="18">
        <f t="shared" si="370"/>
        <v>0</v>
      </c>
      <c r="S381" s="18">
        <f t="shared" si="370"/>
        <v>0</v>
      </c>
      <c r="T381" s="18">
        <f t="shared" si="370"/>
        <v>0</v>
      </c>
      <c r="U381" s="18">
        <f t="shared" si="370"/>
        <v>0</v>
      </c>
      <c r="V381" s="18">
        <f t="shared" si="370"/>
        <v>0</v>
      </c>
      <c r="W381" s="18">
        <f t="shared" si="370"/>
        <v>0</v>
      </c>
      <c r="X381" s="18">
        <f t="shared" si="370"/>
        <v>0</v>
      </c>
      <c r="Y381" s="18">
        <f t="shared" si="370"/>
        <v>0</v>
      </c>
      <c r="Z381" s="18">
        <f t="shared" si="370"/>
        <v>0</v>
      </c>
      <c r="AA381" s="18">
        <f t="shared" si="370"/>
        <v>0</v>
      </c>
      <c r="AB381" s="18">
        <f t="shared" si="370"/>
        <v>0</v>
      </c>
      <c r="AC381" s="18">
        <f t="shared" si="370"/>
        <v>0</v>
      </c>
      <c r="AD381" s="18">
        <f t="shared" si="370"/>
        <v>0</v>
      </c>
      <c r="AE381" s="18">
        <f t="shared" si="370"/>
        <v>0</v>
      </c>
      <c r="AF381" s="18">
        <f t="shared" si="370"/>
        <v>0</v>
      </c>
      <c r="AG381" s="18">
        <f t="shared" si="370"/>
        <v>0</v>
      </c>
      <c r="AH381" s="18">
        <f t="shared" si="370"/>
        <v>0</v>
      </c>
      <c r="AI381" s="18">
        <f t="shared" si="370"/>
        <v>0</v>
      </c>
      <c r="AJ381" s="18">
        <f t="shared" si="370"/>
        <v>0</v>
      </c>
      <c r="AK381" s="18">
        <f t="shared" si="370"/>
        <v>0</v>
      </c>
      <c r="AL381" s="78"/>
      <c r="AM381" s="43">
        <v>365</v>
      </c>
      <c r="AN381">
        <v>217.34534891044819</v>
      </c>
      <c r="AO381">
        <v>65.217818348775154</v>
      </c>
      <c r="AP381">
        <v>560.32065454734118</v>
      </c>
      <c r="AQ381">
        <v>436.67195081825344</v>
      </c>
      <c r="AR381">
        <v>63.866131400020166</v>
      </c>
      <c r="AS381">
        <v>305.55353139875717</v>
      </c>
      <c r="AT381">
        <v>32.959330749445506</v>
      </c>
      <c r="AU381">
        <v>13.182156098640192</v>
      </c>
      <c r="AV381"/>
      <c r="AW381"/>
      <c r="FY381" s="211">
        <v>376</v>
      </c>
      <c r="FZ381">
        <v>110.67822640896537</v>
      </c>
      <c r="GA381">
        <v>121.11650221239162</v>
      </c>
      <c r="GB381">
        <v>26.722856664077312</v>
      </c>
      <c r="GC381">
        <v>22.094284389244759</v>
      </c>
      <c r="GD381">
        <v>14.527304231357537</v>
      </c>
      <c r="GE381">
        <v>18.937820181303916</v>
      </c>
      <c r="GF381">
        <v>69.203489678789325</v>
      </c>
      <c r="GG381">
        <v>58.155402795867758</v>
      </c>
      <c r="GH381">
        <v>14.390194129041475</v>
      </c>
      <c r="GI381">
        <v>48.367902217573665</v>
      </c>
      <c r="GJ381"/>
      <c r="GK381"/>
      <c r="GL381"/>
      <c r="GM381"/>
    </row>
    <row r="382" spans="1:195" s="7" customFormat="1">
      <c r="A382" s="1"/>
      <c r="B382" s="71">
        <f t="shared" si="367"/>
        <v>39987</v>
      </c>
      <c r="C382" s="18">
        <f t="shared" si="357"/>
        <v>164.08547689653466</v>
      </c>
      <c r="D382" s="18">
        <f t="shared" si="358"/>
        <v>44.548758286524887</v>
      </c>
      <c r="E382" s="19">
        <f t="shared" si="359"/>
        <v>0.27149726550519426</v>
      </c>
      <c r="F382" s="19">
        <f t="shared" si="365"/>
        <v>0</v>
      </c>
      <c r="G382" s="18">
        <f>AVERAGE(E318:E327)*G$372</f>
        <v>0</v>
      </c>
      <c r="H382" s="18">
        <f t="shared" ref="H382:AK382" si="371">AVERAGE(F318:F327)*H$372</f>
        <v>0</v>
      </c>
      <c r="I382" s="18">
        <f t="shared" si="371"/>
        <v>0.45491255928205787</v>
      </c>
      <c r="J382" s="18">
        <f t="shared" si="371"/>
        <v>11.945017292713562</v>
      </c>
      <c r="K382" s="18">
        <f t="shared" si="371"/>
        <v>2.0175552981718865</v>
      </c>
      <c r="L382" s="18">
        <f t="shared" si="371"/>
        <v>13.658279491812083</v>
      </c>
      <c r="M382" s="18">
        <f t="shared" si="371"/>
        <v>6.5406037219566073</v>
      </c>
      <c r="N382" s="18">
        <f t="shared" si="371"/>
        <v>7.46521217205742</v>
      </c>
      <c r="O382" s="18">
        <f t="shared" si="371"/>
        <v>0</v>
      </c>
      <c r="P382" s="18">
        <f t="shared" si="371"/>
        <v>2.467177750531274</v>
      </c>
      <c r="Q382" s="18">
        <f t="shared" si="371"/>
        <v>0</v>
      </c>
      <c r="R382" s="18">
        <f t="shared" si="371"/>
        <v>0</v>
      </c>
      <c r="S382" s="18">
        <f t="shared" si="371"/>
        <v>0</v>
      </c>
      <c r="T382" s="18">
        <f t="shared" si="371"/>
        <v>0</v>
      </c>
      <c r="U382" s="18">
        <f t="shared" si="371"/>
        <v>0</v>
      </c>
      <c r="V382" s="18">
        <f t="shared" si="371"/>
        <v>0</v>
      </c>
      <c r="W382" s="18">
        <f t="shared" si="371"/>
        <v>0</v>
      </c>
      <c r="X382" s="18">
        <f t="shared" si="371"/>
        <v>0</v>
      </c>
      <c r="Y382" s="18">
        <f t="shared" si="371"/>
        <v>0</v>
      </c>
      <c r="Z382" s="18">
        <f t="shared" si="371"/>
        <v>0</v>
      </c>
      <c r="AA382" s="18">
        <f t="shared" si="371"/>
        <v>0</v>
      </c>
      <c r="AB382" s="18">
        <f t="shared" si="371"/>
        <v>0</v>
      </c>
      <c r="AC382" s="18">
        <f t="shared" si="371"/>
        <v>0</v>
      </c>
      <c r="AD382" s="18">
        <f t="shared" si="371"/>
        <v>0</v>
      </c>
      <c r="AE382" s="18">
        <f t="shared" si="371"/>
        <v>0</v>
      </c>
      <c r="AF382" s="18">
        <f t="shared" si="371"/>
        <v>0</v>
      </c>
      <c r="AG382" s="18">
        <f t="shared" si="371"/>
        <v>0</v>
      </c>
      <c r="AH382" s="18">
        <f t="shared" si="371"/>
        <v>0</v>
      </c>
      <c r="AI382" s="18">
        <f t="shared" si="371"/>
        <v>0</v>
      </c>
      <c r="AJ382" s="18">
        <f t="shared" si="371"/>
        <v>0</v>
      </c>
      <c r="AK382" s="18">
        <f t="shared" si="371"/>
        <v>0</v>
      </c>
      <c r="AL382" s="78"/>
      <c r="AM382" s="43">
        <v>366</v>
      </c>
      <c r="AN382">
        <v>224.68795894397067</v>
      </c>
      <c r="AO382">
        <v>63.628592949231077</v>
      </c>
      <c r="AP382">
        <v>485.63464934115018</v>
      </c>
      <c r="AQ382">
        <v>394.38958769669983</v>
      </c>
      <c r="AR382">
        <v>61.384726257273371</v>
      </c>
      <c r="AS382">
        <v>315.48485544586401</v>
      </c>
      <c r="AT382">
        <v>30.630034094012768</v>
      </c>
      <c r="AU382">
        <v>-42.530098653147618</v>
      </c>
      <c r="AV382"/>
      <c r="AW382"/>
      <c r="FY382" s="211">
        <v>377</v>
      </c>
      <c r="FZ382">
        <v>82.574803938571037</v>
      </c>
      <c r="GA382">
        <v>108.7302753987743</v>
      </c>
      <c r="GB382">
        <v>52.906303575941095</v>
      </c>
      <c r="GC382">
        <v>32.064048138782887</v>
      </c>
      <c r="GD382">
        <v>15.876809049726171</v>
      </c>
      <c r="GE382">
        <v>20.15891406550773</v>
      </c>
      <c r="GF382">
        <v>24.697307650352382</v>
      </c>
      <c r="GG382">
        <v>20.763912442469334</v>
      </c>
      <c r="GH382">
        <v>34.510689825690704</v>
      </c>
      <c r="GI382">
        <v>46.409520803459053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217.39420183926774</v>
      </c>
      <c r="AO383">
        <v>60.912222215141256</v>
      </c>
      <c r="AP383">
        <v>518.97904240387925</v>
      </c>
      <c r="AQ383">
        <v>407.11752412526653</v>
      </c>
      <c r="AR383">
        <v>59.988893122361659</v>
      </c>
      <c r="AS383">
        <v>283.68367768780087</v>
      </c>
      <c r="AT383">
        <v>30.034466378691274</v>
      </c>
      <c r="AU383">
        <v>-46.606949546751189</v>
      </c>
      <c r="AV383"/>
      <c r="AW383"/>
      <c r="FY383" s="211">
        <v>378</v>
      </c>
      <c r="FZ383">
        <v>105.61017114667089</v>
      </c>
      <c r="GA383">
        <v>127.0335192189865</v>
      </c>
      <c r="GB383">
        <v>42.673115824505487</v>
      </c>
      <c r="GC383">
        <v>24.087988783589719</v>
      </c>
      <c r="GD383">
        <v>11.831875872734765</v>
      </c>
      <c r="GE383">
        <v>22.098713903881514</v>
      </c>
      <c r="GF383">
        <v>27.263035474030964</v>
      </c>
      <c r="GG383">
        <v>15.284485210485627</v>
      </c>
      <c r="GH383">
        <v>20.2876393447103</v>
      </c>
      <c r="GI383">
        <v>42.415228568011251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204.03476225520524</v>
      </c>
      <c r="AO384">
        <v>60.056209487619341</v>
      </c>
      <c r="AP384">
        <v>420.92158095045068</v>
      </c>
      <c r="AQ384">
        <v>340.41284610060768</v>
      </c>
      <c r="AR384">
        <v>58.896024686767319</v>
      </c>
      <c r="AS384">
        <v>276.32128232414107</v>
      </c>
      <c r="AT384">
        <v>27.987724061182984</v>
      </c>
      <c r="AU384">
        <v>65.997628556713124</v>
      </c>
      <c r="AV384"/>
      <c r="AW384"/>
      <c r="FY384" s="211">
        <v>379</v>
      </c>
      <c r="FZ384">
        <v>30.950234285465868</v>
      </c>
      <c r="GA384">
        <v>57.963827177769765</v>
      </c>
      <c r="GB384">
        <v>67.12565011159738</v>
      </c>
      <c r="GC384">
        <v>32.270987242537245</v>
      </c>
      <c r="GD384">
        <v>15.238284396780058</v>
      </c>
      <c r="GE384">
        <v>30.987520084629658</v>
      </c>
      <c r="GF384">
        <v>67.477116223200596</v>
      </c>
      <c r="GG384">
        <v>50.157179396097938</v>
      </c>
      <c r="GH384">
        <v>13.7481412401611</v>
      </c>
      <c r="GI384">
        <v>46.971146005211558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167.86431160492228</v>
      </c>
      <c r="AO385">
        <v>67.067340761239251</v>
      </c>
      <c r="AP385">
        <v>578.33891082620096</v>
      </c>
      <c r="AQ385">
        <v>466.93118926374245</v>
      </c>
      <c r="AR385">
        <v>65.728155128942376</v>
      </c>
      <c r="AS385">
        <v>291.66012874656184</v>
      </c>
      <c r="AT385">
        <v>35.398956381071997</v>
      </c>
      <c r="AU385">
        <v>-32.663257034941701</v>
      </c>
      <c r="AV385"/>
      <c r="AW385"/>
      <c r="FY385" s="211">
        <v>380</v>
      </c>
      <c r="FZ385">
        <v>116.31108076537814</v>
      </c>
      <c r="GA385">
        <v>133.49517313205024</v>
      </c>
      <c r="GB385">
        <v>46.719117165974339</v>
      </c>
      <c r="GC385">
        <v>22.830550476325161</v>
      </c>
      <c r="GD385">
        <v>12.43622285498577</v>
      </c>
      <c r="GE385">
        <v>22.729043853894503</v>
      </c>
      <c r="GF385">
        <v>55.926663959621806</v>
      </c>
      <c r="GG385">
        <v>46.451334101527578</v>
      </c>
      <c r="GH385">
        <v>27.084581755476481</v>
      </c>
      <c r="GI385">
        <v>52.406381310009174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219.24499015599855</v>
      </c>
      <c r="AO386">
        <v>59.180145130258367</v>
      </c>
      <c r="AP386">
        <v>463.22631294833809</v>
      </c>
      <c r="AQ386">
        <v>354.93280105699131</v>
      </c>
      <c r="AR386">
        <v>57.030830377428096</v>
      </c>
      <c r="AS386">
        <v>274.72986269383802</v>
      </c>
      <c r="AT386">
        <v>26.204713192123453</v>
      </c>
      <c r="AU386">
        <v>29.567566313165102</v>
      </c>
      <c r="AV386"/>
      <c r="AW386"/>
      <c r="FY386" s="211">
        <v>381</v>
      </c>
      <c r="FZ386">
        <v>36.406936955077398</v>
      </c>
      <c r="GA386">
        <v>42.510875945776654</v>
      </c>
      <c r="GB386">
        <v>48.745091131732799</v>
      </c>
      <c r="GC386">
        <v>26.808570747616294</v>
      </c>
      <c r="GD386">
        <v>16.243376840068979</v>
      </c>
      <c r="GE386">
        <v>28.329176919268743</v>
      </c>
      <c r="GF386">
        <v>66.798143403056656</v>
      </c>
      <c r="GG386">
        <v>57.294445268165532</v>
      </c>
      <c r="GH386">
        <v>32.181788730375885</v>
      </c>
      <c r="GI386">
        <v>46.825366922725891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216.6268196040738</v>
      </c>
      <c r="AO387">
        <v>54.894124472593418</v>
      </c>
      <c r="AP387">
        <v>431.50695250249942</v>
      </c>
      <c r="AQ387">
        <v>331.53012023677627</v>
      </c>
      <c r="AR387">
        <v>54.233141029851694</v>
      </c>
      <c r="AS387">
        <v>251.37583737092064</v>
      </c>
      <c r="AT387">
        <v>25.77636260640023</v>
      </c>
      <c r="AU387">
        <v>30.590179440862954</v>
      </c>
      <c r="AV387"/>
      <c r="AW387"/>
      <c r="FY387" s="211">
        <v>382</v>
      </c>
      <c r="FZ387">
        <v>32.177141271306546</v>
      </c>
      <c r="GA387">
        <v>58.41551365767652</v>
      </c>
      <c r="GB387">
        <v>40.366775423873605</v>
      </c>
      <c r="GC387">
        <v>21.694491917353869</v>
      </c>
      <c r="GD387">
        <v>16.676559888099369</v>
      </c>
      <c r="GE387">
        <v>25.571629974161151</v>
      </c>
      <c r="GF387">
        <v>57.669544316175973</v>
      </c>
      <c r="GG387">
        <v>40.187833683916267</v>
      </c>
      <c r="GH387">
        <v>11.732475389635791</v>
      </c>
      <c r="GI387">
        <v>39.060564424134803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2">IF(C374&lt;1,0,LN(E374/E373)/E21)</f>
        <v>3.7099477208066771E-2</v>
      </c>
      <c r="G388" s="13"/>
      <c r="H388" s="19">
        <f>IF(G406&lt;0,0,G406)</f>
        <v>0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214.15598028518875</v>
      </c>
      <c r="AO388">
        <v>71.243399177445752</v>
      </c>
      <c r="AP388">
        <v>594.72537076405104</v>
      </c>
      <c r="AQ388">
        <v>464.58031817442708</v>
      </c>
      <c r="AR388">
        <v>69.491530632066059</v>
      </c>
      <c r="AS388">
        <v>336.82675403904153</v>
      </c>
      <c r="AT388">
        <v>33.666588272267539</v>
      </c>
      <c r="AU388">
        <v>23.318142260202734</v>
      </c>
      <c r="AV388"/>
      <c r="AW388"/>
      <c r="FY388" s="211">
        <v>383</v>
      </c>
      <c r="FZ388">
        <v>21.239588658037551</v>
      </c>
      <c r="GA388">
        <v>49.399206382756276</v>
      </c>
      <c r="GB388">
        <v>63.226463921700834</v>
      </c>
      <c r="GC388">
        <v>39.374267355576841</v>
      </c>
      <c r="GD388">
        <v>15.197186649005815</v>
      </c>
      <c r="GE388">
        <v>16.551594631367241</v>
      </c>
      <c r="GF388">
        <v>37.764335584577481</v>
      </c>
      <c r="GG388">
        <v>21.010778296833525</v>
      </c>
      <c r="GH388">
        <v>12.494759984812648</v>
      </c>
      <c r="GI388">
        <v>38.282829158602013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2"/>
        <v>-1.6452437287983211E-2</v>
      </c>
      <c r="G389" s="13"/>
      <c r="H389" s="19">
        <f t="shared" ref="H389:H398" si="373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214.90925966667783</v>
      </c>
      <c r="AO389">
        <v>87.947210788048778</v>
      </c>
      <c r="AP389">
        <v>781.80333522107992</v>
      </c>
      <c r="AQ389">
        <v>629.90732207431688</v>
      </c>
      <c r="AR389">
        <v>85.697110693522347</v>
      </c>
      <c r="AS389">
        <v>390.82504092800781</v>
      </c>
      <c r="AT389">
        <v>47.25844346945123</v>
      </c>
      <c r="AU389">
        <v>-0.80141578986156503</v>
      </c>
      <c r="AV389"/>
      <c r="AW389"/>
      <c r="FY389" s="211">
        <v>384</v>
      </c>
      <c r="FZ389">
        <v>81.404874744543747</v>
      </c>
      <c r="GA389">
        <v>90.361306046239804</v>
      </c>
      <c r="GB389">
        <v>34.88628041573952</v>
      </c>
      <c r="GC389">
        <v>22.982634611297872</v>
      </c>
      <c r="GD389">
        <v>13.027974253983675</v>
      </c>
      <c r="GE389">
        <v>18.156062705474938</v>
      </c>
      <c r="GF389">
        <v>51.021744750250377</v>
      </c>
      <c r="GG389">
        <v>39.219087429782334</v>
      </c>
      <c r="GH389">
        <v>28.458417825018575</v>
      </c>
      <c r="GI389">
        <v>43.765348690453443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2"/>
        <v>-3.4242139159782786E-3</v>
      </c>
      <c r="G390" s="13"/>
      <c r="H390" s="19">
        <f t="shared" si="373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242.25712112798811</v>
      </c>
      <c r="AO390">
        <v>70.913112590510906</v>
      </c>
      <c r="AP390">
        <v>591.27452511979675</v>
      </c>
      <c r="AQ390">
        <v>461.55813511459371</v>
      </c>
      <c r="AR390">
        <v>68.155710937214508</v>
      </c>
      <c r="AS390">
        <v>315.11407066496224</v>
      </c>
      <c r="AT390">
        <v>32.481238869225407</v>
      </c>
      <c r="AU390">
        <v>58.038205100803502</v>
      </c>
      <c r="AV390"/>
      <c r="AW390"/>
      <c r="FY390" s="211">
        <v>385</v>
      </c>
      <c r="FZ390">
        <v>80.782266665009899</v>
      </c>
      <c r="GA390">
        <v>99.435587917283129</v>
      </c>
      <c r="GB390">
        <v>58.077983241412255</v>
      </c>
      <c r="GC390">
        <v>30.564694244552399</v>
      </c>
      <c r="GD390">
        <v>13.955521978741578</v>
      </c>
      <c r="GE390">
        <v>25.927280248075967</v>
      </c>
      <c r="GF390">
        <v>42.450166558247254</v>
      </c>
      <c r="GG390">
        <v>27.808660537531782</v>
      </c>
      <c r="GH390">
        <v>23.488247831377702</v>
      </c>
      <c r="GI390">
        <v>47.590589597478392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2"/>
        <v>-1.2871897274365546E-2</v>
      </c>
      <c r="G391" s="13"/>
      <c r="H391" s="19">
        <f t="shared" si="373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197.51528573569126</v>
      </c>
      <c r="AO391">
        <v>58.258728970981757</v>
      </c>
      <c r="AP391">
        <v>462.99463100816627</v>
      </c>
      <c r="AQ391">
        <v>349.16976666273973</v>
      </c>
      <c r="AR391">
        <v>56.923349440851339</v>
      </c>
      <c r="AS391">
        <v>293.20727959326621</v>
      </c>
      <c r="AT391">
        <v>25.60460423529922</v>
      </c>
      <c r="AU391">
        <v>70.944314340546399</v>
      </c>
      <c r="AV391"/>
      <c r="AW391"/>
      <c r="FY391" s="211">
        <v>386</v>
      </c>
      <c r="FZ391">
        <v>157.43370340749433</v>
      </c>
      <c r="GA391">
        <v>188.569369117897</v>
      </c>
      <c r="GB391">
        <v>53.090775252338268</v>
      </c>
      <c r="GC391">
        <v>28.304390263560585</v>
      </c>
      <c r="GD391">
        <v>16.216512331013497</v>
      </c>
      <c r="GE391">
        <v>29.594490700280215</v>
      </c>
      <c r="GF391">
        <v>57.610054649563246</v>
      </c>
      <c r="GG391">
        <v>47.026502606846037</v>
      </c>
      <c r="GH391">
        <v>25.805628392877715</v>
      </c>
      <c r="GI391">
        <v>62.540420995446212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2"/>
        <v>1.188675429510945E-2</v>
      </c>
      <c r="G392" s="13"/>
      <c r="H392" s="19">
        <f t="shared" si="373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227.85904388387934</v>
      </c>
      <c r="AO392">
        <v>73.685718918963616</v>
      </c>
      <c r="AP392">
        <v>635.26809824636018</v>
      </c>
      <c r="AQ392">
        <v>504.19398290861267</v>
      </c>
      <c r="AR392">
        <v>70.194743399043162</v>
      </c>
      <c r="AS392">
        <v>343.20019597091346</v>
      </c>
      <c r="AT392">
        <v>36.142696883171787</v>
      </c>
      <c r="AU392">
        <v>40.800453987303349</v>
      </c>
      <c r="AV392"/>
      <c r="AW392"/>
      <c r="FY392" s="211">
        <v>387</v>
      </c>
      <c r="FZ392">
        <v>69.663723925262403</v>
      </c>
      <c r="GA392">
        <v>91.15791269771421</v>
      </c>
      <c r="GB392">
        <v>49.850036655019402</v>
      </c>
      <c r="GC392">
        <v>27.515554095898356</v>
      </c>
      <c r="GD392">
        <v>14.202482893961262</v>
      </c>
      <c r="GE392">
        <v>19.846159104344203</v>
      </c>
      <c r="GF392">
        <v>36.153329829797897</v>
      </c>
      <c r="GG392">
        <v>29.30332976291637</v>
      </c>
      <c r="GH392">
        <v>27.844246004473675</v>
      </c>
      <c r="GI392">
        <v>43.624423281009761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2"/>
        <v>-4.8711291745843154E-4</v>
      </c>
      <c r="G393" s="13"/>
      <c r="H393" s="19">
        <f t="shared" si="373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195.79587018323826</v>
      </c>
      <c r="AO393">
        <v>69.119951288716877</v>
      </c>
      <c r="AP393">
        <v>555.32600012050739</v>
      </c>
      <c r="AQ393">
        <v>438.6925848892746</v>
      </c>
      <c r="AR393">
        <v>67.087448153604868</v>
      </c>
      <c r="AS393">
        <v>309.84594842942215</v>
      </c>
      <c r="AT393">
        <v>34.329346685204975</v>
      </c>
      <c r="AU393">
        <v>-61.700617028996795</v>
      </c>
      <c r="AV393"/>
      <c r="AW393"/>
      <c r="FY393" s="211">
        <v>388</v>
      </c>
      <c r="FZ393">
        <v>65.411870174051131</v>
      </c>
      <c r="GA393">
        <v>93.271250346910321</v>
      </c>
      <c r="GB393">
        <v>50.705013657855112</v>
      </c>
      <c r="GC393">
        <v>23.235133106052967</v>
      </c>
      <c r="GD393">
        <v>12.111102318442574</v>
      </c>
      <c r="GE393">
        <v>26.816835085562676</v>
      </c>
      <c r="GF393">
        <v>68.284309000298393</v>
      </c>
      <c r="GG393">
        <v>52.954116272678348</v>
      </c>
      <c r="GH393">
        <v>26.816038438518724</v>
      </c>
      <c r="GI393">
        <v>47.984984547517676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2"/>
        <v>-5.7634341261003103E-3</v>
      </c>
      <c r="G394" s="13"/>
      <c r="H394" s="19">
        <f t="shared" si="373"/>
        <v>3.332458157592269E-3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164.79899492182244</v>
      </c>
      <c r="AO394">
        <v>63.370552993193222</v>
      </c>
      <c r="AP394">
        <v>542.81270178902093</v>
      </c>
      <c r="AQ394">
        <v>438.58577334760696</v>
      </c>
      <c r="AR394">
        <v>60.786567651083423</v>
      </c>
      <c r="AS394">
        <v>316.12428572093222</v>
      </c>
      <c r="AT394">
        <v>34.947666118898553</v>
      </c>
      <c r="AU394">
        <v>-13.657790796188664</v>
      </c>
      <c r="AV394"/>
      <c r="AW394"/>
      <c r="FY394" s="211">
        <v>389</v>
      </c>
      <c r="FZ394">
        <v>165.83819136553598</v>
      </c>
      <c r="GA394">
        <v>187.01862614085255</v>
      </c>
      <c r="GB394">
        <v>33.379178535071844</v>
      </c>
      <c r="GC394">
        <v>23.844032885328144</v>
      </c>
      <c r="GD394">
        <v>15.933332540704543</v>
      </c>
      <c r="GE394">
        <v>17.910124341919936</v>
      </c>
      <c r="GF394">
        <v>25.461658905683972</v>
      </c>
      <c r="GG394">
        <v>20.52021690416251</v>
      </c>
      <c r="GH394">
        <v>20.486259661405139</v>
      </c>
      <c r="GI394">
        <v>51.440283861196249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2"/>
        <v>3.2411573382943433E-2</v>
      </c>
      <c r="G395" s="13"/>
      <c r="H395" s="19">
        <f t="shared" si="373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245.08261406791576</v>
      </c>
      <c r="AO395">
        <v>71.105818283646016</v>
      </c>
      <c r="AP395">
        <v>544.38677825402249</v>
      </c>
      <c r="AQ395">
        <v>412.89008616345114</v>
      </c>
      <c r="AR395">
        <v>67.191836287826334</v>
      </c>
      <c r="AS395">
        <v>360.62768415211843</v>
      </c>
      <c r="AT395">
        <v>31.416004447963953</v>
      </c>
      <c r="AU395">
        <v>20.707214915844652</v>
      </c>
      <c r="AV395"/>
      <c r="AW395"/>
      <c r="FY395" s="211">
        <v>390</v>
      </c>
      <c r="FZ395">
        <v>54.148822315157567</v>
      </c>
      <c r="GA395">
        <v>64.940972491531397</v>
      </c>
      <c r="GB395">
        <v>53.769699663794647</v>
      </c>
      <c r="GC395">
        <v>27.695995226964563</v>
      </c>
      <c r="GD395">
        <v>12.9571266820105</v>
      </c>
      <c r="GE395">
        <v>19.679913115165281</v>
      </c>
      <c r="GF395">
        <v>26.351907476888645</v>
      </c>
      <c r="GG395">
        <v>11.221653845782962</v>
      </c>
      <c r="GH395">
        <v>25.321034141573776</v>
      </c>
      <c r="GI395">
        <v>39.160973643304047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2"/>
        <v>-2.6804456953960918E-2</v>
      </c>
      <c r="G396" s="13"/>
      <c r="H396" s="19">
        <f t="shared" si="373"/>
        <v>2.5680470202808496E-2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225.51802683742054</v>
      </c>
      <c r="AO396">
        <v>77.495045619261447</v>
      </c>
      <c r="AP396">
        <v>685.11541039117037</v>
      </c>
      <c r="AQ396">
        <v>536.39014937524314</v>
      </c>
      <c r="AR396">
        <v>75.931261968021758</v>
      </c>
      <c r="AS396">
        <v>351.04358213488217</v>
      </c>
      <c r="AT396">
        <v>40.223917979637285</v>
      </c>
      <c r="AU396">
        <v>-20.168373760148903</v>
      </c>
      <c r="AV396"/>
      <c r="AW396"/>
      <c r="FY396" s="211">
        <v>391</v>
      </c>
      <c r="FZ396">
        <v>77.881459548474325</v>
      </c>
      <c r="GA396">
        <v>94.376772602189277</v>
      </c>
      <c r="GB396">
        <v>43.026556460380135</v>
      </c>
      <c r="GC396">
        <v>26.241127545383264</v>
      </c>
      <c r="GD396">
        <v>16.286270714014357</v>
      </c>
      <c r="GE396">
        <v>25.688750251207846</v>
      </c>
      <c r="GF396">
        <v>19.210802564917575</v>
      </c>
      <c r="GG396">
        <v>5.9229688932814017</v>
      </c>
      <c r="GH396">
        <v>18.253092022310472</v>
      </c>
      <c r="GI396">
        <v>39.539813202286126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2"/>
        <v>0</v>
      </c>
      <c r="G397" s="13"/>
      <c r="H397" s="19">
        <f t="shared" si="373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244.28539795424905</v>
      </c>
      <c r="AO397">
        <v>69.016923647149497</v>
      </c>
      <c r="AP397">
        <v>531.72374593658799</v>
      </c>
      <c r="AQ397">
        <v>402.14377286386485</v>
      </c>
      <c r="AR397">
        <v>67.69500982347877</v>
      </c>
      <c r="AS397">
        <v>320.14855044252579</v>
      </c>
      <c r="AT397">
        <v>31.929567851462807</v>
      </c>
      <c r="AU397">
        <v>53.333562522739314</v>
      </c>
      <c r="AV397"/>
      <c r="AW397"/>
      <c r="FY397" s="211">
        <v>392</v>
      </c>
      <c r="FZ397">
        <v>78.911048692282577</v>
      </c>
      <c r="GA397">
        <v>97.112020511801731</v>
      </c>
      <c r="GB397">
        <v>32.633851443297942</v>
      </c>
      <c r="GC397">
        <v>19.193760442075394</v>
      </c>
      <c r="GD397">
        <v>14.165189147671121</v>
      </c>
      <c r="GE397">
        <v>26.040127946704175</v>
      </c>
      <c r="GF397">
        <v>51.400238308639452</v>
      </c>
      <c r="GG397">
        <v>36.523758195651723</v>
      </c>
      <c r="GH397">
        <v>25.149948449023309</v>
      </c>
      <c r="GI397">
        <v>43.104542358782432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2"/>
        <v>0</v>
      </c>
      <c r="G398" s="13"/>
      <c r="H398" s="19">
        <f t="shared" si="373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225.1808573716699</v>
      </c>
      <c r="AO398">
        <v>58.107362541766371</v>
      </c>
      <c r="AP398">
        <v>442.07738688983864</v>
      </c>
      <c r="AQ398">
        <v>343.55252994633389</v>
      </c>
      <c r="AR398">
        <v>55.856480264741322</v>
      </c>
      <c r="AS398">
        <v>282.93105758731599</v>
      </c>
      <c r="AT398">
        <v>26.296444914551088</v>
      </c>
      <c r="AU398">
        <v>-22.42922205999422</v>
      </c>
      <c r="AV398"/>
      <c r="AW398"/>
      <c r="FY398" s="211">
        <v>393</v>
      </c>
      <c r="FZ398">
        <v>74.300494190787632</v>
      </c>
      <c r="GA398">
        <v>92.472318923137209</v>
      </c>
      <c r="GB398">
        <v>55.602106273064791</v>
      </c>
      <c r="GC398">
        <v>27.709610179236751</v>
      </c>
      <c r="GD398">
        <v>16.190756488689239</v>
      </c>
      <c r="GE398">
        <v>31.27745620628729</v>
      </c>
      <c r="GF398">
        <v>50.624795671567355</v>
      </c>
      <c r="GG398">
        <v>38.100074344886515</v>
      </c>
      <c r="GH398">
        <v>27.807260407895694</v>
      </c>
      <c r="GI398">
        <v>49.969047950549879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217.38598854536059</v>
      </c>
      <c r="AO399">
        <v>57.581894133347802</v>
      </c>
      <c r="AP399">
        <v>410.79717985316404</v>
      </c>
      <c r="AQ399">
        <v>314.54101062327021</v>
      </c>
      <c r="AR399">
        <v>54.586163448454563</v>
      </c>
      <c r="AS399">
        <v>267.16429007456043</v>
      </c>
      <c r="AT399">
        <v>24.896916051431941</v>
      </c>
      <c r="AU399">
        <v>-54.559986611845915</v>
      </c>
      <c r="AV399"/>
      <c r="AW399"/>
      <c r="FY399" s="211">
        <v>394</v>
      </c>
      <c r="FZ399">
        <v>72.635831530517862</v>
      </c>
      <c r="GA399">
        <v>120.31311046962972</v>
      </c>
      <c r="GB399">
        <v>65.186680888471784</v>
      </c>
      <c r="GC399">
        <v>32.80946224111328</v>
      </c>
      <c r="GD399">
        <v>16.183966591898852</v>
      </c>
      <c r="GE399">
        <v>19.580118766349543</v>
      </c>
      <c r="GF399">
        <v>32.87885962887421</v>
      </c>
      <c r="GG399">
        <v>30.006829839186079</v>
      </c>
      <c r="GH399">
        <v>32.004606002022214</v>
      </c>
      <c r="GI399">
        <v>49.209517004868026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226.20434857315794</v>
      </c>
      <c r="AO400">
        <v>63.905080967784087</v>
      </c>
      <c r="AP400">
        <v>537.29016667596022</v>
      </c>
      <c r="AQ400">
        <v>423.28373147278427</v>
      </c>
      <c r="AR400">
        <v>62.878555175927765</v>
      </c>
      <c r="AS400">
        <v>298.72563857235411</v>
      </c>
      <c r="AT400">
        <v>31.40132194188639</v>
      </c>
      <c r="AU400">
        <v>8.2910383984797278</v>
      </c>
      <c r="AV400"/>
      <c r="AW400"/>
      <c r="FY400" s="211">
        <v>395</v>
      </c>
      <c r="FZ400">
        <v>106.72561111817564</v>
      </c>
      <c r="GA400">
        <v>128.39209774455895</v>
      </c>
      <c r="GB400">
        <v>34.734503890537994</v>
      </c>
      <c r="GC400">
        <v>22.748476233203</v>
      </c>
      <c r="GD400">
        <v>16.073766433818047</v>
      </c>
      <c r="GE400">
        <v>22.432783027434827</v>
      </c>
      <c r="GF400">
        <v>39.178511391709499</v>
      </c>
      <c r="GG400">
        <v>40.450897058646405</v>
      </c>
      <c r="GH400">
        <v>20.366605354734716</v>
      </c>
      <c r="GI400">
        <v>45.983987489027299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238.76903111914424</v>
      </c>
      <c r="AO401">
        <v>70.345145132764827</v>
      </c>
      <c r="AP401">
        <v>573.5381635692811</v>
      </c>
      <c r="AQ401">
        <v>450.08099881971037</v>
      </c>
      <c r="AR401">
        <v>68.157742788673644</v>
      </c>
      <c r="AS401">
        <v>329.68621538547296</v>
      </c>
      <c r="AT401">
        <v>34.935074290978541</v>
      </c>
      <c r="AU401">
        <v>-2.2140648709227762</v>
      </c>
      <c r="AV401"/>
      <c r="AW401"/>
      <c r="FY401" s="211">
        <v>396</v>
      </c>
      <c r="FZ401">
        <v>170.47816870261849</v>
      </c>
      <c r="GA401">
        <v>186.24061887587084</v>
      </c>
      <c r="GB401">
        <v>50.066541388306732</v>
      </c>
      <c r="GC401">
        <v>27.710715337701828</v>
      </c>
      <c r="GD401">
        <v>16.437323185756284</v>
      </c>
      <c r="GE401">
        <v>32.11706416478912</v>
      </c>
      <c r="GF401">
        <v>51.441384647056509</v>
      </c>
      <c r="GG401">
        <v>32.153635175849601</v>
      </c>
      <c r="GH401">
        <v>28.942736949589325</v>
      </c>
      <c r="GI401">
        <v>63.216149409318376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255.27998997444496</v>
      </c>
      <c r="AO402">
        <v>94.912624663729019</v>
      </c>
      <c r="AP402">
        <v>838.14613176427599</v>
      </c>
      <c r="AQ402">
        <v>666.19184771731716</v>
      </c>
      <c r="AR402">
        <v>90.755179457096261</v>
      </c>
      <c r="AS402">
        <v>445.44683563784389</v>
      </c>
      <c r="AT402">
        <v>49.808736878902629</v>
      </c>
      <c r="AU402">
        <v>-3.3093069444853995</v>
      </c>
      <c r="AV402"/>
      <c r="AW402"/>
      <c r="FY402" s="211">
        <v>397</v>
      </c>
      <c r="FZ402">
        <v>84.42958710879762</v>
      </c>
      <c r="GA402">
        <v>97.259551121666519</v>
      </c>
      <c r="GB402">
        <v>37.095406776689359</v>
      </c>
      <c r="GC402">
        <v>22.141111774129822</v>
      </c>
      <c r="GD402">
        <v>16.689133848862667</v>
      </c>
      <c r="GE402">
        <v>30.546560644350894</v>
      </c>
      <c r="GF402">
        <v>29.651392229231877</v>
      </c>
      <c r="GG402">
        <v>16.042189428670511</v>
      </c>
      <c r="GH402">
        <v>15.641781645338792</v>
      </c>
      <c r="GI402">
        <v>41.036658620865246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196.56314526520492</v>
      </c>
      <c r="AO403">
        <v>64.154032712901085</v>
      </c>
      <c r="AP403">
        <v>521.52630513931967</v>
      </c>
      <c r="AQ403">
        <v>409.16119825039749</v>
      </c>
      <c r="AR403">
        <v>62.796393176977922</v>
      </c>
      <c r="AS403">
        <v>303.27476811158709</v>
      </c>
      <c r="AT403">
        <v>31.634569192629371</v>
      </c>
      <c r="AU403">
        <v>-14.382574043784125</v>
      </c>
      <c r="AV403"/>
      <c r="AW403"/>
      <c r="FY403" s="211">
        <v>398</v>
      </c>
      <c r="FZ403">
        <v>75.828392296516981</v>
      </c>
      <c r="GA403">
        <v>82.706471652217417</v>
      </c>
      <c r="GB403">
        <v>41.9487382030823</v>
      </c>
      <c r="GC403">
        <v>28.710582412084342</v>
      </c>
      <c r="GD403">
        <v>16.584598934824179</v>
      </c>
      <c r="GE403">
        <v>22.8530939667769</v>
      </c>
      <c r="GF403">
        <v>21.850531362569107</v>
      </c>
      <c r="GG403">
        <v>17.433156636202337</v>
      </c>
      <c r="GH403">
        <v>33.642334468602208</v>
      </c>
      <c r="GI403">
        <v>42.087889252355502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203.05521088150115</v>
      </c>
      <c r="AO404">
        <v>71.567623641327145</v>
      </c>
      <c r="AP404">
        <v>607.11031727075465</v>
      </c>
      <c r="AQ404">
        <v>467.59065294788786</v>
      </c>
      <c r="AR404">
        <v>68.870129162028107</v>
      </c>
      <c r="AS404">
        <v>319.19374397009926</v>
      </c>
      <c r="AT404">
        <v>36.497576972361095</v>
      </c>
      <c r="AU404">
        <v>-18.223365695228935</v>
      </c>
      <c r="AV404"/>
      <c r="AW404"/>
      <c r="FY404" s="211">
        <v>399</v>
      </c>
      <c r="FZ404">
        <v>162.85204700662004</v>
      </c>
      <c r="GA404">
        <v>179.60940706950183</v>
      </c>
      <c r="GB404">
        <v>51.59507678365155</v>
      </c>
      <c r="GC404">
        <v>32.29250901313592</v>
      </c>
      <c r="GD404">
        <v>14.598529912281128</v>
      </c>
      <c r="GE404">
        <v>22.719513527833524</v>
      </c>
      <c r="GF404">
        <v>67.766555871521973</v>
      </c>
      <c r="GG404">
        <v>52.878599283049113</v>
      </c>
      <c r="GH404">
        <v>18.178147290135538</v>
      </c>
      <c r="GI404">
        <v>62.789667829775354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4">+C4</f>
        <v>39646</v>
      </c>
      <c r="C405" s="61">
        <v>0</v>
      </c>
      <c r="D405" s="61">
        <f t="shared" ref="D405:D414" si="375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3.7528089887640448</v>
      </c>
      <c r="E405" s="108">
        <f t="shared" ref="E405:E414" si="376">IF(D405=0,0.00000001,(1-$A$43/100)*($A$39*(D405^($A$41))))</f>
        <v>0.21860599846956583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210.82656642988817</v>
      </c>
      <c r="AO405">
        <v>77.185606419587714</v>
      </c>
      <c r="AP405">
        <v>686.15969195430444</v>
      </c>
      <c r="AQ405">
        <v>561.83190514186094</v>
      </c>
      <c r="AR405">
        <v>74.946723937730354</v>
      </c>
      <c r="AS405">
        <v>345.77627588831785</v>
      </c>
      <c r="AT405">
        <v>42.653144227690191</v>
      </c>
      <c r="AU405">
        <v>-3.4826664280121378</v>
      </c>
      <c r="AV405"/>
      <c r="AW405"/>
      <c r="FY405" s="211">
        <v>400</v>
      </c>
      <c r="FZ405">
        <v>107.47350548174279</v>
      </c>
      <c r="GA405">
        <v>147.67370589788516</v>
      </c>
      <c r="GB405">
        <v>44.286162075769887</v>
      </c>
      <c r="GC405">
        <v>21.227521424105998</v>
      </c>
      <c r="GD405">
        <v>15.095449714468421</v>
      </c>
      <c r="GE405">
        <v>26.843755059934406</v>
      </c>
      <c r="GF405">
        <v>30.612992181851116</v>
      </c>
      <c r="GG405">
        <v>22.601583211834591</v>
      </c>
      <c r="GH405">
        <v>24.325625082504516</v>
      </c>
      <c r="GI405">
        <v>46.791034097748842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4"/>
        <v>39673</v>
      </c>
      <c r="C406" s="61">
        <f>B406-B405</f>
        <v>27</v>
      </c>
      <c r="D406" s="61">
        <f t="shared" si="375"/>
        <v>5.555754975550502</v>
      </c>
      <c r="E406" s="108">
        <f t="shared" si="376"/>
        <v>0.63649535358044296</v>
      </c>
      <c r="F406" s="19">
        <f t="shared" ref="F406:F414" si="377">IF(C374&lt;1,0,LN(E406/E405)/E21)</f>
        <v>3.9581707491157823E-2</v>
      </c>
      <c r="G406" s="19">
        <f t="shared" ref="G406:G414" si="378">IF(D406=0, 0, 0.051-(0.068*LN(D406))+(0.006*A406))</f>
        <v>-8.9087339671814272E-3</v>
      </c>
      <c r="H406" s="19">
        <f t="shared" ref="H406:H414" si="379">+IF((G406&gt;0),G406,0)</f>
        <v>0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169.81770415977897</v>
      </c>
      <c r="AO406">
        <v>54.946411946197408</v>
      </c>
      <c r="AP406">
        <v>428.7907300329403</v>
      </c>
      <c r="AQ406">
        <v>335.24809860217334</v>
      </c>
      <c r="AR406">
        <v>55.807450245397973</v>
      </c>
      <c r="AS406">
        <v>257.10666069366641</v>
      </c>
      <c r="AT406">
        <v>28.322733102152601</v>
      </c>
      <c r="AU406">
        <v>-3.2268091155641869</v>
      </c>
      <c r="AV406"/>
      <c r="AW406"/>
      <c r="FY406" s="211">
        <v>401</v>
      </c>
      <c r="FZ406">
        <v>28.841405761691959</v>
      </c>
      <c r="GA406">
        <v>57.027771606525363</v>
      </c>
      <c r="GB406">
        <v>49.76337724292101</v>
      </c>
      <c r="GC406">
        <v>22.251022211970781</v>
      </c>
      <c r="GD406">
        <v>17.555267913419424</v>
      </c>
      <c r="GE406">
        <v>36.394369624067366</v>
      </c>
      <c r="GF406">
        <v>79.998255983716433</v>
      </c>
      <c r="GG406">
        <v>60.866521080696195</v>
      </c>
      <c r="GH406">
        <v>20.896191222568437</v>
      </c>
      <c r="GI406">
        <v>47.683090246635523</v>
      </c>
      <c r="GJ406"/>
      <c r="GK406"/>
      <c r="GL406"/>
      <c r="GM406"/>
    </row>
    <row r="407" spans="1:195" s="7" customFormat="1">
      <c r="A407" s="189">
        <v>4.03</v>
      </c>
      <c r="B407" s="71">
        <f t="shared" si="374"/>
        <v>39714</v>
      </c>
      <c r="C407" s="61">
        <f>B407-$B$405</f>
        <v>68</v>
      </c>
      <c r="D407" s="61">
        <f t="shared" si="375"/>
        <v>3.588971555165918</v>
      </c>
      <c r="E407" s="108">
        <f t="shared" si="376"/>
        <v>0.1935768424545993</v>
      </c>
      <c r="F407" s="19">
        <f t="shared" si="377"/>
        <v>-2.9031769896368822E-2</v>
      </c>
      <c r="G407" s="19">
        <f t="shared" si="378"/>
        <v>-1.1714866687050626E-2</v>
      </c>
      <c r="H407" s="19">
        <f t="shared" si="379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153.21500083515781</v>
      </c>
      <c r="AO407">
        <v>58.118270278916803</v>
      </c>
      <c r="AP407">
        <v>445.13387659941145</v>
      </c>
      <c r="AQ407">
        <v>366.42761380444472</v>
      </c>
      <c r="AR407">
        <v>56.575360691594717</v>
      </c>
      <c r="AS407">
        <v>273.59605842724085</v>
      </c>
      <c r="AT407">
        <v>29.053327833452101</v>
      </c>
      <c r="AU407">
        <v>-11.643445197039711</v>
      </c>
      <c r="AV407"/>
      <c r="AW407"/>
      <c r="FY407" s="211">
        <v>402</v>
      </c>
      <c r="FZ407">
        <v>72.154288685826458</v>
      </c>
      <c r="GA407">
        <v>95.000571373402963</v>
      </c>
      <c r="GB407">
        <v>52.450557932743294</v>
      </c>
      <c r="GC407">
        <v>26.823383431723187</v>
      </c>
      <c r="GD407">
        <v>11.870517095446447</v>
      </c>
      <c r="GE407">
        <v>15.877495116001203</v>
      </c>
      <c r="GF407">
        <v>28.540041920086011</v>
      </c>
      <c r="GG407">
        <v>23.980793628231797</v>
      </c>
      <c r="GH407">
        <v>24.296340704128834</v>
      </c>
      <c r="GI407">
        <v>40.892996537142089</v>
      </c>
      <c r="GJ407"/>
      <c r="GK407"/>
      <c r="GL407"/>
      <c r="GM407"/>
    </row>
    <row r="408" spans="1:195" s="7" customFormat="1">
      <c r="A408" s="189">
        <v>0.78</v>
      </c>
      <c r="B408" s="71">
        <f t="shared" si="374"/>
        <v>39747</v>
      </c>
      <c r="C408" s="61">
        <f t="shared" ref="C408:C414" si="380">B408-$B$405</f>
        <v>101</v>
      </c>
      <c r="D408" s="61">
        <f t="shared" si="375"/>
        <v>3.6324888762241638</v>
      </c>
      <c r="E408" s="108">
        <f t="shared" si="376"/>
        <v>0.20003757053605767</v>
      </c>
      <c r="F408" s="19">
        <f t="shared" si="377"/>
        <v>9.9486816117261073E-4</v>
      </c>
      <c r="G408" s="19">
        <f t="shared" si="378"/>
        <v>-3.2034427683258898E-2</v>
      </c>
      <c r="H408" s="19">
        <f t="shared" si="379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229.69416020158351</v>
      </c>
      <c r="AO408">
        <v>63.985791149118711</v>
      </c>
      <c r="AP408">
        <v>535.09418962348354</v>
      </c>
      <c r="AQ408">
        <v>424.23448549592996</v>
      </c>
      <c r="AR408">
        <v>61.720070951840732</v>
      </c>
      <c r="AS408">
        <v>304.65640300039627</v>
      </c>
      <c r="AT408">
        <v>31.401515928242503</v>
      </c>
      <c r="AU408">
        <v>50.451100534124812</v>
      </c>
      <c r="AV408"/>
      <c r="AW408"/>
      <c r="FY408" s="211">
        <v>403</v>
      </c>
      <c r="FZ408">
        <v>35.845970270247783</v>
      </c>
      <c r="GA408">
        <v>44.119584227493547</v>
      </c>
      <c r="GB408">
        <v>61.090460913187044</v>
      </c>
      <c r="GC408">
        <v>34.701803547818947</v>
      </c>
      <c r="GD408">
        <v>11.352883588150689</v>
      </c>
      <c r="GE408">
        <v>18.024994963391713</v>
      </c>
      <c r="GF408">
        <v>43.285092598843065</v>
      </c>
      <c r="GG408">
        <v>31.256241688176306</v>
      </c>
      <c r="GH408">
        <v>18.11370179459054</v>
      </c>
      <c r="GI408">
        <v>39.699727858913867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4"/>
        <v>39775</v>
      </c>
      <c r="C409" s="61">
        <f t="shared" si="380"/>
        <v>129</v>
      </c>
      <c r="D409" s="61">
        <f t="shared" si="375"/>
        <v>3.0875396507652981</v>
      </c>
      <c r="E409" s="108">
        <f t="shared" si="376"/>
        <v>0.12847530161201182</v>
      </c>
      <c r="F409" s="19">
        <f t="shared" si="377"/>
        <v>-1.5813161467098397E-2</v>
      </c>
      <c r="G409" s="19">
        <f t="shared" si="378"/>
        <v>-2.4821469007284117E-2</v>
      </c>
      <c r="H409" s="19">
        <f t="shared" si="379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228.20426386580357</v>
      </c>
      <c r="AO409">
        <v>73.849180590363858</v>
      </c>
      <c r="AP409">
        <v>592.73444649082967</v>
      </c>
      <c r="AQ409">
        <v>464.05392063610236</v>
      </c>
      <c r="AR409">
        <v>72.040148836842334</v>
      </c>
      <c r="AS409">
        <v>328.29283580179492</v>
      </c>
      <c r="AT409">
        <v>35.205638386883621</v>
      </c>
      <c r="AU409">
        <v>-7.467990614979847</v>
      </c>
      <c r="AV409"/>
      <c r="AW409"/>
      <c r="FY409" s="211">
        <v>404</v>
      </c>
      <c r="FZ409">
        <v>112.86323732147238</v>
      </c>
      <c r="GA409">
        <v>134.92209685390455</v>
      </c>
      <c r="GB409">
        <v>50.218671063937769</v>
      </c>
      <c r="GC409">
        <v>30.229139158765268</v>
      </c>
      <c r="GD409">
        <v>16.666346375116337</v>
      </c>
      <c r="GE409">
        <v>27.489771577976221</v>
      </c>
      <c r="GF409">
        <v>26.250839928999891</v>
      </c>
      <c r="GG409">
        <v>12.072591526247374</v>
      </c>
      <c r="GH409">
        <v>18.35798018635829</v>
      </c>
      <c r="GI409">
        <v>48.122742654172406</v>
      </c>
      <c r="GJ409"/>
      <c r="GK409"/>
      <c r="GL409"/>
      <c r="GM409"/>
    </row>
    <row r="410" spans="1:195" s="7" customFormat="1">
      <c r="A410" s="189">
        <v>0.21</v>
      </c>
      <c r="B410" s="71">
        <f t="shared" si="374"/>
        <v>39799</v>
      </c>
      <c r="C410" s="61">
        <f t="shared" si="380"/>
        <v>153</v>
      </c>
      <c r="D410" s="61">
        <f t="shared" si="375"/>
        <v>2.796723095239972</v>
      </c>
      <c r="E410" s="108">
        <f t="shared" si="376"/>
        <v>9.8126934181280795E-2</v>
      </c>
      <c r="F410" s="19">
        <f t="shared" si="377"/>
        <v>-1.1228116383232144E-2</v>
      </c>
      <c r="G410" s="19">
        <f t="shared" si="378"/>
        <v>-1.7674491790898337E-2</v>
      </c>
      <c r="H410" s="19">
        <f t="shared" si="379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252.75177665567543</v>
      </c>
      <c r="AO410">
        <v>73.572076751488652</v>
      </c>
      <c r="AP410">
        <v>608.06501786765557</v>
      </c>
      <c r="AQ410">
        <v>470.80898296293162</v>
      </c>
      <c r="AR410">
        <v>71.161950587804512</v>
      </c>
      <c r="AS410">
        <v>341.29715570293439</v>
      </c>
      <c r="AT410">
        <v>35.380135767749628</v>
      </c>
      <c r="AU410">
        <v>-90.822580309612619</v>
      </c>
      <c r="AV410"/>
      <c r="AW410"/>
      <c r="FY410" s="211">
        <v>405</v>
      </c>
      <c r="FZ410">
        <v>28.78609258028364</v>
      </c>
      <c r="GA410">
        <v>45.460453632538645</v>
      </c>
      <c r="GB410">
        <v>29.26177354641781</v>
      </c>
      <c r="GC410">
        <v>10.177963383376889</v>
      </c>
      <c r="GD410">
        <v>10.742189202433741</v>
      </c>
      <c r="GE410">
        <v>28.405662648063419</v>
      </c>
      <c r="GF410">
        <v>79.741562449510937</v>
      </c>
      <c r="GG410">
        <v>61.301605836397734</v>
      </c>
      <c r="GH410">
        <v>31.448053971112969</v>
      </c>
      <c r="GI410">
        <v>39.580308389888032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0"/>
        <v>201</v>
      </c>
      <c r="D411" s="61">
        <f t="shared" si="375"/>
        <v>3.182359952324195</v>
      </c>
      <c r="E411" s="108">
        <f t="shared" si="376"/>
        <v>0.13950962515674517</v>
      </c>
      <c r="F411" s="19">
        <f t="shared" si="377"/>
        <v>7.3306606064728825E-3</v>
      </c>
      <c r="G411" s="19">
        <f t="shared" si="378"/>
        <v>-2.0038367055042042E-2</v>
      </c>
      <c r="H411" s="19">
        <f t="shared" si="379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193.89767581392408</v>
      </c>
      <c r="AO411">
        <v>70.807866749616679</v>
      </c>
      <c r="AP411">
        <v>594.54340307188863</v>
      </c>
      <c r="AQ411">
        <v>477.08723974184636</v>
      </c>
      <c r="AR411">
        <v>67.028101627083359</v>
      </c>
      <c r="AS411">
        <v>338.48853596978489</v>
      </c>
      <c r="AT411">
        <v>35.030292400819924</v>
      </c>
      <c r="AU411">
        <v>77.656654037568444</v>
      </c>
      <c r="AV411"/>
      <c r="AW411"/>
      <c r="FY411" s="211">
        <v>406</v>
      </c>
      <c r="FZ411">
        <v>123.54835582613026</v>
      </c>
      <c r="GA411">
        <v>136.7137974971597</v>
      </c>
      <c r="GB411">
        <v>37.237783161663124</v>
      </c>
      <c r="GC411">
        <v>20.583868846710164</v>
      </c>
      <c r="GD411">
        <v>14.105629121197467</v>
      </c>
      <c r="GE411">
        <v>25.405968245470813</v>
      </c>
      <c r="GF411">
        <v>40.620013483133967</v>
      </c>
      <c r="GG411">
        <v>28.704412745541674</v>
      </c>
      <c r="GH411">
        <v>23.866541317801882</v>
      </c>
      <c r="GI411">
        <v>48.459409375476554</v>
      </c>
      <c r="GJ411"/>
      <c r="GK411"/>
      <c r="GL411"/>
      <c r="GM411"/>
    </row>
    <row r="412" spans="1:195" s="7" customFormat="1">
      <c r="A412" s="189">
        <v>4</v>
      </c>
      <c r="B412" s="71">
        <f t="shared" si="374"/>
        <v>39910</v>
      </c>
      <c r="C412" s="61">
        <f t="shared" si="380"/>
        <v>264</v>
      </c>
      <c r="D412" s="61">
        <f t="shared" si="375"/>
        <v>2.8689165186500882</v>
      </c>
      <c r="E412" s="108">
        <f t="shared" si="376"/>
        <v>0.10518133214781894</v>
      </c>
      <c r="F412" s="19">
        <f t="shared" si="377"/>
        <v>-4.4832978242800824E-3</v>
      </c>
      <c r="G412" s="19">
        <f t="shared" si="378"/>
        <v>3.332458157592269E-3</v>
      </c>
      <c r="H412" s="19">
        <f t="shared" si="379"/>
        <v>3.332458157592269E-3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262.30339408735063</v>
      </c>
      <c r="AO412">
        <v>93.368504339054311</v>
      </c>
      <c r="AP412">
        <v>819.98631920172124</v>
      </c>
      <c r="AQ412">
        <v>658.80433783685703</v>
      </c>
      <c r="AR412">
        <v>91.253903968764916</v>
      </c>
      <c r="AS412">
        <v>441.11048232131691</v>
      </c>
      <c r="AT412">
        <v>49.498515641052798</v>
      </c>
      <c r="AU412">
        <v>-7.4060244972948439</v>
      </c>
      <c r="AV412"/>
      <c r="AW412"/>
      <c r="FY412" s="211">
        <v>407</v>
      </c>
      <c r="FZ412">
        <v>83.673197810295932</v>
      </c>
      <c r="GA412">
        <v>102.86845836508236</v>
      </c>
      <c r="GB412">
        <v>49.475912898324609</v>
      </c>
      <c r="GC412">
        <v>24.071097967554206</v>
      </c>
      <c r="GD412">
        <v>15.569352147028486</v>
      </c>
      <c r="GE412">
        <v>27.04000091498558</v>
      </c>
      <c r="GF412">
        <v>41.219884323389678</v>
      </c>
      <c r="GG412">
        <v>34.673992491165642</v>
      </c>
      <c r="GH412">
        <v>44.014981320650016</v>
      </c>
      <c r="GI412">
        <v>49.923053624568652</v>
      </c>
      <c r="GJ412"/>
      <c r="GK412"/>
      <c r="GL412"/>
      <c r="GM412"/>
    </row>
    <row r="413" spans="1:195" s="7" customFormat="1">
      <c r="A413" s="190">
        <v>7.33</v>
      </c>
      <c r="B413" s="71">
        <f t="shared" si="374"/>
        <v>39949</v>
      </c>
      <c r="C413" s="61">
        <f t="shared" si="380"/>
        <v>303</v>
      </c>
      <c r="D413" s="61">
        <f t="shared" si="375"/>
        <v>4.6206216082881104</v>
      </c>
      <c r="E413" s="108">
        <f t="shared" si="376"/>
        <v>0.38526448820158515</v>
      </c>
      <c r="F413" s="19">
        <f t="shared" si="377"/>
        <v>3.3288314032673474E-2</v>
      </c>
      <c r="G413" s="19">
        <f t="shared" si="378"/>
        <v>-9.0959885438211263E-3</v>
      </c>
      <c r="H413" s="19">
        <f t="shared" si="379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169.19605040709624</v>
      </c>
      <c r="AO413">
        <v>61.15238331204629</v>
      </c>
      <c r="AP413">
        <v>476.0604300070915</v>
      </c>
      <c r="AQ413">
        <v>390.53337319860327</v>
      </c>
      <c r="AR413">
        <v>58.845011594493201</v>
      </c>
      <c r="AS413">
        <v>276.12620600752581</v>
      </c>
      <c r="AT413">
        <v>31.606222060209188</v>
      </c>
      <c r="AU413">
        <v>14.012478837313949</v>
      </c>
      <c r="AV413"/>
      <c r="AW413"/>
      <c r="FY413" s="211">
        <v>408</v>
      </c>
      <c r="FZ413">
        <v>75.04266190401313</v>
      </c>
      <c r="GA413">
        <v>111.54530602375284</v>
      </c>
      <c r="GB413">
        <v>52.818145064396461</v>
      </c>
      <c r="GC413">
        <v>26.850209877266053</v>
      </c>
      <c r="GD413">
        <v>14.09969781727766</v>
      </c>
      <c r="GE413">
        <v>15.837312675620074</v>
      </c>
      <c r="GF413">
        <v>48.383825027480029</v>
      </c>
      <c r="GG413">
        <v>46.214336139592646</v>
      </c>
      <c r="GH413">
        <v>21.461356435893528</v>
      </c>
      <c r="GI413">
        <v>46.350858776106818</v>
      </c>
      <c r="GJ413"/>
      <c r="GK413"/>
      <c r="GL413"/>
      <c r="GM413"/>
    </row>
    <row r="414" spans="1:195" s="7" customFormat="1">
      <c r="A414" s="189">
        <v>10.51</v>
      </c>
      <c r="B414" s="71">
        <f t="shared" si="374"/>
        <v>39987</v>
      </c>
      <c r="C414" s="61">
        <f t="shared" si="380"/>
        <v>341</v>
      </c>
      <c r="D414" s="61">
        <f t="shared" si="375"/>
        <v>3.6681922566982763</v>
      </c>
      <c r="E414" s="108">
        <f t="shared" si="376"/>
        <v>0.20543884734013976</v>
      </c>
      <c r="F414" s="19">
        <f t="shared" si="377"/>
        <v>-1.6546886078103357E-2</v>
      </c>
      <c r="G414" s="19">
        <f t="shared" si="378"/>
        <v>2.5680470202808496E-2</v>
      </c>
      <c r="H414" s="19">
        <f t="shared" si="379"/>
        <v>2.5680470202808496E-2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199.37049991976656</v>
      </c>
      <c r="AO414">
        <v>61.347265969840144</v>
      </c>
      <c r="AP414">
        <v>471.04884276249544</v>
      </c>
      <c r="AQ414">
        <v>383.64578918523125</v>
      </c>
      <c r="AR414">
        <v>60.520046513617743</v>
      </c>
      <c r="AS414">
        <v>290.66791028154847</v>
      </c>
      <c r="AT414">
        <v>30.609327958299577</v>
      </c>
      <c r="AU414">
        <v>-19.112013883215845</v>
      </c>
      <c r="AV414"/>
      <c r="AW414"/>
      <c r="FY414" s="211">
        <v>409</v>
      </c>
      <c r="FZ414">
        <v>27.299303079282392</v>
      </c>
      <c r="GA414">
        <v>58.754889082748598</v>
      </c>
      <c r="GB414">
        <v>55.527247634816476</v>
      </c>
      <c r="GC414">
        <v>26.185255231116574</v>
      </c>
      <c r="GD414">
        <v>15.422165767934143</v>
      </c>
      <c r="GE414">
        <v>26.964677199937029</v>
      </c>
      <c r="GF414">
        <v>67.318178284735922</v>
      </c>
      <c r="GG414">
        <v>54.931888316783741</v>
      </c>
      <c r="GH414">
        <v>23.782129881568924</v>
      </c>
      <c r="GI414">
        <v>45.420563269235785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239.3829676038668</v>
      </c>
      <c r="AO415">
        <v>95.190911246127854</v>
      </c>
      <c r="AP415">
        <v>841.75627680858997</v>
      </c>
      <c r="AQ415">
        <v>665.2800535875059</v>
      </c>
      <c r="AR415">
        <v>90.979055399262762</v>
      </c>
      <c r="AS415">
        <v>419.6261671789232</v>
      </c>
      <c r="AT415">
        <v>49.487245728556871</v>
      </c>
      <c r="AU415">
        <v>25.915159981440226</v>
      </c>
      <c r="AV415"/>
      <c r="AW415"/>
      <c r="FY415" s="211">
        <v>410</v>
      </c>
      <c r="FZ415">
        <v>76.499286329764644</v>
      </c>
      <c r="GA415">
        <v>81.608457507432718</v>
      </c>
      <c r="GB415">
        <v>43.731696821577991</v>
      </c>
      <c r="GC415">
        <v>29.083085257653039</v>
      </c>
      <c r="GD415">
        <v>17.045509859147266</v>
      </c>
      <c r="GE415">
        <v>25.96171360806402</v>
      </c>
      <c r="GF415">
        <v>35.607809265107846</v>
      </c>
      <c r="GG415">
        <v>25.612319999024155</v>
      </c>
      <c r="GH415">
        <v>21.204661781094021</v>
      </c>
      <c r="GI415">
        <v>43.777566229264828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202.76445852881062</v>
      </c>
      <c r="AO416">
        <v>70.849066402729434</v>
      </c>
      <c r="AP416">
        <v>608.03814765086759</v>
      </c>
      <c r="AQ416">
        <v>486.93133422784564</v>
      </c>
      <c r="AR416">
        <v>67.751842793173495</v>
      </c>
      <c r="AS416">
        <v>323.62130924662222</v>
      </c>
      <c r="AT416">
        <v>35.383176422174635</v>
      </c>
      <c r="AU416">
        <v>-51.300453558184252</v>
      </c>
      <c r="AV416"/>
      <c r="AW416"/>
      <c r="FY416" s="211">
        <v>411</v>
      </c>
      <c r="FZ416">
        <v>67.860659044302992</v>
      </c>
      <c r="GA416">
        <v>103.61498638657031</v>
      </c>
      <c r="GB416">
        <v>35.143659615249348</v>
      </c>
      <c r="GC416">
        <v>17.141042881470756</v>
      </c>
      <c r="GD416">
        <v>18.257540716036601</v>
      </c>
      <c r="GE416">
        <v>35.790131806811225</v>
      </c>
      <c r="GF416">
        <v>70.18566317630102</v>
      </c>
      <c r="GG416">
        <v>52.76397242877664</v>
      </c>
      <c r="GH416">
        <v>21.623196439946362</v>
      </c>
      <c r="GI416">
        <v>48.050948903655033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253.62001455743297</v>
      </c>
      <c r="AO417">
        <v>71.796492944188486</v>
      </c>
      <c r="AP417">
        <v>557.76887310955124</v>
      </c>
      <c r="AQ417">
        <v>421.27727289421256</v>
      </c>
      <c r="AR417">
        <v>68.495667019493908</v>
      </c>
      <c r="AS417">
        <v>341.30160537618491</v>
      </c>
      <c r="AT417">
        <v>30.883052765697858</v>
      </c>
      <c r="AU417">
        <v>43.784575378977941</v>
      </c>
      <c r="AV417"/>
      <c r="AW417"/>
      <c r="FY417" s="211">
        <v>412</v>
      </c>
      <c r="FZ417">
        <v>73.296822097621614</v>
      </c>
      <c r="GA417">
        <v>88.134408090035407</v>
      </c>
      <c r="GB417">
        <v>52.413303475761218</v>
      </c>
      <c r="GC417">
        <v>25.993184511881093</v>
      </c>
      <c r="GD417">
        <v>16.036126695990617</v>
      </c>
      <c r="GE417">
        <v>29.904154429846269</v>
      </c>
      <c r="GF417">
        <v>54.053652021321774</v>
      </c>
      <c r="GG417">
        <v>47.181061318739495</v>
      </c>
      <c r="GH417">
        <v>25.795344965397828</v>
      </c>
      <c r="GI417">
        <v>49.338095445807298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201.43425184672842</v>
      </c>
      <c r="AO418">
        <v>59.886000105435798</v>
      </c>
      <c r="AP418">
        <v>500.68363094516599</v>
      </c>
      <c r="AQ418">
        <v>391.88698642473236</v>
      </c>
      <c r="AR418">
        <v>58.939958020535329</v>
      </c>
      <c r="AS418">
        <v>286.34443904089989</v>
      </c>
      <c r="AT418">
        <v>29.628588811297803</v>
      </c>
      <c r="AU418">
        <v>-29.236048674306545</v>
      </c>
      <c r="AV418"/>
      <c r="AW418"/>
      <c r="FY418" s="211">
        <v>413</v>
      </c>
      <c r="FZ418">
        <v>159.45211416432403</v>
      </c>
      <c r="GA418">
        <v>194.48885485908727</v>
      </c>
      <c r="GB418">
        <v>65.467224956155576</v>
      </c>
      <c r="GC418">
        <v>31.037068731917461</v>
      </c>
      <c r="GD418">
        <v>15.89075517968082</v>
      </c>
      <c r="GE418">
        <v>26.534930497701843</v>
      </c>
      <c r="GF418">
        <v>47.021993818390555</v>
      </c>
      <c r="GG418">
        <v>37.084060624243008</v>
      </c>
      <c r="GH418">
        <v>23.94409690609784</v>
      </c>
      <c r="GI418">
        <v>63.704590137012602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178.77269436447824</v>
      </c>
      <c r="AO419">
        <v>59.266291234942116</v>
      </c>
      <c r="AP419">
        <v>451.52899096671928</v>
      </c>
      <c r="AQ419">
        <v>337.49046145081354</v>
      </c>
      <c r="AR419">
        <v>57.191535846295544</v>
      </c>
      <c r="AS419">
        <v>265.74039532205563</v>
      </c>
      <c r="AT419">
        <v>27.927321730449677</v>
      </c>
      <c r="AU419">
        <v>-50.448933111430236</v>
      </c>
      <c r="AV419"/>
      <c r="AW419"/>
      <c r="FY419" s="211">
        <v>414</v>
      </c>
      <c r="FZ419">
        <v>41.798361726404053</v>
      </c>
      <c r="GA419">
        <v>51.296977049515036</v>
      </c>
      <c r="GB419">
        <v>52.11772009419682</v>
      </c>
      <c r="GC419">
        <v>24.293507667336378</v>
      </c>
      <c r="GD419">
        <v>15.819962804826714</v>
      </c>
      <c r="GE419">
        <v>28.998943913861563</v>
      </c>
      <c r="GF419">
        <v>13.617182276200365</v>
      </c>
      <c r="GG419">
        <v>7.9432551935285467</v>
      </c>
      <c r="GH419">
        <v>16.100920848659062</v>
      </c>
      <c r="GI419">
        <v>34.717896945311438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211.74870170524997</v>
      </c>
      <c r="AO420">
        <v>71.996796243180782</v>
      </c>
      <c r="AP420">
        <v>583.50806475401112</v>
      </c>
      <c r="AQ420">
        <v>477.19341664695054</v>
      </c>
      <c r="AR420">
        <v>69.128785403371865</v>
      </c>
      <c r="AS420">
        <v>322.49116291812555</v>
      </c>
      <c r="AT420">
        <v>35.923770481461418</v>
      </c>
      <c r="AU420">
        <v>-6.4357945701054575</v>
      </c>
      <c r="AV420"/>
      <c r="AW420"/>
      <c r="FY420" s="211">
        <v>415</v>
      </c>
      <c r="FZ420">
        <v>70.380225589946846</v>
      </c>
      <c r="GA420">
        <v>92.675658608645449</v>
      </c>
      <c r="GB420">
        <v>61.286713032866643</v>
      </c>
      <c r="GC420">
        <v>33.938523483067556</v>
      </c>
      <c r="GD420">
        <v>16.343107697405785</v>
      </c>
      <c r="GE420">
        <v>25.397719830771269</v>
      </c>
      <c r="GF420">
        <v>43.067690444432763</v>
      </c>
      <c r="GG420">
        <v>33.186638821278976</v>
      </c>
      <c r="GH420">
        <v>23.643086536586537</v>
      </c>
      <c r="GI420">
        <v>48.768822874490354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226.50514314664633</v>
      </c>
      <c r="AO421">
        <v>57.666986059774466</v>
      </c>
      <c r="AP421">
        <v>487.66040662343778</v>
      </c>
      <c r="AQ421">
        <v>364.90566564002387</v>
      </c>
      <c r="AR421">
        <v>56.542525136366862</v>
      </c>
      <c r="AS421">
        <v>300.9005454736843</v>
      </c>
      <c r="AT421">
        <v>26.678529788239615</v>
      </c>
      <c r="AU421">
        <v>13.752909930240268</v>
      </c>
      <c r="AV421"/>
      <c r="AW421"/>
      <c r="FY421" s="211">
        <v>416</v>
      </c>
      <c r="FZ421">
        <v>73.958902541429381</v>
      </c>
      <c r="GA421">
        <v>95.126921086018058</v>
      </c>
      <c r="GB421">
        <v>48.45341076877429</v>
      </c>
      <c r="GC421">
        <v>30.566764047858069</v>
      </c>
      <c r="GD421">
        <v>20.529913095163987</v>
      </c>
      <c r="GE421">
        <v>29.648015262854461</v>
      </c>
      <c r="GF421">
        <v>35.732425012137078</v>
      </c>
      <c r="GG421">
        <v>24.054365590825935</v>
      </c>
      <c r="GH421">
        <v>32.453873659406909</v>
      </c>
      <c r="GI421">
        <v>48.661850124933288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9.0179821009927358E-4</v>
      </c>
      <c r="H422" s="44">
        <f t="shared" ref="H422:AK422" si="381">H372</f>
        <v>5.9581999999999994E-3</v>
      </c>
      <c r="I422" s="44">
        <f t="shared" si="381"/>
        <v>3.9365954425760054E-2</v>
      </c>
      <c r="J422" s="44">
        <f t="shared" si="381"/>
        <v>0.11879369063332791</v>
      </c>
      <c r="K422" s="44">
        <f t="shared" si="381"/>
        <v>0.26009170015290151</v>
      </c>
      <c r="L422" s="44">
        <f t="shared" si="381"/>
        <v>0.47764954565651402</v>
      </c>
      <c r="M422" s="44">
        <f t="shared" si="381"/>
        <v>0.78487244663479294</v>
      </c>
      <c r="N422" s="44">
        <f t="shared" si="381"/>
        <v>1.1944339475291872</v>
      </c>
      <c r="O422" s="44">
        <f t="shared" si="381"/>
        <v>1.7184314079315166</v>
      </c>
      <c r="P422" s="44">
        <f t="shared" si="381"/>
        <v>2.3684906405100232</v>
      </c>
      <c r="Q422" s="44">
        <f t="shared" si="381"/>
        <v>3.1558407313952781</v>
      </c>
      <c r="R422" s="44">
        <f t="shared" si="381"/>
        <v>4.0913699544533273</v>
      </c>
      <c r="S422" s="44">
        <f t="shared" si="381"/>
        <v>5.1856689879930276</v>
      </c>
      <c r="T422" s="44">
        <f t="shared" si="381"/>
        <v>6.4490652174806335</v>
      </c>
      <c r="U422" s="44">
        <f t="shared" si="381"/>
        <v>7.8916505560428751</v>
      </c>
      <c r="V422" s="44">
        <f t="shared" si="381"/>
        <v>9.5233044137272334</v>
      </c>
      <c r="W422" s="44">
        <f t="shared" si="381"/>
        <v>11.353712948277471</v>
      </c>
      <c r="X422" s="44">
        <f t="shared" si="381"/>
        <v>13.392385407473196</v>
      </c>
      <c r="Y422" s="44">
        <f t="shared" si="381"/>
        <v>15.648668156852196</v>
      </c>
      <c r="Z422" s="44">
        <f t="shared" si="381"/>
        <v>18.131756837509794</v>
      </c>
      <c r="AA422" s="44">
        <f t="shared" si="381"/>
        <v>20.850706993230137</v>
      </c>
      <c r="AB422" s="44">
        <f t="shared" si="381"/>
        <v>23.814443430016944</v>
      </c>
      <c r="AC422" s="44">
        <f t="shared" si="381"/>
        <v>27.031768514976598</v>
      </c>
      <c r="AD422" s="44">
        <f t="shared" si="381"/>
        <v>30.511369579468642</v>
      </c>
      <c r="AE422" s="44">
        <f t="shared" si="381"/>
        <v>34.261825559466111</v>
      </c>
      <c r="AF422" s="44">
        <f t="shared" si="381"/>
        <v>38.291612981416243</v>
      </c>
      <c r="AG422" s="44">
        <f t="shared" si="381"/>
        <v>42.609111382648663</v>
      </c>
      <c r="AH422" s="44">
        <f t="shared" si="381"/>
        <v>47.222608240186645</v>
      </c>
      <c r="AI422" s="44">
        <f t="shared" si="381"/>
        <v>52.140303469706964</v>
      </c>
      <c r="AJ422" s="44">
        <f t="shared" si="381"/>
        <v>57.370313546634669</v>
      </c>
      <c r="AK422" s="44">
        <f t="shared" si="381"/>
        <v>62.920675293448724</v>
      </c>
      <c r="AL422" s="4"/>
      <c r="AM422" s="43">
        <v>406</v>
      </c>
      <c r="AN422">
        <v>214.5628513313921</v>
      </c>
      <c r="AO422">
        <v>71.328443627110033</v>
      </c>
      <c r="AP422">
        <v>619.0905584759779</v>
      </c>
      <c r="AQ422">
        <v>499.24577962028559</v>
      </c>
      <c r="AR422">
        <v>69.735209707703035</v>
      </c>
      <c r="AS422">
        <v>361.92001875817897</v>
      </c>
      <c r="AT422">
        <v>37.390455817861273</v>
      </c>
      <c r="AU422">
        <v>7.5321506281554562</v>
      </c>
      <c r="AV422"/>
      <c r="AW422"/>
      <c r="FY422" s="211">
        <v>417</v>
      </c>
      <c r="FZ422">
        <v>26.481489186502206</v>
      </c>
      <c r="GA422">
        <v>52.879018964890157</v>
      </c>
      <c r="GB422">
        <v>55.421350135046865</v>
      </c>
      <c r="GC422">
        <v>32.631250014114677</v>
      </c>
      <c r="GD422">
        <v>15.811432329430129</v>
      </c>
      <c r="GE422">
        <v>28.39443017495169</v>
      </c>
      <c r="GF422">
        <v>65.533786562141884</v>
      </c>
      <c r="GG422">
        <v>43.004964927846139</v>
      </c>
      <c r="GH422">
        <v>13.38113593862885</v>
      </c>
      <c r="GI422">
        <v>43.382933238007091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2">SUM(G423:AK423)</f>
        <v>64.773403121142081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3">(($A$453+$A$455*(H$422)+($A$457*$D423))*($E21*H37))</f>
        <v>0</v>
      </c>
      <c r="I423" s="107">
        <f t="shared" si="383"/>
        <v>0.24674325938912078</v>
      </c>
      <c r="J423" s="107">
        <f t="shared" si="383"/>
        <v>1.9157559656225709</v>
      </c>
      <c r="K423" s="107">
        <f t="shared" si="383"/>
        <v>8.0865400546519606</v>
      </c>
      <c r="L423" s="107">
        <f t="shared" si="383"/>
        <v>13.544207657678529</v>
      </c>
      <c r="M423" s="107">
        <f t="shared" si="383"/>
        <v>18.447352256476393</v>
      </c>
      <c r="N423" s="107">
        <f t="shared" si="383"/>
        <v>8.5735761310973597</v>
      </c>
      <c r="O423" s="107">
        <f t="shared" si="383"/>
        <v>0</v>
      </c>
      <c r="P423" s="107">
        <f t="shared" si="383"/>
        <v>13.959227796226138</v>
      </c>
      <c r="Q423" s="107">
        <f t="shared" si="383"/>
        <v>0</v>
      </c>
      <c r="R423" s="107">
        <f t="shared" si="383"/>
        <v>0</v>
      </c>
      <c r="S423" s="107">
        <f t="shared" si="383"/>
        <v>0</v>
      </c>
      <c r="T423" s="107">
        <f t="shared" si="383"/>
        <v>0</v>
      </c>
      <c r="U423" s="107">
        <f t="shared" si="383"/>
        <v>0</v>
      </c>
      <c r="V423" s="107">
        <f t="shared" si="383"/>
        <v>0</v>
      </c>
      <c r="W423" s="107">
        <f t="shared" si="383"/>
        <v>0</v>
      </c>
      <c r="X423" s="107">
        <f t="shared" si="383"/>
        <v>0</v>
      </c>
      <c r="Y423" s="107">
        <f t="shared" si="383"/>
        <v>0</v>
      </c>
      <c r="Z423" s="107">
        <f t="shared" si="383"/>
        <v>0</v>
      </c>
      <c r="AA423" s="107">
        <f t="shared" si="383"/>
        <v>0</v>
      </c>
      <c r="AB423" s="107">
        <f t="shared" si="383"/>
        <v>0</v>
      </c>
      <c r="AC423" s="107">
        <f t="shared" si="383"/>
        <v>0</v>
      </c>
      <c r="AD423" s="107">
        <f t="shared" si="383"/>
        <v>0</v>
      </c>
      <c r="AE423" s="107">
        <f t="shared" si="383"/>
        <v>0</v>
      </c>
      <c r="AF423" s="107">
        <f t="shared" si="383"/>
        <v>0</v>
      </c>
      <c r="AG423" s="107">
        <f t="shared" si="383"/>
        <v>0</v>
      </c>
      <c r="AH423" s="107">
        <f t="shared" si="383"/>
        <v>0</v>
      </c>
      <c r="AI423" s="107">
        <f t="shared" si="383"/>
        <v>0</v>
      </c>
      <c r="AJ423" s="107">
        <f t="shared" si="383"/>
        <v>0</v>
      </c>
      <c r="AK423" s="107">
        <f t="shared" si="383"/>
        <v>0</v>
      </c>
      <c r="AL423" s="4"/>
      <c r="AM423" s="43">
        <v>407</v>
      </c>
      <c r="AN423">
        <v>216.52634965939282</v>
      </c>
      <c r="AO423">
        <v>71.899473520114668</v>
      </c>
      <c r="AP423">
        <v>598.01878848591718</v>
      </c>
      <c r="AQ423">
        <v>472.52993186304514</v>
      </c>
      <c r="AR423">
        <v>71.889588940076763</v>
      </c>
      <c r="AS423">
        <v>343.22077263233649</v>
      </c>
      <c r="AT423">
        <v>36.870120822604974</v>
      </c>
      <c r="AU423">
        <v>8.9181173427782312</v>
      </c>
      <c r="AV423"/>
      <c r="AW423"/>
      <c r="FY423" s="211">
        <v>418</v>
      </c>
      <c r="FZ423">
        <v>30.36280076457626</v>
      </c>
      <c r="GA423">
        <v>49.463791477771316</v>
      </c>
      <c r="GB423">
        <v>36.950369396669601</v>
      </c>
      <c r="GC423">
        <v>18.088694987320601</v>
      </c>
      <c r="GD423">
        <v>16.971092181572388</v>
      </c>
      <c r="GE423">
        <v>28.380952970377756</v>
      </c>
      <c r="GF423">
        <v>54.991878025086471</v>
      </c>
      <c r="GG423">
        <v>51.372403057134136</v>
      </c>
      <c r="GH423">
        <v>25.791259387944972</v>
      </c>
      <c r="GI423">
        <v>40.006290678013897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2"/>
        <v>103.65077804558177</v>
      </c>
      <c r="D424" s="191">
        <f>$A$406</f>
        <v>9.4499999999999993</v>
      </c>
      <c r="E424" s="8"/>
      <c r="F424" s="124"/>
      <c r="G424" s="107">
        <f t="shared" ref="G424:V432" si="384">(($A$453+$A$455*(G$422)+($A$457*$D424))*($E22*G38))</f>
        <v>0</v>
      </c>
      <c r="H424" s="107">
        <f t="shared" si="384"/>
        <v>0.16588902866606814</v>
      </c>
      <c r="I424" s="107">
        <f t="shared" si="384"/>
        <v>1.3021473931804421</v>
      </c>
      <c r="J424" s="107">
        <f t="shared" si="384"/>
        <v>0.80326925463090459</v>
      </c>
      <c r="K424" s="107">
        <f t="shared" si="384"/>
        <v>3.6748814595985606</v>
      </c>
      <c r="L424" s="107">
        <f t="shared" si="384"/>
        <v>25.093896830320947</v>
      </c>
      <c r="M424" s="107">
        <f t="shared" si="384"/>
        <v>37.727926135754977</v>
      </c>
      <c r="N424" s="107">
        <f t="shared" si="384"/>
        <v>8.5983011647760996</v>
      </c>
      <c r="O424" s="107">
        <f t="shared" si="384"/>
        <v>10.399918854249215</v>
      </c>
      <c r="P424" s="107">
        <f t="shared" si="384"/>
        <v>15.884547924404561</v>
      </c>
      <c r="Q424" s="107">
        <f t="shared" si="384"/>
        <v>0</v>
      </c>
      <c r="R424" s="107">
        <f t="shared" si="384"/>
        <v>0</v>
      </c>
      <c r="S424" s="107">
        <f t="shared" si="384"/>
        <v>0</v>
      </c>
      <c r="T424" s="107">
        <f t="shared" si="384"/>
        <v>0</v>
      </c>
      <c r="U424" s="107">
        <f t="shared" si="384"/>
        <v>0</v>
      </c>
      <c r="V424" s="107">
        <f t="shared" si="384"/>
        <v>0</v>
      </c>
      <c r="W424" s="107">
        <f t="shared" si="383"/>
        <v>0</v>
      </c>
      <c r="X424" s="107">
        <f t="shared" si="383"/>
        <v>0</v>
      </c>
      <c r="Y424" s="107">
        <f t="shared" si="383"/>
        <v>0</v>
      </c>
      <c r="Z424" s="107">
        <f t="shared" si="383"/>
        <v>0</v>
      </c>
      <c r="AA424" s="107">
        <f t="shared" si="383"/>
        <v>0</v>
      </c>
      <c r="AB424" s="107">
        <f t="shared" si="383"/>
        <v>0</v>
      </c>
      <c r="AC424" s="107">
        <f t="shared" si="383"/>
        <v>0</v>
      </c>
      <c r="AD424" s="107">
        <f t="shared" si="383"/>
        <v>0</v>
      </c>
      <c r="AE424" s="107">
        <f t="shared" si="383"/>
        <v>0</v>
      </c>
      <c r="AF424" s="107">
        <f t="shared" si="383"/>
        <v>0</v>
      </c>
      <c r="AG424" s="107">
        <f t="shared" si="383"/>
        <v>0</v>
      </c>
      <c r="AH424" s="107">
        <f t="shared" si="383"/>
        <v>0</v>
      </c>
      <c r="AI424" s="107">
        <f t="shared" si="383"/>
        <v>0</v>
      </c>
      <c r="AJ424" s="107">
        <f t="shared" si="383"/>
        <v>0</v>
      </c>
      <c r="AK424" s="107">
        <f t="shared" si="383"/>
        <v>0</v>
      </c>
      <c r="AL424" s="4"/>
      <c r="AM424" s="43">
        <v>408</v>
      </c>
      <c r="AN424">
        <v>248.60140215612847</v>
      </c>
      <c r="AO424">
        <v>69.900800006006207</v>
      </c>
      <c r="AP424">
        <v>594.16134913849589</v>
      </c>
      <c r="AQ424">
        <v>458.60370974139926</v>
      </c>
      <c r="AR424">
        <v>67.21116703345038</v>
      </c>
      <c r="AS424">
        <v>329.29580995081045</v>
      </c>
      <c r="AT424">
        <v>32.994222419567848</v>
      </c>
      <c r="AU424">
        <v>11.872405171527056</v>
      </c>
      <c r="AV424"/>
      <c r="AW424"/>
      <c r="FY424" s="211">
        <v>419</v>
      </c>
      <c r="FZ424">
        <v>153.06675168020809</v>
      </c>
      <c r="GA424">
        <v>192.18643840254526</v>
      </c>
      <c r="GB424">
        <v>48.303507250816544</v>
      </c>
      <c r="GC424">
        <v>30.434305611653482</v>
      </c>
      <c r="GD424">
        <v>20.239842735424581</v>
      </c>
      <c r="GE424">
        <v>21.86157603755111</v>
      </c>
      <c r="GF424">
        <v>31.70878869680315</v>
      </c>
      <c r="GG424">
        <v>24.735532656277428</v>
      </c>
      <c r="GH424">
        <v>33.822517459926118</v>
      </c>
      <c r="GI424">
        <v>59.259208546228194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2"/>
        <v>55.001022584267176</v>
      </c>
      <c r="D425" s="191">
        <f>A$407</f>
        <v>4.03</v>
      </c>
      <c r="E425" s="8"/>
      <c r="F425" s="124"/>
      <c r="G425" s="107">
        <f t="shared" si="384"/>
        <v>0</v>
      </c>
      <c r="H425" s="107">
        <f t="shared" si="383"/>
        <v>0.15507637932388191</v>
      </c>
      <c r="I425" s="107">
        <f t="shared" si="383"/>
        <v>1.6535432412918014</v>
      </c>
      <c r="J425" s="107">
        <f t="shared" si="383"/>
        <v>3.4291654943287506</v>
      </c>
      <c r="K425" s="107">
        <f t="shared" si="383"/>
        <v>2.6092229914406242</v>
      </c>
      <c r="L425" s="107">
        <f t="shared" si="383"/>
        <v>10.269409166125257</v>
      </c>
      <c r="M425" s="107">
        <f t="shared" si="383"/>
        <v>21.082712199784112</v>
      </c>
      <c r="N425" s="107">
        <f t="shared" si="383"/>
        <v>5.2208498861329238</v>
      </c>
      <c r="O425" s="107">
        <f t="shared" si="383"/>
        <v>10.581043225839824</v>
      </c>
      <c r="P425" s="107">
        <f t="shared" si="383"/>
        <v>0</v>
      </c>
      <c r="Q425" s="107">
        <f t="shared" si="383"/>
        <v>0</v>
      </c>
      <c r="R425" s="107">
        <f t="shared" si="383"/>
        <v>0</v>
      </c>
      <c r="S425" s="107">
        <f t="shared" si="383"/>
        <v>0</v>
      </c>
      <c r="T425" s="107">
        <f t="shared" si="383"/>
        <v>0</v>
      </c>
      <c r="U425" s="107">
        <f t="shared" si="383"/>
        <v>0</v>
      </c>
      <c r="V425" s="107">
        <f t="shared" si="383"/>
        <v>0</v>
      </c>
      <c r="W425" s="107">
        <f t="shared" si="383"/>
        <v>0</v>
      </c>
      <c r="X425" s="107">
        <f t="shared" si="383"/>
        <v>0</v>
      </c>
      <c r="Y425" s="107">
        <f t="shared" si="383"/>
        <v>0</v>
      </c>
      <c r="Z425" s="107">
        <f t="shared" si="383"/>
        <v>0</v>
      </c>
      <c r="AA425" s="107">
        <f t="shared" si="383"/>
        <v>0</v>
      </c>
      <c r="AB425" s="107">
        <f t="shared" si="383"/>
        <v>0</v>
      </c>
      <c r="AC425" s="107">
        <f t="shared" si="383"/>
        <v>0</v>
      </c>
      <c r="AD425" s="107">
        <f t="shared" si="383"/>
        <v>0</v>
      </c>
      <c r="AE425" s="107">
        <f t="shared" si="383"/>
        <v>0</v>
      </c>
      <c r="AF425" s="107">
        <f t="shared" si="383"/>
        <v>0</v>
      </c>
      <c r="AG425" s="107">
        <f t="shared" si="383"/>
        <v>0</v>
      </c>
      <c r="AH425" s="107">
        <f t="shared" si="383"/>
        <v>0</v>
      </c>
      <c r="AI425" s="107">
        <f t="shared" si="383"/>
        <v>0</v>
      </c>
      <c r="AJ425" s="107">
        <f t="shared" si="383"/>
        <v>0</v>
      </c>
      <c r="AK425" s="107">
        <f t="shared" si="383"/>
        <v>0</v>
      </c>
      <c r="AL425" s="4"/>
      <c r="AM425" s="43">
        <v>409</v>
      </c>
      <c r="AN425">
        <v>205.58776818891548</v>
      </c>
      <c r="AO425">
        <v>68.210609906635227</v>
      </c>
      <c r="AP425">
        <v>536.35840902710606</v>
      </c>
      <c r="AQ425">
        <v>401.60629774815959</v>
      </c>
      <c r="AR425">
        <v>65.431789315228372</v>
      </c>
      <c r="AS425">
        <v>326.36711165648165</v>
      </c>
      <c r="AT425">
        <v>31.717440184458553</v>
      </c>
      <c r="AU425">
        <v>18.158619900700625</v>
      </c>
      <c r="AV425"/>
      <c r="AW425"/>
      <c r="FY425" s="211">
        <v>420</v>
      </c>
      <c r="FZ425">
        <v>34.20131516317894</v>
      </c>
      <c r="GA425">
        <v>43.755574918078672</v>
      </c>
      <c r="GB425">
        <v>53.972309240542387</v>
      </c>
      <c r="GC425">
        <v>29.857268849573817</v>
      </c>
      <c r="GD425">
        <v>15.843994680872141</v>
      </c>
      <c r="GE425">
        <v>26.031972069868232</v>
      </c>
      <c r="GF425">
        <v>35.288591714871998</v>
      </c>
      <c r="GG425">
        <v>26.06858772077782</v>
      </c>
      <c r="GH425">
        <v>22.664608283590642</v>
      </c>
      <c r="GI425">
        <v>39.612405652293837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2"/>
        <v>28.338396548373428</v>
      </c>
      <c r="D426" s="191">
        <f>A$408</f>
        <v>0.78</v>
      </c>
      <c r="E426" s="8"/>
      <c r="F426" s="124"/>
      <c r="G426" s="107">
        <f t="shared" si="384"/>
        <v>0</v>
      </c>
      <c r="H426" s="107">
        <f t="shared" si="383"/>
        <v>4.4436876339526116E-2</v>
      </c>
      <c r="I426" s="107">
        <f t="shared" si="383"/>
        <v>1.6762142984652266</v>
      </c>
      <c r="J426" s="107">
        <f t="shared" si="383"/>
        <v>2.6798218982929014</v>
      </c>
      <c r="K426" s="107">
        <f t="shared" si="383"/>
        <v>2.3036569178459212</v>
      </c>
      <c r="L426" s="107">
        <f t="shared" si="383"/>
        <v>3.1826014141127055</v>
      </c>
      <c r="M426" s="107">
        <f t="shared" si="383"/>
        <v>9.4536578669848286</v>
      </c>
      <c r="N426" s="107">
        <f t="shared" si="383"/>
        <v>5.4435703651265204</v>
      </c>
      <c r="O426" s="107">
        <f t="shared" si="383"/>
        <v>3.5544369112058027</v>
      </c>
      <c r="P426" s="107">
        <f t="shared" si="383"/>
        <v>0</v>
      </c>
      <c r="Q426" s="107">
        <f t="shared" si="383"/>
        <v>0</v>
      </c>
      <c r="R426" s="107">
        <f t="shared" si="383"/>
        <v>0</v>
      </c>
      <c r="S426" s="107">
        <f t="shared" si="383"/>
        <v>0</v>
      </c>
      <c r="T426" s="107">
        <f t="shared" si="383"/>
        <v>0</v>
      </c>
      <c r="U426" s="107">
        <f t="shared" si="383"/>
        <v>0</v>
      </c>
      <c r="V426" s="107">
        <f t="shared" si="383"/>
        <v>0</v>
      </c>
      <c r="W426" s="107">
        <f t="shared" si="383"/>
        <v>0</v>
      </c>
      <c r="X426" s="107">
        <f t="shared" si="383"/>
        <v>0</v>
      </c>
      <c r="Y426" s="107">
        <f t="shared" si="383"/>
        <v>0</v>
      </c>
      <c r="Z426" s="107">
        <f t="shared" si="383"/>
        <v>0</v>
      </c>
      <c r="AA426" s="107">
        <f t="shared" si="383"/>
        <v>0</v>
      </c>
      <c r="AB426" s="107">
        <f t="shared" si="383"/>
        <v>0</v>
      </c>
      <c r="AC426" s="107">
        <f t="shared" si="383"/>
        <v>0</v>
      </c>
      <c r="AD426" s="107">
        <f t="shared" si="383"/>
        <v>0</v>
      </c>
      <c r="AE426" s="107">
        <f t="shared" si="383"/>
        <v>0</v>
      </c>
      <c r="AF426" s="107">
        <f t="shared" si="383"/>
        <v>0</v>
      </c>
      <c r="AG426" s="107">
        <f t="shared" si="383"/>
        <v>0</v>
      </c>
      <c r="AH426" s="107">
        <f t="shared" si="383"/>
        <v>0</v>
      </c>
      <c r="AI426" s="107">
        <f t="shared" si="383"/>
        <v>0</v>
      </c>
      <c r="AJ426" s="107">
        <f t="shared" si="383"/>
        <v>0</v>
      </c>
      <c r="AK426" s="107">
        <f t="shared" si="383"/>
        <v>0</v>
      </c>
      <c r="AL426" s="4"/>
      <c r="AM426" s="43">
        <v>410</v>
      </c>
      <c r="AN426">
        <v>210.68389549602949</v>
      </c>
      <c r="AO426">
        <v>64.897253073335293</v>
      </c>
      <c r="AP426">
        <v>496.61560996310658</v>
      </c>
      <c r="AQ426">
        <v>400.13210665813057</v>
      </c>
      <c r="AR426">
        <v>63.105661432447924</v>
      </c>
      <c r="AS426">
        <v>319.81737442244622</v>
      </c>
      <c r="AT426">
        <v>30.871482680610885</v>
      </c>
      <c r="AU426">
        <v>10.676620917638736</v>
      </c>
      <c r="AV426"/>
      <c r="AW426"/>
      <c r="FY426" s="211">
        <v>421</v>
      </c>
      <c r="FZ426">
        <v>51.268446120600423</v>
      </c>
      <c r="GA426">
        <v>43.542516644515764</v>
      </c>
      <c r="GB426">
        <v>49.859255097184835</v>
      </c>
      <c r="GC426">
        <v>28.761547253069367</v>
      </c>
      <c r="GD426">
        <v>16.754236339089822</v>
      </c>
      <c r="GE426">
        <v>30.767110088588623</v>
      </c>
      <c r="GF426">
        <v>70.228531624100142</v>
      </c>
      <c r="GG426">
        <v>50.666240161626057</v>
      </c>
      <c r="GH426">
        <v>19.63528584304952</v>
      </c>
      <c r="GI426">
        <v>47.912982090818538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2"/>
        <v>15.794409079329462</v>
      </c>
      <c r="D427" s="191">
        <f>A$409</f>
        <v>0.14000000000000001</v>
      </c>
      <c r="E427" s="8"/>
      <c r="F427" s="124"/>
      <c r="G427" s="107">
        <f t="shared" si="384"/>
        <v>2.2870919717648546E-3</v>
      </c>
      <c r="H427" s="107">
        <f t="shared" si="383"/>
        <v>8.1159286857570831E-2</v>
      </c>
      <c r="I427" s="107">
        <f t="shared" si="383"/>
        <v>1.1271715878681019</v>
      </c>
      <c r="J427" s="107">
        <f t="shared" si="383"/>
        <v>0.73623198618121388</v>
      </c>
      <c r="K427" s="107">
        <f t="shared" si="383"/>
        <v>0.72931057706169966</v>
      </c>
      <c r="L427" s="107">
        <f t="shared" si="383"/>
        <v>0.74294830008627943</v>
      </c>
      <c r="M427" s="107">
        <f t="shared" si="383"/>
        <v>5.1422601878037648</v>
      </c>
      <c r="N427" s="107">
        <f t="shared" si="383"/>
        <v>4.6555146852771276</v>
      </c>
      <c r="O427" s="107">
        <f t="shared" si="383"/>
        <v>2.3845857414180913</v>
      </c>
      <c r="P427" s="107">
        <f t="shared" si="383"/>
        <v>0.19293963480384707</v>
      </c>
      <c r="Q427" s="107">
        <f t="shared" si="383"/>
        <v>0</v>
      </c>
      <c r="R427" s="107">
        <f t="shared" si="383"/>
        <v>0</v>
      </c>
      <c r="S427" s="107">
        <f t="shared" si="383"/>
        <v>0</v>
      </c>
      <c r="T427" s="107">
        <f t="shared" si="383"/>
        <v>0</v>
      </c>
      <c r="U427" s="107">
        <f t="shared" si="383"/>
        <v>0</v>
      </c>
      <c r="V427" s="107">
        <f t="shared" si="383"/>
        <v>0</v>
      </c>
      <c r="W427" s="107">
        <f t="shared" si="383"/>
        <v>0</v>
      </c>
      <c r="X427" s="107">
        <f t="shared" si="383"/>
        <v>0</v>
      </c>
      <c r="Y427" s="107">
        <f t="shared" si="383"/>
        <v>0</v>
      </c>
      <c r="Z427" s="107">
        <f t="shared" si="383"/>
        <v>0</v>
      </c>
      <c r="AA427" s="107">
        <f t="shared" si="383"/>
        <v>0</v>
      </c>
      <c r="AB427" s="107">
        <f t="shared" si="383"/>
        <v>0</v>
      </c>
      <c r="AC427" s="107">
        <f t="shared" si="383"/>
        <v>0</v>
      </c>
      <c r="AD427" s="107">
        <f t="shared" si="383"/>
        <v>0</v>
      </c>
      <c r="AE427" s="107">
        <f t="shared" si="383"/>
        <v>0</v>
      </c>
      <c r="AF427" s="107">
        <f t="shared" si="383"/>
        <v>0</v>
      </c>
      <c r="AG427" s="107">
        <f t="shared" si="383"/>
        <v>0</v>
      </c>
      <c r="AH427" s="107">
        <f t="shared" si="383"/>
        <v>0</v>
      </c>
      <c r="AI427" s="107">
        <f t="shared" si="383"/>
        <v>0</v>
      </c>
      <c r="AJ427" s="107">
        <f t="shared" si="383"/>
        <v>0</v>
      </c>
      <c r="AK427" s="107">
        <f t="shared" si="383"/>
        <v>0</v>
      </c>
      <c r="AL427" s="4"/>
      <c r="AM427" s="43">
        <v>411</v>
      </c>
      <c r="AN427">
        <v>250.26560266741362</v>
      </c>
      <c r="AO427">
        <v>73.207331481112519</v>
      </c>
      <c r="AP427">
        <v>600.17330071792037</v>
      </c>
      <c r="AQ427">
        <v>470.43180139912027</v>
      </c>
      <c r="AR427">
        <v>69.209713621624601</v>
      </c>
      <c r="AS427">
        <v>329.5124429593107</v>
      </c>
      <c r="AT427">
        <v>33.395004932983959</v>
      </c>
      <c r="AU427">
        <v>141.08466803411042</v>
      </c>
      <c r="AV427"/>
      <c r="AW427"/>
      <c r="FY427" s="211">
        <v>422</v>
      </c>
      <c r="FZ427">
        <v>129.10579887044236</v>
      </c>
      <c r="GA427">
        <v>153.06278978337539</v>
      </c>
      <c r="GB427">
        <v>65.0825083876355</v>
      </c>
      <c r="GC427">
        <v>34.223411473533979</v>
      </c>
      <c r="GD427">
        <v>17.702181962622785</v>
      </c>
      <c r="GE427">
        <v>28.477731909380058</v>
      </c>
      <c r="GF427">
        <v>65.380177861892548</v>
      </c>
      <c r="GG427">
        <v>50.031107098952404</v>
      </c>
      <c r="GH427">
        <v>19.771829552515232</v>
      </c>
      <c r="GI427">
        <v>62.749494453484985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2"/>
        <v>26.668322652784092</v>
      </c>
      <c r="D428" s="191">
        <f>A$410</f>
        <v>0.21</v>
      </c>
      <c r="E428" s="8"/>
      <c r="F428" s="124"/>
      <c r="G428" s="107">
        <f t="shared" si="384"/>
        <v>4.6305747729890783E-3</v>
      </c>
      <c r="H428" s="107">
        <f t="shared" si="383"/>
        <v>0.16018196679740007</v>
      </c>
      <c r="I428" s="107">
        <f t="shared" si="383"/>
        <v>1.6527393450033283</v>
      </c>
      <c r="J428" s="107">
        <f t="shared" si="383"/>
        <v>0.43981954447247124</v>
      </c>
      <c r="K428" s="107">
        <f t="shared" si="383"/>
        <v>0.4437564343386009</v>
      </c>
      <c r="L428" s="107">
        <f t="shared" si="383"/>
        <v>0.9767676914722061</v>
      </c>
      <c r="M428" s="107">
        <f t="shared" si="383"/>
        <v>5.3932985286634381</v>
      </c>
      <c r="N428" s="107">
        <f t="shared" si="383"/>
        <v>12.140378481651341</v>
      </c>
      <c r="O428" s="107">
        <f t="shared" si="383"/>
        <v>4.5704713878083467</v>
      </c>
      <c r="P428" s="107">
        <f t="shared" si="383"/>
        <v>0.88627869780397139</v>
      </c>
      <c r="Q428" s="107">
        <f t="shared" si="383"/>
        <v>0</v>
      </c>
      <c r="R428" s="107">
        <f t="shared" si="383"/>
        <v>0</v>
      </c>
      <c r="S428" s="107">
        <f t="shared" si="383"/>
        <v>0</v>
      </c>
      <c r="T428" s="107">
        <f t="shared" si="383"/>
        <v>0</v>
      </c>
      <c r="U428" s="107">
        <f t="shared" si="383"/>
        <v>0</v>
      </c>
      <c r="V428" s="107">
        <f t="shared" si="383"/>
        <v>0</v>
      </c>
      <c r="W428" s="107">
        <f t="shared" si="383"/>
        <v>0</v>
      </c>
      <c r="X428" s="107">
        <f t="shared" si="383"/>
        <v>0</v>
      </c>
      <c r="Y428" s="107">
        <f t="shared" si="383"/>
        <v>0</v>
      </c>
      <c r="Z428" s="107">
        <f t="shared" si="383"/>
        <v>0</v>
      </c>
      <c r="AA428" s="107">
        <f t="shared" si="383"/>
        <v>0</v>
      </c>
      <c r="AB428" s="107">
        <f t="shared" si="383"/>
        <v>0</v>
      </c>
      <c r="AC428" s="107">
        <f t="shared" si="383"/>
        <v>0</v>
      </c>
      <c r="AD428" s="107">
        <f t="shared" si="383"/>
        <v>0</v>
      </c>
      <c r="AE428" s="107">
        <f t="shared" si="383"/>
        <v>0</v>
      </c>
      <c r="AF428" s="107">
        <f t="shared" si="383"/>
        <v>0</v>
      </c>
      <c r="AG428" s="107">
        <f t="shared" si="383"/>
        <v>0</v>
      </c>
      <c r="AH428" s="107">
        <f t="shared" si="383"/>
        <v>0</v>
      </c>
      <c r="AI428" s="107">
        <f t="shared" si="383"/>
        <v>0</v>
      </c>
      <c r="AJ428" s="107">
        <f t="shared" si="383"/>
        <v>0</v>
      </c>
      <c r="AK428" s="107">
        <f t="shared" si="383"/>
        <v>0</v>
      </c>
      <c r="AL428" s="4"/>
      <c r="AM428" s="43">
        <v>412</v>
      </c>
      <c r="AN428">
        <v>218.90596233647148</v>
      </c>
      <c r="AO428">
        <v>73.779883042371011</v>
      </c>
      <c r="AP428">
        <v>593.41463130689294</v>
      </c>
      <c r="AQ428">
        <v>462.14615305240261</v>
      </c>
      <c r="AR428">
        <v>71.438436377264452</v>
      </c>
      <c r="AS428">
        <v>347.64376392736182</v>
      </c>
      <c r="AT428">
        <v>35.669766927935726</v>
      </c>
      <c r="AU428">
        <v>62.848539501281508</v>
      </c>
      <c r="AV428"/>
      <c r="AW428"/>
      <c r="FY428" s="211">
        <v>423</v>
      </c>
      <c r="FZ428">
        <v>112.67893429306912</v>
      </c>
      <c r="GA428">
        <v>144.46673337482838</v>
      </c>
      <c r="GB428">
        <v>53.21920511525434</v>
      </c>
      <c r="GC428">
        <v>30.124887525679593</v>
      </c>
      <c r="GD428">
        <v>15.231375205959656</v>
      </c>
      <c r="GE428">
        <v>23.061845942535221</v>
      </c>
      <c r="GF428">
        <v>24.172553102622544</v>
      </c>
      <c r="GG428">
        <v>12.476643025352145</v>
      </c>
      <c r="GH428">
        <v>26.705250310896467</v>
      </c>
      <c r="GI428">
        <v>48.764320578830407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2"/>
        <v>56.986172597168675</v>
      </c>
      <c r="D429" s="191">
        <f>A$411</f>
        <v>1.28</v>
      </c>
      <c r="E429" s="8"/>
      <c r="F429" s="124"/>
      <c r="G429" s="107">
        <f t="shared" si="384"/>
        <v>0</v>
      </c>
      <c r="H429" s="107">
        <f t="shared" si="383"/>
        <v>0.13534925198453274</v>
      </c>
      <c r="I429" s="107">
        <f t="shared" si="383"/>
        <v>5.3120392266521845</v>
      </c>
      <c r="J429" s="107">
        <f t="shared" si="383"/>
        <v>10.368853783684671</v>
      </c>
      <c r="K429" s="107">
        <f t="shared" si="383"/>
        <v>0.58739787036996949</v>
      </c>
      <c r="L429" s="107">
        <f t="shared" si="383"/>
        <v>0</v>
      </c>
      <c r="M429" s="107">
        <f t="shared" si="383"/>
        <v>1.9611212768539377</v>
      </c>
      <c r="N429" s="107">
        <f t="shared" si="383"/>
        <v>24.33246173415198</v>
      </c>
      <c r="O429" s="107">
        <f t="shared" si="383"/>
        <v>13.441518475179697</v>
      </c>
      <c r="P429" s="107">
        <f t="shared" si="383"/>
        <v>0.84743097829170366</v>
      </c>
      <c r="Q429" s="107">
        <f t="shared" si="383"/>
        <v>0</v>
      </c>
      <c r="R429" s="107">
        <f t="shared" si="383"/>
        <v>0</v>
      </c>
      <c r="S429" s="107">
        <f t="shared" si="383"/>
        <v>0</v>
      </c>
      <c r="T429" s="107">
        <f t="shared" si="383"/>
        <v>0</v>
      </c>
      <c r="U429" s="107">
        <f t="shared" si="383"/>
        <v>0</v>
      </c>
      <c r="V429" s="107">
        <f t="shared" si="383"/>
        <v>0</v>
      </c>
      <c r="W429" s="107">
        <f t="shared" si="383"/>
        <v>0</v>
      </c>
      <c r="X429" s="107">
        <f t="shared" si="383"/>
        <v>0</v>
      </c>
      <c r="Y429" s="107">
        <f t="shared" si="383"/>
        <v>0</v>
      </c>
      <c r="Z429" s="107">
        <f t="shared" si="383"/>
        <v>0</v>
      </c>
      <c r="AA429" s="107">
        <f t="shared" si="383"/>
        <v>0</v>
      </c>
      <c r="AB429" s="107">
        <f t="shared" si="383"/>
        <v>0</v>
      </c>
      <c r="AC429" s="107">
        <f t="shared" si="383"/>
        <v>0</v>
      </c>
      <c r="AD429" s="107">
        <f t="shared" si="383"/>
        <v>0</v>
      </c>
      <c r="AE429" s="107">
        <f t="shared" si="383"/>
        <v>0</v>
      </c>
      <c r="AF429" s="107">
        <f t="shared" si="383"/>
        <v>0</v>
      </c>
      <c r="AG429" s="107">
        <f t="shared" si="383"/>
        <v>0</v>
      </c>
      <c r="AH429" s="107">
        <f t="shared" si="383"/>
        <v>0</v>
      </c>
      <c r="AI429" s="107">
        <f t="shared" si="383"/>
        <v>0</v>
      </c>
      <c r="AJ429" s="107">
        <f t="shared" si="383"/>
        <v>0</v>
      </c>
      <c r="AK429" s="107">
        <f t="shared" si="383"/>
        <v>0</v>
      </c>
      <c r="AL429" s="4"/>
      <c r="AM429" s="43">
        <v>413</v>
      </c>
      <c r="AN429">
        <v>237.31307050400051</v>
      </c>
      <c r="AO429">
        <v>95.818697443376834</v>
      </c>
      <c r="AP429">
        <v>846.09145788806393</v>
      </c>
      <c r="AQ429">
        <v>664.62568987461088</v>
      </c>
      <c r="AR429">
        <v>92.902976375783794</v>
      </c>
      <c r="AS429">
        <v>429.95211193821422</v>
      </c>
      <c r="AT429">
        <v>48.692844067024858</v>
      </c>
      <c r="AU429">
        <v>-4.8254707170823465</v>
      </c>
      <c r="AV429"/>
      <c r="AW429"/>
      <c r="FY429" s="211">
        <v>424</v>
      </c>
      <c r="FZ429">
        <v>153.97717707143875</v>
      </c>
      <c r="GA429">
        <v>186.54485151560826</v>
      </c>
      <c r="GB429">
        <v>67.609943591428575</v>
      </c>
      <c r="GC429">
        <v>36.526703663014928</v>
      </c>
      <c r="GD429">
        <v>14.8341352003278</v>
      </c>
      <c r="GE429">
        <v>24.590931130692464</v>
      </c>
      <c r="GF429">
        <v>31.886082064392411</v>
      </c>
      <c r="GG429">
        <v>27.454948101656413</v>
      </c>
      <c r="GH429">
        <v>22.710704600836522</v>
      </c>
      <c r="GI429">
        <v>59.424619407683174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2"/>
        <v>42.735950641161132</v>
      </c>
      <c r="D430" s="191">
        <f>A$412</f>
        <v>4</v>
      </c>
      <c r="E430" s="8"/>
      <c r="F430" s="124"/>
      <c r="G430" s="107">
        <f t="shared" si="384"/>
        <v>0</v>
      </c>
      <c r="H430" s="107">
        <f t="shared" si="383"/>
        <v>0.11165516041044166</v>
      </c>
      <c r="I430" s="107">
        <f t="shared" si="383"/>
        <v>3.2698590879493414</v>
      </c>
      <c r="J430" s="107">
        <f t="shared" si="383"/>
        <v>8.6017339159465642</v>
      </c>
      <c r="K430" s="107">
        <f t="shared" si="383"/>
        <v>0.51113929267755465</v>
      </c>
      <c r="L430" s="107">
        <f t="shared" si="383"/>
        <v>0</v>
      </c>
      <c r="M430" s="107">
        <f t="shared" si="383"/>
        <v>1.0828194768759041</v>
      </c>
      <c r="N430" s="107">
        <f t="shared" si="383"/>
        <v>13.725917665055652</v>
      </c>
      <c r="O430" s="107">
        <f t="shared" si="383"/>
        <v>11.395078601130624</v>
      </c>
      <c r="P430" s="107">
        <f t="shared" si="383"/>
        <v>4.0377474411150542</v>
      </c>
      <c r="Q430" s="107">
        <f t="shared" si="383"/>
        <v>0</v>
      </c>
      <c r="R430" s="107">
        <f t="shared" si="383"/>
        <v>0</v>
      </c>
      <c r="S430" s="107">
        <f t="shared" si="383"/>
        <v>0</v>
      </c>
      <c r="T430" s="107">
        <f t="shared" si="383"/>
        <v>0</v>
      </c>
      <c r="U430" s="107">
        <f t="shared" si="383"/>
        <v>0</v>
      </c>
      <c r="V430" s="107">
        <f t="shared" si="383"/>
        <v>0</v>
      </c>
      <c r="W430" s="107">
        <f t="shared" si="383"/>
        <v>0</v>
      </c>
      <c r="X430" s="107">
        <f t="shared" si="383"/>
        <v>0</v>
      </c>
      <c r="Y430" s="107">
        <f t="shared" si="383"/>
        <v>0</v>
      </c>
      <c r="Z430" s="107">
        <f t="shared" si="383"/>
        <v>0</v>
      </c>
      <c r="AA430" s="107">
        <f t="shared" si="383"/>
        <v>0</v>
      </c>
      <c r="AB430" s="107">
        <f t="shared" si="383"/>
        <v>0</v>
      </c>
      <c r="AC430" s="107">
        <f t="shared" si="383"/>
        <v>0</v>
      </c>
      <c r="AD430" s="107">
        <f t="shared" si="383"/>
        <v>0</v>
      </c>
      <c r="AE430" s="107">
        <f t="shared" si="383"/>
        <v>0</v>
      </c>
      <c r="AF430" s="107">
        <f t="shared" si="383"/>
        <v>0</v>
      </c>
      <c r="AG430" s="107">
        <f t="shared" si="383"/>
        <v>0</v>
      </c>
      <c r="AH430" s="107">
        <f t="shared" si="383"/>
        <v>0</v>
      </c>
      <c r="AI430" s="107">
        <f t="shared" si="383"/>
        <v>0</v>
      </c>
      <c r="AJ430" s="107">
        <f t="shared" si="383"/>
        <v>0</v>
      </c>
      <c r="AK430" s="107">
        <f t="shared" si="383"/>
        <v>0</v>
      </c>
      <c r="AL430" s="4"/>
      <c r="AM430" s="43">
        <v>414</v>
      </c>
      <c r="AN430">
        <v>174.69560055368319</v>
      </c>
      <c r="AO430">
        <v>50.318640604340864</v>
      </c>
      <c r="AP430">
        <v>355.57613828550689</v>
      </c>
      <c r="AQ430">
        <v>286.70472851983993</v>
      </c>
      <c r="AR430">
        <v>49.719658907012601</v>
      </c>
      <c r="AS430">
        <v>230.44703594650574</v>
      </c>
      <c r="AT430">
        <v>23.23407516511492</v>
      </c>
      <c r="AU430">
        <v>-1.3227442475089077</v>
      </c>
      <c r="AV430"/>
      <c r="AW430"/>
      <c r="FY430" s="211">
        <v>425</v>
      </c>
      <c r="FZ430">
        <v>38.713370450390499</v>
      </c>
      <c r="GA430">
        <v>42.041774215672682</v>
      </c>
      <c r="GB430">
        <v>36.252657410751354</v>
      </c>
      <c r="GC430">
        <v>26.007944206385545</v>
      </c>
      <c r="GD430">
        <v>18.056479947839382</v>
      </c>
      <c r="GE430">
        <v>22.178069659087516</v>
      </c>
      <c r="GF430">
        <v>31.304774886646115</v>
      </c>
      <c r="GG430">
        <v>24.437631510924369</v>
      </c>
      <c r="GH430">
        <v>23.589658976420452</v>
      </c>
      <c r="GI430">
        <v>36.356680506709331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2"/>
        <v>28.869118191776856</v>
      </c>
      <c r="D431" s="191">
        <f>A$413</f>
        <v>7.33</v>
      </c>
      <c r="E431" s="8"/>
      <c r="F431" s="124"/>
      <c r="G431" s="107">
        <f t="shared" si="384"/>
        <v>0</v>
      </c>
      <c r="H431" s="107">
        <f t="shared" si="383"/>
        <v>0</v>
      </c>
      <c r="I431" s="107">
        <f t="shared" si="383"/>
        <v>0.45424501113789034</v>
      </c>
      <c r="J431" s="107">
        <f t="shared" si="383"/>
        <v>5.6020468777534189</v>
      </c>
      <c r="K431" s="107">
        <f t="shared" si="383"/>
        <v>1.6126193982445598</v>
      </c>
      <c r="L431" s="107">
        <f t="shared" si="383"/>
        <v>6.2296005880376297</v>
      </c>
      <c r="M431" s="107">
        <f t="shared" si="383"/>
        <v>2.9110660969478546</v>
      </c>
      <c r="N431" s="107">
        <f t="shared" si="383"/>
        <v>5.3547238792655678</v>
      </c>
      <c r="O431" s="107">
        <f t="shared" si="383"/>
        <v>0</v>
      </c>
      <c r="P431" s="107">
        <f t="shared" si="383"/>
        <v>6.7048163403899359</v>
      </c>
      <c r="Q431" s="107">
        <f t="shared" si="383"/>
        <v>0</v>
      </c>
      <c r="R431" s="107">
        <f t="shared" si="383"/>
        <v>0</v>
      </c>
      <c r="S431" s="107">
        <f t="shared" si="383"/>
        <v>0</v>
      </c>
      <c r="T431" s="107">
        <f t="shared" si="383"/>
        <v>0</v>
      </c>
      <c r="U431" s="107">
        <f t="shared" si="383"/>
        <v>0</v>
      </c>
      <c r="V431" s="107">
        <f t="shared" si="383"/>
        <v>0</v>
      </c>
      <c r="W431" s="107">
        <f t="shared" si="383"/>
        <v>0</v>
      </c>
      <c r="X431" s="107">
        <f t="shared" si="383"/>
        <v>0</v>
      </c>
      <c r="Y431" s="107">
        <f t="shared" si="383"/>
        <v>0</v>
      </c>
      <c r="Z431" s="107">
        <f t="shared" si="383"/>
        <v>0</v>
      </c>
      <c r="AA431" s="107">
        <f t="shared" si="383"/>
        <v>0</v>
      </c>
      <c r="AB431" s="107">
        <f t="shared" si="383"/>
        <v>0</v>
      </c>
      <c r="AC431" s="107">
        <f t="shared" si="383"/>
        <v>0</v>
      </c>
      <c r="AD431" s="107">
        <f t="shared" si="383"/>
        <v>0</v>
      </c>
      <c r="AE431" s="107">
        <f t="shared" si="383"/>
        <v>0</v>
      </c>
      <c r="AF431" s="107">
        <f t="shared" si="383"/>
        <v>0</v>
      </c>
      <c r="AG431" s="107">
        <f t="shared" si="383"/>
        <v>0</v>
      </c>
      <c r="AH431" s="107">
        <f t="shared" si="383"/>
        <v>0</v>
      </c>
      <c r="AI431" s="107">
        <f t="shared" si="383"/>
        <v>0</v>
      </c>
      <c r="AJ431" s="107">
        <f t="shared" si="383"/>
        <v>0</v>
      </c>
      <c r="AK431" s="107">
        <f t="shared" si="383"/>
        <v>0</v>
      </c>
      <c r="AL431" s="4"/>
      <c r="AM431" s="43">
        <v>415</v>
      </c>
      <c r="AN431">
        <v>238.81001571721004</v>
      </c>
      <c r="AO431">
        <v>73.093180668693535</v>
      </c>
      <c r="AP431">
        <v>575.8655374783159</v>
      </c>
      <c r="AQ431">
        <v>448.68818691949224</v>
      </c>
      <c r="AR431">
        <v>70.499525727966002</v>
      </c>
      <c r="AS431">
        <v>328.32454163548005</v>
      </c>
      <c r="AT431">
        <v>33.596388722155218</v>
      </c>
      <c r="AU431">
        <v>-13.292670227296622</v>
      </c>
      <c r="AV431"/>
      <c r="AW431"/>
      <c r="FY431" s="211">
        <v>426</v>
      </c>
      <c r="FZ431">
        <v>121.60632948304473</v>
      </c>
      <c r="GA431">
        <v>153.75074451899178</v>
      </c>
      <c r="GB431">
        <v>70.960772063703672</v>
      </c>
      <c r="GC431">
        <v>34.910942189335202</v>
      </c>
      <c r="GD431">
        <v>14.586266179016063</v>
      </c>
      <c r="GE431">
        <v>23.98772914251678</v>
      </c>
      <c r="GF431">
        <v>48.927774038902342</v>
      </c>
      <c r="GG431">
        <v>36.893838470758745</v>
      </c>
      <c r="GH431">
        <v>16.830164465751338</v>
      </c>
      <c r="GI431">
        <v>57.711875220730285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2"/>
        <v>49.48432117422449</v>
      </c>
      <c r="D432" s="191">
        <f>A$414</f>
        <v>10.51</v>
      </c>
      <c r="E432" s="8"/>
      <c r="F432" s="124"/>
      <c r="G432" s="107">
        <f t="shared" si="384"/>
        <v>1.2928082536296267E-3</v>
      </c>
      <c r="H432" s="107">
        <f t="shared" ref="H432:AK432" si="385">(($A$453+$A$455*(H$422)+($A$457*$D432))*($E30*H46))</f>
        <v>0.10802575178697753</v>
      </c>
      <c r="I432" s="107">
        <f t="shared" si="385"/>
        <v>2.1077902725680042</v>
      </c>
      <c r="J432" s="107">
        <f t="shared" si="385"/>
        <v>4.3082623063286656</v>
      </c>
      <c r="K432" s="107">
        <f t="shared" si="385"/>
        <v>2.6276160083215081</v>
      </c>
      <c r="L432" s="107">
        <f t="shared" si="385"/>
        <v>5.9896860981968683</v>
      </c>
      <c r="M432" s="107">
        <f t="shared" si="385"/>
        <v>12.079531696435119</v>
      </c>
      <c r="N432" s="107">
        <f t="shared" si="385"/>
        <v>11.412455727086636</v>
      </c>
      <c r="O432" s="107">
        <f t="shared" si="385"/>
        <v>7.3782481822829</v>
      </c>
      <c r="P432" s="107">
        <f t="shared" si="385"/>
        <v>3.471412322964178</v>
      </c>
      <c r="Q432" s="107">
        <f t="shared" si="385"/>
        <v>0</v>
      </c>
      <c r="R432" s="107">
        <f t="shared" si="385"/>
        <v>0</v>
      </c>
      <c r="S432" s="107">
        <f t="shared" si="385"/>
        <v>0</v>
      </c>
      <c r="T432" s="107">
        <f t="shared" si="385"/>
        <v>0</v>
      </c>
      <c r="U432" s="107">
        <f t="shared" si="385"/>
        <v>0</v>
      </c>
      <c r="V432" s="107">
        <f t="shared" si="385"/>
        <v>0</v>
      </c>
      <c r="W432" s="107">
        <f t="shared" si="385"/>
        <v>0</v>
      </c>
      <c r="X432" s="107">
        <f t="shared" si="385"/>
        <v>0</v>
      </c>
      <c r="Y432" s="107">
        <f t="shared" si="385"/>
        <v>0</v>
      </c>
      <c r="Z432" s="107">
        <f t="shared" si="385"/>
        <v>0</v>
      </c>
      <c r="AA432" s="107">
        <f t="shared" si="385"/>
        <v>0</v>
      </c>
      <c r="AB432" s="107">
        <f t="shared" si="385"/>
        <v>0</v>
      </c>
      <c r="AC432" s="107">
        <f t="shared" si="385"/>
        <v>0</v>
      </c>
      <c r="AD432" s="107">
        <f t="shared" si="385"/>
        <v>0</v>
      </c>
      <c r="AE432" s="107">
        <f t="shared" si="385"/>
        <v>0</v>
      </c>
      <c r="AF432" s="107">
        <f t="shared" si="385"/>
        <v>0</v>
      </c>
      <c r="AG432" s="107">
        <f t="shared" si="385"/>
        <v>0</v>
      </c>
      <c r="AH432" s="107">
        <f t="shared" si="385"/>
        <v>0</v>
      </c>
      <c r="AI432" s="107">
        <f t="shared" si="385"/>
        <v>0</v>
      </c>
      <c r="AJ432" s="107">
        <f t="shared" si="385"/>
        <v>0</v>
      </c>
      <c r="AK432" s="107">
        <f t="shared" si="385"/>
        <v>0</v>
      </c>
      <c r="AL432" s="4"/>
      <c r="AM432" s="43">
        <v>416</v>
      </c>
      <c r="AN432">
        <v>235.17793177583403</v>
      </c>
      <c r="AO432">
        <v>71.317762716900646</v>
      </c>
      <c r="AP432">
        <v>545.32907256113538</v>
      </c>
      <c r="AQ432">
        <v>439.18644118940142</v>
      </c>
      <c r="AR432">
        <v>69.716746936557143</v>
      </c>
      <c r="AS432">
        <v>359.64414769801522</v>
      </c>
      <c r="AT432">
        <v>34.828104221633573</v>
      </c>
      <c r="AU432">
        <v>-11.416107224822035</v>
      </c>
      <c r="AV432"/>
      <c r="AW432"/>
      <c r="FY432" s="211">
        <v>427</v>
      </c>
      <c r="FZ432">
        <v>46.015254910804153</v>
      </c>
      <c r="GA432">
        <v>63.12809449776038</v>
      </c>
      <c r="GB432">
        <v>46.561693719760733</v>
      </c>
      <c r="GC432">
        <v>18.1477663626946</v>
      </c>
      <c r="GD432">
        <v>13.381065934799638</v>
      </c>
      <c r="GE432">
        <v>29.228181175596319</v>
      </c>
      <c r="GF432">
        <v>34.470202095844336</v>
      </c>
      <c r="GG432">
        <v>20.390269188355514</v>
      </c>
      <c r="GH432">
        <v>25.615264182148501</v>
      </c>
      <c r="GI432">
        <v>38.184851102466496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228.80235850200228</v>
      </c>
      <c r="AO433">
        <v>66.617852669965387</v>
      </c>
      <c r="AP433">
        <v>495.37753590367026</v>
      </c>
      <c r="AQ433">
        <v>376.92179147155963</v>
      </c>
      <c r="AR433">
        <v>61.975851475733052</v>
      </c>
      <c r="AS433">
        <v>307.50346931029151</v>
      </c>
      <c r="AT433">
        <v>27.239630194350166</v>
      </c>
      <c r="AU433">
        <v>-19.017687459306948</v>
      </c>
      <c r="AV433"/>
      <c r="AW433"/>
      <c r="FY433" s="211">
        <v>428</v>
      </c>
      <c r="FZ433">
        <v>34.179011874810953</v>
      </c>
      <c r="GA433">
        <v>47.169164745466261</v>
      </c>
      <c r="GB433">
        <v>53.852555582303388</v>
      </c>
      <c r="GC433">
        <v>29.712749503686172</v>
      </c>
      <c r="GD433">
        <v>15.482219995964828</v>
      </c>
      <c r="GE433">
        <v>24.260238531851705</v>
      </c>
      <c r="GF433">
        <v>15.219765300490408</v>
      </c>
      <c r="GG433">
        <v>2.4316129562327893</v>
      </c>
      <c r="GH433">
        <v>11.491802877713379</v>
      </c>
      <c r="GI433">
        <v>33.520887821788598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212.72050298009904</v>
      </c>
      <c r="AO434">
        <v>59.678346236364177</v>
      </c>
      <c r="AP434">
        <v>458.15342770799941</v>
      </c>
      <c r="AQ434">
        <v>352.37953292646745</v>
      </c>
      <c r="AR434">
        <v>57.932386751572118</v>
      </c>
      <c r="AS434">
        <v>282.88914319594068</v>
      </c>
      <c r="AT434">
        <v>27.595674186044942</v>
      </c>
      <c r="AU434">
        <v>24.826779556899147</v>
      </c>
      <c r="AV434"/>
      <c r="AW434"/>
      <c r="FY434" s="211">
        <v>429</v>
      </c>
      <c r="FZ434">
        <v>112.65247790702604</v>
      </c>
      <c r="GA434">
        <v>142.50471821044124</v>
      </c>
      <c r="GB434">
        <v>57.322747626016437</v>
      </c>
      <c r="GC434">
        <v>29.555556036566564</v>
      </c>
      <c r="GD434">
        <v>15.184628675801729</v>
      </c>
      <c r="GE434">
        <v>30.989882583873179</v>
      </c>
      <c r="GF434">
        <v>50.532377373644863</v>
      </c>
      <c r="GG434">
        <v>34.815647313765723</v>
      </c>
      <c r="GH434">
        <v>25.274374602301744</v>
      </c>
      <c r="GI434">
        <v>54.872045296606629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472.30189463580916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263.9350421721216</v>
      </c>
      <c r="AO435">
        <v>87.492389139011721</v>
      </c>
      <c r="AP435">
        <v>757.12032198523343</v>
      </c>
      <c r="AQ435">
        <v>615.61846907743393</v>
      </c>
      <c r="AR435">
        <v>85.858471058983014</v>
      </c>
      <c r="AS435">
        <v>431.58597811676213</v>
      </c>
      <c r="AT435">
        <v>47.891339806903098</v>
      </c>
      <c r="AU435">
        <v>-52.939472465190782</v>
      </c>
      <c r="AV435"/>
      <c r="AW435"/>
      <c r="FY435" s="211">
        <v>430</v>
      </c>
      <c r="FZ435">
        <v>35.974533664887289</v>
      </c>
      <c r="GA435">
        <v>48.314517295684858</v>
      </c>
      <c r="GB435">
        <v>57.267792291291109</v>
      </c>
      <c r="GC435">
        <v>28.524284313533805</v>
      </c>
      <c r="GD435">
        <v>15.948219896093189</v>
      </c>
      <c r="GE435">
        <v>30.716756443609011</v>
      </c>
      <c r="GF435">
        <v>21.345892020440118</v>
      </c>
      <c r="GG435">
        <v>13.944883963965731</v>
      </c>
      <c r="GH435">
        <v>15.723034490654861</v>
      </c>
      <c r="GI435">
        <v>36.862066957900176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189.29629634403528</v>
      </c>
      <c r="AO436">
        <v>57.980871924022061</v>
      </c>
      <c r="AP436">
        <v>418.68309630093597</v>
      </c>
      <c r="AQ436">
        <v>327.2966282936485</v>
      </c>
      <c r="AR436">
        <v>56.677061191787104</v>
      </c>
      <c r="AS436">
        <v>300.72565914201067</v>
      </c>
      <c r="AT436">
        <v>27.76904231780129</v>
      </c>
      <c r="AU436">
        <v>-17.937634011946813</v>
      </c>
      <c r="AV436"/>
      <c r="AW436"/>
      <c r="FY436" s="211">
        <v>431</v>
      </c>
      <c r="FZ436">
        <v>82.665315216433214</v>
      </c>
      <c r="GA436">
        <v>97.490572244433281</v>
      </c>
      <c r="GB436">
        <v>33.29592679457911</v>
      </c>
      <c r="GC436">
        <v>20.652088371837607</v>
      </c>
      <c r="GD436">
        <v>13.25981313052592</v>
      </c>
      <c r="GE436">
        <v>17.595821241290828</v>
      </c>
      <c r="GF436">
        <v>51.516166942136628</v>
      </c>
      <c r="GG436">
        <v>43.190832216840775</v>
      </c>
      <c r="GH436">
        <v>24.953516650777743</v>
      </c>
      <c r="GI436">
        <v>43.530761077048787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253.42415970618495</v>
      </c>
      <c r="AO437">
        <v>69.359637729392318</v>
      </c>
      <c r="AP437">
        <v>525.82086333518646</v>
      </c>
      <c r="AQ437">
        <v>409.39615126264312</v>
      </c>
      <c r="AR437">
        <v>68.271316520423966</v>
      </c>
      <c r="AS437">
        <v>339.72251828027527</v>
      </c>
      <c r="AT437">
        <v>33.056121561607192</v>
      </c>
      <c r="AU437">
        <v>68.351232934071973</v>
      </c>
      <c r="AV437"/>
      <c r="AW437"/>
      <c r="FY437" s="211">
        <v>432</v>
      </c>
      <c r="FZ437">
        <v>19.56251016638258</v>
      </c>
      <c r="GA437">
        <v>47.793139634351839</v>
      </c>
      <c r="GB437">
        <v>60.503072104139235</v>
      </c>
      <c r="GC437">
        <v>27.663844443278879</v>
      </c>
      <c r="GD437">
        <v>13.26783878853144</v>
      </c>
      <c r="GE437">
        <v>27.049005723962608</v>
      </c>
      <c r="GF437">
        <v>50.582549225295658</v>
      </c>
      <c r="GG437">
        <v>33.013364121414419</v>
      </c>
      <c r="GH437">
        <v>12.701437793448461</v>
      </c>
      <c r="GI437">
        <v>38.823048321148299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295.3811273701632</v>
      </c>
      <c r="AO438">
        <v>93.660657949542667</v>
      </c>
      <c r="AP438">
        <v>794.52677836297096</v>
      </c>
      <c r="AQ438">
        <v>625.58703135383519</v>
      </c>
      <c r="AR438">
        <v>90.506077483780842</v>
      </c>
      <c r="AS438">
        <v>425.31474929576063</v>
      </c>
      <c r="AT438">
        <v>45.844236075137324</v>
      </c>
      <c r="AU438">
        <v>3.7065208163107144</v>
      </c>
      <c r="AV438"/>
      <c r="AW438"/>
      <c r="FY438" s="211">
        <v>433</v>
      </c>
      <c r="FZ438">
        <v>76.507943005831265</v>
      </c>
      <c r="GA438">
        <v>94.729142205274087</v>
      </c>
      <c r="GB438">
        <v>31.493400171819076</v>
      </c>
      <c r="GC438">
        <v>15.394707421831633</v>
      </c>
      <c r="GD438">
        <v>12.08807727082042</v>
      </c>
      <c r="GE438">
        <v>28.2484842245469</v>
      </c>
      <c r="GF438">
        <v>36.997726497179976</v>
      </c>
      <c r="GG438">
        <v>18.988797206603106</v>
      </c>
      <c r="GH438">
        <v>26.377314819918269</v>
      </c>
      <c r="GI438">
        <v>38.394542621801598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224.21961476282308</v>
      </c>
      <c r="AO439">
        <v>72.382412926716071</v>
      </c>
      <c r="AP439">
        <v>608.20965422055519</v>
      </c>
      <c r="AQ439">
        <v>490.90174847502783</v>
      </c>
      <c r="AR439">
        <v>70.103575210256295</v>
      </c>
      <c r="AS439">
        <v>323.82103843533974</v>
      </c>
      <c r="AT439">
        <v>37.104668295649113</v>
      </c>
      <c r="AU439">
        <v>-44.461160997807802</v>
      </c>
      <c r="AV439"/>
      <c r="AW439"/>
      <c r="FY439" s="211">
        <v>434</v>
      </c>
      <c r="FZ439">
        <v>82.893862416420077</v>
      </c>
      <c r="GA439">
        <v>93.591410866025612</v>
      </c>
      <c r="GB439">
        <v>45.044789913483399</v>
      </c>
      <c r="GC439">
        <v>22.267343065122002</v>
      </c>
      <c r="GD439">
        <v>15.919073973066444</v>
      </c>
      <c r="GE439">
        <v>37.999665291329336</v>
      </c>
      <c r="GF439">
        <v>90.393440711564921</v>
      </c>
      <c r="GG439">
        <v>56.158283535496381</v>
      </c>
      <c r="GH439">
        <v>16.846684257650196</v>
      </c>
      <c r="GI439">
        <v>54.39199539977546</v>
      </c>
      <c r="GJ439"/>
      <c r="GK439"/>
      <c r="GL439"/>
      <c r="GM439"/>
    </row>
    <row r="440" spans="1:195" s="7" customFormat="1">
      <c r="A440" s="1">
        <v>10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226.61678415763021</v>
      </c>
      <c r="AO440">
        <v>91.206252199204101</v>
      </c>
      <c r="AP440">
        <v>791.9329483524815</v>
      </c>
      <c r="AQ440">
        <v>625.56009634707925</v>
      </c>
      <c r="AR440">
        <v>86.631439239791888</v>
      </c>
      <c r="AS440">
        <v>388.82542688311446</v>
      </c>
      <c r="AT440">
        <v>47.866097793280822</v>
      </c>
      <c r="AU440">
        <v>-9.1319481933602731</v>
      </c>
      <c r="AV440"/>
      <c r="AW440"/>
      <c r="FY440" s="211">
        <v>435</v>
      </c>
      <c r="FZ440">
        <v>39.64989257812865</v>
      </c>
      <c r="GA440">
        <v>36.084603234014438</v>
      </c>
      <c r="GB440">
        <v>29.559755605655965</v>
      </c>
      <c r="GC440">
        <v>17.5377700873725</v>
      </c>
      <c r="GD440">
        <v>13.326881487839065</v>
      </c>
      <c r="GE440">
        <v>23.258543242703485</v>
      </c>
      <c r="GF440">
        <v>55.009073951480062</v>
      </c>
      <c r="GG440">
        <v>39.74193374278196</v>
      </c>
      <c r="GH440">
        <v>19.274730727055285</v>
      </c>
      <c r="GI440">
        <v>35.711695606885471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6">SUM(G441:AK441)</f>
        <v>64.773403121142081</v>
      </c>
      <c r="D441" s="191">
        <f>$A$405</f>
        <v>13.69</v>
      </c>
      <c r="E441" s="8"/>
      <c r="F441" s="124"/>
      <c r="G441" s="107" t="str">
        <f t="shared" ref="G441:G450" si="387">IF(G423&lt;=0, "0.000", G423)</f>
        <v>0.000</v>
      </c>
      <c r="H441" s="107" t="str">
        <f t="shared" ref="H441:AK441" si="388">IF(H423&lt;=0, "0.000", H423)</f>
        <v>0.000</v>
      </c>
      <c r="I441" s="107">
        <f t="shared" si="388"/>
        <v>0.24674325938912078</v>
      </c>
      <c r="J441" s="107">
        <f t="shared" si="388"/>
        <v>1.9157559656225709</v>
      </c>
      <c r="K441" s="107">
        <f t="shared" si="388"/>
        <v>8.0865400546519606</v>
      </c>
      <c r="L441" s="107">
        <f t="shared" si="388"/>
        <v>13.544207657678529</v>
      </c>
      <c r="M441" s="107">
        <f t="shared" si="388"/>
        <v>18.447352256476393</v>
      </c>
      <c r="N441" s="107">
        <f t="shared" si="388"/>
        <v>8.5735761310973597</v>
      </c>
      <c r="O441" s="107" t="str">
        <f t="shared" si="388"/>
        <v>0.000</v>
      </c>
      <c r="P441" s="107">
        <f t="shared" si="388"/>
        <v>13.959227796226138</v>
      </c>
      <c r="Q441" s="107" t="str">
        <f t="shared" si="388"/>
        <v>0.000</v>
      </c>
      <c r="R441" s="107" t="str">
        <f t="shared" si="388"/>
        <v>0.000</v>
      </c>
      <c r="S441" s="107" t="str">
        <f t="shared" si="388"/>
        <v>0.000</v>
      </c>
      <c r="T441" s="107" t="str">
        <f t="shared" si="388"/>
        <v>0.000</v>
      </c>
      <c r="U441" s="107" t="str">
        <f t="shared" si="388"/>
        <v>0.000</v>
      </c>
      <c r="V441" s="107" t="str">
        <f t="shared" si="388"/>
        <v>0.000</v>
      </c>
      <c r="W441" s="107" t="str">
        <f t="shared" si="388"/>
        <v>0.000</v>
      </c>
      <c r="X441" s="107" t="str">
        <f t="shared" si="388"/>
        <v>0.000</v>
      </c>
      <c r="Y441" s="107" t="str">
        <f t="shared" si="388"/>
        <v>0.000</v>
      </c>
      <c r="Z441" s="107" t="str">
        <f t="shared" si="388"/>
        <v>0.000</v>
      </c>
      <c r="AA441" s="107" t="str">
        <f t="shared" si="388"/>
        <v>0.000</v>
      </c>
      <c r="AB441" s="107" t="str">
        <f t="shared" si="388"/>
        <v>0.000</v>
      </c>
      <c r="AC441" s="107" t="str">
        <f t="shared" si="388"/>
        <v>0.000</v>
      </c>
      <c r="AD441" s="107" t="str">
        <f t="shared" si="388"/>
        <v>0.000</v>
      </c>
      <c r="AE441" s="107" t="str">
        <f t="shared" si="388"/>
        <v>0.000</v>
      </c>
      <c r="AF441" s="107" t="str">
        <f t="shared" si="388"/>
        <v>0.000</v>
      </c>
      <c r="AG441" s="107" t="str">
        <f t="shared" si="388"/>
        <v>0.000</v>
      </c>
      <c r="AH441" s="107" t="str">
        <f t="shared" si="388"/>
        <v>0.000</v>
      </c>
      <c r="AI441" s="107" t="str">
        <f t="shared" si="388"/>
        <v>0.000</v>
      </c>
      <c r="AJ441" s="107" t="str">
        <f t="shared" si="388"/>
        <v>0.000</v>
      </c>
      <c r="AK441" s="107" t="str">
        <f t="shared" si="388"/>
        <v>0.000</v>
      </c>
      <c r="AL441" s="4"/>
      <c r="AM441" s="43">
        <v>425</v>
      </c>
      <c r="AN441">
        <v>203.10473100946825</v>
      </c>
      <c r="AO441">
        <v>52.372922201100451</v>
      </c>
      <c r="AP441">
        <v>366.45315664529585</v>
      </c>
      <c r="AQ441">
        <v>298.93904177082726</v>
      </c>
      <c r="AR441">
        <v>52.111781643338595</v>
      </c>
      <c r="AS441">
        <v>253.1644494309129</v>
      </c>
      <c r="AT441">
        <v>24.02408962499543</v>
      </c>
      <c r="AU441">
        <v>6.3578743187259974</v>
      </c>
      <c r="AV441"/>
      <c r="AW441"/>
      <c r="FY441" s="211">
        <v>436</v>
      </c>
      <c r="FZ441">
        <v>43.915504996602508</v>
      </c>
      <c r="GA441">
        <v>51.147065533603339</v>
      </c>
      <c r="GB441">
        <v>67.902595510624863</v>
      </c>
      <c r="GC441">
        <v>31.902874802409954</v>
      </c>
      <c r="GD441">
        <v>12.176355813256755</v>
      </c>
      <c r="GE441">
        <v>27.683090335573294</v>
      </c>
      <c r="GF441">
        <v>52.370180032678071</v>
      </c>
      <c r="GG441">
        <v>39.279894829204409</v>
      </c>
      <c r="GH441">
        <v>22.266471600118983</v>
      </c>
      <c r="GI441">
        <v>45.706851544000976</v>
      </c>
      <c r="GJ441"/>
      <c r="GK441"/>
      <c r="GL441"/>
      <c r="GM441"/>
    </row>
    <row r="442" spans="1:195" s="7" customFormat="1">
      <c r="A442" s="1">
        <v>425</v>
      </c>
      <c r="B442" s="48" t="s">
        <v>39</v>
      </c>
      <c r="C442" s="107">
        <f t="shared" si="386"/>
        <v>103.65077804558177</v>
      </c>
      <c r="D442" s="191">
        <f>$A$406</f>
        <v>9.4499999999999993</v>
      </c>
      <c r="E442" s="8"/>
      <c r="F442" s="124"/>
      <c r="G442" s="173" t="str">
        <f t="shared" si="387"/>
        <v>0.000</v>
      </c>
      <c r="H442" s="173">
        <f t="shared" ref="H442:V442" si="389">IF(H424&lt;=0, "0.000", H424)</f>
        <v>0.16588902866606814</v>
      </c>
      <c r="I442" s="173">
        <f t="shared" si="389"/>
        <v>1.3021473931804421</v>
      </c>
      <c r="J442" s="173">
        <f t="shared" si="389"/>
        <v>0.80326925463090459</v>
      </c>
      <c r="K442" s="173">
        <f t="shared" si="389"/>
        <v>3.6748814595985606</v>
      </c>
      <c r="L442" s="173">
        <f t="shared" si="389"/>
        <v>25.093896830320947</v>
      </c>
      <c r="M442" s="173">
        <f t="shared" si="389"/>
        <v>37.727926135754977</v>
      </c>
      <c r="N442" s="173">
        <f t="shared" si="389"/>
        <v>8.5983011647760996</v>
      </c>
      <c r="O442" s="173">
        <f t="shared" si="389"/>
        <v>10.399918854249215</v>
      </c>
      <c r="P442" s="173">
        <f t="shared" si="389"/>
        <v>15.884547924404561</v>
      </c>
      <c r="Q442" s="173" t="str">
        <f t="shared" si="389"/>
        <v>0.000</v>
      </c>
      <c r="R442" s="173" t="str">
        <f t="shared" si="389"/>
        <v>0.000</v>
      </c>
      <c r="S442" s="173" t="str">
        <f t="shared" si="389"/>
        <v>0.000</v>
      </c>
      <c r="T442" s="173" t="str">
        <f t="shared" si="389"/>
        <v>0.000</v>
      </c>
      <c r="U442" s="173" t="str">
        <f t="shared" si="389"/>
        <v>0.000</v>
      </c>
      <c r="V442" s="173" t="str">
        <f t="shared" si="389"/>
        <v>0.000</v>
      </c>
      <c r="W442" s="173" t="str">
        <f t="shared" ref="W442:AK442" si="390">IF(W424&lt;=0, "0.000", W424)</f>
        <v>0.000</v>
      </c>
      <c r="X442" s="173" t="str">
        <f t="shared" si="390"/>
        <v>0.000</v>
      </c>
      <c r="Y442" s="173" t="str">
        <f t="shared" si="390"/>
        <v>0.000</v>
      </c>
      <c r="Z442" s="173" t="str">
        <f t="shared" si="390"/>
        <v>0.000</v>
      </c>
      <c r="AA442" s="173" t="str">
        <f t="shared" si="390"/>
        <v>0.000</v>
      </c>
      <c r="AB442" s="173" t="str">
        <f t="shared" si="390"/>
        <v>0.000</v>
      </c>
      <c r="AC442" s="173" t="str">
        <f t="shared" si="390"/>
        <v>0.000</v>
      </c>
      <c r="AD442" s="173" t="str">
        <f t="shared" si="390"/>
        <v>0.000</v>
      </c>
      <c r="AE442" s="173" t="str">
        <f t="shared" si="390"/>
        <v>0.000</v>
      </c>
      <c r="AF442" s="173" t="str">
        <f t="shared" si="390"/>
        <v>0.000</v>
      </c>
      <c r="AG442" s="173" t="str">
        <f t="shared" si="390"/>
        <v>0.000</v>
      </c>
      <c r="AH442" s="173" t="str">
        <f t="shared" si="390"/>
        <v>0.000</v>
      </c>
      <c r="AI442" s="173" t="str">
        <f t="shared" si="390"/>
        <v>0.000</v>
      </c>
      <c r="AJ442" s="173" t="str">
        <f t="shared" si="390"/>
        <v>0.000</v>
      </c>
      <c r="AK442" s="173" t="str">
        <f t="shared" si="390"/>
        <v>0.000</v>
      </c>
      <c r="AL442" s="4"/>
      <c r="AM442" s="43">
        <v>426</v>
      </c>
      <c r="AN442">
        <v>241.4123920285067</v>
      </c>
      <c r="AO442">
        <v>87.181398345062121</v>
      </c>
      <c r="AP442">
        <v>746.08235091050597</v>
      </c>
      <c r="AQ442">
        <v>580.16643577275079</v>
      </c>
      <c r="AR442">
        <v>83.753578559536791</v>
      </c>
      <c r="AS442">
        <v>384.39666663163683</v>
      </c>
      <c r="AT442">
        <v>42.783773353301719</v>
      </c>
      <c r="AU442">
        <v>-9.4436473301487851</v>
      </c>
      <c r="AV442"/>
      <c r="AW442"/>
      <c r="FY442" s="211">
        <v>437</v>
      </c>
      <c r="FZ442">
        <v>27.471852667053025</v>
      </c>
      <c r="GA442">
        <v>42.622713563764421</v>
      </c>
      <c r="GB442">
        <v>45.352385505547367</v>
      </c>
      <c r="GC442">
        <v>22.095575107659823</v>
      </c>
      <c r="GD442">
        <v>10.226532712005618</v>
      </c>
      <c r="GE442">
        <v>24.849323022037236</v>
      </c>
      <c r="GF442">
        <v>55.907912077481384</v>
      </c>
      <c r="GG442">
        <v>37.504664904405871</v>
      </c>
      <c r="GH442">
        <v>22.696389104003121</v>
      </c>
      <c r="GI442">
        <v>36.727466973272477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6"/>
        <v>55.001022584267176</v>
      </c>
      <c r="D443" s="191">
        <f>A$407</f>
        <v>4.03</v>
      </c>
      <c r="E443" s="8"/>
      <c r="F443" s="124"/>
      <c r="G443" s="173" t="str">
        <f t="shared" si="387"/>
        <v>0.000</v>
      </c>
      <c r="H443" s="173">
        <f t="shared" ref="H443:V443" si="391">IF(H425&lt;=0, "0.000", H425)</f>
        <v>0.15507637932388191</v>
      </c>
      <c r="I443" s="173">
        <f t="shared" si="391"/>
        <v>1.6535432412918014</v>
      </c>
      <c r="J443" s="173">
        <f t="shared" si="391"/>
        <v>3.4291654943287506</v>
      </c>
      <c r="K443" s="173">
        <f t="shared" si="391"/>
        <v>2.6092229914406242</v>
      </c>
      <c r="L443" s="173">
        <f t="shared" si="391"/>
        <v>10.269409166125257</v>
      </c>
      <c r="M443" s="173">
        <f t="shared" si="391"/>
        <v>21.082712199784112</v>
      </c>
      <c r="N443" s="173">
        <f t="shared" si="391"/>
        <v>5.2208498861329238</v>
      </c>
      <c r="O443" s="173">
        <f t="shared" si="391"/>
        <v>10.581043225839824</v>
      </c>
      <c r="P443" s="173" t="str">
        <f t="shared" si="391"/>
        <v>0.000</v>
      </c>
      <c r="Q443" s="173" t="str">
        <f t="shared" si="391"/>
        <v>0.000</v>
      </c>
      <c r="R443" s="173" t="str">
        <f t="shared" si="391"/>
        <v>0.000</v>
      </c>
      <c r="S443" s="173" t="str">
        <f t="shared" si="391"/>
        <v>0.000</v>
      </c>
      <c r="T443" s="173" t="str">
        <f t="shared" si="391"/>
        <v>0.000</v>
      </c>
      <c r="U443" s="173" t="str">
        <f t="shared" si="391"/>
        <v>0.000</v>
      </c>
      <c r="V443" s="173" t="str">
        <f t="shared" si="391"/>
        <v>0.000</v>
      </c>
      <c r="W443" s="173" t="str">
        <f t="shared" ref="W443:AK443" si="392">IF(W425&lt;=0, "0.000", W425)</f>
        <v>0.000</v>
      </c>
      <c r="X443" s="173" t="str">
        <f t="shared" si="392"/>
        <v>0.000</v>
      </c>
      <c r="Y443" s="173" t="str">
        <f t="shared" si="392"/>
        <v>0.000</v>
      </c>
      <c r="Z443" s="173" t="str">
        <f t="shared" si="392"/>
        <v>0.000</v>
      </c>
      <c r="AA443" s="173" t="str">
        <f t="shared" si="392"/>
        <v>0.000</v>
      </c>
      <c r="AB443" s="173" t="str">
        <f t="shared" si="392"/>
        <v>0.000</v>
      </c>
      <c r="AC443" s="173" t="str">
        <f t="shared" si="392"/>
        <v>0.000</v>
      </c>
      <c r="AD443" s="173" t="str">
        <f t="shared" si="392"/>
        <v>0.000</v>
      </c>
      <c r="AE443" s="173" t="str">
        <f t="shared" si="392"/>
        <v>0.000</v>
      </c>
      <c r="AF443" s="173" t="str">
        <f t="shared" si="392"/>
        <v>0.000</v>
      </c>
      <c r="AG443" s="173" t="str">
        <f t="shared" si="392"/>
        <v>0.000</v>
      </c>
      <c r="AH443" s="173" t="str">
        <f t="shared" si="392"/>
        <v>0.000</v>
      </c>
      <c r="AI443" s="173" t="str">
        <f t="shared" si="392"/>
        <v>0.000</v>
      </c>
      <c r="AJ443" s="173" t="str">
        <f t="shared" si="392"/>
        <v>0.000</v>
      </c>
      <c r="AK443" s="173" t="str">
        <f t="shared" si="392"/>
        <v>0.000</v>
      </c>
      <c r="AL443" s="4"/>
      <c r="AM443" s="43">
        <v>427</v>
      </c>
      <c r="AN443">
        <v>196.23833099205802</v>
      </c>
      <c r="AO443">
        <v>54.47181762182813</v>
      </c>
      <c r="AP443">
        <v>429.57393675802092</v>
      </c>
      <c r="AQ443">
        <v>335.12264317023067</v>
      </c>
      <c r="AR443">
        <v>54.523981910282352</v>
      </c>
      <c r="AS443">
        <v>266.03504357744885</v>
      </c>
      <c r="AT443">
        <v>25.422210678020665</v>
      </c>
      <c r="AU443">
        <v>14.206344153668461</v>
      </c>
      <c r="AV443"/>
      <c r="AW443"/>
      <c r="FY443" s="211">
        <v>438</v>
      </c>
      <c r="FZ443">
        <v>34.279865693237781</v>
      </c>
      <c r="GA443">
        <v>44.019467448837837</v>
      </c>
      <c r="GB443">
        <v>33.296008963998375</v>
      </c>
      <c r="GC443">
        <v>21.923696106728784</v>
      </c>
      <c r="GD443">
        <v>15.006843488326568</v>
      </c>
      <c r="GE443">
        <v>22.930801666139093</v>
      </c>
      <c r="GF443">
        <v>37.782713459160412</v>
      </c>
      <c r="GG443">
        <v>22.768900684247185</v>
      </c>
      <c r="GH443">
        <v>20.814269547119309</v>
      </c>
      <c r="GI443">
        <v>33.842110294999337</v>
      </c>
      <c r="GJ443"/>
      <c r="GK443"/>
      <c r="GL443"/>
      <c r="GM443"/>
    </row>
    <row r="444" spans="1:195" s="7" customFormat="1">
      <c r="A444" s="1">
        <v>385</v>
      </c>
      <c r="B444" s="48" t="s">
        <v>41</v>
      </c>
      <c r="C444" s="107">
        <f t="shared" si="386"/>
        <v>28.338396548373428</v>
      </c>
      <c r="D444" s="191">
        <f>A$408</f>
        <v>0.78</v>
      </c>
      <c r="E444" s="8"/>
      <c r="F444" s="124"/>
      <c r="G444" s="173" t="str">
        <f t="shared" si="387"/>
        <v>0.000</v>
      </c>
      <c r="H444" s="173">
        <f t="shared" ref="H444:V444" si="393">IF(H426&lt;=0, "0.000", H426)</f>
        <v>4.4436876339526116E-2</v>
      </c>
      <c r="I444" s="173">
        <f t="shared" si="393"/>
        <v>1.6762142984652266</v>
      </c>
      <c r="J444" s="173">
        <f t="shared" si="393"/>
        <v>2.6798218982929014</v>
      </c>
      <c r="K444" s="173">
        <f t="shared" si="393"/>
        <v>2.3036569178459212</v>
      </c>
      <c r="L444" s="173">
        <f t="shared" si="393"/>
        <v>3.1826014141127055</v>
      </c>
      <c r="M444" s="173">
        <f t="shared" si="393"/>
        <v>9.4536578669848286</v>
      </c>
      <c r="N444" s="173">
        <f t="shared" si="393"/>
        <v>5.4435703651265204</v>
      </c>
      <c r="O444" s="173">
        <f t="shared" si="393"/>
        <v>3.5544369112058027</v>
      </c>
      <c r="P444" s="173" t="str">
        <f t="shared" si="393"/>
        <v>0.000</v>
      </c>
      <c r="Q444" s="173" t="str">
        <f t="shared" si="393"/>
        <v>0.000</v>
      </c>
      <c r="R444" s="173" t="str">
        <f t="shared" si="393"/>
        <v>0.000</v>
      </c>
      <c r="S444" s="173" t="str">
        <f t="shared" si="393"/>
        <v>0.000</v>
      </c>
      <c r="T444" s="173" t="str">
        <f t="shared" si="393"/>
        <v>0.000</v>
      </c>
      <c r="U444" s="173" t="str">
        <f t="shared" si="393"/>
        <v>0.000</v>
      </c>
      <c r="V444" s="173" t="str">
        <f t="shared" si="393"/>
        <v>0.000</v>
      </c>
      <c r="W444" s="173" t="str">
        <f t="shared" ref="W444:AK444" si="394">IF(W426&lt;=0, "0.000", W426)</f>
        <v>0.000</v>
      </c>
      <c r="X444" s="173" t="str">
        <f t="shared" si="394"/>
        <v>0.000</v>
      </c>
      <c r="Y444" s="173" t="str">
        <f t="shared" si="394"/>
        <v>0.000</v>
      </c>
      <c r="Z444" s="173" t="str">
        <f t="shared" si="394"/>
        <v>0.000</v>
      </c>
      <c r="AA444" s="173" t="str">
        <f t="shared" si="394"/>
        <v>0.000</v>
      </c>
      <c r="AB444" s="173" t="str">
        <f t="shared" si="394"/>
        <v>0.000</v>
      </c>
      <c r="AC444" s="173" t="str">
        <f t="shared" si="394"/>
        <v>0.000</v>
      </c>
      <c r="AD444" s="173" t="str">
        <f t="shared" si="394"/>
        <v>0.000</v>
      </c>
      <c r="AE444" s="173" t="str">
        <f t="shared" si="394"/>
        <v>0.000</v>
      </c>
      <c r="AF444" s="173" t="str">
        <f t="shared" si="394"/>
        <v>0.000</v>
      </c>
      <c r="AG444" s="173" t="str">
        <f t="shared" si="394"/>
        <v>0.000</v>
      </c>
      <c r="AH444" s="173" t="str">
        <f t="shared" si="394"/>
        <v>0.000</v>
      </c>
      <c r="AI444" s="173" t="str">
        <f t="shared" si="394"/>
        <v>0.000</v>
      </c>
      <c r="AJ444" s="173" t="str">
        <f t="shared" si="394"/>
        <v>0.000</v>
      </c>
      <c r="AK444" s="173" t="str">
        <f t="shared" si="394"/>
        <v>0.000</v>
      </c>
      <c r="AL444" s="4"/>
      <c r="AM444" s="43">
        <v>428</v>
      </c>
      <c r="AN444">
        <v>145.34383987875469</v>
      </c>
      <c r="AO444">
        <v>48.729276024345367</v>
      </c>
      <c r="AP444">
        <v>331.09867202397714</v>
      </c>
      <c r="AQ444">
        <v>267.3200091903085</v>
      </c>
      <c r="AR444">
        <v>47.651001215887781</v>
      </c>
      <c r="AS444">
        <v>225.16196389510239</v>
      </c>
      <c r="AT444">
        <v>23.459125680033242</v>
      </c>
      <c r="AU444">
        <v>35.906976176901694</v>
      </c>
      <c r="AV444"/>
      <c r="AW444"/>
      <c r="FY444" s="211">
        <v>439</v>
      </c>
      <c r="FZ444">
        <v>24.527379733560856</v>
      </c>
      <c r="GA444">
        <v>55.835721134379618</v>
      </c>
      <c r="GB444">
        <v>50.696026008059448</v>
      </c>
      <c r="GC444">
        <v>26.137924844474721</v>
      </c>
      <c r="GD444">
        <v>15.353079927340509</v>
      </c>
      <c r="GE444">
        <v>21.777199661205785</v>
      </c>
      <c r="GF444">
        <v>39.379292336665259</v>
      </c>
      <c r="GG444">
        <v>27.303502964849223</v>
      </c>
      <c r="GH444">
        <v>26.987768218676212</v>
      </c>
      <c r="GI444">
        <v>38.37138481229448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6"/>
        <v>15.794409079329462</v>
      </c>
      <c r="D445" s="191">
        <f>A$409</f>
        <v>0.14000000000000001</v>
      </c>
      <c r="E445" s="8"/>
      <c r="F445" s="124"/>
      <c r="G445" s="173">
        <f t="shared" si="387"/>
        <v>2.2870919717648546E-3</v>
      </c>
      <c r="H445" s="173">
        <f t="shared" ref="H445:V445" si="395">IF(H427&lt;=0, "0.000", H427)</f>
        <v>8.1159286857570831E-2</v>
      </c>
      <c r="I445" s="173">
        <f t="shared" si="395"/>
        <v>1.1271715878681019</v>
      </c>
      <c r="J445" s="173">
        <f t="shared" si="395"/>
        <v>0.73623198618121388</v>
      </c>
      <c r="K445" s="173">
        <f t="shared" si="395"/>
        <v>0.72931057706169966</v>
      </c>
      <c r="L445" s="173">
        <f t="shared" si="395"/>
        <v>0.74294830008627943</v>
      </c>
      <c r="M445" s="173">
        <f t="shared" si="395"/>
        <v>5.1422601878037648</v>
      </c>
      <c r="N445" s="173">
        <f t="shared" si="395"/>
        <v>4.6555146852771276</v>
      </c>
      <c r="O445" s="173">
        <f t="shared" si="395"/>
        <v>2.3845857414180913</v>
      </c>
      <c r="P445" s="173">
        <f t="shared" si="395"/>
        <v>0.19293963480384707</v>
      </c>
      <c r="Q445" s="173" t="str">
        <f t="shared" si="395"/>
        <v>0.000</v>
      </c>
      <c r="R445" s="173" t="str">
        <f t="shared" si="395"/>
        <v>0.000</v>
      </c>
      <c r="S445" s="173" t="str">
        <f t="shared" si="395"/>
        <v>0.000</v>
      </c>
      <c r="T445" s="173" t="str">
        <f t="shared" si="395"/>
        <v>0.000</v>
      </c>
      <c r="U445" s="173" t="str">
        <f t="shared" si="395"/>
        <v>0.000</v>
      </c>
      <c r="V445" s="173" t="str">
        <f t="shared" si="395"/>
        <v>0.000</v>
      </c>
      <c r="W445" s="173" t="str">
        <f t="shared" ref="W445:AK445" si="396">IF(W427&lt;=0, "0.000", W427)</f>
        <v>0.000</v>
      </c>
      <c r="X445" s="173" t="str">
        <f t="shared" si="396"/>
        <v>0.000</v>
      </c>
      <c r="Y445" s="173" t="str">
        <f t="shared" si="396"/>
        <v>0.000</v>
      </c>
      <c r="Z445" s="173" t="str">
        <f t="shared" si="396"/>
        <v>0.000</v>
      </c>
      <c r="AA445" s="173" t="str">
        <f t="shared" si="396"/>
        <v>0.000</v>
      </c>
      <c r="AB445" s="173" t="str">
        <f t="shared" si="396"/>
        <v>0.000</v>
      </c>
      <c r="AC445" s="173" t="str">
        <f t="shared" si="396"/>
        <v>0.000</v>
      </c>
      <c r="AD445" s="173" t="str">
        <f t="shared" si="396"/>
        <v>0.000</v>
      </c>
      <c r="AE445" s="173" t="str">
        <f t="shared" si="396"/>
        <v>0.000</v>
      </c>
      <c r="AF445" s="173" t="str">
        <f t="shared" si="396"/>
        <v>0.000</v>
      </c>
      <c r="AG445" s="173" t="str">
        <f t="shared" si="396"/>
        <v>0.000</v>
      </c>
      <c r="AH445" s="173" t="str">
        <f t="shared" si="396"/>
        <v>0.000</v>
      </c>
      <c r="AI445" s="173" t="str">
        <f t="shared" si="396"/>
        <v>0.000</v>
      </c>
      <c r="AJ445" s="173" t="str">
        <f t="shared" si="396"/>
        <v>0.000</v>
      </c>
      <c r="AK445" s="173" t="str">
        <f t="shared" si="396"/>
        <v>0.000</v>
      </c>
      <c r="AL445" s="4"/>
      <c r="AM445" s="43">
        <v>429</v>
      </c>
      <c r="AN445">
        <v>258.93949928139671</v>
      </c>
      <c r="AO445">
        <v>82.829741924005219</v>
      </c>
      <c r="AP445">
        <v>701.84658905650213</v>
      </c>
      <c r="AQ445">
        <v>553.70445562604414</v>
      </c>
      <c r="AR445">
        <v>78.941647322787887</v>
      </c>
      <c r="AS445">
        <v>388.38194606304842</v>
      </c>
      <c r="AT445">
        <v>40.593864169949519</v>
      </c>
      <c r="AU445">
        <v>16.690662581129246</v>
      </c>
      <c r="AV445"/>
      <c r="AW445"/>
      <c r="FY445" s="211">
        <v>440</v>
      </c>
      <c r="FZ445">
        <v>149.87243287450369</v>
      </c>
      <c r="GA445">
        <v>184.94993071516379</v>
      </c>
      <c r="GB445">
        <v>34.529936141152255</v>
      </c>
      <c r="GC445">
        <v>18.081397233876277</v>
      </c>
      <c r="GD445">
        <v>17.249190835255622</v>
      </c>
      <c r="GE445">
        <v>30.683348984300952</v>
      </c>
      <c r="GF445">
        <v>26.884401430605845</v>
      </c>
      <c r="GG445">
        <v>15.1384653646183</v>
      </c>
      <c r="GH445">
        <v>20.259057009682973</v>
      </c>
      <c r="GI445">
        <v>50.473870768347417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6"/>
        <v>26.668322652784092</v>
      </c>
      <c r="D446" s="191">
        <f>A$410</f>
        <v>0.21</v>
      </c>
      <c r="E446" s="8"/>
      <c r="F446" s="124"/>
      <c r="G446" s="173">
        <f t="shared" si="387"/>
        <v>4.6305747729890783E-3</v>
      </c>
      <c r="H446" s="173">
        <f t="shared" ref="H446:V446" si="397">IF(H428&lt;=0, "0.000", H428)</f>
        <v>0.16018196679740007</v>
      </c>
      <c r="I446" s="173">
        <f t="shared" si="397"/>
        <v>1.6527393450033283</v>
      </c>
      <c r="J446" s="173">
        <f t="shared" si="397"/>
        <v>0.43981954447247124</v>
      </c>
      <c r="K446" s="173">
        <f t="shared" si="397"/>
        <v>0.4437564343386009</v>
      </c>
      <c r="L446" s="173">
        <f t="shared" si="397"/>
        <v>0.9767676914722061</v>
      </c>
      <c r="M446" s="173">
        <f t="shared" si="397"/>
        <v>5.3932985286634381</v>
      </c>
      <c r="N446" s="173">
        <f t="shared" si="397"/>
        <v>12.140378481651341</v>
      </c>
      <c r="O446" s="173">
        <f t="shared" si="397"/>
        <v>4.5704713878083467</v>
      </c>
      <c r="P446" s="173">
        <f t="shared" si="397"/>
        <v>0.88627869780397139</v>
      </c>
      <c r="Q446" s="173" t="str">
        <f t="shared" si="397"/>
        <v>0.000</v>
      </c>
      <c r="R446" s="173" t="str">
        <f t="shared" si="397"/>
        <v>0.000</v>
      </c>
      <c r="S446" s="173" t="str">
        <f t="shared" si="397"/>
        <v>0.000</v>
      </c>
      <c r="T446" s="173" t="str">
        <f t="shared" si="397"/>
        <v>0.000</v>
      </c>
      <c r="U446" s="173" t="str">
        <f t="shared" si="397"/>
        <v>0.000</v>
      </c>
      <c r="V446" s="173" t="str">
        <f t="shared" si="397"/>
        <v>0.000</v>
      </c>
      <c r="W446" s="173" t="str">
        <f t="shared" ref="W446:AK446" si="398">IF(W428&lt;=0, "0.000", W428)</f>
        <v>0.000</v>
      </c>
      <c r="X446" s="173" t="str">
        <f t="shared" si="398"/>
        <v>0.000</v>
      </c>
      <c r="Y446" s="173" t="str">
        <f t="shared" si="398"/>
        <v>0.000</v>
      </c>
      <c r="Z446" s="173" t="str">
        <f t="shared" si="398"/>
        <v>0.000</v>
      </c>
      <c r="AA446" s="173" t="str">
        <f t="shared" si="398"/>
        <v>0.000</v>
      </c>
      <c r="AB446" s="173" t="str">
        <f t="shared" si="398"/>
        <v>0.000</v>
      </c>
      <c r="AC446" s="173" t="str">
        <f t="shared" si="398"/>
        <v>0.000</v>
      </c>
      <c r="AD446" s="173" t="str">
        <f t="shared" si="398"/>
        <v>0.000</v>
      </c>
      <c r="AE446" s="173" t="str">
        <f t="shared" si="398"/>
        <v>0.000</v>
      </c>
      <c r="AF446" s="173" t="str">
        <f t="shared" si="398"/>
        <v>0.000</v>
      </c>
      <c r="AG446" s="173" t="str">
        <f t="shared" si="398"/>
        <v>0.000</v>
      </c>
      <c r="AH446" s="173" t="str">
        <f t="shared" si="398"/>
        <v>0.000</v>
      </c>
      <c r="AI446" s="173" t="str">
        <f t="shared" si="398"/>
        <v>0.000</v>
      </c>
      <c r="AJ446" s="173" t="str">
        <f t="shared" si="398"/>
        <v>0.000</v>
      </c>
      <c r="AK446" s="173" t="str">
        <f t="shared" si="398"/>
        <v>0.000</v>
      </c>
      <c r="AL446" s="4"/>
      <c r="AM446" s="43">
        <v>430</v>
      </c>
      <c r="AN446">
        <v>168.98063262241874</v>
      </c>
      <c r="AO446">
        <v>54.959656060726161</v>
      </c>
      <c r="AP446">
        <v>384.29149644869733</v>
      </c>
      <c r="AQ446">
        <v>304.62198133806015</v>
      </c>
      <c r="AR446">
        <v>52.953841785585709</v>
      </c>
      <c r="AS446">
        <v>257.4497511093598</v>
      </c>
      <c r="AT446">
        <v>24.668554639826581</v>
      </c>
      <c r="AU446">
        <v>10.040203167308491</v>
      </c>
      <c r="AV446"/>
      <c r="AW446"/>
      <c r="FY446" s="211">
        <v>441</v>
      </c>
      <c r="FZ446">
        <v>33.415947715572038</v>
      </c>
      <c r="GA446">
        <v>59.561855652909351</v>
      </c>
      <c r="GB446">
        <v>45.444693422472682</v>
      </c>
      <c r="GC446">
        <v>19.635498302794264</v>
      </c>
      <c r="GD446">
        <v>12.354688963628304</v>
      </c>
      <c r="GE446">
        <v>22.905729226160563</v>
      </c>
      <c r="GF446">
        <v>48.321384579132278</v>
      </c>
      <c r="GG446">
        <v>33.031182264395277</v>
      </c>
      <c r="GH446">
        <v>25.931663389575377</v>
      </c>
      <c r="GI446">
        <v>38.234369269503645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6"/>
        <v>56.986172597168675</v>
      </c>
      <c r="D447" s="191">
        <f>A$411</f>
        <v>1.28</v>
      </c>
      <c r="E447" s="8"/>
      <c r="F447" s="124"/>
      <c r="G447" s="173" t="str">
        <f t="shared" si="387"/>
        <v>0.000</v>
      </c>
      <c r="H447" s="173">
        <f t="shared" ref="H447:V447" si="399">IF(H429&lt;=0, "0.000", H429)</f>
        <v>0.13534925198453274</v>
      </c>
      <c r="I447" s="173">
        <f t="shared" si="399"/>
        <v>5.3120392266521845</v>
      </c>
      <c r="J447" s="173">
        <f t="shared" si="399"/>
        <v>10.368853783684671</v>
      </c>
      <c r="K447" s="173">
        <f t="shared" si="399"/>
        <v>0.58739787036996949</v>
      </c>
      <c r="L447" s="173" t="str">
        <f t="shared" si="399"/>
        <v>0.000</v>
      </c>
      <c r="M447" s="173">
        <f t="shared" si="399"/>
        <v>1.9611212768539377</v>
      </c>
      <c r="N447" s="173">
        <f t="shared" si="399"/>
        <v>24.33246173415198</v>
      </c>
      <c r="O447" s="173">
        <f t="shared" si="399"/>
        <v>13.441518475179697</v>
      </c>
      <c r="P447" s="173">
        <f t="shared" si="399"/>
        <v>0.84743097829170366</v>
      </c>
      <c r="Q447" s="173" t="str">
        <f t="shared" si="399"/>
        <v>0.000</v>
      </c>
      <c r="R447" s="173" t="str">
        <f t="shared" si="399"/>
        <v>0.000</v>
      </c>
      <c r="S447" s="173" t="str">
        <f t="shared" si="399"/>
        <v>0.000</v>
      </c>
      <c r="T447" s="173" t="str">
        <f t="shared" si="399"/>
        <v>0.000</v>
      </c>
      <c r="U447" s="173" t="str">
        <f t="shared" si="399"/>
        <v>0.000</v>
      </c>
      <c r="V447" s="173" t="str">
        <f t="shared" si="399"/>
        <v>0.000</v>
      </c>
      <c r="W447" s="173" t="str">
        <f t="shared" ref="W447:AK447" si="400">IF(W429&lt;=0, "0.000", W429)</f>
        <v>0.000</v>
      </c>
      <c r="X447" s="173" t="str">
        <f t="shared" si="400"/>
        <v>0.000</v>
      </c>
      <c r="Y447" s="173" t="str">
        <f t="shared" si="400"/>
        <v>0.000</v>
      </c>
      <c r="Z447" s="173" t="str">
        <f t="shared" si="400"/>
        <v>0.000</v>
      </c>
      <c r="AA447" s="173" t="str">
        <f t="shared" si="400"/>
        <v>0.000</v>
      </c>
      <c r="AB447" s="173" t="str">
        <f t="shared" si="400"/>
        <v>0.000</v>
      </c>
      <c r="AC447" s="173" t="str">
        <f t="shared" si="400"/>
        <v>0.000</v>
      </c>
      <c r="AD447" s="173" t="str">
        <f t="shared" si="400"/>
        <v>0.000</v>
      </c>
      <c r="AE447" s="173" t="str">
        <f t="shared" si="400"/>
        <v>0.000</v>
      </c>
      <c r="AF447" s="173" t="str">
        <f t="shared" si="400"/>
        <v>0.000</v>
      </c>
      <c r="AG447" s="173" t="str">
        <f t="shared" si="400"/>
        <v>0.000</v>
      </c>
      <c r="AH447" s="173" t="str">
        <f t="shared" si="400"/>
        <v>0.000</v>
      </c>
      <c r="AI447" s="173" t="str">
        <f t="shared" si="400"/>
        <v>0.000</v>
      </c>
      <c r="AJ447" s="173" t="str">
        <f t="shared" si="400"/>
        <v>0.000</v>
      </c>
      <c r="AK447" s="173" t="str">
        <f t="shared" si="400"/>
        <v>0.000</v>
      </c>
      <c r="AL447" s="4"/>
      <c r="AM447" s="43">
        <v>431</v>
      </c>
      <c r="AN447">
        <v>184.06727506709174</v>
      </c>
      <c r="AO447">
        <v>64.486118001192182</v>
      </c>
      <c r="AP447">
        <v>546.88380208861406</v>
      </c>
      <c r="AQ447">
        <v>428.15081388590391</v>
      </c>
      <c r="AR447">
        <v>62.983524058265381</v>
      </c>
      <c r="AS447">
        <v>285.56497994447744</v>
      </c>
      <c r="AT447">
        <v>31.913060796881499</v>
      </c>
      <c r="AU447">
        <v>-47.70453111739883</v>
      </c>
      <c r="AV447"/>
      <c r="AW447"/>
      <c r="FY447" s="211">
        <v>442</v>
      </c>
      <c r="FZ447">
        <v>156.48886114713724</v>
      </c>
      <c r="GA447">
        <v>184.95087511129935</v>
      </c>
      <c r="GB447">
        <v>67.353703193677276</v>
      </c>
      <c r="GC447">
        <v>38.455001466446021</v>
      </c>
      <c r="GD447">
        <v>16.888328354096799</v>
      </c>
      <c r="GE447">
        <v>24.011867426379712</v>
      </c>
      <c r="GF447">
        <v>41.919125003915269</v>
      </c>
      <c r="GG447">
        <v>31.506533976059821</v>
      </c>
      <c r="GH447">
        <v>23.284515397091312</v>
      </c>
      <c r="GI447">
        <v>63.069080562981895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6"/>
        <v>42.735950641161132</v>
      </c>
      <c r="D448" s="191">
        <f>A$412</f>
        <v>4</v>
      </c>
      <c r="E448" s="8"/>
      <c r="F448" s="124"/>
      <c r="G448" s="173" t="str">
        <f t="shared" si="387"/>
        <v>0.000</v>
      </c>
      <c r="H448" s="173">
        <f t="shared" ref="H448:V448" si="401">IF(H430&lt;=0, "0.000", H430)</f>
        <v>0.11165516041044166</v>
      </c>
      <c r="I448" s="173">
        <f t="shared" si="401"/>
        <v>3.2698590879493414</v>
      </c>
      <c r="J448" s="173">
        <f t="shared" si="401"/>
        <v>8.6017339159465642</v>
      </c>
      <c r="K448" s="173">
        <f t="shared" si="401"/>
        <v>0.51113929267755465</v>
      </c>
      <c r="L448" s="173" t="str">
        <f t="shared" si="401"/>
        <v>0.000</v>
      </c>
      <c r="M448" s="173">
        <f t="shared" si="401"/>
        <v>1.0828194768759041</v>
      </c>
      <c r="N448" s="173">
        <f t="shared" si="401"/>
        <v>13.725917665055652</v>
      </c>
      <c r="O448" s="173">
        <f t="shared" si="401"/>
        <v>11.395078601130624</v>
      </c>
      <c r="P448" s="173">
        <f t="shared" si="401"/>
        <v>4.0377474411150542</v>
      </c>
      <c r="Q448" s="173" t="str">
        <f t="shared" si="401"/>
        <v>0.000</v>
      </c>
      <c r="R448" s="173" t="str">
        <f t="shared" si="401"/>
        <v>0.000</v>
      </c>
      <c r="S448" s="173" t="str">
        <f t="shared" si="401"/>
        <v>0.000</v>
      </c>
      <c r="T448" s="173" t="str">
        <f t="shared" si="401"/>
        <v>0.000</v>
      </c>
      <c r="U448" s="173" t="str">
        <f t="shared" si="401"/>
        <v>0.000</v>
      </c>
      <c r="V448" s="173" t="str">
        <f t="shared" si="401"/>
        <v>0.000</v>
      </c>
      <c r="W448" s="173" t="str">
        <f t="shared" ref="W448:AK448" si="402">IF(W430&lt;=0, "0.000", W430)</f>
        <v>0.000</v>
      </c>
      <c r="X448" s="173" t="str">
        <f t="shared" si="402"/>
        <v>0.000</v>
      </c>
      <c r="Y448" s="173" t="str">
        <f t="shared" si="402"/>
        <v>0.000</v>
      </c>
      <c r="Z448" s="173" t="str">
        <f t="shared" si="402"/>
        <v>0.000</v>
      </c>
      <c r="AA448" s="173" t="str">
        <f t="shared" si="402"/>
        <v>0.000</v>
      </c>
      <c r="AB448" s="173" t="str">
        <f t="shared" si="402"/>
        <v>0.000</v>
      </c>
      <c r="AC448" s="173" t="str">
        <f t="shared" si="402"/>
        <v>0.000</v>
      </c>
      <c r="AD448" s="173" t="str">
        <f t="shared" si="402"/>
        <v>0.000</v>
      </c>
      <c r="AE448" s="173" t="str">
        <f t="shared" si="402"/>
        <v>0.000</v>
      </c>
      <c r="AF448" s="173" t="str">
        <f t="shared" si="402"/>
        <v>0.000</v>
      </c>
      <c r="AG448" s="173" t="str">
        <f t="shared" si="402"/>
        <v>0.000</v>
      </c>
      <c r="AH448" s="173" t="str">
        <f t="shared" si="402"/>
        <v>0.000</v>
      </c>
      <c r="AI448" s="173" t="str">
        <f t="shared" si="402"/>
        <v>0.000</v>
      </c>
      <c r="AJ448" s="173" t="str">
        <f t="shared" si="402"/>
        <v>0.000</v>
      </c>
      <c r="AK448" s="173" t="str">
        <f t="shared" si="402"/>
        <v>0.000</v>
      </c>
      <c r="AL448" s="4"/>
      <c r="AM448" s="43">
        <v>432</v>
      </c>
      <c r="AN448">
        <v>184.29228867484113</v>
      </c>
      <c r="AO448">
        <v>58.493204386862907</v>
      </c>
      <c r="AP448">
        <v>440.73270740369094</v>
      </c>
      <c r="AQ448">
        <v>330.9598103219534</v>
      </c>
      <c r="AR448">
        <v>55.560578138004757</v>
      </c>
      <c r="AS448">
        <v>267.49383308612988</v>
      </c>
      <c r="AT448">
        <v>24.928934369239958</v>
      </c>
      <c r="AU448">
        <v>-11.977588573797874</v>
      </c>
      <c r="AV448"/>
      <c r="AW448"/>
      <c r="FY448" s="211">
        <v>443</v>
      </c>
      <c r="FZ448">
        <v>67.161942002569404</v>
      </c>
      <c r="GA448">
        <v>88.944066200611942</v>
      </c>
      <c r="GB448">
        <v>53.006939424935368</v>
      </c>
      <c r="GC448">
        <v>29.304707299791872</v>
      </c>
      <c r="GD448">
        <v>16.831178954059972</v>
      </c>
      <c r="GE448">
        <v>27.002412683175979</v>
      </c>
      <c r="GF448">
        <v>49.925621586292131</v>
      </c>
      <c r="GG448">
        <v>42.183680806083963</v>
      </c>
      <c r="GH448">
        <v>20.028404058498896</v>
      </c>
      <c r="GI448">
        <v>47.24627109373057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6"/>
        <v>28.869118191776856</v>
      </c>
      <c r="D449" s="191">
        <f>A$413</f>
        <v>7.33</v>
      </c>
      <c r="E449" s="8"/>
      <c r="F449" s="124"/>
      <c r="G449" s="173" t="str">
        <f t="shared" si="387"/>
        <v>0.000</v>
      </c>
      <c r="H449" s="173" t="str">
        <f t="shared" ref="H449:V449" si="403">IF(H431&lt;=0, "0.000", H431)</f>
        <v>0.000</v>
      </c>
      <c r="I449" s="173">
        <f t="shared" si="403"/>
        <v>0.45424501113789034</v>
      </c>
      <c r="J449" s="173">
        <f t="shared" si="403"/>
        <v>5.6020468777534189</v>
      </c>
      <c r="K449" s="173">
        <f t="shared" si="403"/>
        <v>1.6126193982445598</v>
      </c>
      <c r="L449" s="173">
        <f t="shared" si="403"/>
        <v>6.2296005880376297</v>
      </c>
      <c r="M449" s="173">
        <f t="shared" si="403"/>
        <v>2.9110660969478546</v>
      </c>
      <c r="N449" s="173">
        <f t="shared" si="403"/>
        <v>5.3547238792655678</v>
      </c>
      <c r="O449" s="173" t="str">
        <f t="shared" si="403"/>
        <v>0.000</v>
      </c>
      <c r="P449" s="173">
        <f t="shared" si="403"/>
        <v>6.7048163403899359</v>
      </c>
      <c r="Q449" s="173" t="str">
        <f t="shared" si="403"/>
        <v>0.000</v>
      </c>
      <c r="R449" s="173" t="str">
        <f t="shared" si="403"/>
        <v>0.000</v>
      </c>
      <c r="S449" s="173" t="str">
        <f t="shared" si="403"/>
        <v>0.000</v>
      </c>
      <c r="T449" s="173" t="str">
        <f t="shared" si="403"/>
        <v>0.000</v>
      </c>
      <c r="U449" s="173" t="str">
        <f t="shared" si="403"/>
        <v>0.000</v>
      </c>
      <c r="V449" s="173" t="str">
        <f t="shared" si="403"/>
        <v>0.000</v>
      </c>
      <c r="W449" s="173" t="str">
        <f t="shared" ref="W449:AK449" si="404">IF(W431&lt;=0, "0.000", W431)</f>
        <v>0.000</v>
      </c>
      <c r="X449" s="173" t="str">
        <f t="shared" si="404"/>
        <v>0.000</v>
      </c>
      <c r="Y449" s="173" t="str">
        <f t="shared" si="404"/>
        <v>0.000</v>
      </c>
      <c r="Z449" s="173" t="str">
        <f t="shared" si="404"/>
        <v>0.000</v>
      </c>
      <c r="AA449" s="173" t="str">
        <f t="shared" si="404"/>
        <v>0.000</v>
      </c>
      <c r="AB449" s="173" t="str">
        <f t="shared" si="404"/>
        <v>0.000</v>
      </c>
      <c r="AC449" s="173" t="str">
        <f t="shared" si="404"/>
        <v>0.000</v>
      </c>
      <c r="AD449" s="173" t="str">
        <f t="shared" si="404"/>
        <v>0.000</v>
      </c>
      <c r="AE449" s="173" t="str">
        <f t="shared" si="404"/>
        <v>0.000</v>
      </c>
      <c r="AF449" s="173" t="str">
        <f t="shared" si="404"/>
        <v>0.000</v>
      </c>
      <c r="AG449" s="173" t="str">
        <f t="shared" si="404"/>
        <v>0.000</v>
      </c>
      <c r="AH449" s="173" t="str">
        <f t="shared" si="404"/>
        <v>0.000</v>
      </c>
      <c r="AI449" s="173" t="str">
        <f t="shared" si="404"/>
        <v>0.000</v>
      </c>
      <c r="AJ449" s="173" t="str">
        <f t="shared" si="404"/>
        <v>0.000</v>
      </c>
      <c r="AK449" s="173" t="str">
        <f t="shared" si="404"/>
        <v>0.000</v>
      </c>
      <c r="AL449" s="4"/>
      <c r="AM449" s="43">
        <v>433</v>
      </c>
      <c r="AN449">
        <v>194.37836714781918</v>
      </c>
      <c r="AO449">
        <v>55.972484471248251</v>
      </c>
      <c r="AP449">
        <v>469.52373750329423</v>
      </c>
      <c r="AQ449">
        <v>379.22013544562634</v>
      </c>
      <c r="AR449">
        <v>54.583702786316266</v>
      </c>
      <c r="AS449">
        <v>264.99651536783057</v>
      </c>
      <c r="AT449">
        <v>27.404022087122431</v>
      </c>
      <c r="AU449">
        <v>12.037835850732304</v>
      </c>
      <c r="AV449"/>
      <c r="AW449"/>
      <c r="FY449" s="211">
        <v>444</v>
      </c>
      <c r="FZ449">
        <v>82.3044159321135</v>
      </c>
      <c r="GA449">
        <v>79.664614776353048</v>
      </c>
      <c r="GB449">
        <v>39.49884773364024</v>
      </c>
      <c r="GC449">
        <v>23.771495103753828</v>
      </c>
      <c r="GD449">
        <v>13.333066360437678</v>
      </c>
      <c r="GE449">
        <v>20.516615927871278</v>
      </c>
      <c r="GF449">
        <v>46.742006561365891</v>
      </c>
      <c r="GG449">
        <v>43.17017026913971</v>
      </c>
      <c r="GH449">
        <v>26.333508992730096</v>
      </c>
      <c r="GI449">
        <v>44.534211861853997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6"/>
        <v>49.48432117422449</v>
      </c>
      <c r="D450" s="191">
        <f>A$414</f>
        <v>10.51</v>
      </c>
      <c r="E450" s="8"/>
      <c r="F450" s="124"/>
      <c r="G450" s="173">
        <f t="shared" si="387"/>
        <v>1.2928082536296267E-3</v>
      </c>
      <c r="H450" s="173">
        <f t="shared" ref="H450:V450" si="405">IF(H432&lt;=0, "0.000", H432)</f>
        <v>0.10802575178697753</v>
      </c>
      <c r="I450" s="173">
        <f t="shared" si="405"/>
        <v>2.1077902725680042</v>
      </c>
      <c r="J450" s="173">
        <f t="shared" si="405"/>
        <v>4.3082623063286656</v>
      </c>
      <c r="K450" s="173">
        <f t="shared" si="405"/>
        <v>2.6276160083215081</v>
      </c>
      <c r="L450" s="173">
        <f t="shared" si="405"/>
        <v>5.9896860981968683</v>
      </c>
      <c r="M450" s="173">
        <f t="shared" si="405"/>
        <v>12.079531696435119</v>
      </c>
      <c r="N450" s="173">
        <f t="shared" si="405"/>
        <v>11.412455727086636</v>
      </c>
      <c r="O450" s="173">
        <f t="shared" si="405"/>
        <v>7.3782481822829</v>
      </c>
      <c r="P450" s="173">
        <f t="shared" si="405"/>
        <v>3.471412322964178</v>
      </c>
      <c r="Q450" s="173" t="str">
        <f t="shared" si="405"/>
        <v>0.000</v>
      </c>
      <c r="R450" s="173" t="str">
        <f t="shared" si="405"/>
        <v>0.000</v>
      </c>
      <c r="S450" s="173" t="str">
        <f t="shared" si="405"/>
        <v>0.000</v>
      </c>
      <c r="T450" s="173" t="str">
        <f t="shared" si="405"/>
        <v>0.000</v>
      </c>
      <c r="U450" s="173" t="str">
        <f t="shared" si="405"/>
        <v>0.000</v>
      </c>
      <c r="V450" s="173" t="str">
        <f t="shared" si="405"/>
        <v>0.000</v>
      </c>
      <c r="W450" s="173" t="str">
        <f t="shared" ref="W450:AK450" si="406">IF(W432&lt;=0, "0.000", W432)</f>
        <v>0.000</v>
      </c>
      <c r="X450" s="173" t="str">
        <f t="shared" si="406"/>
        <v>0.000</v>
      </c>
      <c r="Y450" s="173" t="str">
        <f t="shared" si="406"/>
        <v>0.000</v>
      </c>
      <c r="Z450" s="173" t="str">
        <f t="shared" si="406"/>
        <v>0.000</v>
      </c>
      <c r="AA450" s="173" t="str">
        <f t="shared" si="406"/>
        <v>0.000</v>
      </c>
      <c r="AB450" s="173" t="str">
        <f t="shared" si="406"/>
        <v>0.000</v>
      </c>
      <c r="AC450" s="173" t="str">
        <f t="shared" si="406"/>
        <v>0.000</v>
      </c>
      <c r="AD450" s="173" t="str">
        <f t="shared" si="406"/>
        <v>0.000</v>
      </c>
      <c r="AE450" s="173" t="str">
        <f t="shared" si="406"/>
        <v>0.000</v>
      </c>
      <c r="AF450" s="173" t="str">
        <f t="shared" si="406"/>
        <v>0.000</v>
      </c>
      <c r="AG450" s="173" t="str">
        <f t="shared" si="406"/>
        <v>0.000</v>
      </c>
      <c r="AH450" s="173" t="str">
        <f t="shared" si="406"/>
        <v>0.000</v>
      </c>
      <c r="AI450" s="173" t="str">
        <f t="shared" si="406"/>
        <v>0.000</v>
      </c>
      <c r="AJ450" s="173" t="str">
        <f t="shared" si="406"/>
        <v>0.000</v>
      </c>
      <c r="AK450" s="173" t="str">
        <f t="shared" si="406"/>
        <v>0.000</v>
      </c>
      <c r="AL450" s="4"/>
      <c r="AM450" s="43">
        <v>434</v>
      </c>
      <c r="AN450">
        <v>280.54782516227289</v>
      </c>
      <c r="AO450">
        <v>79.987748936226382</v>
      </c>
      <c r="AP450">
        <v>659.35562641055651</v>
      </c>
      <c r="AQ450">
        <v>515.50654942993378</v>
      </c>
      <c r="AR450">
        <v>77.456734686956139</v>
      </c>
      <c r="AS450">
        <v>370.22683640968449</v>
      </c>
      <c r="AT450">
        <v>36.730683317639617</v>
      </c>
      <c r="AU450">
        <v>13.082888810514739</v>
      </c>
      <c r="AV450"/>
      <c r="AW450"/>
      <c r="FY450" s="211">
        <v>445</v>
      </c>
      <c r="FZ450">
        <v>38.311075742948162</v>
      </c>
      <c r="GA450">
        <v>40.460905337808903</v>
      </c>
      <c r="GB450">
        <v>44.213771771956722</v>
      </c>
      <c r="GC450">
        <v>25.09787021979411</v>
      </c>
      <c r="GD450">
        <v>12.259878765698891</v>
      </c>
      <c r="GE450">
        <v>17.063543934620657</v>
      </c>
      <c r="GF450">
        <v>47.710191839810626</v>
      </c>
      <c r="GG450">
        <v>38.426964511772098</v>
      </c>
      <c r="GH450">
        <v>19.227895780967881</v>
      </c>
      <c r="GI450">
        <v>37.294550310796559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201.97415016511883</v>
      </c>
      <c r="AO451">
        <v>50.94100588015435</v>
      </c>
      <c r="AP451">
        <v>392.56106602516627</v>
      </c>
      <c r="AQ451">
        <v>309.15488026391688</v>
      </c>
      <c r="AR451">
        <v>50.889159144261853</v>
      </c>
      <c r="AS451">
        <v>248.1744480606138</v>
      </c>
      <c r="AT451">
        <v>23.598130841544243</v>
      </c>
      <c r="AU451">
        <v>13.754404119173458</v>
      </c>
      <c r="AV451"/>
      <c r="AW451"/>
      <c r="FY451" s="211">
        <v>446</v>
      </c>
      <c r="FZ451">
        <v>42.067687953499124</v>
      </c>
      <c r="GA451">
        <v>31.647289463434774</v>
      </c>
      <c r="GB451">
        <v>37.293434635248751</v>
      </c>
      <c r="GC451">
        <v>21.531608837301192</v>
      </c>
      <c r="GD451">
        <v>15.313400450598936</v>
      </c>
      <c r="GE451">
        <v>24.57260061382128</v>
      </c>
      <c r="GF451">
        <v>32.504109750676108</v>
      </c>
      <c r="GG451">
        <v>29.677011991148269</v>
      </c>
      <c r="GH451">
        <v>21.593477799168099</v>
      </c>
      <c r="GI451">
        <v>35.478696894216583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238.97391588408223</v>
      </c>
      <c r="AO452">
        <v>67.702246581981697</v>
      </c>
      <c r="AP452">
        <v>528.41420768094963</v>
      </c>
      <c r="AQ452">
        <v>394.35088499807313</v>
      </c>
      <c r="AR452">
        <v>65.734417985223004</v>
      </c>
      <c r="AS452">
        <v>304.81058821613294</v>
      </c>
      <c r="AT452">
        <v>29.552587470863049</v>
      </c>
      <c r="AU452">
        <v>62.209186817463397</v>
      </c>
      <c r="AV452"/>
      <c r="AW452"/>
      <c r="FY452" s="211">
        <v>447</v>
      </c>
      <c r="FZ452">
        <v>41.410327999498953</v>
      </c>
      <c r="GA452">
        <v>40.627599435781654</v>
      </c>
      <c r="GB452">
        <v>35.256055925749607</v>
      </c>
      <c r="GC452">
        <v>20.03822344227456</v>
      </c>
      <c r="GD452">
        <v>13.410224494392283</v>
      </c>
      <c r="GE452">
        <v>22.555481840003374</v>
      </c>
      <c r="GF452">
        <v>49.175719846825857</v>
      </c>
      <c r="GG452">
        <v>38.53955113304351</v>
      </c>
      <c r="GH452">
        <v>21.773329992569206</v>
      </c>
      <c r="GI452">
        <v>36.906127611778103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472.30189463580916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198.67076933167903</v>
      </c>
      <c r="AO453">
        <v>54.402362515804853</v>
      </c>
      <c r="AP453">
        <v>431.56255565780828</v>
      </c>
      <c r="AQ453">
        <v>325.4548156372303</v>
      </c>
      <c r="AR453">
        <v>52.244956565463667</v>
      </c>
      <c r="AS453">
        <v>250.26183473035104</v>
      </c>
      <c r="AT453">
        <v>23.918447686796224</v>
      </c>
      <c r="AU453">
        <v>181.59176489580091</v>
      </c>
      <c r="AV453"/>
      <c r="AW453"/>
      <c r="FY453" s="211">
        <v>448</v>
      </c>
      <c r="FZ453">
        <v>37.955140928660178</v>
      </c>
      <c r="GA453">
        <v>33.9480655580549</v>
      </c>
      <c r="GB453">
        <v>51.273647884616253</v>
      </c>
      <c r="GC453">
        <v>29.179459361489908</v>
      </c>
      <c r="GD453">
        <v>13.782572975077802</v>
      </c>
      <c r="GE453">
        <v>25.629538874943211</v>
      </c>
      <c r="GF453">
        <v>68.740374487522658</v>
      </c>
      <c r="GG453">
        <v>51.735987336723099</v>
      </c>
      <c r="GH453">
        <v>16.292379811145551</v>
      </c>
      <c r="GI453">
        <v>43.941416549413987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196.37098483152002</v>
      </c>
      <c r="AO454">
        <v>49.0423390940514</v>
      </c>
      <c r="AP454">
        <v>360.35735495292175</v>
      </c>
      <c r="AQ454">
        <v>286.66467735279468</v>
      </c>
      <c r="AR454">
        <v>47.966227869072462</v>
      </c>
      <c r="AS454">
        <v>239.68840901714327</v>
      </c>
      <c r="AT454">
        <v>22.628395305124766</v>
      </c>
      <c r="AU454">
        <v>30.735283925224749</v>
      </c>
      <c r="AV454"/>
      <c r="AW454"/>
      <c r="FY454" s="211">
        <v>449</v>
      </c>
      <c r="FZ454">
        <v>108.80761101269154</v>
      </c>
      <c r="GA454">
        <v>130.82687728250264</v>
      </c>
      <c r="GB454">
        <v>43.008431743097219</v>
      </c>
      <c r="GC454">
        <v>25.127530707771736</v>
      </c>
      <c r="GD454">
        <v>17.445367590605635</v>
      </c>
      <c r="GE454">
        <v>27.489957145691907</v>
      </c>
      <c r="GF454">
        <v>31.112757925114384</v>
      </c>
      <c r="GG454">
        <v>21.012687040082163</v>
      </c>
      <c r="GH454">
        <v>23.614082792694326</v>
      </c>
      <c r="GI454">
        <v>48.177959687559969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9"/>
      <c r="P455" s="229"/>
      <c r="Q455" s="229"/>
      <c r="R455" s="22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210.81125327642727</v>
      </c>
      <c r="AO455">
        <v>55.900793820034266</v>
      </c>
      <c r="AP455">
        <v>426.10018557820081</v>
      </c>
      <c r="AQ455">
        <v>326.36927964150613</v>
      </c>
      <c r="AR455">
        <v>54.83991401143161</v>
      </c>
      <c r="AS455">
        <v>270.07489086627129</v>
      </c>
      <c r="AT455">
        <v>26.783168729791026</v>
      </c>
      <c r="AU455">
        <v>-42.695303559801133</v>
      </c>
      <c r="AV455"/>
      <c r="AW455"/>
      <c r="FY455" s="211">
        <v>450</v>
      </c>
      <c r="FZ455">
        <v>86.570164938918253</v>
      </c>
      <c r="GA455">
        <v>103.46850246950657</v>
      </c>
      <c r="GB455">
        <v>66.675694229106853</v>
      </c>
      <c r="GC455">
        <v>36.821239494443269</v>
      </c>
      <c r="GD455">
        <v>14.193927269123128</v>
      </c>
      <c r="GE455">
        <v>19.611427565231441</v>
      </c>
      <c r="GF455">
        <v>22.659737019515223</v>
      </c>
      <c r="GG455">
        <v>14.15801912922772</v>
      </c>
      <c r="GH455">
        <v>19.515730163705189</v>
      </c>
      <c r="GI455">
        <v>46.337207656066795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197.32017219113894</v>
      </c>
      <c r="AO456">
        <v>76.140298892114316</v>
      </c>
      <c r="AP456">
        <v>665.69714311240659</v>
      </c>
      <c r="AQ456">
        <v>548.12203135750713</v>
      </c>
      <c r="AR456">
        <v>73.175992668340584</v>
      </c>
      <c r="AS456">
        <v>332.93927937177068</v>
      </c>
      <c r="AT456">
        <v>40.307545643691313</v>
      </c>
      <c r="AU456">
        <v>-72.854742105226208</v>
      </c>
      <c r="AV456"/>
      <c r="AW456"/>
      <c r="FY456" s="211">
        <v>451</v>
      </c>
      <c r="FZ456">
        <v>42.202127988963184</v>
      </c>
      <c r="GA456">
        <v>56.40647785208985</v>
      </c>
      <c r="GB456">
        <v>49.383409019696188</v>
      </c>
      <c r="GC456">
        <v>26.731616438105206</v>
      </c>
      <c r="GD456">
        <v>21.894855873841877</v>
      </c>
      <c r="GE456">
        <v>40.356160513305092</v>
      </c>
      <c r="GF456">
        <v>47.486692795336019</v>
      </c>
      <c r="GG456">
        <v>30.698813393592339</v>
      </c>
      <c r="GH456">
        <v>20.536299195784622</v>
      </c>
      <c r="GI456">
        <v>45.783213735547761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1.962323390894819</v>
      </c>
      <c r="E457" s="97">
        <f>+G36</f>
        <v>9.0179821009927358E-4</v>
      </c>
      <c r="F457" s="102">
        <f>+D457-D459</f>
        <v>-22.809666823494545</v>
      </c>
      <c r="G457" s="101">
        <f>+D457*E457</f>
        <v>1.7696197215448849E-3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203.02857894310293</v>
      </c>
      <c r="AO457">
        <v>55.435484806624778</v>
      </c>
      <c r="AP457">
        <v>448.81675335819148</v>
      </c>
      <c r="AQ457">
        <v>338.83701278614376</v>
      </c>
      <c r="AR457">
        <v>54.772739337484808</v>
      </c>
      <c r="AS457">
        <v>261.45645091609322</v>
      </c>
      <c r="AT457">
        <v>25.305384923474733</v>
      </c>
      <c r="AU457">
        <v>-11.804416804183901</v>
      </c>
      <c r="AV457"/>
      <c r="AW457"/>
      <c r="FY457" s="211">
        <v>452</v>
      </c>
      <c r="FZ457">
        <v>117.90345433058546</v>
      </c>
      <c r="GA457">
        <v>145.07134863316406</v>
      </c>
      <c r="GB457">
        <v>46.714097559497198</v>
      </c>
      <c r="GC457">
        <v>23.558466238882879</v>
      </c>
      <c r="GD457">
        <v>12.694477614036895</v>
      </c>
      <c r="GE457">
        <v>21.303519531474773</v>
      </c>
      <c r="GF457">
        <v>52.45536946305662</v>
      </c>
      <c r="GG457">
        <v>38.805197115368458</v>
      </c>
      <c r="GH457">
        <v>23.592812094704652</v>
      </c>
      <c r="GI457">
        <v>51.582857151208778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2.3179935494762475E-3</v>
      </c>
      <c r="I458" s="101">
        <f>+H458*F457</f>
        <v>-5.2872660562562721E-2</v>
      </c>
      <c r="J458" s="101">
        <f>+I458*$A$440</f>
        <v>-0.52872660562562723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244.32891380098908</v>
      </c>
      <c r="AO458">
        <v>95.237075081998285</v>
      </c>
      <c r="AP458">
        <v>817.47710470605887</v>
      </c>
      <c r="AQ458">
        <v>647.92789163908469</v>
      </c>
      <c r="AR458">
        <v>91.735222530852738</v>
      </c>
      <c r="AS458">
        <v>456.06785823952532</v>
      </c>
      <c r="AT458">
        <v>49.072686182758559</v>
      </c>
      <c r="AU458">
        <v>71.384605322702114</v>
      </c>
      <c r="AV458"/>
      <c r="AW458"/>
      <c r="FY458" s="211">
        <v>453</v>
      </c>
      <c r="FZ458">
        <v>87.605161880230895</v>
      </c>
      <c r="GA458">
        <v>106.91637202520934</v>
      </c>
      <c r="GB458">
        <v>55.643640975173213</v>
      </c>
      <c r="GC458">
        <v>25.83995723934305</v>
      </c>
      <c r="GD458">
        <v>11.587707177971671</v>
      </c>
      <c r="GE458">
        <v>19.785620086173985</v>
      </c>
      <c r="GF458">
        <v>38.049823635179393</v>
      </c>
      <c r="GG458">
        <v>30.195732496494919</v>
      </c>
      <c r="GH458">
        <v>19.050074367109652</v>
      </c>
      <c r="GI458">
        <v>45.120337238514651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24.771990214389366</v>
      </c>
      <c r="E459" s="97">
        <f>+H36</f>
        <v>5.9581999999999994E-3</v>
      </c>
      <c r="F459" s="102">
        <f>+D459-D461</f>
        <v>-46.493921305679805</v>
      </c>
      <c r="G459" s="101">
        <f>+D459*E459</f>
        <v>0.14759647209537471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217.67949221382219</v>
      </c>
      <c r="AO459">
        <v>71.415326660091324</v>
      </c>
      <c r="AP459">
        <v>562.84522887523542</v>
      </c>
      <c r="AQ459">
        <v>441.63522410975008</v>
      </c>
      <c r="AR459">
        <v>68.198068816711839</v>
      </c>
      <c r="AS459">
        <v>355.2748934186846</v>
      </c>
      <c r="AT459">
        <v>33.961635949222519</v>
      </c>
      <c r="AU459">
        <v>50.775653989075003</v>
      </c>
      <c r="AV459"/>
      <c r="AW459"/>
      <c r="FY459" s="211">
        <v>454</v>
      </c>
      <c r="FZ459">
        <v>33.489957824960399</v>
      </c>
      <c r="GA459">
        <v>44.177868475694375</v>
      </c>
      <c r="GB459">
        <v>52.138139887267876</v>
      </c>
      <c r="GC459">
        <v>26.941613705580728</v>
      </c>
      <c r="GD459">
        <v>15.869496715008056</v>
      </c>
      <c r="GE459">
        <v>26.21488655085524</v>
      </c>
      <c r="GF459">
        <v>41.481820250630342</v>
      </c>
      <c r="GG459">
        <v>32.577153003805719</v>
      </c>
      <c r="GH459">
        <v>32.983770405213249</v>
      </c>
      <c r="GI459">
        <v>41.988491307402846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1.5315032799820036E-2</v>
      </c>
      <c r="I460" s="101">
        <f>+H460*F459</f>
        <v>-0.71205592978873777</v>
      </c>
      <c r="J460" s="101">
        <f>+I460*$A$440</f>
        <v>-7.120559297887378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183.28372079795602</v>
      </c>
      <c r="AO460">
        <v>66.139209795781767</v>
      </c>
      <c r="AP460">
        <v>542.54935621482036</v>
      </c>
      <c r="AQ460">
        <v>419.86895351925926</v>
      </c>
      <c r="AR460">
        <v>65.003635594040432</v>
      </c>
      <c r="AS460">
        <v>291.70002936163058</v>
      </c>
      <c r="AT460">
        <v>31.92679304912409</v>
      </c>
      <c r="AU460">
        <v>218.41209129891206</v>
      </c>
      <c r="AV460"/>
      <c r="AW460"/>
      <c r="FY460" s="211">
        <v>455</v>
      </c>
      <c r="FZ460">
        <v>46.156598268062666</v>
      </c>
      <c r="GA460">
        <v>61.224053107381799</v>
      </c>
      <c r="GB460">
        <v>53.059026184564971</v>
      </c>
      <c r="GC460">
        <v>23.049872947196903</v>
      </c>
      <c r="GD460">
        <v>9.5486671089909247</v>
      </c>
      <c r="GE460">
        <v>26.809511833689754</v>
      </c>
      <c r="GF460">
        <v>42.007944240697327</v>
      </c>
      <c r="GG460">
        <v>19.301704800215308</v>
      </c>
      <c r="GH460">
        <v>18.448773032427784</v>
      </c>
      <c r="GI460">
        <v>37.679094380574156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71.265911520069167</v>
      </c>
      <c r="E461" s="97">
        <f>+I36</f>
        <v>3.9365954425760054E-2</v>
      </c>
      <c r="F461" s="102">
        <f>+D461-D463</f>
        <v>21.468481473132407</v>
      </c>
      <c r="G461" s="101">
        <f>+D461*E461</f>
        <v>2.8054506250092914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197.64965338493693</v>
      </c>
      <c r="AO461">
        <v>54.124654853499706</v>
      </c>
      <c r="AP461">
        <v>419.51665758797867</v>
      </c>
      <c r="AQ461">
        <v>320.0666482161746</v>
      </c>
      <c r="AR461">
        <v>53.619990381855231</v>
      </c>
      <c r="AS461">
        <v>271.20036526980186</v>
      </c>
      <c r="AT461">
        <v>23.932282971777273</v>
      </c>
      <c r="AU461">
        <v>22.530084639308335</v>
      </c>
      <c r="AV461"/>
      <c r="AW461"/>
      <c r="FY461" s="211">
        <v>456</v>
      </c>
      <c r="FZ461">
        <v>108.02605246487016</v>
      </c>
      <c r="GA461">
        <v>135.59916101776508</v>
      </c>
      <c r="GB461">
        <v>44.039043513057273</v>
      </c>
      <c r="GC461">
        <v>24.849071421920055</v>
      </c>
      <c r="GD461">
        <v>12.859917055587472</v>
      </c>
      <c r="GE461">
        <v>19.362266845919113</v>
      </c>
      <c r="GF461">
        <v>46.105286565988251</v>
      </c>
      <c r="GG461">
        <v>35.397945371585713</v>
      </c>
      <c r="GH461">
        <v>17.004942894746652</v>
      </c>
      <c r="GI461">
        <v>47.239699163511666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6.83844062015561E-2</v>
      </c>
      <c r="I462" s="101">
        <f>+H462*F461</f>
        <v>1.4681093575892681</v>
      </c>
      <c r="J462" s="101">
        <f>+I462*$A$440</f>
        <v>14.681093575892682</v>
      </c>
      <c r="K462" s="61">
        <f>IF(AND(J462&lt;0, J460&lt;0), 0, J462)</f>
        <v>14.681093575892682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160.72892280332579</v>
      </c>
      <c r="AO462">
        <v>51.275462475996292</v>
      </c>
      <c r="AP462">
        <v>367.78355209577836</v>
      </c>
      <c r="AQ462">
        <v>291.67931838911312</v>
      </c>
      <c r="AR462">
        <v>51.290651751860196</v>
      </c>
      <c r="AS462">
        <v>231.73069521148309</v>
      </c>
      <c r="AT462">
        <v>23.514711670148913</v>
      </c>
      <c r="AU462">
        <v>46.805323579221749</v>
      </c>
      <c r="AV462"/>
      <c r="AW462"/>
      <c r="FY462" s="211">
        <v>457</v>
      </c>
      <c r="FZ462">
        <v>83.790728512625975</v>
      </c>
      <c r="GA462">
        <v>95.801967247775025</v>
      </c>
      <c r="GB462">
        <v>51.836214517974817</v>
      </c>
      <c r="GC462">
        <v>26.210121073642867</v>
      </c>
      <c r="GD462">
        <v>10.691090696763457</v>
      </c>
      <c r="GE462">
        <v>24.290603087572752</v>
      </c>
      <c r="GF462">
        <v>46.93553150062467</v>
      </c>
      <c r="GG462">
        <v>28.227685521608009</v>
      </c>
      <c r="GH462">
        <v>19.43069791225388</v>
      </c>
      <c r="GI462">
        <v>44.856051416853219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49.797430046936761</v>
      </c>
      <c r="E463" s="97">
        <f>+J36</f>
        <v>0.11879369063332791</v>
      </c>
      <c r="F463" s="102">
        <f>+D463-D465</f>
        <v>35.862378364850244</v>
      </c>
      <c r="G463" s="101">
        <f>+D463*E463</f>
        <v>5.9156204993305934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183.89690075699238</v>
      </c>
      <c r="AO463">
        <v>53.252703931381348</v>
      </c>
      <c r="AP463">
        <v>409.93690115842674</v>
      </c>
      <c r="AQ463">
        <v>319.69264172191714</v>
      </c>
      <c r="AR463">
        <v>52.872215222450762</v>
      </c>
      <c r="AS463">
        <v>245.76509832477157</v>
      </c>
      <c r="AT463">
        <v>26.491671056601291</v>
      </c>
      <c r="AU463">
        <v>281.8326370308659</v>
      </c>
      <c r="AV463"/>
      <c r="AW463"/>
      <c r="FY463" s="211">
        <v>458</v>
      </c>
      <c r="FZ463">
        <v>149.26518391814557</v>
      </c>
      <c r="GA463">
        <v>188.95826968813597</v>
      </c>
      <c r="GB463">
        <v>52.132978203549968</v>
      </c>
      <c r="GC463">
        <v>28.352291421255039</v>
      </c>
      <c r="GD463">
        <v>15.526030916076026</v>
      </c>
      <c r="GE463">
        <v>19.702269502440203</v>
      </c>
      <c r="GF463">
        <v>41.376981419922522</v>
      </c>
      <c r="GG463">
        <v>43.508709324200694</v>
      </c>
      <c r="GH463">
        <v>27.950148941662082</v>
      </c>
      <c r="GI463">
        <v>57.788349239627031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0.17577614446863962</v>
      </c>
      <c r="I464" s="101">
        <f>+H464*F463</f>
        <v>6.3037506004489323</v>
      </c>
      <c r="J464" s="101">
        <f>+I464*$A$440</f>
        <v>63.037506004489323</v>
      </c>
      <c r="K464" s="61">
        <f>IF(AND(J464&lt;0, J462&lt;0), 0, J464)</f>
        <v>63.037506004489323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221.06205781187023</v>
      </c>
      <c r="AO464">
        <v>65.082287083875286</v>
      </c>
      <c r="AP464">
        <v>494.22718688504642</v>
      </c>
      <c r="AQ464">
        <v>372.47858376764759</v>
      </c>
      <c r="AR464">
        <v>63.329297186694085</v>
      </c>
      <c r="AS464">
        <v>293.70695163470862</v>
      </c>
      <c r="AT464">
        <v>28.383682879065205</v>
      </c>
      <c r="AU464">
        <v>57.149015033206695</v>
      </c>
      <c r="AV464"/>
      <c r="AW464"/>
      <c r="FY464" s="211">
        <v>459</v>
      </c>
      <c r="FZ464">
        <v>151.08985568408804</v>
      </c>
      <c r="GA464">
        <v>186.78456806929265</v>
      </c>
      <c r="GB464">
        <v>39.303948126960989</v>
      </c>
      <c r="GC464">
        <v>17.927009581155222</v>
      </c>
      <c r="GD464">
        <v>9.1612746785096402</v>
      </c>
      <c r="GE464">
        <v>15.692753478983532</v>
      </c>
      <c r="GF464">
        <v>46.96360567001458</v>
      </c>
      <c r="GG464">
        <v>38.899741278580692</v>
      </c>
      <c r="GH464">
        <v>18.944552881274571</v>
      </c>
      <c r="GI464">
        <v>50.346738780233892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13.935051682086518</v>
      </c>
      <c r="E465" s="97">
        <f>+K36</f>
        <v>0.26009170015290151</v>
      </c>
      <c r="F465" s="102">
        <f>+D465-D467</f>
        <v>-3.7424359796448439</v>
      </c>
      <c r="G465" s="101">
        <f>+D465*E465</f>
        <v>3.6243912837124324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194.03262151311552</v>
      </c>
      <c r="AO465">
        <v>71.817836345310695</v>
      </c>
      <c r="AP465">
        <v>590.30508142482836</v>
      </c>
      <c r="AQ465">
        <v>476.62326292781148</v>
      </c>
      <c r="AR465">
        <v>69.827292040001737</v>
      </c>
      <c r="AS465">
        <v>321.10273420811581</v>
      </c>
      <c r="AT465">
        <v>36.651526198178964</v>
      </c>
      <c r="AU465">
        <v>-18.054955816142787</v>
      </c>
      <c r="AV465"/>
      <c r="AW465"/>
      <c r="FY465" s="211">
        <v>460</v>
      </c>
      <c r="FZ465">
        <v>71.787849986367647</v>
      </c>
      <c r="GA465">
        <v>79.119095790513299</v>
      </c>
      <c r="GB465">
        <v>44.906023173365796</v>
      </c>
      <c r="GC465">
        <v>28.548169278315569</v>
      </c>
      <c r="GD465">
        <v>15.647782597018324</v>
      </c>
      <c r="GE465">
        <v>26.780327433630919</v>
      </c>
      <c r="GF465">
        <v>35.785898158656572</v>
      </c>
      <c r="GG465">
        <v>20.996092107054658</v>
      </c>
      <c r="GH465">
        <v>27.267105752915132</v>
      </c>
      <c r="GI465">
        <v>43.594726646539776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0.35246656920488739</v>
      </c>
      <c r="I466" s="101">
        <f>+H466*F465</f>
        <v>-1.31908357021435</v>
      </c>
      <c r="J466" s="101">
        <f>+I466*$A$440</f>
        <v>-13.190835702143499</v>
      </c>
      <c r="K466" s="61">
        <f>IF(AND(J466&lt;0, J464&lt;0), 0, J466)</f>
        <v>-13.190835702143499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184.18550021914433</v>
      </c>
      <c r="AO466">
        <v>68.434227860171205</v>
      </c>
      <c r="AP466">
        <v>546.20744567274312</v>
      </c>
      <c r="AQ466">
        <v>430.01164993484451</v>
      </c>
      <c r="AR466">
        <v>66.812546112923769</v>
      </c>
      <c r="AS466">
        <v>297.18390642365989</v>
      </c>
      <c r="AT466">
        <v>34.360304819309995</v>
      </c>
      <c r="AU466">
        <v>-16.275489284853336</v>
      </c>
      <c r="AV466"/>
      <c r="AW466"/>
      <c r="FY466" s="211">
        <v>461</v>
      </c>
      <c r="FZ466">
        <v>101.27338385891301</v>
      </c>
      <c r="GA466">
        <v>138.36361370626554</v>
      </c>
      <c r="GB466">
        <v>32.316075180433316</v>
      </c>
      <c r="GC466">
        <v>20.369887575008704</v>
      </c>
      <c r="GD466">
        <v>17.252995350034158</v>
      </c>
      <c r="GE466">
        <v>27.639118753826303</v>
      </c>
      <c r="GF466">
        <v>48.127380052509039</v>
      </c>
      <c r="GG466">
        <v>36.868551790291569</v>
      </c>
      <c r="GH466">
        <v>31.994612012214859</v>
      </c>
      <c r="GI466">
        <v>48.882294907378828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17.677487661731362</v>
      </c>
      <c r="E467" s="97">
        <f>L36</f>
        <v>0.47764954565651402</v>
      </c>
      <c r="F467" s="102">
        <f>+D467-D469</f>
        <v>-4.3909555164057039</v>
      </c>
      <c r="G467" s="101">
        <f>+D467*E467</f>
        <v>8.4436439499746179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251.93947368526469</v>
      </c>
      <c r="AO467">
        <v>67.979312713770639</v>
      </c>
      <c r="AP467">
        <v>482.49840103525025</v>
      </c>
      <c r="AQ467">
        <v>381.47966680626217</v>
      </c>
      <c r="AR467">
        <v>65.816606450254014</v>
      </c>
      <c r="AS467">
        <v>332.07554751689418</v>
      </c>
      <c r="AT467">
        <v>28.634302241105388</v>
      </c>
      <c r="AU467">
        <v>24.901028859506205</v>
      </c>
      <c r="AV467"/>
      <c r="AW467"/>
      <c r="FY467" s="211">
        <v>462</v>
      </c>
      <c r="FZ467">
        <v>75.187865109543154</v>
      </c>
      <c r="GA467">
        <v>88.765142885221934</v>
      </c>
      <c r="GB467">
        <v>42.883336824861175</v>
      </c>
      <c r="GC467">
        <v>25.305542356593858</v>
      </c>
      <c r="GD467">
        <v>16.596745614725606</v>
      </c>
      <c r="GE467">
        <v>24.832747232809186</v>
      </c>
      <c r="GF467">
        <v>34.152653183777545</v>
      </c>
      <c r="GG467">
        <v>23.93546350373915</v>
      </c>
      <c r="GH467">
        <v>17.772349147379877</v>
      </c>
      <c r="GI467">
        <v>42.275583502135945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0.6122858544286528</v>
      </c>
      <c r="I468" s="101">
        <f>+H468*F467</f>
        <v>-2.6885199501206727</v>
      </c>
      <c r="J468" s="101">
        <f>+I468*$A$440</f>
        <v>-26.885199501206728</v>
      </c>
      <c r="K468" s="61">
        <f>IF(AND(J468&lt;0, J466&lt;0), 0, J468)</f>
        <v>0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220.84311204672227</v>
      </c>
      <c r="AO468">
        <v>76.902468471049616</v>
      </c>
      <c r="AP468">
        <v>682.854993383585</v>
      </c>
      <c r="AQ468">
        <v>533.68159973197976</v>
      </c>
      <c r="AR468">
        <v>74.757093892607102</v>
      </c>
      <c r="AS468">
        <v>346.80912248769494</v>
      </c>
      <c r="AT468">
        <v>39.466574058094011</v>
      </c>
      <c r="AU468">
        <v>-14.193424771150738</v>
      </c>
      <c r="AV468"/>
      <c r="AW468"/>
      <c r="FY468" s="211">
        <v>463</v>
      </c>
      <c r="FZ468">
        <v>67.42263087109508</v>
      </c>
      <c r="GA468">
        <v>77.047634830117417</v>
      </c>
      <c r="GB468">
        <v>39.465126858217033</v>
      </c>
      <c r="GC468">
        <v>21.213392218732615</v>
      </c>
      <c r="GD468">
        <v>12.493976883729349</v>
      </c>
      <c r="GE468">
        <v>27.223942724456535</v>
      </c>
      <c r="GF468">
        <v>47.52205209592735</v>
      </c>
      <c r="GG468">
        <v>34.130310706640692</v>
      </c>
      <c r="GH468">
        <v>21.467361430743164</v>
      </c>
      <c r="GI468">
        <v>40.760830154557404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22.068443178137066</v>
      </c>
      <c r="E469" s="97">
        <f>M36</f>
        <v>0.78487244663479294</v>
      </c>
      <c r="F469" s="102">
        <f>+D469-D471</f>
        <v>8.5151809641605727</v>
      </c>
      <c r="G469" s="101">
        <f>+D469*E469</f>
        <v>17.320912990645343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201.41474889726791</v>
      </c>
      <c r="AO469">
        <v>66.660223339883302</v>
      </c>
      <c r="AP469">
        <v>570.49323870813964</v>
      </c>
      <c r="AQ469">
        <v>439.79442712140076</v>
      </c>
      <c r="AR469">
        <v>65.060465789879316</v>
      </c>
      <c r="AS469">
        <v>298.21785671539163</v>
      </c>
      <c r="AT469">
        <v>34.954812893327066</v>
      </c>
      <c r="AU469">
        <v>30.70871497402068</v>
      </c>
      <c r="AV469"/>
      <c r="AW469"/>
      <c r="FY469" s="211">
        <v>464</v>
      </c>
      <c r="FZ469">
        <v>117.28590296437335</v>
      </c>
      <c r="GA469">
        <v>139.94634481933826</v>
      </c>
      <c r="GB469">
        <v>34.228442699769424</v>
      </c>
      <c r="GC469">
        <v>22.099728621558629</v>
      </c>
      <c r="GD469">
        <v>17.998040000136083</v>
      </c>
      <c r="GE469">
        <v>29.567445997936868</v>
      </c>
      <c r="GF469">
        <v>33.35672750917977</v>
      </c>
      <c r="GG469">
        <v>20.340164888648189</v>
      </c>
      <c r="GH469">
        <v>31.35056181151419</v>
      </c>
      <c r="GI469">
        <v>49.28216928858123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0.96823462793936832</v>
      </c>
      <c r="I470" s="101">
        <f>+H470*F469</f>
        <v>8.2446930726704029</v>
      </c>
      <c r="J470" s="101">
        <f>+I470*$A$440</f>
        <v>82.446930726704025</v>
      </c>
      <c r="K470" s="61">
        <f>IF(AND(J470&lt;0, J468&lt;0), 0, J470)</f>
        <v>82.446930726704025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196.01484813138876</v>
      </c>
      <c r="AO470">
        <v>60.422359714521143</v>
      </c>
      <c r="AP470">
        <v>451.67365425522701</v>
      </c>
      <c r="AQ470">
        <v>347.86319812641887</v>
      </c>
      <c r="AR470">
        <v>60.443768427313969</v>
      </c>
      <c r="AS470">
        <v>295.37354531831363</v>
      </c>
      <c r="AT470">
        <v>28.883582258401962</v>
      </c>
      <c r="AU470">
        <v>1.9614068743405966</v>
      </c>
      <c r="AV470"/>
      <c r="AW470"/>
      <c r="FY470" s="211">
        <v>465</v>
      </c>
      <c r="FZ470">
        <v>83.904300564828091</v>
      </c>
      <c r="GA470">
        <v>95.491063214954139</v>
      </c>
      <c r="GB470">
        <v>43.817770074987955</v>
      </c>
      <c r="GC470">
        <v>23.386935436037277</v>
      </c>
      <c r="GD470">
        <v>15.981189640209703</v>
      </c>
      <c r="GE470">
        <v>25.106558045630038</v>
      </c>
      <c r="GF470">
        <v>32.091059744052039</v>
      </c>
      <c r="GG470">
        <v>29.168159829101857</v>
      </c>
      <c r="GH470">
        <v>31.910846621332077</v>
      </c>
      <c r="GI470">
        <v>45.174812573818244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13.553262213976494</v>
      </c>
      <c r="E471" s="97">
        <f>+N36</f>
        <v>1.1944339475291872</v>
      </c>
      <c r="F471" s="102">
        <f>+D471-D473</f>
        <v>7.0436507936507891</v>
      </c>
      <c r="G471" s="101">
        <f>+D471*E471</f>
        <v>16.188476488138114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184.0154019204744</v>
      </c>
      <c r="AO471">
        <v>54.703281389676398</v>
      </c>
      <c r="AP471">
        <v>440.66662821699464</v>
      </c>
      <c r="AQ471">
        <v>337.28524590380158</v>
      </c>
      <c r="AR471">
        <v>53.276130262007968</v>
      </c>
      <c r="AS471">
        <v>263.78496762039288</v>
      </c>
      <c r="AT471">
        <v>25.819956546666116</v>
      </c>
      <c r="AU471">
        <v>6.2669102670704788</v>
      </c>
      <c r="AV471"/>
      <c r="AW471"/>
      <c r="FY471" s="211">
        <v>466</v>
      </c>
      <c r="FZ471">
        <v>101.81905485152723</v>
      </c>
      <c r="GA471">
        <v>147.78681530228459</v>
      </c>
      <c r="GB471">
        <v>61.551975381929175</v>
      </c>
      <c r="GC471">
        <v>26.924170834212916</v>
      </c>
      <c r="GD471">
        <v>14.914129270420442</v>
      </c>
      <c r="GE471">
        <v>32.69301029738736</v>
      </c>
      <c r="GF471">
        <v>50.674553443902838</v>
      </c>
      <c r="GG471">
        <v>40.609492209329751</v>
      </c>
      <c r="GH471">
        <v>32.446604086517176</v>
      </c>
      <c r="GI471">
        <v>55.401013772807921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1.4326733089346575</v>
      </c>
      <c r="I472" s="101">
        <f>+H472*F471</f>
        <v>10.091250489519902</v>
      </c>
      <c r="J472" s="101">
        <f>+I472*$A$440</f>
        <v>100.91250489519902</v>
      </c>
      <c r="K472" s="61">
        <f>IF(AND(J472&lt;0, J470&lt;0), 0, J472)</f>
        <v>100.91250489519902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209.96301129956674</v>
      </c>
      <c r="AO472">
        <v>71.614607014884953</v>
      </c>
      <c r="AP472">
        <v>623.17394240331294</v>
      </c>
      <c r="AQ472">
        <v>490.48338631495142</v>
      </c>
      <c r="AR472">
        <v>68.414818342382716</v>
      </c>
      <c r="AS472">
        <v>322.62063877966898</v>
      </c>
      <c r="AT472">
        <v>36.629175971581489</v>
      </c>
      <c r="AU472">
        <v>34.507514716189107</v>
      </c>
      <c r="AV472"/>
      <c r="AW472"/>
      <c r="FY472" s="211">
        <v>467</v>
      </c>
      <c r="FZ472">
        <v>33.436886848444452</v>
      </c>
      <c r="GA472">
        <v>36.926809382689932</v>
      </c>
      <c r="GB472">
        <v>39.219555309570652</v>
      </c>
      <c r="GC472">
        <v>25.067534151178897</v>
      </c>
      <c r="GD472">
        <v>18.012163905658749</v>
      </c>
      <c r="GE472">
        <v>24.641375451525978</v>
      </c>
      <c r="GF472">
        <v>30.354416596292605</v>
      </c>
      <c r="GG472">
        <v>29.424808714144824</v>
      </c>
      <c r="GH472">
        <v>27.229156451016244</v>
      </c>
      <c r="GI472">
        <v>36.705871506561984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6.5096114203257045</v>
      </c>
      <c r="E473" s="97">
        <f>O36</f>
        <v>1.7184314079315166</v>
      </c>
      <c r="F473" s="102">
        <f>+D473-D475</f>
        <v>4.1924345495774054</v>
      </c>
      <c r="G473" s="101">
        <f>+D473*E473</f>
        <v>11.186320718117379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216.34716410498339</v>
      </c>
      <c r="AO473">
        <v>66.607311825132726</v>
      </c>
      <c r="AP473">
        <v>559.0854326337776</v>
      </c>
      <c r="AQ473">
        <v>432.07069148769472</v>
      </c>
      <c r="AR473">
        <v>64.362507643569515</v>
      </c>
      <c r="AS473">
        <v>307.88151124894205</v>
      </c>
      <c r="AT473">
        <v>30.429425424490898</v>
      </c>
      <c r="AU473">
        <v>14.182974044920989</v>
      </c>
      <c r="AV473"/>
      <c r="AW473"/>
      <c r="FY473" s="211">
        <v>468</v>
      </c>
      <c r="FZ473">
        <v>83.705422026138535</v>
      </c>
      <c r="GA473">
        <v>97.760698585175007</v>
      </c>
      <c r="GB473">
        <v>35.61271830775015</v>
      </c>
      <c r="GC473">
        <v>17.359718115349175</v>
      </c>
      <c r="GD473">
        <v>12.744337243995682</v>
      </c>
      <c r="GE473">
        <v>21.941809649388404</v>
      </c>
      <c r="GF473">
        <v>63.319154185986704</v>
      </c>
      <c r="GG473">
        <v>47.959585419389178</v>
      </c>
      <c r="GH473">
        <v>15.894710754024091</v>
      </c>
      <c r="GI473">
        <v>44.608132457115744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2.0174460850402567</v>
      </c>
      <c r="I474" s="101">
        <f>+H474*F473</f>
        <v>8.4580106688324488</v>
      </c>
      <c r="J474" s="101">
        <f>+I474*$A$440</f>
        <v>84.580106688324491</v>
      </c>
      <c r="K474" s="61">
        <f>IF(AND(J474&lt;0, J472&lt;0), 0, J474)</f>
        <v>84.580106688324491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228.52063334760882</v>
      </c>
      <c r="AO474">
        <v>88.411219864176275</v>
      </c>
      <c r="AP474">
        <v>789.6629639844781</v>
      </c>
      <c r="AQ474">
        <v>624.56121257501491</v>
      </c>
      <c r="AR474">
        <v>84.61632800664735</v>
      </c>
      <c r="AS474">
        <v>406.82789279300209</v>
      </c>
      <c r="AT474">
        <v>47.193092503974604</v>
      </c>
      <c r="AU474">
        <v>85.147819710675591</v>
      </c>
      <c r="AV474"/>
      <c r="AW474"/>
      <c r="FY474" s="211">
        <v>469</v>
      </c>
      <c r="FZ474">
        <v>62.077718016794158</v>
      </c>
      <c r="GA474">
        <v>85.320355601693564</v>
      </c>
      <c r="GB474">
        <v>28.602647340911961</v>
      </c>
      <c r="GC474">
        <v>22.387206377656323</v>
      </c>
      <c r="GD474">
        <v>18.510205426397334</v>
      </c>
      <c r="GE474">
        <v>20.167055105217191</v>
      </c>
      <c r="GF474">
        <v>33.522560652535155</v>
      </c>
      <c r="GG474">
        <v>28.313828222763114</v>
      </c>
      <c r="GH474">
        <v>27.484468729539476</v>
      </c>
      <c r="GI474">
        <v>39.384627438688952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2.3171768707482991</v>
      </c>
      <c r="E475" s="97">
        <f>P36</f>
        <v>2.3684906405100232</v>
      </c>
      <c r="F475" s="102">
        <f>+D475-D477</f>
        <v>2.3171768707482991</v>
      </c>
      <c r="G475" s="101">
        <f>+D475*E475</f>
        <v>5.4882117307736502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196.70636548548026</v>
      </c>
      <c r="AO475">
        <v>76.498082592578612</v>
      </c>
      <c r="AP475">
        <v>729.76053460465539</v>
      </c>
      <c r="AQ475">
        <v>575.1140482290939</v>
      </c>
      <c r="AR475">
        <v>73.139941574536991</v>
      </c>
      <c r="AS475">
        <v>363.36656476477532</v>
      </c>
      <c r="AT475">
        <v>39.351083564925453</v>
      </c>
      <c r="AU475">
        <v>17.56765028527505</v>
      </c>
      <c r="AV475"/>
      <c r="AW475"/>
      <c r="FY475" s="211">
        <v>470</v>
      </c>
      <c r="FZ475">
        <v>72.07367895184737</v>
      </c>
      <c r="GA475">
        <v>94.30984483621981</v>
      </c>
      <c r="GB475">
        <v>43.898555696080138</v>
      </c>
      <c r="GC475">
        <v>26.010764417239145</v>
      </c>
      <c r="GD475">
        <v>21.167414403878016</v>
      </c>
      <c r="GE475">
        <v>34.028618451023931</v>
      </c>
      <c r="GF475">
        <v>27.052497620879805</v>
      </c>
      <c r="GG475">
        <v>19.529843805408962</v>
      </c>
      <c r="GH475">
        <v>37.684530645202877</v>
      </c>
      <c r="GI475">
        <v>46.691047247788035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2.733967672678304</v>
      </c>
      <c r="I476" s="101">
        <f>+H476*F475</f>
        <v>6.3350866565037229</v>
      </c>
      <c r="J476" s="101">
        <f>+I476*$A$440</f>
        <v>63.350866565037229</v>
      </c>
      <c r="K476" s="61">
        <f>IF(AND(J476&lt;0, J474&lt;0), 0, J476)</f>
        <v>63.350866565037229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174.95868337033465</v>
      </c>
      <c r="AO476">
        <v>64.169419477748647</v>
      </c>
      <c r="AP476">
        <v>494.80617937007577</v>
      </c>
      <c r="AQ476">
        <v>394.43307092437766</v>
      </c>
      <c r="AR476">
        <v>62.553223706309993</v>
      </c>
      <c r="AS476">
        <v>304.636955917629</v>
      </c>
      <c r="AT476">
        <v>30.874294888310814</v>
      </c>
      <c r="AU476">
        <v>9.9883825788548286</v>
      </c>
      <c r="AV476"/>
      <c r="AW476"/>
      <c r="FY476" s="211">
        <v>471</v>
      </c>
      <c r="FZ476">
        <v>67.161513725535727</v>
      </c>
      <c r="GA476">
        <v>97.332640757842142</v>
      </c>
      <c r="GB476">
        <v>50.50818785674624</v>
      </c>
      <c r="GC476">
        <v>21.403364740871965</v>
      </c>
      <c r="GD476">
        <v>11.021025636813874</v>
      </c>
      <c r="GE476">
        <v>20.122731897743602</v>
      </c>
      <c r="GF476">
        <v>43.104481379763627</v>
      </c>
      <c r="GG476">
        <v>33.816284620587915</v>
      </c>
      <c r="GH476">
        <v>24.841701043310131</v>
      </c>
      <c r="GI476">
        <v>42.550675518562464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3.1558407313952781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222.07778101317712</v>
      </c>
      <c r="AO477">
        <v>73.900537391763464</v>
      </c>
      <c r="AP477">
        <v>627.18035539297659</v>
      </c>
      <c r="AQ477">
        <v>503.08791318687531</v>
      </c>
      <c r="AR477">
        <v>70.530232875118855</v>
      </c>
      <c r="AS477">
        <v>332.96849609576537</v>
      </c>
      <c r="AT477">
        <v>36.796379375697846</v>
      </c>
      <c r="AU477">
        <v>-26.488974892697883</v>
      </c>
      <c r="AV477"/>
      <c r="AW477"/>
      <c r="FY477" s="211">
        <v>472</v>
      </c>
      <c r="FZ477">
        <v>72.603825761725901</v>
      </c>
      <c r="GA477">
        <v>100.0099645037928</v>
      </c>
      <c r="GB477">
        <v>39.611139198736623</v>
      </c>
      <c r="GC477">
        <v>18.570031648019071</v>
      </c>
      <c r="GD477">
        <v>16.648049776670234</v>
      </c>
      <c r="GE477">
        <v>28.864899359217706</v>
      </c>
      <c r="GF477">
        <v>13.416093510345778</v>
      </c>
      <c r="GG477">
        <v>9.0031116665441431</v>
      </c>
      <c r="GH477">
        <v>19.832898296845794</v>
      </c>
      <c r="GI477">
        <v>37.267195505514003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3.5932870675010999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221.09930310162503</v>
      </c>
      <c r="AO478">
        <v>62.544741491727315</v>
      </c>
      <c r="AP478">
        <v>488.29025726851103</v>
      </c>
      <c r="AQ478">
        <v>391.70742936078739</v>
      </c>
      <c r="AR478">
        <v>60.949290955875213</v>
      </c>
      <c r="AS478">
        <v>287.97640535352809</v>
      </c>
      <c r="AT478">
        <v>28.492644508874708</v>
      </c>
      <c r="AU478">
        <v>20.631094804100986</v>
      </c>
      <c r="AV478"/>
      <c r="AW478"/>
      <c r="FY478" s="211">
        <v>473</v>
      </c>
      <c r="FZ478">
        <v>29.884949801219864</v>
      </c>
      <c r="GA478">
        <v>28.404243345265535</v>
      </c>
      <c r="GB478">
        <v>34.742126362418297</v>
      </c>
      <c r="GC478">
        <v>21.900881320100147</v>
      </c>
      <c r="GD478">
        <v>14.23025087179918</v>
      </c>
      <c r="GE478">
        <v>20.66148396302567</v>
      </c>
      <c r="GF478">
        <v>34.554408112806222</v>
      </c>
      <c r="GG478">
        <v>27.923809921854733</v>
      </c>
      <c r="GH478">
        <v>22.827236710715301</v>
      </c>
      <c r="GI478">
        <v>32.766356595488368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4.0913699544533273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197.45153564087306</v>
      </c>
      <c r="AO479">
        <v>60.654377667999007</v>
      </c>
      <c r="AP479">
        <v>493.15408946632255</v>
      </c>
      <c r="AQ479">
        <v>388.74725877421662</v>
      </c>
      <c r="AR479">
        <v>58.331152569382823</v>
      </c>
      <c r="AS479">
        <v>279.46092657027293</v>
      </c>
      <c r="AT479">
        <v>29.260805629756135</v>
      </c>
      <c r="AU479">
        <v>-2.5686317950335749</v>
      </c>
      <c r="AV479"/>
      <c r="AW479"/>
      <c r="FY479" s="211">
        <v>474</v>
      </c>
      <c r="FZ479">
        <v>43.3309247887019</v>
      </c>
      <c r="GA479">
        <v>39.012289241387485</v>
      </c>
      <c r="GB479">
        <v>33.694955008191144</v>
      </c>
      <c r="GC479">
        <v>23.171605224319723</v>
      </c>
      <c r="GD479">
        <v>14.964889738190095</v>
      </c>
      <c r="GE479">
        <v>24.214286225685729</v>
      </c>
      <c r="GF479">
        <v>42.950785991377685</v>
      </c>
      <c r="GG479">
        <v>21.566602606966132</v>
      </c>
      <c r="GH479">
        <v>14.647440975365036</v>
      </c>
      <c r="GI479">
        <v>35.338714104176283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4.6061361563912833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180.09738057815608</v>
      </c>
      <c r="AO480">
        <v>73.019003842857586</v>
      </c>
      <c r="AP480">
        <v>606.33050900269018</v>
      </c>
      <c r="AQ480">
        <v>495.45552860103601</v>
      </c>
      <c r="AR480">
        <v>71.024389175914237</v>
      </c>
      <c r="AS480">
        <v>322.60135482812399</v>
      </c>
      <c r="AT480">
        <v>38.428227966458536</v>
      </c>
      <c r="AU480">
        <v>1.0639258295926268</v>
      </c>
      <c r="AV480"/>
      <c r="AW480"/>
      <c r="FY480" s="211">
        <v>475</v>
      </c>
      <c r="FZ480">
        <v>78.361010295899632</v>
      </c>
      <c r="GA480">
        <v>93.973338432327168</v>
      </c>
      <c r="GB480">
        <v>35.225632597302948</v>
      </c>
      <c r="GC480">
        <v>18.963285081796876</v>
      </c>
      <c r="GD480">
        <v>14.922181440997138</v>
      </c>
      <c r="GE480">
        <v>28.896329287418435</v>
      </c>
      <c r="GF480">
        <v>31.264408265790841</v>
      </c>
      <c r="GG480">
        <v>16.809058837678705</v>
      </c>
      <c r="GH480">
        <v>24.514954240998588</v>
      </c>
      <c r="GI480">
        <v>40.209213319163496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5.1856689879930276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203.44442614211019</v>
      </c>
      <c r="AO481">
        <v>65.881542484793783</v>
      </c>
      <c r="AP481">
        <v>533.74893178977345</v>
      </c>
      <c r="AQ481">
        <v>426.03269574495141</v>
      </c>
      <c r="AR481">
        <v>65.32276398130962</v>
      </c>
      <c r="AS481">
        <v>311.35363873880215</v>
      </c>
      <c r="AT481">
        <v>32.090632889422437</v>
      </c>
      <c r="AU481">
        <v>-10.231789321395112</v>
      </c>
      <c r="AV481"/>
      <c r="AW481"/>
      <c r="FY481" s="211">
        <v>476</v>
      </c>
      <c r="FZ481">
        <v>118.7216734207578</v>
      </c>
      <c r="GA481">
        <v>145.19094843623736</v>
      </c>
      <c r="GB481">
        <v>43.927181142419222</v>
      </c>
      <c r="GC481">
        <v>20.233607712596442</v>
      </c>
      <c r="GD481">
        <v>13.964553985203082</v>
      </c>
      <c r="GE481">
        <v>25.509927478445089</v>
      </c>
      <c r="GF481">
        <v>41.248811383764803</v>
      </c>
      <c r="GG481">
        <v>32.062654813895755</v>
      </c>
      <c r="GH481">
        <v>18.733172257080323</v>
      </c>
      <c r="GI481">
        <v>48.789478969322168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5.7829678798895152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256.67522311929378</v>
      </c>
      <c r="AO482">
        <v>84.369873869320074</v>
      </c>
      <c r="AP482">
        <v>724.4906624010606</v>
      </c>
      <c r="AQ482">
        <v>564.82081945031939</v>
      </c>
      <c r="AR482">
        <v>79.880933107517421</v>
      </c>
      <c r="AS482">
        <v>376.17455752839527</v>
      </c>
      <c r="AT482">
        <v>39.2794942911882</v>
      </c>
      <c r="AU482">
        <v>22.887322744163555</v>
      </c>
      <c r="AV482"/>
      <c r="AW482"/>
      <c r="FY482" s="211">
        <v>477</v>
      </c>
      <c r="FZ482">
        <v>183.93553467711592</v>
      </c>
      <c r="GA482">
        <v>227.10642669653464</v>
      </c>
      <c r="GB482">
        <v>61.927956683926944</v>
      </c>
      <c r="GC482">
        <v>33.97489434347591</v>
      </c>
      <c r="GD482">
        <v>14.180190166489503</v>
      </c>
      <c r="GE482">
        <v>26.044395643486773</v>
      </c>
      <c r="GF482">
        <v>46.97606450140232</v>
      </c>
      <c r="GG482">
        <v>33.063545135717241</v>
      </c>
      <c r="GH482">
        <v>20.060918074281712</v>
      </c>
      <c r="GI482">
        <v>64.326797871848299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6.4490652174806335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206.22378746608348</v>
      </c>
      <c r="AO483">
        <v>53.532553366448802</v>
      </c>
      <c r="AP483">
        <v>375.46139829679635</v>
      </c>
      <c r="AQ483">
        <v>301.01857831708435</v>
      </c>
      <c r="AR483">
        <v>52.790223515462358</v>
      </c>
      <c r="AS483">
        <v>254.00943909882608</v>
      </c>
      <c r="AT483">
        <v>24.155415186819791</v>
      </c>
      <c r="AU483">
        <v>9.4130692000797538</v>
      </c>
      <c r="AV483"/>
      <c r="AW483"/>
      <c r="FY483" s="211">
        <v>478</v>
      </c>
      <c r="FZ483">
        <v>89.324168313926776</v>
      </c>
      <c r="GA483">
        <v>103.2094726087616</v>
      </c>
      <c r="GB483">
        <v>46.848872237488592</v>
      </c>
      <c r="GC483">
        <v>28.611235933877943</v>
      </c>
      <c r="GD483">
        <v>13.19629091232907</v>
      </c>
      <c r="GE483">
        <v>17.207561269913167</v>
      </c>
      <c r="GF483">
        <v>52.93651694333056</v>
      </c>
      <c r="GG483">
        <v>41.39679384017397</v>
      </c>
      <c r="GH483">
        <v>33.387245103148061</v>
      </c>
      <c r="GI483">
        <v>49.347054762273906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7.1339869014098847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209.5873911419088</v>
      </c>
      <c r="AO484">
        <v>65.72656358203578</v>
      </c>
      <c r="AP484">
        <v>566.74675196260273</v>
      </c>
      <c r="AQ484">
        <v>440.90628674431269</v>
      </c>
      <c r="AR484">
        <v>64.410719396564119</v>
      </c>
      <c r="AS484">
        <v>309.12548408916342</v>
      </c>
      <c r="AT484">
        <v>31.58006917737362</v>
      </c>
      <c r="AU484">
        <v>-16.885633727228019</v>
      </c>
      <c r="AV484"/>
      <c r="AW484"/>
      <c r="FY484" s="211">
        <v>479</v>
      </c>
      <c r="FZ484">
        <v>36.181053103448065</v>
      </c>
      <c r="GA484">
        <v>47.714275995797074</v>
      </c>
      <c r="GB484">
        <v>30.282227126379933</v>
      </c>
      <c r="GC484">
        <v>14.613656956920092</v>
      </c>
      <c r="GD484">
        <v>17.619295960237</v>
      </c>
      <c r="GE484">
        <v>33.499883398571534</v>
      </c>
      <c r="GF484">
        <v>50.212504736667192</v>
      </c>
      <c r="GG484">
        <v>35.39032556512214</v>
      </c>
      <c r="GH484">
        <v>22.702969925090756</v>
      </c>
      <c r="GI484">
        <v>38.07731562016474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7.8916505560428751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176.91709091660897</v>
      </c>
      <c r="AO485">
        <v>58.345979246321704</v>
      </c>
      <c r="AP485">
        <v>451.38681309230299</v>
      </c>
      <c r="AQ485">
        <v>365.7706729121972</v>
      </c>
      <c r="AR485">
        <v>56.887100500351799</v>
      </c>
      <c r="AS485">
        <v>285.82838193430007</v>
      </c>
      <c r="AT485">
        <v>29.251523319668816</v>
      </c>
      <c r="AU485">
        <v>-16.4554580825748</v>
      </c>
      <c r="AV485"/>
      <c r="AW485"/>
      <c r="FY485" s="211">
        <v>480</v>
      </c>
      <c r="FZ485">
        <v>156.01909867308294</v>
      </c>
      <c r="GA485">
        <v>185.27022304877158</v>
      </c>
      <c r="GB485">
        <v>41.442198916169168</v>
      </c>
      <c r="GC485">
        <v>21.658989197355005</v>
      </c>
      <c r="GD485">
        <v>17.318030747855726</v>
      </c>
      <c r="GE485">
        <v>29.555342956093206</v>
      </c>
      <c r="GF485">
        <v>42.511198380244117</v>
      </c>
      <c r="GG485">
        <v>31.506238486269069</v>
      </c>
      <c r="GH485">
        <v>17.627980374989143</v>
      </c>
      <c r="GI485">
        <v>55.944702065940092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8.6691747341921825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202.64158497367782</v>
      </c>
      <c r="AO486">
        <v>68.349832794205199</v>
      </c>
      <c r="AP486">
        <v>517.77093097885097</v>
      </c>
      <c r="AQ486">
        <v>422.4467960755681</v>
      </c>
      <c r="AR486">
        <v>67.178078016273261</v>
      </c>
      <c r="AS486">
        <v>319.27516167955753</v>
      </c>
      <c r="AT486">
        <v>34.111381165418059</v>
      </c>
      <c r="AU486">
        <v>-39.872381986526655</v>
      </c>
      <c r="AV486"/>
      <c r="AW486"/>
      <c r="FY486" s="211">
        <v>481</v>
      </c>
      <c r="FZ486">
        <v>78.040019709311153</v>
      </c>
      <c r="GA486">
        <v>82.03380019035005</v>
      </c>
      <c r="GB486">
        <v>63.762191149205158</v>
      </c>
      <c r="GC486">
        <v>36.608011194881684</v>
      </c>
      <c r="GD486">
        <v>17.820112065316064</v>
      </c>
      <c r="GE486">
        <v>33.473457604115929</v>
      </c>
      <c r="GF486">
        <v>33.032340739332184</v>
      </c>
      <c r="GG486">
        <v>23.836637352563546</v>
      </c>
      <c r="GH486">
        <v>29.9586049033351</v>
      </c>
      <c r="GI486">
        <v>50.409767865513828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9.5233044137272334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201.2599310613237</v>
      </c>
      <c r="AO487">
        <v>62.855100904991637</v>
      </c>
      <c r="AP487">
        <v>539.68916142221019</v>
      </c>
      <c r="AQ487">
        <v>411.8626071777777</v>
      </c>
      <c r="AR487">
        <v>61.433641354714311</v>
      </c>
      <c r="AS487">
        <v>309.090137425389</v>
      </c>
      <c r="AT487">
        <v>30.415887075946827</v>
      </c>
      <c r="AU487">
        <v>-34.592520685036433</v>
      </c>
      <c r="AV487"/>
      <c r="AW487"/>
      <c r="FY487" s="211">
        <v>482</v>
      </c>
      <c r="FZ487">
        <v>69.039325551155969</v>
      </c>
      <c r="GA487">
        <v>77.342305896325357</v>
      </c>
      <c r="GB487">
        <v>53.239244064846602</v>
      </c>
      <c r="GC487">
        <v>29.196563610293474</v>
      </c>
      <c r="GD487">
        <v>9.1330444056652222</v>
      </c>
      <c r="GE487">
        <v>20.151253403856916</v>
      </c>
      <c r="GF487">
        <v>34.447768638559872</v>
      </c>
      <c r="GG487">
        <v>24.272723514389376</v>
      </c>
      <c r="GH487">
        <v>28.639174713241054</v>
      </c>
      <c r="GI487">
        <v>40.976641370302829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10.398310662435648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149.45924754144488</v>
      </c>
      <c r="AO488">
        <v>55.602968881561665</v>
      </c>
      <c r="AP488">
        <v>433.95459033141594</v>
      </c>
      <c r="AQ488">
        <v>355.82720922741203</v>
      </c>
      <c r="AR488">
        <v>53.841226548207487</v>
      </c>
      <c r="AS488">
        <v>239.89305395101579</v>
      </c>
      <c r="AT488">
        <v>27.617464780020978</v>
      </c>
      <c r="AU488">
        <v>16.786454226446256</v>
      </c>
      <c r="AV488"/>
      <c r="AW488"/>
      <c r="FY488" s="211">
        <v>483</v>
      </c>
      <c r="FZ488">
        <v>46.860609315174585</v>
      </c>
      <c r="GA488">
        <v>52.385192388254538</v>
      </c>
      <c r="GB488">
        <v>45.347467995460924</v>
      </c>
      <c r="GC488">
        <v>22.377084827641621</v>
      </c>
      <c r="GD488">
        <v>14.577235556505544</v>
      </c>
      <c r="GE488">
        <v>21.373208627252232</v>
      </c>
      <c r="GF488">
        <v>22.684932153538892</v>
      </c>
      <c r="GG488">
        <v>17.044734869465813</v>
      </c>
      <c r="GH488">
        <v>24.159074083613579</v>
      </c>
      <c r="GI488">
        <v>35.984414804886889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11.353712948277471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205.87053233855585</v>
      </c>
      <c r="AO489">
        <v>47.210970474316525</v>
      </c>
      <c r="AP489">
        <v>341.41654599195147</v>
      </c>
      <c r="AQ489">
        <v>267.89574700469331</v>
      </c>
      <c r="AR489">
        <v>47.011019583811333</v>
      </c>
      <c r="AS489">
        <v>239.20332842704846</v>
      </c>
      <c r="AT489">
        <v>21.180961496991944</v>
      </c>
      <c r="AU489">
        <v>22.682414048457304</v>
      </c>
      <c r="AV489"/>
      <c r="AW489"/>
      <c r="FY489" s="211">
        <v>484</v>
      </c>
      <c r="FZ489">
        <v>71.607875873692791</v>
      </c>
      <c r="GA489">
        <v>88.706749202700522</v>
      </c>
      <c r="GB489">
        <v>34.113508367044687</v>
      </c>
      <c r="GC489">
        <v>22.275303465229044</v>
      </c>
      <c r="GD489">
        <v>15.255800281204868</v>
      </c>
      <c r="GE489">
        <v>24.029696346002332</v>
      </c>
      <c r="GF489">
        <v>58.455517512002267</v>
      </c>
      <c r="GG489">
        <v>46.106138288043617</v>
      </c>
      <c r="GH489">
        <v>21.725052941645451</v>
      </c>
      <c r="GI489">
        <v>44.120275637995832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12.330989401063917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186.80914197614396</v>
      </c>
      <c r="AO490">
        <v>50.439367622496277</v>
      </c>
      <c r="AP490">
        <v>364.80950800200503</v>
      </c>
      <c r="AQ490">
        <v>292.89249390436123</v>
      </c>
      <c r="AR490">
        <v>50.1528419087564</v>
      </c>
      <c r="AS490">
        <v>253.02329259947265</v>
      </c>
      <c r="AT490">
        <v>23.518600773901323</v>
      </c>
      <c r="AU490">
        <v>3.0155846898576257</v>
      </c>
      <c r="AV490"/>
      <c r="AW490"/>
      <c r="FY490" s="211">
        <v>485</v>
      </c>
      <c r="FZ490">
        <v>39.349362676474243</v>
      </c>
      <c r="GA490">
        <v>50.83555219645271</v>
      </c>
      <c r="GB490">
        <v>41.578830419383429</v>
      </c>
      <c r="GC490">
        <v>18.955166846504259</v>
      </c>
      <c r="GD490">
        <v>13.517369702982846</v>
      </c>
      <c r="GE490">
        <v>25.950187741885745</v>
      </c>
      <c r="GF490">
        <v>30.752183691139827</v>
      </c>
      <c r="GG490">
        <v>19.503054169358219</v>
      </c>
      <c r="GH490">
        <v>19.930047103604132</v>
      </c>
      <c r="GI490">
        <v>34.276322011777857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13.392385407473196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158.72846956701446</v>
      </c>
      <c r="AO491">
        <v>58.900276961136925</v>
      </c>
      <c r="AP491">
        <v>474.63229633674177</v>
      </c>
      <c r="AQ491">
        <v>383.13941179937382</v>
      </c>
      <c r="AR491">
        <v>57.590858455514763</v>
      </c>
      <c r="AS491">
        <v>284.91033420691889</v>
      </c>
      <c r="AT491">
        <v>30.221262276288471</v>
      </c>
      <c r="AU491">
        <v>9.7205116449973872</v>
      </c>
      <c r="AV491"/>
      <c r="AW491"/>
      <c r="FY491" s="211">
        <v>486</v>
      </c>
      <c r="FZ491">
        <v>81.485380026522307</v>
      </c>
      <c r="GA491">
        <v>93.001720001112091</v>
      </c>
      <c r="GB491">
        <v>55.96901450931243</v>
      </c>
      <c r="GC491">
        <v>34.850167778724547</v>
      </c>
      <c r="GD491">
        <v>16.244400293811374</v>
      </c>
      <c r="GE491">
        <v>29.540935982862109</v>
      </c>
      <c r="GF491">
        <v>84.536277549572262</v>
      </c>
      <c r="GG491">
        <v>65.317009287025186</v>
      </c>
      <c r="GH491">
        <v>31.259276072462598</v>
      </c>
      <c r="GI491">
        <v>58.630184379624275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14.476636179382895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199.69015933077017</v>
      </c>
      <c r="AO492">
        <v>73.107352480372199</v>
      </c>
      <c r="AP492">
        <v>638.93623660698654</v>
      </c>
      <c r="AQ492">
        <v>508.38200959972193</v>
      </c>
      <c r="AR492">
        <v>70.788967853542673</v>
      </c>
      <c r="AS492">
        <v>322.52049840335104</v>
      </c>
      <c r="AT492">
        <v>37.534304392518621</v>
      </c>
      <c r="AU492">
        <v>11.448846616892283</v>
      </c>
      <c r="AV492"/>
      <c r="AW492"/>
      <c r="FY492" s="211">
        <v>487</v>
      </c>
      <c r="FZ492">
        <v>71.965668616700881</v>
      </c>
      <c r="GA492">
        <v>81.533186023205815</v>
      </c>
      <c r="GB492">
        <v>35.777256829850089</v>
      </c>
      <c r="GC492">
        <v>24.149207047790227</v>
      </c>
      <c r="GD492">
        <v>14.19873741200689</v>
      </c>
      <c r="GE492">
        <v>19.312983144937256</v>
      </c>
      <c r="GF492">
        <v>87.822926219061628</v>
      </c>
      <c r="GG492">
        <v>70.811255345920415</v>
      </c>
      <c r="GH492">
        <v>16.007387204501725</v>
      </c>
      <c r="GI492">
        <v>48.682380571814441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15.648668156852196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235.8334513430265</v>
      </c>
      <c r="AO493">
        <v>99.332808958982483</v>
      </c>
      <c r="AP493">
        <v>894.19339997628254</v>
      </c>
      <c r="AQ493">
        <v>711.59672379427923</v>
      </c>
      <c r="AR493">
        <v>93.355440188571336</v>
      </c>
      <c r="AS493">
        <v>431.58060496740381</v>
      </c>
      <c r="AT493">
        <v>51.650588565811439</v>
      </c>
      <c r="AU493">
        <v>-31.972709512600929</v>
      </c>
      <c r="AV493"/>
      <c r="AW493"/>
      <c r="FY493" s="211">
        <v>488</v>
      </c>
      <c r="FZ493">
        <v>78.17107722407053</v>
      </c>
      <c r="GA493">
        <v>98.33242507676222</v>
      </c>
      <c r="GB493">
        <v>45.914756569484574</v>
      </c>
      <c r="GC493">
        <v>24.413357319064524</v>
      </c>
      <c r="GD493">
        <v>13.007280956473783</v>
      </c>
      <c r="GE493">
        <v>18.267905818927147</v>
      </c>
      <c r="GF493">
        <v>35.924636495182448</v>
      </c>
      <c r="GG493">
        <v>28.385361188754089</v>
      </c>
      <c r="GH493">
        <v>22.973801712378147</v>
      </c>
      <c r="GI493">
        <v>42.423121194219526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16.84451975720669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218.07058206715965</v>
      </c>
      <c r="AO494">
        <v>72.159597272539713</v>
      </c>
      <c r="AP494">
        <v>610.43534655173073</v>
      </c>
      <c r="AQ494">
        <v>475.46521192522368</v>
      </c>
      <c r="AR494">
        <v>71.113660751313802</v>
      </c>
      <c r="AS494">
        <v>336.67247422631709</v>
      </c>
      <c r="AT494">
        <v>36.064533747740271</v>
      </c>
      <c r="AU494">
        <v>10.513355683727589</v>
      </c>
      <c r="AV494"/>
      <c r="AW494"/>
      <c r="FY494" s="211">
        <v>489</v>
      </c>
      <c r="FZ494">
        <v>33.578493022131418</v>
      </c>
      <c r="GA494">
        <v>40.797107513848999</v>
      </c>
      <c r="GB494">
        <v>50.835997181208498</v>
      </c>
      <c r="GC494">
        <v>27.449075843405023</v>
      </c>
      <c r="GD494">
        <v>12.958370158291881</v>
      </c>
      <c r="GE494">
        <v>24.440297895750401</v>
      </c>
      <c r="GF494">
        <v>50.586248808826561</v>
      </c>
      <c r="GG494">
        <v>34.337785710680137</v>
      </c>
      <c r="GH494">
        <v>23.420335858604716</v>
      </c>
      <c r="GI494">
        <v>40.137898597467291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18.131756837509794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200.19320522548702</v>
      </c>
      <c r="AO495">
        <v>55.114313467792826</v>
      </c>
      <c r="AP495">
        <v>410.56446119148717</v>
      </c>
      <c r="AQ495">
        <v>326.29350838839855</v>
      </c>
      <c r="AR495">
        <v>54.5251569264137</v>
      </c>
      <c r="AS495">
        <v>273.2722123358127</v>
      </c>
      <c r="AT495">
        <v>25.544567197928284</v>
      </c>
      <c r="AU495">
        <v>0.74146217255739799</v>
      </c>
      <c r="AV495"/>
      <c r="AW495"/>
      <c r="FY495" s="211">
        <v>490</v>
      </c>
      <c r="FZ495">
        <v>39.419224576573242</v>
      </c>
      <c r="GA495">
        <v>56.724438424663418</v>
      </c>
      <c r="GB495">
        <v>61.530706443021224</v>
      </c>
      <c r="GC495">
        <v>31.254578135737159</v>
      </c>
      <c r="GD495">
        <v>17.91489879056255</v>
      </c>
      <c r="GE495">
        <v>28.548288443120317</v>
      </c>
      <c r="GF495">
        <v>21.562063211147215</v>
      </c>
      <c r="GG495">
        <v>15.50173877496748</v>
      </c>
      <c r="GH495">
        <v>30.582956783658268</v>
      </c>
      <c r="GI495">
        <v>42.16155606659575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19.44376375837286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223.66382204635889</v>
      </c>
      <c r="AO496">
        <v>84.412181380561464</v>
      </c>
      <c r="AP496">
        <v>739.50898594905721</v>
      </c>
      <c r="AQ496">
        <v>598.85400284677019</v>
      </c>
      <c r="AR496">
        <v>81.377615278388873</v>
      </c>
      <c r="AS496">
        <v>371.74878416974104</v>
      </c>
      <c r="AT496">
        <v>43.913060572741706</v>
      </c>
      <c r="AU496">
        <v>-39.0918485654785</v>
      </c>
      <c r="AV496"/>
      <c r="AW496"/>
      <c r="FY496" s="211">
        <v>491</v>
      </c>
      <c r="FZ496">
        <v>162.37441503620045</v>
      </c>
      <c r="GA496">
        <v>193.76867600449799</v>
      </c>
      <c r="GB496">
        <v>51.396792115229033</v>
      </c>
      <c r="GC496">
        <v>26.669330716548195</v>
      </c>
      <c r="GD496">
        <v>14.021419529083886</v>
      </c>
      <c r="GE496">
        <v>23.909553029225687</v>
      </c>
      <c r="GF496">
        <v>35.285778580736277</v>
      </c>
      <c r="GG496">
        <v>27.562740206018848</v>
      </c>
      <c r="GH496">
        <v>30.147536442734893</v>
      </c>
      <c r="GI496">
        <v>57.648776224170483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20.850706993230137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237.28688035233986</v>
      </c>
      <c r="AO497">
        <v>74.691168775928475</v>
      </c>
      <c r="AP497">
        <v>563.98570570418224</v>
      </c>
      <c r="AQ497">
        <v>448.97494277392468</v>
      </c>
      <c r="AR497">
        <v>72.443741200762133</v>
      </c>
      <c r="AS497">
        <v>378.49022077471659</v>
      </c>
      <c r="AT497">
        <v>36.11689505883443</v>
      </c>
      <c r="AU497">
        <v>-29.396414760624339</v>
      </c>
      <c r="AV497"/>
      <c r="AW497"/>
      <c r="FY497" s="211">
        <v>492</v>
      </c>
      <c r="FZ497">
        <v>105.08114152997042</v>
      </c>
      <c r="GA497">
        <v>136.75660162441358</v>
      </c>
      <c r="GB497">
        <v>38.503557590070969</v>
      </c>
      <c r="GC497">
        <v>26.043030161634455</v>
      </c>
      <c r="GD497">
        <v>17.765872665628436</v>
      </c>
      <c r="GE497">
        <v>21.27450394154021</v>
      </c>
      <c r="GF497">
        <v>26.970987676786283</v>
      </c>
      <c r="GG497">
        <v>28.678524109141289</v>
      </c>
      <c r="GH497">
        <v>28.903223516442928</v>
      </c>
      <c r="GI497">
        <v>46.678832948716661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22.283356618026328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175.13205389120373</v>
      </c>
      <c r="AO498">
        <v>60.748345637259796</v>
      </c>
      <c r="AP498">
        <v>500.18362408577678</v>
      </c>
      <c r="AQ498">
        <v>386.43804516863673</v>
      </c>
      <c r="AR498">
        <v>58.815373419056144</v>
      </c>
      <c r="AS498">
        <v>266.18814041909923</v>
      </c>
      <c r="AT498">
        <v>30.801453384493431</v>
      </c>
      <c r="AU498">
        <v>16.563269875673889</v>
      </c>
      <c r="AV498"/>
      <c r="AW498"/>
      <c r="FY498" s="211">
        <v>493</v>
      </c>
      <c r="FZ498">
        <v>136.91155689176878</v>
      </c>
      <c r="GA498">
        <v>149.20563570033849</v>
      </c>
      <c r="GB498">
        <v>59.668752458825175</v>
      </c>
      <c r="GC498">
        <v>31.08802633809945</v>
      </c>
      <c r="GD498">
        <v>16.692973292453193</v>
      </c>
      <c r="GE498">
        <v>28.356301942038577</v>
      </c>
      <c r="GF498">
        <v>29.538448889517433</v>
      </c>
      <c r="GG498">
        <v>16.239763757334138</v>
      </c>
      <c r="GH498">
        <v>21.568237023609264</v>
      </c>
      <c r="GI498">
        <v>55.076312934211259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23.814443430016944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201.21166557770752</v>
      </c>
      <c r="AO499">
        <v>50.292847886118871</v>
      </c>
      <c r="AP499">
        <v>379.30904141025604</v>
      </c>
      <c r="AQ499">
        <v>302.79395462179463</v>
      </c>
      <c r="AR499">
        <v>51.521025273169002</v>
      </c>
      <c r="AS499">
        <v>257.75120289668746</v>
      </c>
      <c r="AT499">
        <v>24.796340735586444</v>
      </c>
      <c r="AU499">
        <v>17.222318235730206</v>
      </c>
      <c r="AV499"/>
      <c r="AW499"/>
      <c r="FY499" s="211">
        <v>494</v>
      </c>
      <c r="FZ499">
        <v>29.10199405466825</v>
      </c>
      <c r="GA499">
        <v>40.259604395627285</v>
      </c>
      <c r="GB499">
        <v>49.935048340324876</v>
      </c>
      <c r="GC499">
        <v>27.415930248938643</v>
      </c>
      <c r="GD499">
        <v>20.810262888121137</v>
      </c>
      <c r="GE499">
        <v>33.839928879644205</v>
      </c>
      <c r="GF499">
        <v>49.638316372690888</v>
      </c>
      <c r="GG499">
        <v>40.99043213683192</v>
      </c>
      <c r="GH499">
        <v>30.270035799603992</v>
      </c>
      <c r="GI499">
        <v>45.248363377716544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25.372160375364636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196.06682963118561</v>
      </c>
      <c r="AO500">
        <v>66.353144506315232</v>
      </c>
      <c r="AP500">
        <v>539.14424092348531</v>
      </c>
      <c r="AQ500">
        <v>426.39591791556143</v>
      </c>
      <c r="AR500">
        <v>63.527455458181421</v>
      </c>
      <c r="AS500">
        <v>296.57114455758398</v>
      </c>
      <c r="AT500">
        <v>31.790707928965691</v>
      </c>
      <c r="AU500">
        <v>-12.973884066342457</v>
      </c>
      <c r="AV500"/>
      <c r="AW500"/>
      <c r="FY500" s="211">
        <v>495</v>
      </c>
      <c r="FZ500">
        <v>121.04672538433775</v>
      </c>
      <c r="GA500">
        <v>131.27728547031808</v>
      </c>
      <c r="GB500">
        <v>48.173573193948705</v>
      </c>
      <c r="GC500">
        <v>24.76628327606381</v>
      </c>
      <c r="GD500">
        <v>11.044765272605225</v>
      </c>
      <c r="GE500">
        <v>24.057851882478204</v>
      </c>
      <c r="GF500">
        <v>57.891967294512689</v>
      </c>
      <c r="GG500">
        <v>47.225151372939429</v>
      </c>
      <c r="GH500">
        <v>27.660954516250623</v>
      </c>
      <c r="GI500">
        <v>53.032394144087334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27.031768514976598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157.39381168315853</v>
      </c>
      <c r="AO501">
        <v>49.417454704686122</v>
      </c>
      <c r="AP501">
        <v>374.26214526589052</v>
      </c>
      <c r="AQ501">
        <v>294.64807655956326</v>
      </c>
      <c r="AR501">
        <v>49.025847590569036</v>
      </c>
      <c r="AS501">
        <v>236.37879623619159</v>
      </c>
      <c r="AT501">
        <v>23.859354274311517</v>
      </c>
      <c r="AU501">
        <v>17.162887503090364</v>
      </c>
      <c r="AV501"/>
      <c r="AW501"/>
      <c r="FY501" s="211">
        <v>496</v>
      </c>
      <c r="FZ501">
        <v>77.365519157883284</v>
      </c>
      <c r="GA501">
        <v>98.043515246418593</v>
      </c>
      <c r="GB501">
        <v>44.18878023413717</v>
      </c>
      <c r="GC501">
        <v>26.062366185474367</v>
      </c>
      <c r="GD501">
        <v>15.39003013329282</v>
      </c>
      <c r="GE501">
        <v>34.469638766805879</v>
      </c>
      <c r="GF501">
        <v>56.818891974216697</v>
      </c>
      <c r="GG501">
        <v>36.223924643463342</v>
      </c>
      <c r="GH501">
        <v>27.175436558356957</v>
      </c>
      <c r="GI501">
        <v>47.988958441346028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28.718918495429023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281.76356294502654</v>
      </c>
      <c r="AO502">
        <v>88.252229749334532</v>
      </c>
      <c r="AP502">
        <v>720.07919237433907</v>
      </c>
      <c r="AQ502">
        <v>550.83436588102927</v>
      </c>
      <c r="AR502">
        <v>84.36526237628793</v>
      </c>
      <c r="AS502">
        <v>402.93461297896033</v>
      </c>
      <c r="AT502">
        <v>40.897756166929014</v>
      </c>
      <c r="AU502">
        <v>71.312431390837702</v>
      </c>
      <c r="AV502"/>
      <c r="AW502"/>
      <c r="FY502" s="211">
        <v>497</v>
      </c>
      <c r="FZ502">
        <v>30.60555717115016</v>
      </c>
      <c r="GA502">
        <v>36.452773852853163</v>
      </c>
      <c r="GB502">
        <v>37.182035159634708</v>
      </c>
      <c r="GC502">
        <v>24.606992031182013</v>
      </c>
      <c r="GD502">
        <v>16.26952903613261</v>
      </c>
      <c r="GE502">
        <v>25.518755002882379</v>
      </c>
      <c r="GF502">
        <v>41.006864556097732</v>
      </c>
      <c r="GG502">
        <v>32.313215801762375</v>
      </c>
      <c r="GH502">
        <v>21.108214836639604</v>
      </c>
      <c r="GI502">
        <v>35.913322111857077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30.511369579468642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237.53259162206837</v>
      </c>
      <c r="AO503">
        <v>72.879780751077504</v>
      </c>
      <c r="AP503">
        <v>609.44622921910309</v>
      </c>
      <c r="AQ503">
        <v>470.26098841578943</v>
      </c>
      <c r="AR503">
        <v>70.222025532219277</v>
      </c>
      <c r="AS503">
        <v>351.53417112664738</v>
      </c>
      <c r="AT503">
        <v>33.978200661406504</v>
      </c>
      <c r="AU503">
        <v>33.349703402885069</v>
      </c>
      <c r="AV503"/>
      <c r="AW503"/>
      <c r="FY503" s="211">
        <v>498</v>
      </c>
      <c r="FZ503">
        <v>22.53654472061751</v>
      </c>
      <c r="GA503">
        <v>35.161756021936533</v>
      </c>
      <c r="GB503">
        <v>42.604498601791846</v>
      </c>
      <c r="GC503">
        <v>25.481307985504525</v>
      </c>
      <c r="GD503">
        <v>16.584287167167826</v>
      </c>
      <c r="GE503">
        <v>24.619184983694122</v>
      </c>
      <c r="GF503">
        <v>34.409472824010258</v>
      </c>
      <c r="GG503">
        <v>27.201268057548916</v>
      </c>
      <c r="GH503">
        <v>18.005393349391884</v>
      </c>
      <c r="GI503">
        <v>34.61333805807638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32.332262867175807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175.43357418827114</v>
      </c>
      <c r="AO504">
        <v>62.704190577855357</v>
      </c>
      <c r="AP504">
        <v>523.49890042537811</v>
      </c>
      <c r="AQ504">
        <v>407.81372355531693</v>
      </c>
      <c r="AR504">
        <v>61.365297152876188</v>
      </c>
      <c r="AS504">
        <v>292.00904982706049</v>
      </c>
      <c r="AT504">
        <v>30.970170574459029</v>
      </c>
      <c r="AU504">
        <v>33.918840744653366</v>
      </c>
      <c r="AV504"/>
      <c r="AW504"/>
      <c r="FY504" s="211">
        <v>499</v>
      </c>
      <c r="FZ504">
        <v>70.012829672557018</v>
      </c>
      <c r="GA504">
        <v>92.742457210759326</v>
      </c>
      <c r="GB504">
        <v>62.579338202330121</v>
      </c>
      <c r="GC504">
        <v>31.497545611338769</v>
      </c>
      <c r="GD504">
        <v>11.668244499887658</v>
      </c>
      <c r="GE504">
        <v>20.59640801256754</v>
      </c>
      <c r="GF504">
        <v>44.565298152070937</v>
      </c>
      <c r="GG504">
        <v>30.558244161179335</v>
      </c>
      <c r="GH504">
        <v>23.366839307124426</v>
      </c>
      <c r="GI504">
        <v>46.376540200021985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34.261825559466111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195.57396332090013</v>
      </c>
      <c r="AO505">
        <v>58.688418541588177</v>
      </c>
      <c r="AP505">
        <v>447.24021773424386</v>
      </c>
      <c r="AQ505">
        <v>338.54161059021493</v>
      </c>
      <c r="AR505">
        <v>57.552476147340137</v>
      </c>
      <c r="AS505">
        <v>276.02952992937787</v>
      </c>
      <c r="AT505">
        <v>27.201730816229784</v>
      </c>
      <c r="AU505">
        <v>15.081399456951416</v>
      </c>
      <c r="AV505"/>
      <c r="AW505"/>
      <c r="FY505" s="211">
        <v>500</v>
      </c>
      <c r="FZ505">
        <v>80.477246320617667</v>
      </c>
      <c r="GA505">
        <v>91.20932647832386</v>
      </c>
      <c r="GB505">
        <v>44.594072426548934</v>
      </c>
      <c r="GC505">
        <v>27.26369430381337</v>
      </c>
      <c r="GD505">
        <v>16.965206817123725</v>
      </c>
      <c r="GE505">
        <v>22.93042347080074</v>
      </c>
      <c r="GF505">
        <v>43.967860170321103</v>
      </c>
      <c r="GG505">
        <v>39.10540605138852</v>
      </c>
      <c r="GH505">
        <v>21.401340526951941</v>
      </c>
      <c r="GI505">
        <v>46.143995231989969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36.220720097202253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189.96123607942098</v>
      </c>
      <c r="AO506">
        <v>60.864433803109627</v>
      </c>
      <c r="AP506">
        <v>438.5036980874666</v>
      </c>
      <c r="AQ506">
        <v>345.20044965004661</v>
      </c>
      <c r="AR506">
        <v>60.572755511074327</v>
      </c>
      <c r="AS506">
        <v>302.13870627803044</v>
      </c>
      <c r="AT506">
        <v>28.688094082796152</v>
      </c>
      <c r="AU506">
        <v>-7.0888392478244597</v>
      </c>
      <c r="AV506"/>
      <c r="AW506"/>
      <c r="FY506" s="211">
        <v>501</v>
      </c>
      <c r="FZ506">
        <v>28.431781302106014</v>
      </c>
      <c r="GA506">
        <v>44.221203221597101</v>
      </c>
      <c r="GB506">
        <v>44.69896082839</v>
      </c>
      <c r="GC506">
        <v>29.414269643333732</v>
      </c>
      <c r="GD506">
        <v>17.642503474261201</v>
      </c>
      <c r="GE506">
        <v>23.841667341891974</v>
      </c>
      <c r="GF506">
        <v>33.929881656903099</v>
      </c>
      <c r="GG506">
        <v>20.072128353930296</v>
      </c>
      <c r="GH506">
        <v>18.097270832952617</v>
      </c>
      <c r="GI506">
        <v>36.28930591308454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38.291612981416243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219.61677780646528</v>
      </c>
      <c r="AO507">
        <v>86.264795878402509</v>
      </c>
      <c r="AP507">
        <v>776.97225521560574</v>
      </c>
      <c r="AQ507">
        <v>622.78501788444567</v>
      </c>
      <c r="AR507">
        <v>83.561414297167261</v>
      </c>
      <c r="AS507">
        <v>382.60081697159001</v>
      </c>
      <c r="AT507">
        <v>47.012605440640904</v>
      </c>
      <c r="AU507">
        <v>10.259546887438148</v>
      </c>
      <c r="AV507"/>
      <c r="AW507"/>
      <c r="FY507" s="211">
        <v>502</v>
      </c>
      <c r="FZ507">
        <v>118.85645688335694</v>
      </c>
      <c r="GA507">
        <v>149.72366960170885</v>
      </c>
      <c r="GB507">
        <v>41.047117769109427</v>
      </c>
      <c r="GC507">
        <v>22.833204839982301</v>
      </c>
      <c r="GD507">
        <v>15.399581802942615</v>
      </c>
      <c r="GE507">
        <v>21.56576464380392</v>
      </c>
      <c r="GF507">
        <v>55.126275872570723</v>
      </c>
      <c r="GG507">
        <v>45.434758179824108</v>
      </c>
      <c r="GH507">
        <v>25.975063576302905</v>
      </c>
      <c r="GI507">
        <v>52.638357891579858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40.392717196871516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188.06048966403483</v>
      </c>
      <c r="AO508">
        <v>71.080142915952493</v>
      </c>
      <c r="AP508">
        <v>588.692122797195</v>
      </c>
      <c r="AQ508">
        <v>476.65627576434525</v>
      </c>
      <c r="AR508">
        <v>67.867308268898341</v>
      </c>
      <c r="AS508">
        <v>326.65708287384507</v>
      </c>
      <c r="AT508">
        <v>37.015594826363639</v>
      </c>
      <c r="AU508">
        <v>8.1061867993949015</v>
      </c>
      <c r="AV508"/>
      <c r="AW508"/>
      <c r="FY508" s="211">
        <v>503</v>
      </c>
      <c r="FZ508">
        <v>81.477032277042781</v>
      </c>
      <c r="GA508">
        <v>80.22936735467789</v>
      </c>
      <c r="GB508">
        <v>31.036815176509837</v>
      </c>
      <c r="GC508">
        <v>19.079908644404266</v>
      </c>
      <c r="GD508">
        <v>15.784131003961445</v>
      </c>
      <c r="GE508">
        <v>29.666878346847984</v>
      </c>
      <c r="GF508">
        <v>41.491743156110445</v>
      </c>
      <c r="GG508">
        <v>27.739474466181903</v>
      </c>
      <c r="GH508">
        <v>17.427333578525545</v>
      </c>
      <c r="GI508">
        <v>40.949277104494932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42.609111382648663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245.70295901076125</v>
      </c>
      <c r="AO509">
        <v>80.274685810028984</v>
      </c>
      <c r="AP509">
        <v>672.25107913105251</v>
      </c>
      <c r="AQ509">
        <v>544.34600922819561</v>
      </c>
      <c r="AR509">
        <v>79.440083880352034</v>
      </c>
      <c r="AS509">
        <v>392.10763854235745</v>
      </c>
      <c r="AT509">
        <v>40.35260121083207</v>
      </c>
      <c r="AU509">
        <v>-41.42717224016323</v>
      </c>
      <c r="AV509"/>
      <c r="AW509"/>
      <c r="FY509" s="211">
        <v>504</v>
      </c>
      <c r="FZ509">
        <v>45.404716592118675</v>
      </c>
      <c r="GA509">
        <v>25.936567749869202</v>
      </c>
      <c r="GB509">
        <v>44.453811700198699</v>
      </c>
      <c r="GC509">
        <v>30.224146269814305</v>
      </c>
      <c r="GD509">
        <v>15.939196530320972</v>
      </c>
      <c r="GE509">
        <v>19.960815126212307</v>
      </c>
      <c r="GF509">
        <v>52.786644111398033</v>
      </c>
      <c r="GG509">
        <v>47.323406126778245</v>
      </c>
      <c r="GH509">
        <v>18.767721413828689</v>
      </c>
      <c r="GI509">
        <v>41.890356060447644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44.856586743590903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230.66769010248436</v>
      </c>
      <c r="AO510">
        <v>66.123825120714415</v>
      </c>
      <c r="AP510">
        <v>471.20237519362513</v>
      </c>
      <c r="AQ510">
        <v>367.50991649416778</v>
      </c>
      <c r="AR510">
        <v>65.473464938734494</v>
      </c>
      <c r="AS510">
        <v>321.0337191085477</v>
      </c>
      <c r="AT510">
        <v>30.051171468944773</v>
      </c>
      <c r="AU510">
        <v>-12.614261934100092</v>
      </c>
      <c r="AV510"/>
      <c r="AW510"/>
      <c r="FY510" s="211">
        <v>505</v>
      </c>
      <c r="FZ510">
        <v>66.674072082146495</v>
      </c>
      <c r="GA510">
        <v>84.880823539090997</v>
      </c>
      <c r="GB510">
        <v>43.351947832036444</v>
      </c>
      <c r="GC510">
        <v>23.263792055741213</v>
      </c>
      <c r="GD510">
        <v>14.37501187565546</v>
      </c>
      <c r="GE510">
        <v>23.798531010069901</v>
      </c>
      <c r="GF510">
        <v>42.748351546106726</v>
      </c>
      <c r="GG510">
        <v>35.124070928021226</v>
      </c>
      <c r="GH510">
        <v>15.885946609723428</v>
      </c>
      <c r="GI510">
        <v>41.026149388611813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47.222608240186645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228.9084945336609</v>
      </c>
      <c r="AO511">
        <v>79.050886462155887</v>
      </c>
      <c r="AP511">
        <v>697.04513027028531</v>
      </c>
      <c r="AQ511">
        <v>546.17695180754185</v>
      </c>
      <c r="AR511">
        <v>76.532865406513167</v>
      </c>
      <c r="AS511">
        <v>346.59030090972936</v>
      </c>
      <c r="AT511">
        <v>39.735380573311609</v>
      </c>
      <c r="AU511">
        <v>38.025686902689849</v>
      </c>
      <c r="AV511"/>
      <c r="AW511"/>
      <c r="FY511" s="211">
        <v>506</v>
      </c>
      <c r="FZ511">
        <v>116.3104876236271</v>
      </c>
      <c r="GA511">
        <v>131.10018771795455</v>
      </c>
      <c r="GB511">
        <v>33.032195967632823</v>
      </c>
      <c r="GC511">
        <v>18.137654732492571</v>
      </c>
      <c r="GD511">
        <v>14.691031639111669</v>
      </c>
      <c r="GE511">
        <v>30.554344038439353</v>
      </c>
      <c r="GF511">
        <v>29.388506280457538</v>
      </c>
      <c r="GG511">
        <v>10.716554857902358</v>
      </c>
      <c r="GH511">
        <v>19.220074356673489</v>
      </c>
      <c r="GI511">
        <v>43.726250829635461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49.620571583511776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248.18156820556752</v>
      </c>
      <c r="AO512">
        <v>72.758461620132252</v>
      </c>
      <c r="AP512">
        <v>586.35221843379031</v>
      </c>
      <c r="AQ512">
        <v>463.72706134139514</v>
      </c>
      <c r="AR512">
        <v>68.412124658391818</v>
      </c>
      <c r="AS512">
        <v>326.10584929093682</v>
      </c>
      <c r="AT512">
        <v>32.906579943991716</v>
      </c>
      <c r="AU512">
        <v>106.77337622232594</v>
      </c>
      <c r="AV512"/>
      <c r="AW512"/>
      <c r="FY512" s="211">
        <v>507</v>
      </c>
      <c r="FZ512">
        <v>114.04070950342472</v>
      </c>
      <c r="GA512">
        <v>132.72677956461203</v>
      </c>
      <c r="GB512">
        <v>41.31791932273066</v>
      </c>
      <c r="GC512">
        <v>24.717083776558898</v>
      </c>
      <c r="GD512">
        <v>18.527789958755186</v>
      </c>
      <c r="GE512">
        <v>35.836392973415592</v>
      </c>
      <c r="GF512">
        <v>51.970772691714259</v>
      </c>
      <c r="GG512">
        <v>37.70465934427763</v>
      </c>
      <c r="GH512">
        <v>25.789145710760216</v>
      </c>
      <c r="GI512">
        <v>53.669529919433103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52.140303469706964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183.22489370792437</v>
      </c>
      <c r="AO513">
        <v>53.566571968410699</v>
      </c>
      <c r="AP513">
        <v>381.44702791041396</v>
      </c>
      <c r="AQ513">
        <v>300.97725956019184</v>
      </c>
      <c r="AR513">
        <v>51.610470336456856</v>
      </c>
      <c r="AS513">
        <v>268.83848571179925</v>
      </c>
      <c r="AT513">
        <v>22.663504012657125</v>
      </c>
      <c r="AU513">
        <v>38.108262305564061</v>
      </c>
      <c r="AV513"/>
      <c r="AW513"/>
      <c r="FY513" s="211">
        <v>508</v>
      </c>
      <c r="FZ513">
        <v>43.464436859449549</v>
      </c>
      <c r="GA513">
        <v>48.579896411827285</v>
      </c>
      <c r="GB513">
        <v>34.048260814593192</v>
      </c>
      <c r="GC513">
        <v>17.791110334408081</v>
      </c>
      <c r="GD513">
        <v>14.762146698625571</v>
      </c>
      <c r="GE513">
        <v>24.586779211063668</v>
      </c>
      <c r="GF513">
        <v>25.347800999693838</v>
      </c>
      <c r="GG513">
        <v>20.515442728947814</v>
      </c>
      <c r="GH513">
        <v>29.914123776136481</v>
      </c>
      <c r="GI513">
        <v>34.31370396711592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54.692829132106269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190.56251223516489</v>
      </c>
      <c r="AO514">
        <v>51.412510846224265</v>
      </c>
      <c r="AP514">
        <v>358.12704798259438</v>
      </c>
      <c r="AQ514">
        <v>281.21705176973978</v>
      </c>
      <c r="AR514">
        <v>49.742947997690038</v>
      </c>
      <c r="AS514">
        <v>233.64008643274926</v>
      </c>
      <c r="AT514">
        <v>23.224210271397414</v>
      </c>
      <c r="AU514">
        <v>4.8470325055169994</v>
      </c>
      <c r="AV514"/>
      <c r="AW514"/>
      <c r="FY514" s="211">
        <v>509</v>
      </c>
      <c r="FZ514">
        <v>64.913408114524842</v>
      </c>
      <c r="GA514">
        <v>93.07035508218506</v>
      </c>
      <c r="GB514">
        <v>37.15477928642693</v>
      </c>
      <c r="GC514">
        <v>23.122809311290119</v>
      </c>
      <c r="GD514">
        <v>14.64671403651888</v>
      </c>
      <c r="GE514">
        <v>22.663377311538259</v>
      </c>
      <c r="GF514">
        <v>20.301786281119291</v>
      </c>
      <c r="GG514">
        <v>3.7508829921987892</v>
      </c>
      <c r="GH514">
        <v>22.371116024694835</v>
      </c>
      <c r="GI514">
        <v>35.799948198618942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57.370313546634669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203.2865876067585</v>
      </c>
      <c r="AO515">
        <v>68.820747650438079</v>
      </c>
      <c r="AP515">
        <v>567.35605598993084</v>
      </c>
      <c r="AQ515">
        <v>433.96374502983713</v>
      </c>
      <c r="AR515">
        <v>66.7686733020942</v>
      </c>
      <c r="AS515">
        <v>318.7960432017756</v>
      </c>
      <c r="AT515">
        <v>31.736078339809541</v>
      </c>
      <c r="AU515">
        <v>0.27530357895314239</v>
      </c>
      <c r="AV515"/>
      <c r="AW515"/>
      <c r="FY515" s="211">
        <v>510</v>
      </c>
      <c r="FZ515">
        <v>28.936029800120373</v>
      </c>
      <c r="GA515">
        <v>49.303869218224037</v>
      </c>
      <c r="GB515">
        <v>37.523540405262068</v>
      </c>
      <c r="GC515">
        <v>21.744374791367751</v>
      </c>
      <c r="GD515">
        <v>19.338956562592404</v>
      </c>
      <c r="GE515">
        <v>31.975379676568625</v>
      </c>
      <c r="GF515">
        <v>51.093872711924824</v>
      </c>
      <c r="GG515">
        <v>40.225280693643469</v>
      </c>
      <c r="GH515">
        <v>24.52871775185389</v>
      </c>
      <c r="GI515">
        <v>40.593398930808775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60.081435320331209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221.03947381048351</v>
      </c>
      <c r="AO516">
        <v>68.42306666812938</v>
      </c>
      <c r="AP516">
        <v>545.61568002111596</v>
      </c>
      <c r="AQ516">
        <v>434.05857179787984</v>
      </c>
      <c r="AR516">
        <v>66.671600003265922</v>
      </c>
      <c r="AS516">
        <v>315.88610516168131</v>
      </c>
      <c r="AT516">
        <v>33.385640738962479</v>
      </c>
      <c r="AU516">
        <v>24.251761466660156</v>
      </c>
      <c r="AV516"/>
      <c r="AW516"/>
      <c r="FY516" s="211">
        <v>511</v>
      </c>
      <c r="FZ516">
        <v>73.399383871010571</v>
      </c>
      <c r="GA516">
        <v>82.696012806022352</v>
      </c>
      <c r="GB516">
        <v>45.669881032720475</v>
      </c>
      <c r="GC516">
        <v>25.573228200787074</v>
      </c>
      <c r="GD516">
        <v>15.877949935438314</v>
      </c>
      <c r="GE516">
        <v>29.992755144177536</v>
      </c>
      <c r="GF516">
        <v>32.917590502349235</v>
      </c>
      <c r="GG516">
        <v>16.053595070678107</v>
      </c>
      <c r="GH516">
        <v>21.460978552588436</v>
      </c>
      <c r="GI516">
        <v>42.258470920518896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62.920675293448724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233.04555228360874</v>
      </c>
      <c r="AO517">
        <v>53.425932269848204</v>
      </c>
      <c r="AP517">
        <v>371.14843011104978</v>
      </c>
      <c r="AQ517">
        <v>296.63897256845058</v>
      </c>
      <c r="AR517">
        <v>51.790909141875666</v>
      </c>
      <c r="AS517">
        <v>276.30262388063403</v>
      </c>
      <c r="AT517">
        <v>23.612733148157428</v>
      </c>
      <c r="AU517">
        <v>-41.486954749830424</v>
      </c>
      <c r="AV517"/>
      <c r="AW517"/>
      <c r="FY517" s="211">
        <v>512</v>
      </c>
      <c r="FZ517">
        <v>34.521228797772693</v>
      </c>
      <c r="GA517">
        <v>39.084356653867751</v>
      </c>
      <c r="GB517">
        <v>46.951790787384702</v>
      </c>
      <c r="GC517">
        <v>26.261911872685403</v>
      </c>
      <c r="GD517">
        <v>18.402477749271014</v>
      </c>
      <c r="GE517">
        <v>28.595304665035581</v>
      </c>
      <c r="GF517">
        <v>37.599681060641942</v>
      </c>
      <c r="GG517">
        <v>32.322450727848988</v>
      </c>
      <c r="GH517">
        <v>17.997937794361789</v>
      </c>
      <c r="GI517">
        <v>39.09785934056265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62.920675293448724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258.68039323843766</v>
      </c>
      <c r="AO518">
        <v>78.499514715218424</v>
      </c>
      <c r="AP518">
        <v>692.40049964057687</v>
      </c>
      <c r="AQ518">
        <v>548.60025106118155</v>
      </c>
      <c r="AR518">
        <v>76.064903172107933</v>
      </c>
      <c r="AS518">
        <v>373.08992876866211</v>
      </c>
      <c r="AT518">
        <v>40.94756212827145</v>
      </c>
      <c r="AU518">
        <v>-16.677062921247185</v>
      </c>
      <c r="AV518"/>
      <c r="AW518"/>
      <c r="FY518" s="211">
        <v>513</v>
      </c>
      <c r="FZ518">
        <v>39.435417204367887</v>
      </c>
      <c r="GA518">
        <v>42.284027619529084</v>
      </c>
      <c r="GB518">
        <v>58.135748634784747</v>
      </c>
      <c r="GC518">
        <v>28.518802466642963</v>
      </c>
      <c r="GD518">
        <v>11.607534635835954</v>
      </c>
      <c r="GE518">
        <v>17.513712250524808</v>
      </c>
      <c r="GF518">
        <v>36.728887461151942</v>
      </c>
      <c r="GG518">
        <v>33.6159973765307</v>
      </c>
      <c r="GH518">
        <v>30.936513497192369</v>
      </c>
      <c r="GI518">
        <v>40.11070749597129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195.17717568779739</v>
      </c>
      <c r="AO519">
        <v>59.996998007231056</v>
      </c>
      <c r="AP519">
        <v>474.16466560315996</v>
      </c>
      <c r="AQ519">
        <v>384.88196110875697</v>
      </c>
      <c r="AR519">
        <v>58.821136578456425</v>
      </c>
      <c r="AS519">
        <v>265.13475893871146</v>
      </c>
      <c r="AT519">
        <v>29.225524643838181</v>
      </c>
      <c r="AU519">
        <v>50.302962015631081</v>
      </c>
      <c r="AV519"/>
      <c r="AW519"/>
      <c r="FY519" s="211">
        <v>514</v>
      </c>
      <c r="FZ519">
        <v>63.259828968246921</v>
      </c>
      <c r="GA519">
        <v>85.421328823529336</v>
      </c>
      <c r="GB519">
        <v>32.199149242197372</v>
      </c>
      <c r="GC519">
        <v>28.283329788734431</v>
      </c>
      <c r="GD519">
        <v>22.839407198993779</v>
      </c>
      <c r="GE519">
        <v>34.364443391180536</v>
      </c>
      <c r="GF519">
        <v>75.368803644769784</v>
      </c>
      <c r="GG519">
        <v>49.925794869565976</v>
      </c>
      <c r="GH519">
        <v>20.768942772577127</v>
      </c>
      <c r="GI519">
        <v>50.345235686265873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71.122394377518347</v>
      </c>
      <c r="H520" s="63" t="s">
        <v>30</v>
      </c>
      <c r="I520" s="101">
        <f>SUM(K458:K518)</f>
        <v>395.81817275350329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193.05865449535094</v>
      </c>
      <c r="AO520">
        <v>60.959018612417573</v>
      </c>
      <c r="AP520">
        <v>445.69059553503865</v>
      </c>
      <c r="AQ520">
        <v>342.68738168098673</v>
      </c>
      <c r="AR520">
        <v>60.856779207611851</v>
      </c>
      <c r="AS520">
        <v>282.17795353764535</v>
      </c>
      <c r="AT520">
        <v>28.657081425521572</v>
      </c>
      <c r="AU520">
        <v>-13.168511780841435</v>
      </c>
      <c r="AV520"/>
      <c r="AW520"/>
      <c r="FY520" s="211">
        <v>515</v>
      </c>
      <c r="FZ520">
        <v>122.96793029478815</v>
      </c>
      <c r="GA520">
        <v>151.59025713813418</v>
      </c>
      <c r="GB520">
        <v>48.526077690446044</v>
      </c>
      <c r="GC520">
        <v>19.759119356938346</v>
      </c>
      <c r="GD520">
        <v>16.471694627264622</v>
      </c>
      <c r="GE520">
        <v>33.570135699089143</v>
      </c>
      <c r="GF520">
        <v>54.178716126050155</v>
      </c>
      <c r="GG520">
        <v>44.32545372162209</v>
      </c>
      <c r="GH520">
        <v>21.50187874068456</v>
      </c>
      <c r="GI520">
        <v>55.27941842386425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205.538548554806</v>
      </c>
      <c r="AO521">
        <v>61.985379904981514</v>
      </c>
      <c r="AP521">
        <v>498.88975657972412</v>
      </c>
      <c r="AQ521">
        <v>391.12869686720376</v>
      </c>
      <c r="AR521">
        <v>59.33341187237572</v>
      </c>
      <c r="AS521">
        <v>308.62470433046633</v>
      </c>
      <c r="AT521">
        <v>29.656623089774801</v>
      </c>
      <c r="AU521">
        <v>51.11611861757396</v>
      </c>
      <c r="AV521"/>
      <c r="AW521"/>
      <c r="FY521" s="211">
        <v>516</v>
      </c>
      <c r="FZ521">
        <v>23.02224679931172</v>
      </c>
      <c r="GA521">
        <v>50.516908753082632</v>
      </c>
      <c r="GB521">
        <v>31.392973632406289</v>
      </c>
      <c r="GC521">
        <v>13.065025984904503</v>
      </c>
      <c r="GD521">
        <v>11.892289783673183</v>
      </c>
      <c r="GE521">
        <v>19.453777353156777</v>
      </c>
      <c r="GF521">
        <v>58.403970042381637</v>
      </c>
      <c r="GG521">
        <v>44.208360840534219</v>
      </c>
      <c r="GH521">
        <v>12.880914502743357</v>
      </c>
      <c r="GI521">
        <v>32.597190322035694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5.5653100014110413</v>
      </c>
      <c r="G522" s="63"/>
      <c r="H522" s="63" t="s">
        <v>101</v>
      </c>
      <c r="I522">
        <v>394.82888793945312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199.47113933703588</v>
      </c>
      <c r="AO522">
        <v>64.361098602782164</v>
      </c>
      <c r="AP522">
        <v>541.75835609248975</v>
      </c>
      <c r="AQ522">
        <v>446.87728804392691</v>
      </c>
      <c r="AR522">
        <v>62.613536748678641</v>
      </c>
      <c r="AS522">
        <v>301.22021850355219</v>
      </c>
      <c r="AT522">
        <v>32.670996381960855</v>
      </c>
      <c r="AU522">
        <v>0.18290351612273525</v>
      </c>
      <c r="AV522"/>
      <c r="AW522"/>
      <c r="FY522" s="211">
        <v>517</v>
      </c>
      <c r="FZ522">
        <v>119.35805981462673</v>
      </c>
      <c r="GA522">
        <v>133.19084878045791</v>
      </c>
      <c r="GB522">
        <v>44.486225523058465</v>
      </c>
      <c r="GC522">
        <v>26.769360364829527</v>
      </c>
      <c r="GD522">
        <v>9.9440879786576488</v>
      </c>
      <c r="GE522">
        <v>17.936039981096293</v>
      </c>
      <c r="GF522">
        <v>37.211710032434119</v>
      </c>
      <c r="GG522">
        <v>24.806658430506481</v>
      </c>
      <c r="GH522">
        <v>23.991182395712933</v>
      </c>
      <c r="GI522">
        <v>46.615935362833007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5.1448569559239932</v>
      </c>
      <c r="G523" s="63"/>
      <c r="H523" s="63" t="s">
        <v>103</v>
      </c>
      <c r="I523" s="123">
        <f>+I520*(365/I522)</f>
        <v>365.91454543514476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243.27600255447956</v>
      </c>
      <c r="AO523">
        <v>81.1438097565931</v>
      </c>
      <c r="AP523">
        <v>668.34194144176729</v>
      </c>
      <c r="AQ523">
        <v>536.30078276568224</v>
      </c>
      <c r="AR523">
        <v>77.430975344625438</v>
      </c>
      <c r="AS523">
        <v>361.92375361995278</v>
      </c>
      <c r="AT523">
        <v>39.356427109707354</v>
      </c>
      <c r="AU523">
        <v>52.505676280390475</v>
      </c>
      <c r="AV523"/>
      <c r="AW523"/>
      <c r="FY523" s="211">
        <v>518</v>
      </c>
      <c r="FZ523">
        <v>69.922059955834499</v>
      </c>
      <c r="GA523">
        <v>100.5941355821995</v>
      </c>
      <c r="GB523">
        <v>64.244722116684116</v>
      </c>
      <c r="GC523">
        <v>34.957518082015334</v>
      </c>
      <c r="GD523">
        <v>13.822018661276045</v>
      </c>
      <c r="GE523">
        <v>20.418101317542046</v>
      </c>
      <c r="GF523">
        <v>29.863923838296373</v>
      </c>
      <c r="GG523">
        <v>17.530122159956505</v>
      </c>
      <c r="GH523">
        <v>9.1816082522562628</v>
      </c>
      <c r="GI523">
        <v>42.977403103145221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155.32801153746539</v>
      </c>
      <c r="AO524">
        <v>48.583932712178971</v>
      </c>
      <c r="AP524">
        <v>364.31666062889718</v>
      </c>
      <c r="AQ524">
        <v>293.32370180186143</v>
      </c>
      <c r="AR524">
        <v>49.27743890989106</v>
      </c>
      <c r="AS524">
        <v>232.98520553401815</v>
      </c>
      <c r="AT524">
        <v>23.638204962797762</v>
      </c>
      <c r="AU524">
        <v>0.89967504250947883</v>
      </c>
      <c r="AV524"/>
      <c r="AW524"/>
      <c r="FY524" s="211">
        <v>519</v>
      </c>
      <c r="FZ524">
        <v>90.553591687263804</v>
      </c>
      <c r="GA524">
        <v>95.660118190684713</v>
      </c>
      <c r="GB524">
        <v>42.492560409368835</v>
      </c>
      <c r="GC524">
        <v>21.547605849356323</v>
      </c>
      <c r="GD524">
        <v>16.641485753179641</v>
      </c>
      <c r="GE524">
        <v>30.837743116348928</v>
      </c>
      <c r="GF524">
        <v>68.779769138282873</v>
      </c>
      <c r="GG524">
        <v>54.70643496062312</v>
      </c>
      <c r="GH524">
        <v>23.239191763574006</v>
      </c>
      <c r="GI524">
        <v>52.051814777253924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176.16549125163422</v>
      </c>
      <c r="AO525">
        <v>52.488175312695525</v>
      </c>
      <c r="AP525">
        <v>411.801568585339</v>
      </c>
      <c r="AQ525">
        <v>337.79517663911599</v>
      </c>
      <c r="AR525">
        <v>50.860529422490828</v>
      </c>
      <c r="AS525">
        <v>251.89469316961956</v>
      </c>
      <c r="AT525">
        <v>26.186074016184339</v>
      </c>
      <c r="AU525">
        <v>-37.911827593404276</v>
      </c>
      <c r="AV525"/>
      <c r="AW525"/>
      <c r="FY525" s="211">
        <v>520</v>
      </c>
      <c r="FZ525">
        <v>30.040691870870283</v>
      </c>
      <c r="GA525">
        <v>52.755082976401084</v>
      </c>
      <c r="GB525">
        <v>46.316796897183849</v>
      </c>
      <c r="GC525">
        <v>26.093806639213899</v>
      </c>
      <c r="GD525">
        <v>16.080624639542204</v>
      </c>
      <c r="GE525">
        <v>23.581340612926756</v>
      </c>
      <c r="GF525">
        <v>17.52681597456808</v>
      </c>
      <c r="GG525">
        <v>3.9273272795613385</v>
      </c>
      <c r="GH525">
        <v>15.96807561306994</v>
      </c>
      <c r="GI525">
        <v>32.407540790518212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208.38535860136523</v>
      </c>
      <c r="AO526">
        <v>60.651772512213668</v>
      </c>
      <c r="AP526">
        <v>440.9123381362993</v>
      </c>
      <c r="AQ526">
        <v>345.26342054236625</v>
      </c>
      <c r="AR526">
        <v>58.428041947806861</v>
      </c>
      <c r="AS526">
        <v>289.61841149972145</v>
      </c>
      <c r="AT526">
        <v>27.02766688790102</v>
      </c>
      <c r="AU526">
        <v>29.452705540576098</v>
      </c>
      <c r="AV526"/>
      <c r="AW526"/>
      <c r="FY526" s="211">
        <v>521</v>
      </c>
      <c r="FZ526">
        <v>38.668621864239071</v>
      </c>
      <c r="GA526">
        <v>36.784491417136422</v>
      </c>
      <c r="GB526">
        <v>32.683131679434631</v>
      </c>
      <c r="GC526">
        <v>18.939952027657498</v>
      </c>
      <c r="GD526">
        <v>10.561967956237114</v>
      </c>
      <c r="GE526">
        <v>17.943833699303191</v>
      </c>
      <c r="GF526">
        <v>64.870611988294044</v>
      </c>
      <c r="GG526">
        <v>51.915146671253808</v>
      </c>
      <c r="GH526">
        <v>28.848607536963812</v>
      </c>
      <c r="GI526">
        <v>38.308718858559708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230.72843100075497</v>
      </c>
      <c r="AO527">
        <v>61.292924981018231</v>
      </c>
      <c r="AP527">
        <v>474.49808515635294</v>
      </c>
      <c r="AQ527">
        <v>385.89984603629097</v>
      </c>
      <c r="AR527">
        <v>60.190505629670035</v>
      </c>
      <c r="AS527">
        <v>299.07187890533032</v>
      </c>
      <c r="AT527">
        <v>29.573835883422934</v>
      </c>
      <c r="AU527">
        <v>-10.494369910350272</v>
      </c>
      <c r="AV527"/>
      <c r="AW527"/>
      <c r="FY527" s="211">
        <v>522</v>
      </c>
      <c r="FZ527">
        <v>80.732777509326368</v>
      </c>
      <c r="GA527">
        <v>77.337513662664435</v>
      </c>
      <c r="GB527">
        <v>43.822157932270734</v>
      </c>
      <c r="GC527">
        <v>27.579723178210962</v>
      </c>
      <c r="GD527">
        <v>13.120848647390927</v>
      </c>
      <c r="GE527">
        <v>23.100874263494866</v>
      </c>
      <c r="GF527">
        <v>58.546602196221208</v>
      </c>
      <c r="GG527">
        <v>38.655246407300645</v>
      </c>
      <c r="GH527">
        <v>17.037106017904062</v>
      </c>
      <c r="GI527">
        <v>45.8411958874945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193.28280117704043</v>
      </c>
      <c r="AO528">
        <v>57.553207611012681</v>
      </c>
      <c r="AP528">
        <v>404.53682407472962</v>
      </c>
      <c r="AQ528">
        <v>320.83499944943253</v>
      </c>
      <c r="AR528">
        <v>56.323579500455878</v>
      </c>
      <c r="AS528">
        <v>271.86995475362824</v>
      </c>
      <c r="AT528">
        <v>25.642834648258457</v>
      </c>
      <c r="AU528">
        <v>34.632100696258249</v>
      </c>
      <c r="AV528"/>
      <c r="AW528"/>
      <c r="FY528" s="211">
        <v>523</v>
      </c>
      <c r="FZ528">
        <v>126.54634859282866</v>
      </c>
      <c r="GA528">
        <v>125.83254338700775</v>
      </c>
      <c r="GB528">
        <v>43.21171257786672</v>
      </c>
      <c r="GC528">
        <v>26.873389508111796</v>
      </c>
      <c r="GD528">
        <v>16.401606758262659</v>
      </c>
      <c r="GE528">
        <v>29.036038601514417</v>
      </c>
      <c r="GF528">
        <v>35.998352306231524</v>
      </c>
      <c r="GG528">
        <v>21.926802260381759</v>
      </c>
      <c r="GH528">
        <v>20.329351639177126</v>
      </c>
      <c r="GI528">
        <v>50.478077328453914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212.01196301412233</v>
      </c>
      <c r="AO529">
        <v>57.099111285376559</v>
      </c>
      <c r="AP529">
        <v>447.38725999519909</v>
      </c>
      <c r="AQ529">
        <v>338.88734864253172</v>
      </c>
      <c r="AR529">
        <v>57.745359848811589</v>
      </c>
      <c r="AS529">
        <v>276.00348095718033</v>
      </c>
      <c r="AT529">
        <v>26.541459494470079</v>
      </c>
      <c r="AU529">
        <v>13.883838529878673</v>
      </c>
      <c r="AV529"/>
      <c r="AW529"/>
      <c r="FY529" s="211">
        <v>524</v>
      </c>
      <c r="FZ529">
        <v>29.780743093874801</v>
      </c>
      <c r="GA529">
        <v>44.351961324271883</v>
      </c>
      <c r="GB529">
        <v>40.338272943684899</v>
      </c>
      <c r="GC529">
        <v>19.511135307189985</v>
      </c>
      <c r="GD529">
        <v>11.81879040824299</v>
      </c>
      <c r="GE529">
        <v>19.396080508759702</v>
      </c>
      <c r="GF529">
        <v>46.998163545304202</v>
      </c>
      <c r="GG529">
        <v>37.120589001123676</v>
      </c>
      <c r="GH529">
        <v>15.860407885085337</v>
      </c>
      <c r="GI529">
        <v>34.140784505911043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290.56016555098904</v>
      </c>
      <c r="AO530">
        <v>76.234397298020241</v>
      </c>
      <c r="AP530">
        <v>575.85726690714012</v>
      </c>
      <c r="AQ530">
        <v>462.77626438606109</v>
      </c>
      <c r="AR530">
        <v>72.072564862303693</v>
      </c>
      <c r="AS530">
        <v>397.21617073820403</v>
      </c>
      <c r="AT530">
        <v>34.596560906376695</v>
      </c>
      <c r="AU530">
        <v>34.770142199123015</v>
      </c>
      <c r="AV530"/>
      <c r="AW530"/>
      <c r="FY530" s="211">
        <v>525</v>
      </c>
      <c r="FZ530">
        <v>40.394795548632644</v>
      </c>
      <c r="GA530">
        <v>36.637811278003269</v>
      </c>
      <c r="GB530">
        <v>55.538670310566886</v>
      </c>
      <c r="GC530">
        <v>32.239262698728105</v>
      </c>
      <c r="GD530">
        <v>14.046088202262498</v>
      </c>
      <c r="GE530">
        <v>30.170984245791644</v>
      </c>
      <c r="GF530">
        <v>64.656875925073152</v>
      </c>
      <c r="GG530">
        <v>43.542497776277898</v>
      </c>
      <c r="GH530">
        <v>26.39960842741721</v>
      </c>
      <c r="GI530">
        <v>46.258914282410657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92.708333333333329</v>
      </c>
      <c r="E531" s="108">
        <f>E405</f>
        <v>0.21860599846956583</v>
      </c>
      <c r="F531" s="102"/>
      <c r="G531" s="101">
        <f>D531*E531</f>
        <v>20.266597774782664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249.37124331111605</v>
      </c>
      <c r="AO531">
        <v>82.838525804696403</v>
      </c>
      <c r="AP531">
        <v>718.40360844212853</v>
      </c>
      <c r="AQ531">
        <v>568.17068181888158</v>
      </c>
      <c r="AR531">
        <v>80.034847763199807</v>
      </c>
      <c r="AS531">
        <v>399.28096274263453</v>
      </c>
      <c r="AT531">
        <v>41.5332578240304</v>
      </c>
      <c r="AU531">
        <v>53.815213018495946</v>
      </c>
      <c r="AV531"/>
      <c r="AW531"/>
      <c r="FY531" s="211">
        <v>526</v>
      </c>
      <c r="FZ531">
        <v>116.84775265242723</v>
      </c>
      <c r="GA531">
        <v>148.65700085102011</v>
      </c>
      <c r="GB531">
        <v>51.495622639676427</v>
      </c>
      <c r="GC531">
        <v>30.314735265267544</v>
      </c>
      <c r="GD531">
        <v>15.874232478257964</v>
      </c>
      <c r="GE531">
        <v>18.553990287500572</v>
      </c>
      <c r="GF531">
        <v>18.776524604227859</v>
      </c>
      <c r="GG531">
        <v>17.844314312180614</v>
      </c>
      <c r="GH531">
        <v>27.925919191315593</v>
      </c>
      <c r="GI531">
        <v>48.527442188158105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0.4178893551108771</v>
      </c>
      <c r="I532" s="101">
        <f>AVERAGE(D531:D533)</f>
        <v>121.30047852474323</v>
      </c>
      <c r="J532" s="101">
        <f>I532*H532</f>
        <v>50.690178745345747</v>
      </c>
      <c r="K532" s="61">
        <f>J532/(C533-C531)</f>
        <v>1.8774140276053981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204.71683401761555</v>
      </c>
      <c r="AO532">
        <v>48.02445635695581</v>
      </c>
      <c r="AP532">
        <v>390.76613421761829</v>
      </c>
      <c r="AQ532">
        <v>297.43365801423005</v>
      </c>
      <c r="AR532">
        <v>46.612704313305471</v>
      </c>
      <c r="AS532">
        <v>250.29039455529872</v>
      </c>
      <c r="AT532">
        <v>21.839362136813492</v>
      </c>
      <c r="AU532">
        <v>-62.987365428465161</v>
      </c>
      <c r="AV532"/>
      <c r="AW532"/>
      <c r="FY532" s="211">
        <v>527</v>
      </c>
      <c r="FZ532">
        <v>74.398847376467643</v>
      </c>
      <c r="GA532">
        <v>96.235201878225183</v>
      </c>
      <c r="GB532">
        <v>33.476105269139808</v>
      </c>
      <c r="GC532">
        <v>14.196441232003584</v>
      </c>
      <c r="GD532">
        <v>10.567291938499324</v>
      </c>
      <c r="GE532">
        <v>24.437035843285312</v>
      </c>
      <c r="GF532">
        <v>48.386427083480633</v>
      </c>
      <c r="GG532">
        <v>29.46212828418286</v>
      </c>
      <c r="GH532">
        <v>9.6706918087892362</v>
      </c>
      <c r="GI532">
        <v>37.446776439702617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149.89262371615314</v>
      </c>
      <c r="E533" s="108">
        <f>E406</f>
        <v>0.63649535358044296</v>
      </c>
      <c r="F533" s="102"/>
      <c r="G533" s="101">
        <f>D533*E533</f>
        <v>95.405958531313175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173.33135898814152</v>
      </c>
      <c r="AO533">
        <v>69.92687106897688</v>
      </c>
      <c r="AP533">
        <v>615.70089902473183</v>
      </c>
      <c r="AQ533">
        <v>484.31010866421315</v>
      </c>
      <c r="AR533">
        <v>67.24956840452397</v>
      </c>
      <c r="AS533">
        <v>325.96801828108363</v>
      </c>
      <c r="AT533">
        <v>36.61478493329529</v>
      </c>
      <c r="AU533">
        <v>32.428163789888245</v>
      </c>
      <c r="AV533"/>
      <c r="AW533"/>
      <c r="FY533" s="211">
        <v>528</v>
      </c>
      <c r="FZ533">
        <v>105.30934416256284</v>
      </c>
      <c r="GA533">
        <v>132.96077252341547</v>
      </c>
      <c r="GB533">
        <v>35.084580161433834</v>
      </c>
      <c r="GC533">
        <v>16.828429450496149</v>
      </c>
      <c r="GD533">
        <v>9.5404922920527895</v>
      </c>
      <c r="GE533">
        <v>18.398557163519556</v>
      </c>
      <c r="GF533">
        <v>31.172966695900438</v>
      </c>
      <c r="GG533">
        <v>19.047805952473396</v>
      </c>
      <c r="GH533">
        <v>16.146069885442447</v>
      </c>
      <c r="GI533">
        <v>39.358309203468799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-0.44291851112584368</v>
      </c>
      <c r="I534" s="101">
        <f>AVERAGE(D533:D535)</f>
        <v>176.24359488419026</v>
      </c>
      <c r="J534" s="101">
        <f>I534*H534</f>
        <v>-78.061550641571912</v>
      </c>
      <c r="K534" s="61">
        <f>J534/(C535-C533)</f>
        <v>-1.9039402595505344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204.87692379471741</v>
      </c>
      <c r="AO534">
        <v>65.710363826875877</v>
      </c>
      <c r="AP534">
        <v>519.37922494832515</v>
      </c>
      <c r="AQ534">
        <v>403.51161306920591</v>
      </c>
      <c r="AR534">
        <v>62.047839868329177</v>
      </c>
      <c r="AS534">
        <v>285.87548202933613</v>
      </c>
      <c r="AT534">
        <v>29.517539973177534</v>
      </c>
      <c r="AU534">
        <v>-34.813491195947151</v>
      </c>
      <c r="AV534"/>
      <c r="AW534"/>
      <c r="FY534" s="211">
        <v>529</v>
      </c>
      <c r="FZ534">
        <v>31.800074555884155</v>
      </c>
      <c r="GA534">
        <v>50.210119480595878</v>
      </c>
      <c r="GB534">
        <v>43.745760543162874</v>
      </c>
      <c r="GC534">
        <v>24.128823946012886</v>
      </c>
      <c r="GD534">
        <v>13.952215663133751</v>
      </c>
      <c r="GE534">
        <v>20.241940644568242</v>
      </c>
      <c r="GF534">
        <v>41.878104771525457</v>
      </c>
      <c r="GG534">
        <v>31.922873515612086</v>
      </c>
      <c r="GH534">
        <v>22.017746807066235</v>
      </c>
      <c r="GI534">
        <v>36.668092898691803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202.59456605222735</v>
      </c>
      <c r="E535" s="108">
        <f>E407</f>
        <v>0.1935768424545993</v>
      </c>
      <c r="F535" s="102"/>
      <c r="G535" s="101">
        <f>D535*E535</f>
        <v>39.217616394849927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254.53881482182547</v>
      </c>
      <c r="AO535">
        <v>75.940048707691659</v>
      </c>
      <c r="AP535">
        <v>629.14480897459543</v>
      </c>
      <c r="AQ535">
        <v>496.5103156459362</v>
      </c>
      <c r="AR535">
        <v>74.605663924775229</v>
      </c>
      <c r="AS535">
        <v>369.01221634262924</v>
      </c>
      <c r="AT535">
        <v>37.636423698874459</v>
      </c>
      <c r="AU535">
        <v>38.525341589317918</v>
      </c>
      <c r="AV535"/>
      <c r="AW535"/>
      <c r="FY535" s="211">
        <v>530</v>
      </c>
      <c r="FZ535">
        <v>120.80780659949187</v>
      </c>
      <c r="GA535">
        <v>136.11021666233111</v>
      </c>
      <c r="GB535">
        <v>44.267342300285222</v>
      </c>
      <c r="GC535">
        <v>27.948036643613712</v>
      </c>
      <c r="GD535">
        <v>16.574542319883729</v>
      </c>
      <c r="GE535">
        <v>30.15448531813146</v>
      </c>
      <c r="GF535">
        <v>60.004083107408213</v>
      </c>
      <c r="GG535">
        <v>38.733649743101815</v>
      </c>
      <c r="GH535">
        <v>25.460819825533694</v>
      </c>
      <c r="GI535">
        <v>55.59987294509483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6.4607280814583667E-3</v>
      </c>
      <c r="I536" s="101">
        <f>AVERAGE(D535:D537)</f>
        <v>281.3989626563494</v>
      </c>
      <c r="J536" s="101">
        <f>I536*H536</f>
        <v>1.8180421801271309</v>
      </c>
      <c r="K536" s="61">
        <f>J536/(C537-C535)</f>
        <v>5.5092187276579725E-2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175.95946421238315</v>
      </c>
      <c r="AO536">
        <v>47.072191882075757</v>
      </c>
      <c r="AP536">
        <v>326.44610127200554</v>
      </c>
      <c r="AQ536">
        <v>264.69810329385564</v>
      </c>
      <c r="AR536">
        <v>45.931604569440601</v>
      </c>
      <c r="AS536">
        <v>220.05031017606117</v>
      </c>
      <c r="AT536">
        <v>21.501243606435491</v>
      </c>
      <c r="AU536">
        <v>-12.817106425840926</v>
      </c>
      <c r="AV536"/>
      <c r="AW536"/>
      <c r="FY536" s="211">
        <v>531</v>
      </c>
      <c r="FZ536">
        <v>83.592039181055782</v>
      </c>
      <c r="GA536">
        <v>84.800674191835128</v>
      </c>
      <c r="GB536">
        <v>36.388928939300236</v>
      </c>
      <c r="GC536">
        <v>19.504731640303596</v>
      </c>
      <c r="GD536">
        <v>17.314106394244842</v>
      </c>
      <c r="GE536">
        <v>33.095883222552516</v>
      </c>
      <c r="GF536">
        <v>73.035786810067222</v>
      </c>
      <c r="GG536">
        <v>54.896246134088365</v>
      </c>
      <c r="GH536">
        <v>21.149329899462181</v>
      </c>
      <c r="GI536">
        <v>50.468774319727871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360.20335926047147</v>
      </c>
      <c r="E537" s="108">
        <f>E408</f>
        <v>0.20003757053605767</v>
      </c>
      <c r="F537" s="102"/>
      <c r="G537" s="101">
        <f>D537*E537</f>
        <v>72.054204885391485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200.21237890965907</v>
      </c>
      <c r="AO537">
        <v>55.031466970926587</v>
      </c>
      <c r="AP537">
        <v>451.77228862599088</v>
      </c>
      <c r="AQ537">
        <v>339.52508369907929</v>
      </c>
      <c r="AR537">
        <v>54.999156475869533</v>
      </c>
      <c r="AS537">
        <v>279.42567657613614</v>
      </c>
      <c r="AT537">
        <v>25.89813316364075</v>
      </c>
      <c r="AU537">
        <v>32.805542031043608</v>
      </c>
      <c r="AV537"/>
      <c r="AW537"/>
      <c r="FY537" s="211">
        <v>532</v>
      </c>
      <c r="FZ537">
        <v>71.677789615637352</v>
      </c>
      <c r="GA537">
        <v>102.61503046249449</v>
      </c>
      <c r="GB537">
        <v>53.44866004068561</v>
      </c>
      <c r="GC537">
        <v>23.673138055267394</v>
      </c>
      <c r="GD537">
        <v>14.32903219461126</v>
      </c>
      <c r="GE537">
        <v>29.560904743423599</v>
      </c>
      <c r="GF537">
        <v>34.819773342436321</v>
      </c>
      <c r="GG537">
        <v>20.33393456648675</v>
      </c>
      <c r="GH537">
        <v>19.192602215473901</v>
      </c>
      <c r="GI537">
        <v>43.375241641477473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-7.1562268924045852E-2</v>
      </c>
      <c r="I538" s="101">
        <f>AVERAGE(D537:D539)</f>
        <v>326.52574167929777</v>
      </c>
      <c r="J538" s="101">
        <f>I538*H538</f>
        <v>-23.366922936677433</v>
      </c>
      <c r="K538" s="61">
        <f>J538/(C539-C537)</f>
        <v>-0.83453296202419402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207.5046527646503</v>
      </c>
      <c r="AO538">
        <v>67.404025859164435</v>
      </c>
      <c r="AP538">
        <v>547.15008091663867</v>
      </c>
      <c r="AQ538">
        <v>425.77404570227873</v>
      </c>
      <c r="AR538">
        <v>65.892268041899911</v>
      </c>
      <c r="AS538">
        <v>293.63531542827292</v>
      </c>
      <c r="AT538">
        <v>32.176629848223833</v>
      </c>
      <c r="AU538">
        <v>0.44424746962859274</v>
      </c>
      <c r="AV538"/>
      <c r="AW538"/>
      <c r="FY538" s="211">
        <v>533</v>
      </c>
      <c r="FZ538">
        <v>118.53549088749621</v>
      </c>
      <c r="GA538">
        <v>143.02455069848435</v>
      </c>
      <c r="GB538">
        <v>43.285427935761263</v>
      </c>
      <c r="GC538">
        <v>20.482006858443256</v>
      </c>
      <c r="GD538">
        <v>15.390354471895431</v>
      </c>
      <c r="GE538">
        <v>29.814981375536217</v>
      </c>
      <c r="GF538">
        <v>38.642722031960481</v>
      </c>
      <c r="GG538">
        <v>27.399713002463525</v>
      </c>
      <c r="GH538">
        <v>17.57974620093982</v>
      </c>
      <c r="GI538">
        <v>48.888474756609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292.84812409812412</v>
      </c>
      <c r="E539" s="108">
        <f>E409</f>
        <v>0.12847530161201182</v>
      </c>
      <c r="F539" s="102"/>
      <c r="G539" s="101">
        <f>D539*E539</f>
        <v>37.623751070018365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186.44905857504389</v>
      </c>
      <c r="AO539">
        <v>74.250244064050491</v>
      </c>
      <c r="AP539">
        <v>611.29556457881995</v>
      </c>
      <c r="AQ539">
        <v>496.63422295983628</v>
      </c>
      <c r="AR539">
        <v>72.839255723564619</v>
      </c>
      <c r="AS539">
        <v>333.47210706489784</v>
      </c>
      <c r="AT539">
        <v>40.159256535762822</v>
      </c>
      <c r="AU539">
        <v>36.163239986538272</v>
      </c>
      <c r="AV539"/>
      <c r="AW539"/>
      <c r="FY539" s="211">
        <v>534</v>
      </c>
      <c r="FZ539">
        <v>106.62786897466702</v>
      </c>
      <c r="GA539">
        <v>127.00593290521164</v>
      </c>
      <c r="GB539">
        <v>33.215713628834912</v>
      </c>
      <c r="GC539">
        <v>22.4767384948969</v>
      </c>
      <c r="GD539">
        <v>16.890779206740692</v>
      </c>
      <c r="GE539">
        <v>27.378268528487656</v>
      </c>
      <c r="GF539">
        <v>28.939212490165676</v>
      </c>
      <c r="GG539">
        <v>16.894695869122682</v>
      </c>
      <c r="GH539">
        <v>16.838697014787328</v>
      </c>
      <c r="GI539">
        <v>43.320806323901195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-3.0348367430731021E-2</v>
      </c>
      <c r="I540" s="101">
        <f>AVERAGE(D539:D541)</f>
        <v>267.40525099900105</v>
      </c>
      <c r="J540" s="101">
        <f>I540*H540</f>
        <v>-8.1153128102245375</v>
      </c>
      <c r="K540" s="61">
        <f>J540/(C541-C539)</f>
        <v>-0.33813803375935575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163.52289753234794</v>
      </c>
      <c r="AO540">
        <v>50.061968505471604</v>
      </c>
      <c r="AP540">
        <v>392.63873251401401</v>
      </c>
      <c r="AQ540">
        <v>299.3169285234485</v>
      </c>
      <c r="AR540">
        <v>48.996425039247001</v>
      </c>
      <c r="AS540">
        <v>232.03963284561726</v>
      </c>
      <c r="AT540">
        <v>23.998446604878101</v>
      </c>
      <c r="AU540">
        <v>-33.470993872719674</v>
      </c>
      <c r="AV540"/>
      <c r="AW540"/>
      <c r="FY540" s="211">
        <v>535</v>
      </c>
      <c r="FZ540">
        <v>40.495336133674932</v>
      </c>
      <c r="GA540">
        <v>38.553317270245046</v>
      </c>
      <c r="GB540">
        <v>26.367524195577957</v>
      </c>
      <c r="GC540">
        <v>16.67696560277626</v>
      </c>
      <c r="GD540">
        <v>15.529272331741652</v>
      </c>
      <c r="GE540">
        <v>25.103889165589209</v>
      </c>
      <c r="GF540">
        <v>34.030150303203605</v>
      </c>
      <c r="GG540">
        <v>26.787735659209321</v>
      </c>
      <c r="GH540">
        <v>22.591563019175027</v>
      </c>
      <c r="GI540">
        <v>33.012116508199561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241.96237789987794</v>
      </c>
      <c r="E541" s="108">
        <f>E410</f>
        <v>9.8126934181280795E-2</v>
      </c>
      <c r="F541" s="102"/>
      <c r="G541" s="101">
        <f>D541*E541</f>
        <v>23.743026330527513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253.11457006100699</v>
      </c>
      <c r="AO541">
        <v>67.773462703434717</v>
      </c>
      <c r="AP541">
        <v>512.6219174284555</v>
      </c>
      <c r="AQ541">
        <v>389.88550869516399</v>
      </c>
      <c r="AR541">
        <v>66.019107757805443</v>
      </c>
      <c r="AS541">
        <v>321.41614070998895</v>
      </c>
      <c r="AT541">
        <v>30.716694291929567</v>
      </c>
      <c r="AU541">
        <v>60.036443309254523</v>
      </c>
      <c r="AV541"/>
      <c r="AW541"/>
      <c r="FY541" s="211">
        <v>536</v>
      </c>
      <c r="FZ541">
        <v>82.071962492087749</v>
      </c>
      <c r="GA541">
        <v>96.593270680055653</v>
      </c>
      <c r="GB541">
        <v>55.230848441703472</v>
      </c>
      <c r="GC541">
        <v>31.150797302283401</v>
      </c>
      <c r="GD541">
        <v>19.750278576040863</v>
      </c>
      <c r="GE541">
        <v>35.115379549023224</v>
      </c>
      <c r="GF541">
        <v>26.589941062565337</v>
      </c>
      <c r="GG541">
        <v>19.128199719036505</v>
      </c>
      <c r="GH541">
        <v>31.885771201784266</v>
      </c>
      <c r="GI541">
        <v>49.091619169504455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4.1382690975464376E-2</v>
      </c>
      <c r="I542" s="101">
        <f>AVERAGE(D541:D543)</f>
        <v>200.63884954021677</v>
      </c>
      <c r="J542" s="101">
        <f>I542*H542</f>
        <v>8.3029755081954839</v>
      </c>
      <c r="K542" s="61">
        <f>J542/(C543-C541)</f>
        <v>0.17297865642073926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204.2741145174727</v>
      </c>
      <c r="AO542">
        <v>72.659178393863783</v>
      </c>
      <c r="AP542">
        <v>614.33032506895586</v>
      </c>
      <c r="AQ542">
        <v>494.817534470032</v>
      </c>
      <c r="AR542">
        <v>70.28112783685151</v>
      </c>
      <c r="AS542">
        <v>314.76810074419171</v>
      </c>
      <c r="AT542">
        <v>36.961966019459545</v>
      </c>
      <c r="AU542">
        <v>-9.7179225354913825</v>
      </c>
      <c r="AV542"/>
      <c r="AW542"/>
      <c r="FY542" s="211">
        <v>537</v>
      </c>
      <c r="FZ542">
        <v>79.636158671136599</v>
      </c>
      <c r="GA542">
        <v>89.742283298745605</v>
      </c>
      <c r="GB542">
        <v>42.252253598839275</v>
      </c>
      <c r="GC542">
        <v>26.407336659909888</v>
      </c>
      <c r="GD542">
        <v>16.304025908876735</v>
      </c>
      <c r="GE542">
        <v>23.270589469326637</v>
      </c>
      <c r="GF542">
        <v>45.181182686910198</v>
      </c>
      <c r="GG542">
        <v>38.437202574723472</v>
      </c>
      <c r="GH542">
        <v>17.195463128878991</v>
      </c>
      <c r="GI542">
        <v>44.71224511350367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159.31532118055557</v>
      </c>
      <c r="E543" s="108">
        <f>E411</f>
        <v>0.13950962515674517</v>
      </c>
      <c r="F543" s="102"/>
      <c r="G543" s="101">
        <f>D543*E543</f>
        <v>22.226020739625771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180.0242231794486</v>
      </c>
      <c r="AO543">
        <v>55.971122990378056</v>
      </c>
      <c r="AP543">
        <v>483.18843252527739</v>
      </c>
      <c r="AQ543">
        <v>378.27694715377623</v>
      </c>
      <c r="AR543">
        <v>53.66320693529218</v>
      </c>
      <c r="AS543">
        <v>249.9214656464965</v>
      </c>
      <c r="AT543">
        <v>27.96340394281421</v>
      </c>
      <c r="AU543">
        <v>17.552176594746307</v>
      </c>
      <c r="AV543"/>
      <c r="AW543"/>
      <c r="FY543" s="211">
        <v>538</v>
      </c>
      <c r="FZ543">
        <v>76.122644813131103</v>
      </c>
      <c r="GA543">
        <v>93.440467864844152</v>
      </c>
      <c r="GB543">
        <v>39.037546695359509</v>
      </c>
      <c r="GC543">
        <v>23.205110348487505</v>
      </c>
      <c r="GD543">
        <v>15.757569947595755</v>
      </c>
      <c r="GE543">
        <v>22.844604913256656</v>
      </c>
      <c r="GF543">
        <v>22.898736386970633</v>
      </c>
      <c r="GG543">
        <v>13.06425955333394</v>
      </c>
      <c r="GH543">
        <v>11.710844959090807</v>
      </c>
      <c r="GI543">
        <v>37.583506137794586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-3.4328293008926231E-2</v>
      </c>
      <c r="I544" s="101">
        <f>AVERAGE(D543:D545)</f>
        <v>346.22963028724746</v>
      </c>
      <c r="J544" s="101">
        <f>I544*H544</f>
        <v>-11.885472196872831</v>
      </c>
      <c r="K544" s="61">
        <f>J544/(C545-C543)</f>
        <v>-0.18865828883925129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165.79720472710088</v>
      </c>
      <c r="AO544">
        <v>58.917263804679692</v>
      </c>
      <c r="AP544">
        <v>531.98685515136322</v>
      </c>
      <c r="AQ544">
        <v>423.84732749076579</v>
      </c>
      <c r="AR544">
        <v>56.734485665074089</v>
      </c>
      <c r="AS544">
        <v>267.26369238272247</v>
      </c>
      <c r="AT544">
        <v>30.72179441047248</v>
      </c>
      <c r="AU544">
        <v>-33.264121617227858</v>
      </c>
      <c r="AV544"/>
      <c r="AW544"/>
      <c r="FY544" s="211">
        <v>539</v>
      </c>
      <c r="FZ544">
        <v>76.215059776373778</v>
      </c>
      <c r="GA544">
        <v>82.379660602777861</v>
      </c>
      <c r="GB544">
        <v>37.757115680899311</v>
      </c>
      <c r="GC544">
        <v>27.282678446371264</v>
      </c>
      <c r="GD544">
        <v>21.701883544933676</v>
      </c>
      <c r="GE544">
        <v>32.059964227787781</v>
      </c>
      <c r="GF544">
        <v>37.563135393777657</v>
      </c>
      <c r="GG544">
        <v>27.32411033303914</v>
      </c>
      <c r="GH544">
        <v>35.322111243736522</v>
      </c>
      <c r="GI544">
        <v>47.780750527750349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533.14393939393938</v>
      </c>
      <c r="E545" s="108">
        <f>E412</f>
        <v>0.10518133214781894</v>
      </c>
      <c r="F545" s="102"/>
      <c r="G545" s="101">
        <f>D545*E545</f>
        <v>56.07678977199059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208.90064760764363</v>
      </c>
      <c r="AO545">
        <v>54.015838202818053</v>
      </c>
      <c r="AP545">
        <v>411.9384702589083</v>
      </c>
      <c r="AQ545">
        <v>316.5657528262534</v>
      </c>
      <c r="AR545">
        <v>52.805966832715725</v>
      </c>
      <c r="AS545">
        <v>274.19507540415361</v>
      </c>
      <c r="AT545">
        <v>24.387856185372964</v>
      </c>
      <c r="AU545">
        <v>-44.742899749620037</v>
      </c>
      <c r="AV545"/>
      <c r="AW545"/>
      <c r="FY545" s="211">
        <v>540</v>
      </c>
      <c r="FZ545">
        <v>32.237858099564548</v>
      </c>
      <c r="GA545">
        <v>47.567697248947418</v>
      </c>
      <c r="GB545">
        <v>38.0659977166153</v>
      </c>
      <c r="GC545">
        <v>23.759692022983533</v>
      </c>
      <c r="GD545">
        <v>19.912194222094882</v>
      </c>
      <c r="GE545">
        <v>26.763437256448729</v>
      </c>
      <c r="GF545">
        <v>60.618702831815021</v>
      </c>
      <c r="GG545">
        <v>51.760101795100447</v>
      </c>
      <c r="GH545">
        <v>23.134439638676806</v>
      </c>
      <c r="GI545">
        <v>42.953838299942163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0.28008315605376621</v>
      </c>
      <c r="I546" s="101">
        <f>AVERAGE(D545:D547)</f>
        <v>281.03401307596511</v>
      </c>
      <c r="J546" s="101">
        <f>I546*H546</f>
        <v>78.712893340771714</v>
      </c>
      <c r="K546" s="61">
        <f>J546/(C547-C545)</f>
        <v>2.0182793164300441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256.94938922078165</v>
      </c>
      <c r="AO546">
        <v>82.759047100828582</v>
      </c>
      <c r="AP546">
        <v>694.78804286454977</v>
      </c>
      <c r="AQ546">
        <v>555.66085546487568</v>
      </c>
      <c r="AR546">
        <v>79.905841320094396</v>
      </c>
      <c r="AS546">
        <v>360.96442950958931</v>
      </c>
      <c r="AT546">
        <v>41.133873611646983</v>
      </c>
      <c r="AU546">
        <v>-17.180298837695425</v>
      </c>
      <c r="AV546"/>
      <c r="AW546"/>
      <c r="FY546" s="211">
        <v>541</v>
      </c>
      <c r="FZ546">
        <v>25.775391848531484</v>
      </c>
      <c r="GA546">
        <v>44.670009276131594</v>
      </c>
      <c r="GB546">
        <v>48.448977205365487</v>
      </c>
      <c r="GC546">
        <v>28.9873619319863</v>
      </c>
      <c r="GD546">
        <v>15.127930603104403</v>
      </c>
      <c r="GE546">
        <v>28.375660229275343</v>
      </c>
      <c r="GF546">
        <v>72.331701738700076</v>
      </c>
      <c r="GG546">
        <v>53.015635514094271</v>
      </c>
      <c r="GH546">
        <v>21.76513300001951</v>
      </c>
      <c r="GI546">
        <v>43.434417850395207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28.924086757990864</v>
      </c>
      <c r="E547" s="108">
        <f>E413</f>
        <v>0.38526448820158515</v>
      </c>
      <c r="F547" s="102"/>
      <c r="G547" s="101">
        <f>D547*E547</f>
        <v>11.143423481515596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246.31920985369575</v>
      </c>
      <c r="AO547">
        <v>73.784149455961071</v>
      </c>
      <c r="AP547">
        <v>600.03313893643087</v>
      </c>
      <c r="AQ547">
        <v>474.24650073263774</v>
      </c>
      <c r="AR547">
        <v>72.648880742708414</v>
      </c>
      <c r="AS547">
        <v>331.54703893523526</v>
      </c>
      <c r="AT547">
        <v>35.599619817664717</v>
      </c>
      <c r="AU547">
        <v>-5.3063850144167048</v>
      </c>
      <c r="AV547"/>
      <c r="AW547"/>
      <c r="FY547" s="211">
        <v>542</v>
      </c>
      <c r="FZ547">
        <v>72.644860878138985</v>
      </c>
      <c r="GA547">
        <v>104.61057495417933</v>
      </c>
      <c r="GB547">
        <v>38.832143378272058</v>
      </c>
      <c r="GC547">
        <v>19.052090206893986</v>
      </c>
      <c r="GD547">
        <v>16.900329338874016</v>
      </c>
      <c r="GE547">
        <v>32.882600503176448</v>
      </c>
      <c r="GF547">
        <v>32.38020657736628</v>
      </c>
      <c r="GG547">
        <v>18.797449435141825</v>
      </c>
      <c r="GH547">
        <v>32.635599837993723</v>
      </c>
      <c r="GI547">
        <v>42.818372677516699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-0.1798256408614454</v>
      </c>
      <c r="I548" s="101">
        <f>AVERAGE(D547:D549)</f>
        <v>96.504781827262761</v>
      </c>
      <c r="J548" s="101">
        <f>I548*H548</f>
        <v>-17.354034238281496</v>
      </c>
      <c r="K548" s="61">
        <f>J548/(C549-C547)</f>
        <v>-0.4566851115337236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207.25680538575276</v>
      </c>
      <c r="AO548">
        <v>64.669891016226046</v>
      </c>
      <c r="AP548">
        <v>525.18500492255123</v>
      </c>
      <c r="AQ548">
        <v>413.02610687799415</v>
      </c>
      <c r="AR548">
        <v>62.138935832866537</v>
      </c>
      <c r="AS548">
        <v>295.07456364494004</v>
      </c>
      <c r="AT548">
        <v>30.64870521798828</v>
      </c>
      <c r="AU548">
        <v>-3.1688067533522712E-2</v>
      </c>
      <c r="AV548"/>
      <c r="AW548"/>
      <c r="FY548" s="211">
        <v>543</v>
      </c>
      <c r="FZ548">
        <v>38.873241883988264</v>
      </c>
      <c r="GA548">
        <v>35.397927842994292</v>
      </c>
      <c r="GB548">
        <v>42.842609830048424</v>
      </c>
      <c r="GC548">
        <v>26.466201844326612</v>
      </c>
      <c r="GD548">
        <v>15.401511937657475</v>
      </c>
      <c r="GE548">
        <v>22.840791116703265</v>
      </c>
      <c r="GF548">
        <v>21.330321380650698</v>
      </c>
      <c r="GG548">
        <v>17.675629974029238</v>
      </c>
      <c r="GH548">
        <v>24.640110215315115</v>
      </c>
      <c r="GI548">
        <v>34.652749171966171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164.08547689653466</v>
      </c>
      <c r="E549" s="108">
        <f>E414</f>
        <v>0.20543884734013976</v>
      </c>
      <c r="F549" s="102"/>
      <c r="G549" s="101">
        <f>D549*E549</f>
        <v>33.709531238881212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216.29788814586655</v>
      </c>
      <c r="AO549">
        <v>73.499158472392594</v>
      </c>
      <c r="AP549">
        <v>628.82843251229224</v>
      </c>
      <c r="AQ549">
        <v>503.04346821958956</v>
      </c>
      <c r="AR549">
        <v>70.855767976476585</v>
      </c>
      <c r="AS549">
        <v>365.71134996395591</v>
      </c>
      <c r="AT549">
        <v>36.622424235913201</v>
      </c>
      <c r="AU549">
        <v>-15.57905053993526</v>
      </c>
      <c r="AV549"/>
      <c r="AW549"/>
      <c r="FY549" s="211">
        <v>544</v>
      </c>
      <c r="FZ549">
        <v>116.82338766059327</v>
      </c>
      <c r="GA549">
        <v>144.60340872865805</v>
      </c>
      <c r="GB549">
        <v>40.081290915780151</v>
      </c>
      <c r="GC549">
        <v>18.320805481424276</v>
      </c>
      <c r="GD549">
        <v>12.501614719079242</v>
      </c>
      <c r="GE549">
        <v>21.673110978022258</v>
      </c>
      <c r="GF549">
        <v>27.983079561248477</v>
      </c>
      <c r="GG549">
        <v>25.253331977882041</v>
      </c>
      <c r="GH549">
        <v>33.960000495224328</v>
      </c>
      <c r="GI549">
        <v>46.26499222657386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-0.20543884734013976</v>
      </c>
      <c r="I550" s="101">
        <f>AVERAGE(D549:D551)</f>
        <v>82.042738448267329</v>
      </c>
      <c r="J550" s="101">
        <f>I550*H550</f>
        <v>-16.854765619440606</v>
      </c>
      <c r="K550" s="61">
        <f>J550/(C551-C549)</f>
        <v>4.2150612997825807E-4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173.82766994494918</v>
      </c>
      <c r="AO550">
        <v>65.558726793529715</v>
      </c>
      <c r="AP550">
        <v>532.5841550882044</v>
      </c>
      <c r="AQ550">
        <v>439.58871343681574</v>
      </c>
      <c r="AR550">
        <v>62.532858597132254</v>
      </c>
      <c r="AS550">
        <v>289.4220207293144</v>
      </c>
      <c r="AT550">
        <v>33.127622535696531</v>
      </c>
      <c r="AU550">
        <v>-5.3220883600496087</v>
      </c>
      <c r="AV550"/>
      <c r="AW550"/>
      <c r="FY550" s="211">
        <v>545</v>
      </c>
      <c r="FZ550">
        <v>73.345930631378877</v>
      </c>
      <c r="GA550">
        <v>90.760242017991942</v>
      </c>
      <c r="GB550">
        <v>44.000155584754488</v>
      </c>
      <c r="GC550">
        <v>24.899846227754924</v>
      </c>
      <c r="GD550">
        <v>16.789907249012067</v>
      </c>
      <c r="GE550">
        <v>29.011196952413918</v>
      </c>
      <c r="GF550">
        <v>51.505602315174102</v>
      </c>
      <c r="GG550">
        <v>34.878977425151398</v>
      </c>
      <c r="GH550">
        <v>16.487142073636004</v>
      </c>
      <c r="GI550">
        <v>45.615558459748485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158.21570260390655</v>
      </c>
      <c r="AO551">
        <v>47.36609079835042</v>
      </c>
      <c r="AP551">
        <v>345.05306643472443</v>
      </c>
      <c r="AQ551">
        <v>279.14787018939256</v>
      </c>
      <c r="AR551">
        <v>47.32387958070656</v>
      </c>
      <c r="AS551">
        <v>233.14761995845677</v>
      </c>
      <c r="AT551">
        <v>23.16167241602686</v>
      </c>
      <c r="AU551">
        <v>26.580424929789007</v>
      </c>
      <c r="AV551"/>
      <c r="AW551"/>
      <c r="FY551" s="211">
        <v>546</v>
      </c>
      <c r="FZ551">
        <v>82.594797198900352</v>
      </c>
      <c r="GA551">
        <v>97.810204444141064</v>
      </c>
      <c r="GB551">
        <v>41.859222362617473</v>
      </c>
      <c r="GC551">
        <v>21.243900972718116</v>
      </c>
      <c r="GD551">
        <v>14.598798141498859</v>
      </c>
      <c r="GE551">
        <v>27.865087018857462</v>
      </c>
      <c r="GF551">
        <v>34.144217329250665</v>
      </c>
      <c r="GG551">
        <v>20.036033421133681</v>
      </c>
      <c r="GH551">
        <v>18.324823391276105</v>
      </c>
      <c r="GI551">
        <v>41.647276320537962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208.70669187456366</v>
      </c>
      <c r="AO552">
        <v>72.654647209443908</v>
      </c>
      <c r="AP552">
        <v>550.8909907013973</v>
      </c>
      <c r="AQ552">
        <v>446.60806819408492</v>
      </c>
      <c r="AR552">
        <v>70.556727574497415</v>
      </c>
      <c r="AS552">
        <v>335.52177325597228</v>
      </c>
      <c r="AT552">
        <v>34.959912012501242</v>
      </c>
      <c r="AU552">
        <v>4.5144436091872109</v>
      </c>
      <c r="AV552"/>
      <c r="AW552"/>
      <c r="FY552" s="211">
        <v>547</v>
      </c>
      <c r="FZ552">
        <v>65.773147201879453</v>
      </c>
      <c r="GA552">
        <v>88.194148143090899</v>
      </c>
      <c r="GB552">
        <v>41.20429321259909</v>
      </c>
      <c r="GC552">
        <v>22.696237559118327</v>
      </c>
      <c r="GD552">
        <v>17.69254398597079</v>
      </c>
      <c r="GE552">
        <v>33.717831697475582</v>
      </c>
      <c r="GF552">
        <v>78.007113747497641</v>
      </c>
      <c r="GG552">
        <v>65.689807908843505</v>
      </c>
      <c r="GH552">
        <v>28.498070423550409</v>
      </c>
      <c r="GI552">
        <v>51.686089783100485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202.67646704795339</v>
      </c>
      <c r="AO553">
        <v>67.269240804166614</v>
      </c>
      <c r="AP553">
        <v>534.9164483079752</v>
      </c>
      <c r="AQ553">
        <v>423.13874111085107</v>
      </c>
      <c r="AR553">
        <v>64.851478041489173</v>
      </c>
      <c r="AS553">
        <v>333.08089350308182</v>
      </c>
      <c r="AT553">
        <v>32.399473830585094</v>
      </c>
      <c r="AU553">
        <v>24.513575443001145</v>
      </c>
      <c r="AV553"/>
      <c r="AW553"/>
      <c r="FY553" s="211">
        <v>548</v>
      </c>
      <c r="FZ553">
        <v>77.156864811733044</v>
      </c>
      <c r="GA553">
        <v>79.52197198317316</v>
      </c>
      <c r="GB553">
        <v>37.698457427103051</v>
      </c>
      <c r="GC553">
        <v>20.325977276655845</v>
      </c>
      <c r="GD553">
        <v>12.335588177320343</v>
      </c>
      <c r="GE553">
        <v>27.873226585430604</v>
      </c>
      <c r="GF553">
        <v>30.994297447321276</v>
      </c>
      <c r="GG553">
        <v>24.477147943987823</v>
      </c>
      <c r="GH553">
        <v>35.538461451536172</v>
      </c>
      <c r="GI553">
        <v>40.624295893825483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176.02839030296875</v>
      </c>
      <c r="AO554">
        <v>56.011724176080307</v>
      </c>
      <c r="AP554">
        <v>438.3255743849204</v>
      </c>
      <c r="AQ554">
        <v>355.66529161986466</v>
      </c>
      <c r="AR554">
        <v>54.197769388239742</v>
      </c>
      <c r="AS554">
        <v>259.95315513452778</v>
      </c>
      <c r="AT554">
        <v>26.90839538745432</v>
      </c>
      <c r="AU554">
        <v>-21.004383758061969</v>
      </c>
      <c r="AV554"/>
      <c r="AW554"/>
      <c r="FY554" s="211">
        <v>549</v>
      </c>
      <c r="FZ554">
        <v>65.038429830912236</v>
      </c>
      <c r="GA554">
        <v>95.873378635328564</v>
      </c>
      <c r="GB554">
        <v>54.882388329216333</v>
      </c>
      <c r="GC554">
        <v>25.980657527495126</v>
      </c>
      <c r="GD554">
        <v>13.726799656036919</v>
      </c>
      <c r="GE554">
        <v>28.428387211795116</v>
      </c>
      <c r="GF554">
        <v>43.908212686610817</v>
      </c>
      <c r="GG554">
        <v>23.900149575636927</v>
      </c>
      <c r="GH554">
        <v>13.66211304712721</v>
      </c>
      <c r="GI554">
        <v>43.347616004319661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230.01058097266454</v>
      </c>
      <c r="AO555">
        <v>69.447050566108885</v>
      </c>
      <c r="AP555">
        <v>518.23206025104935</v>
      </c>
      <c r="AQ555">
        <v>425.3864697774473</v>
      </c>
      <c r="AR555">
        <v>68.662437291536776</v>
      </c>
      <c r="AS555">
        <v>337.17888499622666</v>
      </c>
      <c r="AT555">
        <v>33.858401972152727</v>
      </c>
      <c r="AU555">
        <v>-6.7596545504066441</v>
      </c>
      <c r="AV555"/>
      <c r="AW555"/>
      <c r="FY555" s="211">
        <v>550</v>
      </c>
      <c r="FZ555">
        <v>72.116716483761934</v>
      </c>
      <c r="GA555">
        <v>85.198737549303004</v>
      </c>
      <c r="GB555">
        <v>39.640591803870024</v>
      </c>
      <c r="GC555">
        <v>19.190405794233229</v>
      </c>
      <c r="GD555">
        <v>11.962424358592624</v>
      </c>
      <c r="GE555">
        <v>30.148864305653127</v>
      </c>
      <c r="GF555">
        <v>42.560065075486229</v>
      </c>
      <c r="GG555">
        <v>31.887064631851892</v>
      </c>
      <c r="GH555">
        <v>34.570121723757538</v>
      </c>
      <c r="GI555">
        <v>42.47239902246627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34.28891001824136</v>
      </c>
      <c r="H556" s="63" t="s">
        <v>103</v>
      </c>
      <c r="I556" s="123">
        <f>SUM(J532:J552)+G531</f>
        <v>4.152629106153924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231.52182842039502</v>
      </c>
      <c r="AO556">
        <v>63.381188483526579</v>
      </c>
      <c r="AP556">
        <v>466.74202084393431</v>
      </c>
      <c r="AQ556">
        <v>366.77395913218885</v>
      </c>
      <c r="AR556">
        <v>61.745011028247717</v>
      </c>
      <c r="AS556">
        <v>309.3969049875048</v>
      </c>
      <c r="AT556">
        <v>28.25856833369976</v>
      </c>
      <c r="AU556">
        <v>-33.346976177728614</v>
      </c>
      <c r="AV556"/>
      <c r="AW556"/>
      <c r="FY556" s="211">
        <v>551</v>
      </c>
      <c r="FZ556">
        <v>101.09299093363144</v>
      </c>
      <c r="GA556">
        <v>111.6601770834876</v>
      </c>
      <c r="GB556">
        <v>61.789560340001529</v>
      </c>
      <c r="GC556">
        <v>32.236240659997492</v>
      </c>
      <c r="GD556">
        <v>18.714673602678442</v>
      </c>
      <c r="GE556">
        <v>31.647869670617592</v>
      </c>
      <c r="GF556">
        <v>26.244217213442667</v>
      </c>
      <c r="GG556">
        <v>15.86374092666024</v>
      </c>
      <c r="GH556">
        <v>19.922922201243843</v>
      </c>
      <c r="GI556">
        <v>51.004349115570868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230.61070347305503</v>
      </c>
      <c r="AO557">
        <v>65.627775785429534</v>
      </c>
      <c r="AP557">
        <v>499.78124707848951</v>
      </c>
      <c r="AQ557">
        <v>381.93221919760362</v>
      </c>
      <c r="AR557">
        <v>61.83777115439544</v>
      </c>
      <c r="AS557">
        <v>310.99884330358174</v>
      </c>
      <c r="AT557">
        <v>30.221384280322326</v>
      </c>
      <c r="AU557">
        <v>116.85899587762154</v>
      </c>
      <c r="AV557"/>
      <c r="AW557"/>
      <c r="FY557" s="211">
        <v>552</v>
      </c>
      <c r="FZ557">
        <v>87.830273842522345</v>
      </c>
      <c r="GA557">
        <v>87.283783975892476</v>
      </c>
      <c r="GB557">
        <v>37.173197298139414</v>
      </c>
      <c r="GC557">
        <v>20.077056398143696</v>
      </c>
      <c r="GD557">
        <v>17.30546224639221</v>
      </c>
      <c r="GE557">
        <v>28.350177579490666</v>
      </c>
      <c r="GF557">
        <v>37.29866382156527</v>
      </c>
      <c r="GG557">
        <v>32.854994560809907</v>
      </c>
      <c r="GH557">
        <v>21.935819869873647</v>
      </c>
      <c r="GI557">
        <v>44.138395039076848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213.88988137556854</v>
      </c>
      <c r="AO558">
        <v>62.936907639285664</v>
      </c>
      <c r="AP558">
        <v>508.10716689943325</v>
      </c>
      <c r="AQ558">
        <v>411.55422778755332</v>
      </c>
      <c r="AR558">
        <v>61.15415374208893</v>
      </c>
      <c r="AS558">
        <v>303.04652966297039</v>
      </c>
      <c r="AT558">
        <v>30.590640747985944</v>
      </c>
      <c r="AU558">
        <v>-40.814807946270413</v>
      </c>
      <c r="AV558"/>
      <c r="AW558"/>
      <c r="FY558" s="211">
        <v>553</v>
      </c>
      <c r="FZ558">
        <v>84.00400678471533</v>
      </c>
      <c r="GA558">
        <v>88.833295456059503</v>
      </c>
      <c r="GB558">
        <v>40.498819654052475</v>
      </c>
      <c r="GC558">
        <v>24.667690561196629</v>
      </c>
      <c r="GD558">
        <v>18.179699983029554</v>
      </c>
      <c r="GE558">
        <v>38.717239872570595</v>
      </c>
      <c r="GF558">
        <v>58.704971586626918</v>
      </c>
      <c r="GG558">
        <v>34.789305888206805</v>
      </c>
      <c r="GH558">
        <v>21.557785297533687</v>
      </c>
      <c r="GI558">
        <v>49.370784332385355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0.12110706067777502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188.32598818876355</v>
      </c>
      <c r="AO559">
        <v>49.76370305519491</v>
      </c>
      <c r="AP559">
        <v>347.75074451557794</v>
      </c>
      <c r="AQ559">
        <v>280.12109519767955</v>
      </c>
      <c r="AR559">
        <v>49.532403759571118</v>
      </c>
      <c r="AS559">
        <v>265.69823462291953</v>
      </c>
      <c r="AT559">
        <v>23.778988875418261</v>
      </c>
      <c r="AU559">
        <v>15.567123782459298</v>
      </c>
      <c r="AV559"/>
      <c r="AW559"/>
      <c r="FY559" s="211">
        <v>554</v>
      </c>
      <c r="FZ559">
        <v>33.673500138665311</v>
      </c>
      <c r="GA559">
        <v>45.721835303325648</v>
      </c>
      <c r="GB559">
        <v>41.633359197691661</v>
      </c>
      <c r="GC559">
        <v>26.229728219498032</v>
      </c>
      <c r="GD559">
        <v>16.449565540965295</v>
      </c>
      <c r="GE559">
        <v>28.118704554531224</v>
      </c>
      <c r="GF559">
        <v>46.764359628818809</v>
      </c>
      <c r="GG559">
        <v>33.508701809877373</v>
      </c>
      <c r="GH559">
        <v>26.784560947443854</v>
      </c>
      <c r="GI559">
        <v>39.710575931291032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213.60429031346513</v>
      </c>
      <c r="AO560">
        <v>67.97444669272754</v>
      </c>
      <c r="AP560">
        <v>608.14487470832091</v>
      </c>
      <c r="AQ560">
        <v>487.46502274448585</v>
      </c>
      <c r="AR560">
        <v>66.756771150711913</v>
      </c>
      <c r="AS560">
        <v>329.55180280092515</v>
      </c>
      <c r="AT560">
        <v>35.643609489430411</v>
      </c>
      <c r="AU560">
        <v>-14.074996487515996</v>
      </c>
      <c r="AV560"/>
      <c r="AW560"/>
      <c r="FY560" s="211">
        <v>555</v>
      </c>
      <c r="FZ560">
        <v>74.258337534130192</v>
      </c>
      <c r="GA560">
        <v>91.553167227421369</v>
      </c>
      <c r="GB560">
        <v>57.522500836157199</v>
      </c>
      <c r="GC560">
        <v>32.0393970445717</v>
      </c>
      <c r="GD560">
        <v>16.732144274938179</v>
      </c>
      <c r="GE560">
        <v>25.44386140063131</v>
      </c>
      <c r="GF560">
        <v>47.99425083599737</v>
      </c>
      <c r="GG560">
        <v>39.723931822599646</v>
      </c>
      <c r="GH560">
        <v>28.144018281682769</v>
      </c>
      <c r="GI560">
        <v>50.223478370108424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203.68074322663074</v>
      </c>
      <c r="AO561">
        <v>67.901001698202208</v>
      </c>
      <c r="AP561">
        <v>536.94123261837899</v>
      </c>
      <c r="AQ561">
        <v>427.29455893701618</v>
      </c>
      <c r="AR561">
        <v>65.524129524352929</v>
      </c>
      <c r="AS561">
        <v>301.80411425199122</v>
      </c>
      <c r="AT561">
        <v>32.818471518243292</v>
      </c>
      <c r="AU561">
        <v>-1.5660387755223226</v>
      </c>
      <c r="AV561"/>
      <c r="AW561"/>
      <c r="FY561" s="211">
        <v>556</v>
      </c>
      <c r="FZ561">
        <v>18.809020594576161</v>
      </c>
      <c r="GA561">
        <v>30.798802782688899</v>
      </c>
      <c r="GB561">
        <v>46.673592051284125</v>
      </c>
      <c r="GC561">
        <v>25.534808758352483</v>
      </c>
      <c r="GD561">
        <v>16.036062556765575</v>
      </c>
      <c r="GE561">
        <v>27.721151739999229</v>
      </c>
      <c r="GF561">
        <v>40.399383532964798</v>
      </c>
      <c r="GG561">
        <v>37.127779852471619</v>
      </c>
      <c r="GH561">
        <v>30.162877839247887</v>
      </c>
      <c r="GI561">
        <v>37.775184430550119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203.13473752599222</v>
      </c>
      <c r="AO562">
        <v>61.233181349252348</v>
      </c>
      <c r="AP562">
        <v>496.82249064704155</v>
      </c>
      <c r="AQ562">
        <v>400.12436060093171</v>
      </c>
      <c r="AR562">
        <v>59.672309462129441</v>
      </c>
      <c r="AS562">
        <v>277.35372931307461</v>
      </c>
      <c r="AT562">
        <v>29.073609711837715</v>
      </c>
      <c r="AU562">
        <v>-5.8132780797895336</v>
      </c>
      <c r="AV562"/>
      <c r="AW562"/>
      <c r="FY562" s="211">
        <v>557</v>
      </c>
      <c r="FZ562">
        <v>33.131853276144454</v>
      </c>
      <c r="GA562">
        <v>32.683026695377144</v>
      </c>
      <c r="GB562">
        <v>47.739046552849452</v>
      </c>
      <c r="GC562">
        <v>29.720967231102041</v>
      </c>
      <c r="GD562">
        <v>21.075657392222844</v>
      </c>
      <c r="GE562">
        <v>37.696274175557356</v>
      </c>
      <c r="GF562">
        <v>58.930527226339905</v>
      </c>
      <c r="GG562">
        <v>47.280867699310043</v>
      </c>
      <c r="GH562">
        <v>27.827510048738738</v>
      </c>
      <c r="GI562">
        <v>46.696727315012552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261.4271213403988</v>
      </c>
      <c r="AO563">
        <v>78.491288942799741</v>
      </c>
      <c r="AP563">
        <v>636.10842426692136</v>
      </c>
      <c r="AQ563">
        <v>493.15928366312613</v>
      </c>
      <c r="AR563">
        <v>74.76486519836719</v>
      </c>
      <c r="AS563">
        <v>350.69801385863798</v>
      </c>
      <c r="AT563">
        <v>36.00483065896632</v>
      </c>
      <c r="AU563">
        <v>35.596890745977433</v>
      </c>
      <c r="AV563"/>
      <c r="AW563"/>
      <c r="FY563" s="211">
        <v>558</v>
      </c>
      <c r="FZ563">
        <v>24.028060807652491</v>
      </c>
      <c r="GA563">
        <v>27.464496553634973</v>
      </c>
      <c r="GB563">
        <v>31.50584492418043</v>
      </c>
      <c r="GC563">
        <v>22.234123686072568</v>
      </c>
      <c r="GD563">
        <v>16.448743483135789</v>
      </c>
      <c r="GE563">
        <v>24.327100136135435</v>
      </c>
      <c r="GF563">
        <v>40.526884160498554</v>
      </c>
      <c r="GG563">
        <v>33.234872896213034</v>
      </c>
      <c r="GH563">
        <v>22.722773707324123</v>
      </c>
      <c r="GI563">
        <v>33.813009674919755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179.54805217947745</v>
      </c>
      <c r="AO564">
        <v>59.094524535535029</v>
      </c>
      <c r="AP564">
        <v>480.26192946069477</v>
      </c>
      <c r="AQ564">
        <v>386.54628899808682</v>
      </c>
      <c r="AR564">
        <v>58.148952990485753</v>
      </c>
      <c r="AS564">
        <v>279.81922996454642</v>
      </c>
      <c r="AT564">
        <v>30.27355215004506</v>
      </c>
      <c r="AU564">
        <v>1.95340545251522</v>
      </c>
      <c r="AV564"/>
      <c r="AW564"/>
      <c r="FY564" s="211">
        <v>559</v>
      </c>
      <c r="FZ564">
        <v>75.846938246649003</v>
      </c>
      <c r="GA564">
        <v>82.193966027018377</v>
      </c>
      <c r="GB564">
        <v>38.622458140880966</v>
      </c>
      <c r="GC564">
        <v>20.595803365788051</v>
      </c>
      <c r="GD564">
        <v>12.878991286530143</v>
      </c>
      <c r="GE564">
        <v>21.279414362857914</v>
      </c>
      <c r="GF564">
        <v>25.674475654051129</v>
      </c>
      <c r="GG564">
        <v>19.847270942872505</v>
      </c>
      <c r="GH564">
        <v>18.45139467762985</v>
      </c>
      <c r="GI564">
        <v>37.227240372726371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216.70677828484463</v>
      </c>
      <c r="AO565">
        <v>65.32633876769431</v>
      </c>
      <c r="AP565">
        <v>526.91374236839715</v>
      </c>
      <c r="AQ565">
        <v>408.74813250447886</v>
      </c>
      <c r="AR565">
        <v>62.185158854607877</v>
      </c>
      <c r="AS565">
        <v>314.17022764814834</v>
      </c>
      <c r="AT565">
        <v>29.071969236782309</v>
      </c>
      <c r="AU565">
        <v>13.191084739374617</v>
      </c>
      <c r="AV565"/>
      <c r="AW565"/>
      <c r="FY565" s="211">
        <v>560</v>
      </c>
      <c r="FZ565">
        <v>83.92456209379705</v>
      </c>
      <c r="GA565">
        <v>90.380004072434645</v>
      </c>
      <c r="GB565">
        <v>56.443704812709043</v>
      </c>
      <c r="GC565">
        <v>32.064890813678886</v>
      </c>
      <c r="GD565">
        <v>21.200812135815635</v>
      </c>
      <c r="GE565">
        <v>33.285565942510061</v>
      </c>
      <c r="GF565">
        <v>18.986462325614326</v>
      </c>
      <c r="GG565">
        <v>13.612635327567572</v>
      </c>
      <c r="GH565">
        <v>15.324843239986844</v>
      </c>
      <c r="GI565">
        <v>46.512172029300352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195.10988790806391</v>
      </c>
      <c r="AO566">
        <v>62.95942912978235</v>
      </c>
      <c r="AP566">
        <v>522.06915492004043</v>
      </c>
      <c r="AQ566">
        <v>409.74739074897593</v>
      </c>
      <c r="AR566">
        <v>60.811640253146685</v>
      </c>
      <c r="AS566">
        <v>275.33148792656272</v>
      </c>
      <c r="AT566">
        <v>30.633609961068334</v>
      </c>
      <c r="AU566">
        <v>3.6725926301205689</v>
      </c>
      <c r="AV566"/>
      <c r="AW566"/>
      <c r="FY566" s="211">
        <v>561</v>
      </c>
      <c r="FZ566">
        <v>74.606429310576999</v>
      </c>
      <c r="GA566">
        <v>86.549241679398392</v>
      </c>
      <c r="GB566">
        <v>48.234788559434477</v>
      </c>
      <c r="GC566">
        <v>25.940395615210299</v>
      </c>
      <c r="GD566">
        <v>11.322669579245721</v>
      </c>
      <c r="GE566">
        <v>20.776270405288276</v>
      </c>
      <c r="GF566">
        <v>58.820426857612873</v>
      </c>
      <c r="GG566">
        <v>43.446990345695674</v>
      </c>
      <c r="GH566">
        <v>12.219872677972125</v>
      </c>
      <c r="GI566">
        <v>44.114362196420878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218.17002296159504</v>
      </c>
      <c r="AO567">
        <v>74.848585379424733</v>
      </c>
      <c r="AP567">
        <v>583.76815865396748</v>
      </c>
      <c r="AQ567">
        <v>470.17674174733162</v>
      </c>
      <c r="AR567">
        <v>73.441323245902424</v>
      </c>
      <c r="AS567">
        <v>339.57286653162964</v>
      </c>
      <c r="AT567">
        <v>35.406027388473674</v>
      </c>
      <c r="AU567">
        <v>10.097229494148444</v>
      </c>
      <c r="AV567"/>
      <c r="AW567"/>
      <c r="FY567" s="211">
        <v>562</v>
      </c>
      <c r="FZ567">
        <v>75.24951707445868</v>
      </c>
      <c r="GA567">
        <v>101.36402884363231</v>
      </c>
      <c r="GB567">
        <v>45.028753860518911</v>
      </c>
      <c r="GC567">
        <v>22.525612662911122</v>
      </c>
      <c r="GD567">
        <v>17.040720123577334</v>
      </c>
      <c r="GE567">
        <v>26.736035263996644</v>
      </c>
      <c r="GF567">
        <v>65.105265253416988</v>
      </c>
      <c r="GG567">
        <v>60.827756941391229</v>
      </c>
      <c r="GH567">
        <v>25.914478517080251</v>
      </c>
      <c r="GI567">
        <v>50.632333710191375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211.83707897800068</v>
      </c>
      <c r="AO568">
        <v>63.98895088502892</v>
      </c>
      <c r="AP568">
        <v>509.47969727731834</v>
      </c>
      <c r="AQ568">
        <v>414.2478246319065</v>
      </c>
      <c r="AR568">
        <v>63.724471153466169</v>
      </c>
      <c r="AS568">
        <v>314.39958638031277</v>
      </c>
      <c r="AT568">
        <v>33.366399044388473</v>
      </c>
      <c r="AU568">
        <v>56.035282526351295</v>
      </c>
      <c r="AV568"/>
      <c r="AW568"/>
      <c r="FY568" s="211">
        <v>563</v>
      </c>
      <c r="FZ568">
        <v>123.90000473877504</v>
      </c>
      <c r="GA568">
        <v>144.91886484120599</v>
      </c>
      <c r="GB568">
        <v>45.297031033622197</v>
      </c>
      <c r="GC568">
        <v>23.378791176392301</v>
      </c>
      <c r="GD568">
        <v>13.109928304977103</v>
      </c>
      <c r="GE568">
        <v>14.903622234545535</v>
      </c>
      <c r="GF568">
        <v>19.118114867516105</v>
      </c>
      <c r="GG568">
        <v>17.866502585003378</v>
      </c>
      <c r="GH568">
        <v>19.779931077762107</v>
      </c>
      <c r="GI568">
        <v>45.035853959897359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244.28958951920686</v>
      </c>
      <c r="AO569">
        <v>73.094550444521445</v>
      </c>
      <c r="AP569">
        <v>570.54117853244759</v>
      </c>
      <c r="AQ569">
        <v>459.32359941637685</v>
      </c>
      <c r="AR569">
        <v>70.37712663350716</v>
      </c>
      <c r="AS569">
        <v>340.82149124277299</v>
      </c>
      <c r="AT569">
        <v>34.930276696666517</v>
      </c>
      <c r="AU569">
        <v>35.721999121363311</v>
      </c>
      <c r="AV569"/>
      <c r="AW569"/>
      <c r="FY569" s="211">
        <v>564</v>
      </c>
      <c r="FZ569">
        <v>30.482024200270942</v>
      </c>
      <c r="GA569">
        <v>49.410446269373388</v>
      </c>
      <c r="GB569">
        <v>50.455676339617533</v>
      </c>
      <c r="GC569">
        <v>27.504413250908097</v>
      </c>
      <c r="GD569">
        <v>15.96706641053161</v>
      </c>
      <c r="GE569">
        <v>25.916357935253693</v>
      </c>
      <c r="GF569">
        <v>27.517307095983959</v>
      </c>
      <c r="GG569">
        <v>18.44615901070755</v>
      </c>
      <c r="GH569">
        <v>24.279184949359681</v>
      </c>
      <c r="GI569">
        <v>36.958190777062256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219.75018701908098</v>
      </c>
      <c r="AO570">
        <v>58.875166600732044</v>
      </c>
      <c r="AP570">
        <v>432.30897270119254</v>
      </c>
      <c r="AQ570">
        <v>338.59489127210827</v>
      </c>
      <c r="AR570">
        <v>56.734712460016077</v>
      </c>
      <c r="AS570">
        <v>277.27061396633701</v>
      </c>
      <c r="AT570">
        <v>27.266708874170348</v>
      </c>
      <c r="AU570">
        <v>12.439172574929493</v>
      </c>
      <c r="AV570"/>
      <c r="AW570"/>
      <c r="FY570" s="211">
        <v>565</v>
      </c>
      <c r="FZ570">
        <v>22.592776478853523</v>
      </c>
      <c r="GA570">
        <v>43.167203146638556</v>
      </c>
      <c r="GB570">
        <v>36.231245810630028</v>
      </c>
      <c r="GC570">
        <v>19.901572018972665</v>
      </c>
      <c r="GD570">
        <v>15.911842862299645</v>
      </c>
      <c r="GE570">
        <v>24.018865210676022</v>
      </c>
      <c r="GF570">
        <v>23.248471713749197</v>
      </c>
      <c r="GG570">
        <v>16.429584230500378</v>
      </c>
      <c r="GH570">
        <v>29.057718262523757</v>
      </c>
      <c r="GI570">
        <v>32.010185798413872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226.5086783543571</v>
      </c>
      <c r="AO571">
        <v>74.503910984667939</v>
      </c>
      <c r="AP571">
        <v>594.40123627383127</v>
      </c>
      <c r="AQ571">
        <v>463.63508762823813</v>
      </c>
      <c r="AR571">
        <v>72.539126905274529</v>
      </c>
      <c r="AS571">
        <v>338.6768496418901</v>
      </c>
      <c r="AT571">
        <v>35.975162544943622</v>
      </c>
      <c r="AU571">
        <v>-4.2303805471722598</v>
      </c>
      <c r="AV571"/>
      <c r="AW571"/>
      <c r="FY571" s="211">
        <v>566</v>
      </c>
      <c r="FZ571">
        <v>25.652415747699813</v>
      </c>
      <c r="GA571">
        <v>42.969886157092333</v>
      </c>
      <c r="GB571">
        <v>38.095330012262053</v>
      </c>
      <c r="GC571">
        <v>24.893974117568728</v>
      </c>
      <c r="GD571">
        <v>19.858830488230659</v>
      </c>
      <c r="GE571">
        <v>25.510462684061388</v>
      </c>
      <c r="GF571">
        <v>26.464299114139688</v>
      </c>
      <c r="GG571">
        <v>21.839559395064924</v>
      </c>
      <c r="GH571">
        <v>26.34866484920817</v>
      </c>
      <c r="GI571">
        <v>35.633215961301502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188.21684116048522</v>
      </c>
      <c r="AO572">
        <v>56.072380804767135</v>
      </c>
      <c r="AP572">
        <v>401.44082018160435</v>
      </c>
      <c r="AQ572">
        <v>311.03866413890091</v>
      </c>
      <c r="AR572">
        <v>54.386452435945479</v>
      </c>
      <c r="AS572">
        <v>262.42571352558167</v>
      </c>
      <c r="AT572">
        <v>24.596819420181905</v>
      </c>
      <c r="AU572">
        <v>11.511408650667168</v>
      </c>
      <c r="AV572"/>
      <c r="AW572"/>
      <c r="FY572" s="211">
        <v>567</v>
      </c>
      <c r="FZ572">
        <v>176.2820726409289</v>
      </c>
      <c r="GA572">
        <v>185.39662461937522</v>
      </c>
      <c r="GB572">
        <v>59.098483104344801</v>
      </c>
      <c r="GC572">
        <v>36.089352522553654</v>
      </c>
      <c r="GD572">
        <v>17.881796162105971</v>
      </c>
      <c r="GE572">
        <v>28.740177247241352</v>
      </c>
      <c r="GF572">
        <v>60.444514622727183</v>
      </c>
      <c r="GG572">
        <v>43.352299454079301</v>
      </c>
      <c r="GH572">
        <v>19.803850358421897</v>
      </c>
      <c r="GI572">
        <v>67.457064955074969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227.58573324684602</v>
      </c>
      <c r="AO573">
        <v>69.396006458888479</v>
      </c>
      <c r="AP573">
        <v>484.98271517798071</v>
      </c>
      <c r="AQ573">
        <v>382.78245761265453</v>
      </c>
      <c r="AR573">
        <v>67.111369010083152</v>
      </c>
      <c r="AS573">
        <v>352.26834130430501</v>
      </c>
      <c r="AT573">
        <v>30.824767150054672</v>
      </c>
      <c r="AU573">
        <v>132.10060323398511</v>
      </c>
      <c r="AV573"/>
      <c r="AW573"/>
      <c r="FY573" s="211">
        <v>568</v>
      </c>
      <c r="FZ573">
        <v>117.51120095226537</v>
      </c>
      <c r="GA573">
        <v>142.24049356068724</v>
      </c>
      <c r="GB573">
        <v>35.488528209769868</v>
      </c>
      <c r="GC573">
        <v>19.708709888388658</v>
      </c>
      <c r="GD573">
        <v>14.701517666132988</v>
      </c>
      <c r="GE573">
        <v>24.770918333092371</v>
      </c>
      <c r="GF573">
        <v>44.382532150411528</v>
      </c>
      <c r="GG573">
        <v>33.838871450321584</v>
      </c>
      <c r="GH573">
        <v>24.043750867323226</v>
      </c>
      <c r="GI573">
        <v>48.298718592500599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183.69043651096905</v>
      </c>
      <c r="AO574">
        <v>50.103112844752552</v>
      </c>
      <c r="AP574">
        <v>349.65005400427168</v>
      </c>
      <c r="AQ574">
        <v>276.30591002976712</v>
      </c>
      <c r="AR574">
        <v>48.587881060790032</v>
      </c>
      <c r="AS574">
        <v>287.54950779398331</v>
      </c>
      <c r="AT574">
        <v>21.732661830325764</v>
      </c>
      <c r="AU574">
        <v>27.231904812032589</v>
      </c>
      <c r="AV574"/>
      <c r="AW574"/>
      <c r="FY574" s="211">
        <v>569</v>
      </c>
      <c r="FZ574">
        <v>76.411364803350352</v>
      </c>
      <c r="GA574">
        <v>86.268231480367291</v>
      </c>
      <c r="GB574">
        <v>39.967566110314309</v>
      </c>
      <c r="GC574">
        <v>23.109437536660863</v>
      </c>
      <c r="GD574">
        <v>14.889376516011685</v>
      </c>
      <c r="GE574">
        <v>24.373013714116304</v>
      </c>
      <c r="GF574">
        <v>50.715546082050118</v>
      </c>
      <c r="GG574">
        <v>44.474936190714473</v>
      </c>
      <c r="GH574">
        <v>31.976917311980241</v>
      </c>
      <c r="GI574">
        <v>46.19432588965018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176.27742859850596</v>
      </c>
      <c r="AO575">
        <v>54.203437683930851</v>
      </c>
      <c r="AP575">
        <v>437.43385677295828</v>
      </c>
      <c r="AQ575">
        <v>352.6179530770043</v>
      </c>
      <c r="AR575">
        <v>53.475744704646814</v>
      </c>
      <c r="AS575">
        <v>248.6763582552974</v>
      </c>
      <c r="AT575">
        <v>27.297567720172683</v>
      </c>
      <c r="AU575">
        <v>27.773220091220587</v>
      </c>
      <c r="AV575"/>
      <c r="AW575"/>
      <c r="FY575" s="211">
        <v>570</v>
      </c>
      <c r="FZ575">
        <v>27.714363472519263</v>
      </c>
      <c r="GA575">
        <v>39.670621554907626</v>
      </c>
      <c r="GB575">
        <v>41.897067060038303</v>
      </c>
      <c r="GC575">
        <v>28.447927158768987</v>
      </c>
      <c r="GD575">
        <v>18.564911098796113</v>
      </c>
      <c r="GE575">
        <v>24.525127330764565</v>
      </c>
      <c r="GF575">
        <v>61.086487110120842</v>
      </c>
      <c r="GG575">
        <v>52.996302431187253</v>
      </c>
      <c r="GH575">
        <v>21.806449688966286</v>
      </c>
      <c r="GI575">
        <v>42.037721884389562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203.21928615820039</v>
      </c>
      <c r="AO576">
        <v>68.950637157243406</v>
      </c>
      <c r="AP576">
        <v>500.99253680835761</v>
      </c>
      <c r="AQ576">
        <v>411.73565279341443</v>
      </c>
      <c r="AR576">
        <v>67.296357119464915</v>
      </c>
      <c r="AS576">
        <v>342.93438646579045</v>
      </c>
      <c r="AT576">
        <v>32.450791112409163</v>
      </c>
      <c r="AU576">
        <v>35.719976408556448</v>
      </c>
      <c r="AV576"/>
      <c r="AW576"/>
      <c r="FY576" s="211">
        <v>571</v>
      </c>
      <c r="FZ576">
        <v>78.530622421503267</v>
      </c>
      <c r="GA576">
        <v>98.096079277041696</v>
      </c>
      <c r="GB576">
        <v>47.779004599633943</v>
      </c>
      <c r="GC576">
        <v>25.565223315482726</v>
      </c>
      <c r="GD576">
        <v>16.613756442691614</v>
      </c>
      <c r="GE576">
        <v>28.007670639655913</v>
      </c>
      <c r="GF576">
        <v>66.223310284106759</v>
      </c>
      <c r="GG576">
        <v>53.069816280381424</v>
      </c>
      <c r="GH576">
        <v>23.165371418325947</v>
      </c>
      <c r="GI576">
        <v>51.170892581938823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227.11373757501565</v>
      </c>
      <c r="AO577">
        <v>66.212236329785668</v>
      </c>
      <c r="AP577">
        <v>554.1141738382604</v>
      </c>
      <c r="AQ577">
        <v>426.03144722685568</v>
      </c>
      <c r="AR577">
        <v>63.632898551925706</v>
      </c>
      <c r="AS577">
        <v>328.53702729136285</v>
      </c>
      <c r="AT577">
        <v>31.28211888030323</v>
      </c>
      <c r="AU577">
        <v>1.1338014887742602</v>
      </c>
      <c r="AV577"/>
      <c r="AW577"/>
      <c r="FY577" s="211">
        <v>572</v>
      </c>
      <c r="FZ577">
        <v>123.05458549627691</v>
      </c>
      <c r="GA577">
        <v>151.71611680513149</v>
      </c>
      <c r="GB577">
        <v>61.101650434886594</v>
      </c>
      <c r="GC577">
        <v>30.597128150639278</v>
      </c>
      <c r="GD577">
        <v>16.816552257417758</v>
      </c>
      <c r="GE577">
        <v>25.114038879844887</v>
      </c>
      <c r="GF577">
        <v>49.723505191986504</v>
      </c>
      <c r="GG577">
        <v>47.76151707741689</v>
      </c>
      <c r="GH577">
        <v>31.660749211790318</v>
      </c>
      <c r="GI577">
        <v>59.234095789826263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243.35842309610797</v>
      </c>
      <c r="AO578">
        <v>76.303093612473418</v>
      </c>
      <c r="AP578">
        <v>634.33332073630208</v>
      </c>
      <c r="AQ578">
        <v>490.42450225117489</v>
      </c>
      <c r="AR578">
        <v>73.79563561324278</v>
      </c>
      <c r="AS578">
        <v>351.97519031091889</v>
      </c>
      <c r="AT578">
        <v>36.54824268200516</v>
      </c>
      <c r="AU578">
        <v>39.784995870855731</v>
      </c>
      <c r="AV578"/>
      <c r="AW578"/>
      <c r="FY578" s="211">
        <v>573</v>
      </c>
      <c r="FZ578">
        <v>101.66973329947336</v>
      </c>
      <c r="GA578">
        <v>127.6309454037491</v>
      </c>
      <c r="GB578">
        <v>43.799861182675983</v>
      </c>
      <c r="GC578">
        <v>29.591011315622232</v>
      </c>
      <c r="GD578">
        <v>19.455076677126712</v>
      </c>
      <c r="GE578">
        <v>25.88451665591916</v>
      </c>
      <c r="GF578">
        <v>47.660588518474242</v>
      </c>
      <c r="GG578">
        <v>40.546424011482756</v>
      </c>
      <c r="GH578">
        <v>30.711446327792139</v>
      </c>
      <c r="GI578">
        <v>52.832754532560173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199.20191473679796</v>
      </c>
      <c r="AO579">
        <v>66.305234713066525</v>
      </c>
      <c r="AP579">
        <v>581.37880460534075</v>
      </c>
      <c r="AQ579">
        <v>467.30864481969718</v>
      </c>
      <c r="AR579">
        <v>65.500649366610659</v>
      </c>
      <c r="AS579">
        <v>323.52810940696759</v>
      </c>
      <c r="AT579">
        <v>34.800541906184876</v>
      </c>
      <c r="AU579">
        <v>-71.233533956289875</v>
      </c>
      <c r="AV579"/>
      <c r="AW579"/>
      <c r="FY579" s="211">
        <v>574</v>
      </c>
      <c r="FZ579">
        <v>116.68808979550506</v>
      </c>
      <c r="GA579">
        <v>126.57846399565227</v>
      </c>
      <c r="GB579">
        <v>36.681161283929981</v>
      </c>
      <c r="GC579">
        <v>23.622472390095894</v>
      </c>
      <c r="GD579">
        <v>14.277146267693025</v>
      </c>
      <c r="GE579">
        <v>22.044594971949131</v>
      </c>
      <c r="GF579">
        <v>38.744644372156692</v>
      </c>
      <c r="GG579">
        <v>25.067993926659675</v>
      </c>
      <c r="GH579">
        <v>24.814309200721791</v>
      </c>
      <c r="GI579">
        <v>47.310363578414538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200.06066630469724</v>
      </c>
      <c r="AO580">
        <v>54.466660954452209</v>
      </c>
      <c r="AP580">
        <v>391.29439416264273</v>
      </c>
      <c r="AQ580">
        <v>306.93682623906875</v>
      </c>
      <c r="AR580">
        <v>52.80646892031038</v>
      </c>
      <c r="AS580">
        <v>257.54270044835908</v>
      </c>
      <c r="AT580">
        <v>23.725393808665945</v>
      </c>
      <c r="AU580">
        <v>-5.1104838235922401</v>
      </c>
      <c r="AV580"/>
      <c r="AW580"/>
      <c r="FY580" s="211">
        <v>575</v>
      </c>
      <c r="FZ580">
        <v>72.644353334728351</v>
      </c>
      <c r="GA580">
        <v>83.293896654539139</v>
      </c>
      <c r="GB580">
        <v>45.635703376879007</v>
      </c>
      <c r="GC580">
        <v>25.355685080032202</v>
      </c>
      <c r="GD580">
        <v>12.282707626656222</v>
      </c>
      <c r="GE580">
        <v>21.03167110854865</v>
      </c>
      <c r="GF580">
        <v>45.880508374856682</v>
      </c>
      <c r="GG580">
        <v>30.968724483070634</v>
      </c>
      <c r="GH580">
        <v>21.116309728099839</v>
      </c>
      <c r="GI580">
        <v>42.709324852567171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152.15350467293524</v>
      </c>
      <c r="AO581">
        <v>46.266173902848422</v>
      </c>
      <c r="AP581">
        <v>330.69001905547213</v>
      </c>
      <c r="AQ581">
        <v>262.56946553325764</v>
      </c>
      <c r="AR581">
        <v>45.82549775756344</v>
      </c>
      <c r="AS581">
        <v>219.71334439403216</v>
      </c>
      <c r="AT581">
        <v>21.777524586595963</v>
      </c>
      <c r="AU581">
        <v>-7.0706269392056669</v>
      </c>
      <c r="AV581"/>
      <c r="AW581"/>
      <c r="FY581" s="211">
        <v>576</v>
      </c>
      <c r="FZ581">
        <v>82.424671314301349</v>
      </c>
      <c r="GA581">
        <v>108.84608985861925</v>
      </c>
      <c r="GB581">
        <v>40.586297486406401</v>
      </c>
      <c r="GC581">
        <v>25.829254883117681</v>
      </c>
      <c r="GD581">
        <v>20.592730979266712</v>
      </c>
      <c r="GE581">
        <v>22.892505493673081</v>
      </c>
      <c r="GF581">
        <v>33.706917324543774</v>
      </c>
      <c r="GG581">
        <v>28.681841320420109</v>
      </c>
      <c r="GH581">
        <v>18.104941654692691</v>
      </c>
      <c r="GI581">
        <v>45.410315481760883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193.26249556393014</v>
      </c>
      <c r="AO582">
        <v>52.334605458972547</v>
      </c>
      <c r="AP582">
        <v>355.40525513440451</v>
      </c>
      <c r="AQ582">
        <v>287.26663852662927</v>
      </c>
      <c r="AR582">
        <v>51.280716674969696</v>
      </c>
      <c r="AS582">
        <v>254.76401746436733</v>
      </c>
      <c r="AT582">
        <v>22.368192027947696</v>
      </c>
      <c r="AU582">
        <v>-15.071059396735652</v>
      </c>
      <c r="AV582"/>
      <c r="AW582"/>
      <c r="FY582" s="211">
        <v>577</v>
      </c>
      <c r="FZ582">
        <v>24.307346560418356</v>
      </c>
      <c r="GA582">
        <v>55.030030988559865</v>
      </c>
      <c r="GB582">
        <v>54.302378322692384</v>
      </c>
      <c r="GC582">
        <v>25.8064284295166</v>
      </c>
      <c r="GD582">
        <v>15.409023861258145</v>
      </c>
      <c r="GE582">
        <v>33.245839006874618</v>
      </c>
      <c r="GF582">
        <v>84.560699707302106</v>
      </c>
      <c r="GG582">
        <v>58.135090378942515</v>
      </c>
      <c r="GH582">
        <v>17.049657224025946</v>
      </c>
      <c r="GI582">
        <v>46.709018305268025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295.15671115089492</v>
      </c>
      <c r="AO583">
        <v>100.74960796191489</v>
      </c>
      <c r="AP583">
        <v>869.92415029791744</v>
      </c>
      <c r="AQ583">
        <v>694.54623568685338</v>
      </c>
      <c r="AR583">
        <v>97.778411899568027</v>
      </c>
      <c r="AS583">
        <v>462.52638326981923</v>
      </c>
      <c r="AT583">
        <v>51.987283842625523</v>
      </c>
      <c r="AU583">
        <v>67.849643573059879</v>
      </c>
      <c r="AV583"/>
      <c r="AW583"/>
      <c r="FY583" s="211">
        <v>578</v>
      </c>
      <c r="FZ583">
        <v>30.137993417877393</v>
      </c>
      <c r="GA583">
        <v>57.639450370003324</v>
      </c>
      <c r="GB583">
        <v>46.045089213619057</v>
      </c>
      <c r="GC583">
        <v>24.291083934186325</v>
      </c>
      <c r="GD583">
        <v>15.040155729077911</v>
      </c>
      <c r="GE583">
        <v>22.540531187943333</v>
      </c>
      <c r="GF583">
        <v>65.379120068404887</v>
      </c>
      <c r="GG583">
        <v>51.181274024568047</v>
      </c>
      <c r="GH583">
        <v>19.695133637404567</v>
      </c>
      <c r="GI583">
        <v>42.023533273879458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210.17515462884245</v>
      </c>
      <c r="AO584">
        <v>72.187693760341034</v>
      </c>
      <c r="AP584">
        <v>627.23805360952622</v>
      </c>
      <c r="AQ584">
        <v>504.98524167089346</v>
      </c>
      <c r="AR584">
        <v>69.679722533025867</v>
      </c>
      <c r="AS584">
        <v>347.03525966775987</v>
      </c>
      <c r="AT584">
        <v>36.988472680015597</v>
      </c>
      <c r="AU584">
        <v>19.092291874948792</v>
      </c>
      <c r="AV584"/>
      <c r="AW584"/>
      <c r="FY584" s="211">
        <v>579</v>
      </c>
      <c r="FZ584">
        <v>33.802344022525489</v>
      </c>
      <c r="GA584">
        <v>56.810861748703111</v>
      </c>
      <c r="GB584">
        <v>50.965828351285097</v>
      </c>
      <c r="GC584">
        <v>27.115864080199273</v>
      </c>
      <c r="GD584">
        <v>13.565115628276741</v>
      </c>
      <c r="GE584">
        <v>16.094404397038605</v>
      </c>
      <c r="GF584">
        <v>20.815310112836777</v>
      </c>
      <c r="GG584">
        <v>18.141170359589726</v>
      </c>
      <c r="GH584">
        <v>20.299588028681434</v>
      </c>
      <c r="GI584">
        <v>34.079412716783978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186.35191828488186</v>
      </c>
      <c r="AO585">
        <v>68.147814850905988</v>
      </c>
      <c r="AP585">
        <v>559.24638190841949</v>
      </c>
      <c r="AQ585">
        <v>438.38071563521584</v>
      </c>
      <c r="AR585">
        <v>66.617709828777635</v>
      </c>
      <c r="AS585">
        <v>312.47661429900177</v>
      </c>
      <c r="AT585">
        <v>34.514334555405334</v>
      </c>
      <c r="AU585">
        <v>54.062844483163765</v>
      </c>
      <c r="AV585"/>
      <c r="AW585"/>
      <c r="FY585" s="211">
        <v>580</v>
      </c>
      <c r="FZ585">
        <v>148.29556636582294</v>
      </c>
      <c r="GA585">
        <v>189.138035477871</v>
      </c>
      <c r="GB585">
        <v>45.552172435392592</v>
      </c>
      <c r="GC585">
        <v>22.415443325586619</v>
      </c>
      <c r="GD585">
        <v>15.280941409453236</v>
      </c>
      <c r="GE585">
        <v>29.908555123610014</v>
      </c>
      <c r="GF585">
        <v>41.054939789297585</v>
      </c>
      <c r="GG585">
        <v>27.431412513788171</v>
      </c>
      <c r="GH585">
        <v>25.843625223348987</v>
      </c>
      <c r="GI585">
        <v>55.406319889361122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231.53775440158296</v>
      </c>
      <c r="AO586">
        <v>62.833825874938313</v>
      </c>
      <c r="AP586">
        <v>458.60032598166396</v>
      </c>
      <c r="AQ586">
        <v>358.74697879045874</v>
      </c>
      <c r="AR586">
        <v>60.294489020829268</v>
      </c>
      <c r="AS586">
        <v>281.77822109586617</v>
      </c>
      <c r="AT586">
        <v>28.016930844451441</v>
      </c>
      <c r="AU586">
        <v>28.076558908101148</v>
      </c>
      <c r="AV586"/>
      <c r="AW586"/>
      <c r="FY586" s="211">
        <v>581</v>
      </c>
      <c r="FZ586">
        <v>46.965837910449977</v>
      </c>
      <c r="GA586">
        <v>46.606636108551108</v>
      </c>
      <c r="GB586">
        <v>59.685697433741709</v>
      </c>
      <c r="GC586">
        <v>30.499410494390691</v>
      </c>
      <c r="GD586">
        <v>12.065262333311136</v>
      </c>
      <c r="GE586">
        <v>21.980323870627206</v>
      </c>
      <c r="GF586">
        <v>49.52873644252093</v>
      </c>
      <c r="GG586">
        <v>45.297120258455131</v>
      </c>
      <c r="GH586">
        <v>27.808713222893388</v>
      </c>
      <c r="GI586">
        <v>44.205383355374252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234.46515115649305</v>
      </c>
      <c r="AO587">
        <v>76.408314775055274</v>
      </c>
      <c r="AP587">
        <v>628.06100123063663</v>
      </c>
      <c r="AQ587">
        <v>488.22174726076207</v>
      </c>
      <c r="AR587">
        <v>73.904888548971712</v>
      </c>
      <c r="AS587">
        <v>346.04173518342867</v>
      </c>
      <c r="AT587">
        <v>37.793838620447985</v>
      </c>
      <c r="AU587">
        <v>14.019918149088703</v>
      </c>
      <c r="AV587"/>
      <c r="AW587"/>
      <c r="FY587" s="211">
        <v>582</v>
      </c>
      <c r="FZ587">
        <v>152.15609129817295</v>
      </c>
      <c r="GA587">
        <v>177.71110088711259</v>
      </c>
      <c r="GB587">
        <v>49.636457692970467</v>
      </c>
      <c r="GC587">
        <v>26.826246255377704</v>
      </c>
      <c r="GD587">
        <v>14.388640386376485</v>
      </c>
      <c r="GE587">
        <v>28.824550332822366</v>
      </c>
      <c r="GF587">
        <v>65.261319109604301</v>
      </c>
      <c r="GG587">
        <v>45.21168688779823</v>
      </c>
      <c r="GH587">
        <v>22.216511595242416</v>
      </c>
      <c r="GI587">
        <v>60.679785209377968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250.41550466617136</v>
      </c>
      <c r="AO588">
        <v>88.350731096907566</v>
      </c>
      <c r="AP588">
        <v>756.91793250329056</v>
      </c>
      <c r="AQ588">
        <v>596.77993929521688</v>
      </c>
      <c r="AR588">
        <v>85.986673462840457</v>
      </c>
      <c r="AS588">
        <v>417.47359443461636</v>
      </c>
      <c r="AT588">
        <v>44.946710697177338</v>
      </c>
      <c r="AU588">
        <v>4.8098967488340207</v>
      </c>
      <c r="AV588"/>
      <c r="AW588"/>
      <c r="FY588" s="211">
        <v>583</v>
      </c>
      <c r="FZ588">
        <v>30.177168772444567</v>
      </c>
      <c r="GA588">
        <v>47.894954619463029</v>
      </c>
      <c r="GB588">
        <v>34.028431382274874</v>
      </c>
      <c r="GC588">
        <v>21.757153509869411</v>
      </c>
      <c r="GD588">
        <v>17.475916179576803</v>
      </c>
      <c r="GE588">
        <v>21.954433181347696</v>
      </c>
      <c r="GF588">
        <v>20.389299388084815</v>
      </c>
      <c r="GG588">
        <v>19.105529049170887</v>
      </c>
      <c r="GH588">
        <v>27.105743567276345</v>
      </c>
      <c r="GI588">
        <v>32.858696474180064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241.06473156280293</v>
      </c>
      <c r="AO589">
        <v>79.603846291440306</v>
      </c>
      <c r="AP589">
        <v>650.63667249978687</v>
      </c>
      <c r="AQ589">
        <v>519.7823579248759</v>
      </c>
      <c r="AR589">
        <v>76.587365856748676</v>
      </c>
      <c r="AS589">
        <v>371.97258483945546</v>
      </c>
      <c r="AT589">
        <v>39.300696908458299</v>
      </c>
      <c r="AU589">
        <v>20.293940446976265</v>
      </c>
      <c r="AV589"/>
      <c r="AW589"/>
      <c r="FY589" s="211">
        <v>584</v>
      </c>
      <c r="FZ589">
        <v>63.897668165813073</v>
      </c>
      <c r="GA589">
        <v>96.4189075482699</v>
      </c>
      <c r="GB589">
        <v>52.820897398485108</v>
      </c>
      <c r="GC589">
        <v>34.857726442849355</v>
      </c>
      <c r="GD589">
        <v>22.218368110095959</v>
      </c>
      <c r="GE589">
        <v>26.926494911518038</v>
      </c>
      <c r="GF589">
        <v>59.344682653398969</v>
      </c>
      <c r="GG589">
        <v>52.92915217699511</v>
      </c>
      <c r="GH589">
        <v>35.30443565873459</v>
      </c>
      <c r="GI589">
        <v>54.794057488559027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224.55887387125955</v>
      </c>
      <c r="AO590">
        <v>69.405478704270678</v>
      </c>
      <c r="AP590">
        <v>592.28479083788079</v>
      </c>
      <c r="AQ590">
        <v>475.82923978277802</v>
      </c>
      <c r="AR590">
        <v>68.465685058325221</v>
      </c>
      <c r="AS590">
        <v>330.63752423693774</v>
      </c>
      <c r="AT590">
        <v>35.694101191709684</v>
      </c>
      <c r="AU590">
        <v>-31.750601740194909</v>
      </c>
      <c r="AV590"/>
      <c r="AW590"/>
      <c r="FY590" s="211">
        <v>585</v>
      </c>
      <c r="FZ590">
        <v>40.200629474272318</v>
      </c>
      <c r="GA590">
        <v>66.431503027001369</v>
      </c>
      <c r="GB590">
        <v>43.547529647591261</v>
      </c>
      <c r="GC590">
        <v>23.214186144953352</v>
      </c>
      <c r="GD590">
        <v>16.195745508448351</v>
      </c>
      <c r="GE590">
        <v>27.003710302031529</v>
      </c>
      <c r="GF590">
        <v>41.35460871567286</v>
      </c>
      <c r="GG590">
        <v>26.48131295438268</v>
      </c>
      <c r="GH590">
        <v>30.916102894484595</v>
      </c>
      <c r="GI590">
        <v>40.375795067168923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193.96449819138707</v>
      </c>
      <c r="AO591">
        <v>62.710234226981967</v>
      </c>
      <c r="AP591">
        <v>516.83812836370305</v>
      </c>
      <c r="AQ591">
        <v>400.91888461997792</v>
      </c>
      <c r="AR591">
        <v>61.440475965249369</v>
      </c>
      <c r="AS591">
        <v>289.24997430235021</v>
      </c>
      <c r="AT591">
        <v>31.164190861382298</v>
      </c>
      <c r="AU591">
        <v>18.298207572344488</v>
      </c>
      <c r="AV591"/>
      <c r="AW591"/>
      <c r="FY591" s="211">
        <v>586</v>
      </c>
      <c r="FZ591">
        <v>35.76616692561587</v>
      </c>
      <c r="GA591">
        <v>41.87184832730459</v>
      </c>
      <c r="GB591">
        <v>52.547345078086366</v>
      </c>
      <c r="GC591">
        <v>32.770063647326459</v>
      </c>
      <c r="GD591">
        <v>20.189545549463709</v>
      </c>
      <c r="GE591">
        <v>32.153875687123623</v>
      </c>
      <c r="GF591">
        <v>26.331126804629179</v>
      </c>
      <c r="GG591">
        <v>12.515777315590224</v>
      </c>
      <c r="GH591">
        <v>18.44751957462644</v>
      </c>
      <c r="GI591">
        <v>39.818910093776786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190.5858249836871</v>
      </c>
      <c r="AO592">
        <v>67.864239680717148</v>
      </c>
      <c r="AP592">
        <v>529.42506822663074</v>
      </c>
      <c r="AQ592">
        <v>427.07556579680198</v>
      </c>
      <c r="AR592">
        <v>65.939925407521613</v>
      </c>
      <c r="AS592">
        <v>322.39359157335952</v>
      </c>
      <c r="AT592">
        <v>32.792649520431176</v>
      </c>
      <c r="AU592">
        <v>29.619217873361457</v>
      </c>
      <c r="AV592"/>
      <c r="AW592"/>
      <c r="FY592" s="211">
        <v>587</v>
      </c>
      <c r="FZ592">
        <v>29.355279451009078</v>
      </c>
      <c r="GA592">
        <v>37.50416517991372</v>
      </c>
      <c r="GB592">
        <v>51.385152727510956</v>
      </c>
      <c r="GC592">
        <v>29.434347714926286</v>
      </c>
      <c r="GD592">
        <v>12.637261421620259</v>
      </c>
      <c r="GE592">
        <v>21.040028724113803</v>
      </c>
      <c r="GF592">
        <v>36.672850481903716</v>
      </c>
      <c r="GG592">
        <v>33.50478761558314</v>
      </c>
      <c r="GH592">
        <v>34.027065462396713</v>
      </c>
      <c r="GI592">
        <v>38.222072775424785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277.71330646937952</v>
      </c>
      <c r="AO593">
        <v>70.567528803972976</v>
      </c>
      <c r="AP593">
        <v>551.50857903304154</v>
      </c>
      <c r="AQ593">
        <v>414.55551278485854</v>
      </c>
      <c r="AR593">
        <v>66.701800504044456</v>
      </c>
      <c r="AS593">
        <v>349.32571631318012</v>
      </c>
      <c r="AT593">
        <v>28.83863569507319</v>
      </c>
      <c r="AU593">
        <v>38.102632307766513</v>
      </c>
      <c r="AV593"/>
      <c r="AW593"/>
      <c r="FY593" s="211">
        <v>588</v>
      </c>
      <c r="FZ593">
        <v>83.173574431750978</v>
      </c>
      <c r="GA593">
        <v>97.518549574038289</v>
      </c>
      <c r="GB593">
        <v>46.907657192488912</v>
      </c>
      <c r="GC593">
        <v>27.635253673366456</v>
      </c>
      <c r="GD593">
        <v>20.486700999271676</v>
      </c>
      <c r="GE593">
        <v>29.642751722096495</v>
      </c>
      <c r="GF593">
        <v>23.628055732889589</v>
      </c>
      <c r="GG593">
        <v>20.456249180643372</v>
      </c>
      <c r="GH593">
        <v>27.080249102906976</v>
      </c>
      <c r="GI593">
        <v>46.197388129200917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205.29870528062301</v>
      </c>
      <c r="AO594">
        <v>62.784960504067932</v>
      </c>
      <c r="AP594">
        <v>494.1860934628495</v>
      </c>
      <c r="AQ594">
        <v>373.97336485696439</v>
      </c>
      <c r="AR594">
        <v>60.338904201699386</v>
      </c>
      <c r="AS594">
        <v>306.97870185986261</v>
      </c>
      <c r="AT594">
        <v>28.064071821756517</v>
      </c>
      <c r="AU594">
        <v>1.9159045209739709</v>
      </c>
      <c r="AV594"/>
      <c r="AW594"/>
      <c r="FY594" s="211">
        <v>589</v>
      </c>
      <c r="FZ594">
        <v>115.50496858762028</v>
      </c>
      <c r="GA594">
        <v>139.07055687655875</v>
      </c>
      <c r="GB594">
        <v>60.662094659978194</v>
      </c>
      <c r="GC594">
        <v>33.264660491712725</v>
      </c>
      <c r="GD594">
        <v>20.937554162506132</v>
      </c>
      <c r="GE594">
        <v>32.639635268654438</v>
      </c>
      <c r="GF594">
        <v>40.629206553709629</v>
      </c>
      <c r="GG594">
        <v>38.030763273570265</v>
      </c>
      <c r="GH594">
        <v>24.034379727065051</v>
      </c>
      <c r="GI594">
        <v>58.085666201572359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157.29776037126962</v>
      </c>
      <c r="AO595">
        <v>50.269436754571004</v>
      </c>
      <c r="AP595">
        <v>377.94907239578521</v>
      </c>
      <c r="AQ595">
        <v>291.68989944592022</v>
      </c>
      <c r="AR595">
        <v>49.111029851391521</v>
      </c>
      <c r="AS595">
        <v>230.61587276414511</v>
      </c>
      <c r="AT595">
        <v>23.478617048820947</v>
      </c>
      <c r="AU595">
        <v>-4.0202350566195122</v>
      </c>
      <c r="AV595"/>
      <c r="AW595"/>
      <c r="FY595" s="211">
        <v>590</v>
      </c>
      <c r="FZ595">
        <v>31.02818288024487</v>
      </c>
      <c r="GA595">
        <v>31.257107236430176</v>
      </c>
      <c r="GB595">
        <v>40.839197498420063</v>
      </c>
      <c r="GC595">
        <v>29.313199206216048</v>
      </c>
      <c r="GD595">
        <v>16.581162867923688</v>
      </c>
      <c r="GE595">
        <v>25.410020317885774</v>
      </c>
      <c r="GF595">
        <v>18.150075396607694</v>
      </c>
      <c r="GG595">
        <v>7.8704658176799285</v>
      </c>
      <c r="GH595">
        <v>16.258430440669503</v>
      </c>
      <c r="GI595">
        <v>31.840104961343606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235.91771673169487</v>
      </c>
      <c r="AO596">
        <v>83.788949441827597</v>
      </c>
      <c r="AP596">
        <v>745.89010765464138</v>
      </c>
      <c r="AQ596">
        <v>600.32701155353243</v>
      </c>
      <c r="AR596">
        <v>80.120019237851992</v>
      </c>
      <c r="AS596">
        <v>373.64354996704202</v>
      </c>
      <c r="AT596">
        <v>43.150875934784303</v>
      </c>
      <c r="AU596">
        <v>-18.157234251025976</v>
      </c>
      <c r="AV596"/>
      <c r="AW596"/>
      <c r="FY596" s="211">
        <v>591</v>
      </c>
      <c r="FZ596">
        <v>95.540621834293759</v>
      </c>
      <c r="GA596">
        <v>101.74198740890293</v>
      </c>
      <c r="GB596">
        <v>50.149131298298371</v>
      </c>
      <c r="GC596">
        <v>29.495812857659342</v>
      </c>
      <c r="GD596">
        <v>17.013205354292978</v>
      </c>
      <c r="GE596">
        <v>25.071883813771059</v>
      </c>
      <c r="GF596">
        <v>50.902851641325036</v>
      </c>
      <c r="GG596">
        <v>40.827923593150302</v>
      </c>
      <c r="GH596">
        <v>29.592391965723419</v>
      </c>
      <c r="GI596">
        <v>52.759352626611431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208.57096062844562</v>
      </c>
      <c r="AO597">
        <v>64.979217308422747</v>
      </c>
      <c r="AP597">
        <v>509.78897802393897</v>
      </c>
      <c r="AQ597">
        <v>384.64312143031555</v>
      </c>
      <c r="AR597">
        <v>63.713328814810325</v>
      </c>
      <c r="AS597">
        <v>308.21763009209457</v>
      </c>
      <c r="AT597">
        <v>29.987417837833643</v>
      </c>
      <c r="AU597">
        <v>43.008661084766452</v>
      </c>
      <c r="AV597"/>
      <c r="AW597"/>
      <c r="FY597" s="211">
        <v>592</v>
      </c>
      <c r="FZ597">
        <v>17.551109632446924</v>
      </c>
      <c r="GA597">
        <v>40.182296723400405</v>
      </c>
      <c r="GB597">
        <v>34.629967505779248</v>
      </c>
      <c r="GC597">
        <v>15.373035083544304</v>
      </c>
      <c r="GD597">
        <v>13.109291704849532</v>
      </c>
      <c r="GE597">
        <v>25.694839001466075</v>
      </c>
      <c r="GF597">
        <v>24.483030541947386</v>
      </c>
      <c r="GG597">
        <v>23.492158155505944</v>
      </c>
      <c r="GH597">
        <v>25.277000840848167</v>
      </c>
      <c r="GI597">
        <v>28.602001724930098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247.12554109357038</v>
      </c>
      <c r="AO598">
        <v>91.216323825400195</v>
      </c>
      <c r="AP598">
        <v>810.33708526541955</v>
      </c>
      <c r="AQ598">
        <v>642.91238965485559</v>
      </c>
      <c r="AR598">
        <v>87.568914789357422</v>
      </c>
      <c r="AS598">
        <v>410.06955132784145</v>
      </c>
      <c r="AT598">
        <v>47.714858617376855</v>
      </c>
      <c r="AU598">
        <v>7.4519131071150468</v>
      </c>
      <c r="AV598"/>
      <c r="AW598"/>
      <c r="FY598" s="211">
        <v>593</v>
      </c>
      <c r="FZ598">
        <v>120.00093205144688</v>
      </c>
      <c r="GA598">
        <v>152.24236571810061</v>
      </c>
      <c r="GB598">
        <v>54.848626947957023</v>
      </c>
      <c r="GC598">
        <v>28.216742160981102</v>
      </c>
      <c r="GD598">
        <v>11.543099060682277</v>
      </c>
      <c r="GE598">
        <v>17.408295912169265</v>
      </c>
      <c r="GF598">
        <v>54.572825886737007</v>
      </c>
      <c r="GG598">
        <v>48.714888931257249</v>
      </c>
      <c r="GH598">
        <v>35.686880477222218</v>
      </c>
      <c r="GI598">
        <v>55.251210120874724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157.06506192808629</v>
      </c>
      <c r="AO599">
        <v>48.315601444216995</v>
      </c>
      <c r="AP599">
        <v>339.5631846047425</v>
      </c>
      <c r="AQ599">
        <v>272.74732612368848</v>
      </c>
      <c r="AR599">
        <v>47.482273677332337</v>
      </c>
      <c r="AS599">
        <v>228.82930181519524</v>
      </c>
      <c r="AT599">
        <v>21.717400000363345</v>
      </c>
      <c r="AU599">
        <v>-3.1158676872232114</v>
      </c>
      <c r="AV599"/>
      <c r="AW599"/>
      <c r="FY599" s="211">
        <v>594</v>
      </c>
      <c r="FZ599">
        <v>116.42567927897437</v>
      </c>
      <c r="GA599">
        <v>146.69987196065969</v>
      </c>
      <c r="GB599">
        <v>39.482858649957784</v>
      </c>
      <c r="GC599">
        <v>18.498939194610156</v>
      </c>
      <c r="GD599">
        <v>15.998448639719335</v>
      </c>
      <c r="GE599">
        <v>26.281526034521459</v>
      </c>
      <c r="GF599">
        <v>66.539025358529742</v>
      </c>
      <c r="GG599">
        <v>59.174743603671082</v>
      </c>
      <c r="GH599">
        <v>20.790366926138034</v>
      </c>
      <c r="GI599">
        <v>54.10855983914972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261.17243211158632</v>
      </c>
      <c r="AO600">
        <v>82.603603974752531</v>
      </c>
      <c r="AP600">
        <v>641.63677782111074</v>
      </c>
      <c r="AQ600">
        <v>499.5123905547191</v>
      </c>
      <c r="AR600">
        <v>79.349933518012577</v>
      </c>
      <c r="AS600">
        <v>389.72612949015235</v>
      </c>
      <c r="AT600">
        <v>38.272241403456917</v>
      </c>
      <c r="AU600">
        <v>-0.18423991827658881</v>
      </c>
      <c r="AV600"/>
      <c r="AW600"/>
      <c r="FY600" s="211">
        <v>595</v>
      </c>
      <c r="FZ600">
        <v>36.763469277956148</v>
      </c>
      <c r="GA600">
        <v>31.650746199229044</v>
      </c>
      <c r="GB600">
        <v>42.285907254986505</v>
      </c>
      <c r="GC600">
        <v>23.743601699754688</v>
      </c>
      <c r="GD600">
        <v>12.605387839285111</v>
      </c>
      <c r="GE600">
        <v>20.653050641355787</v>
      </c>
      <c r="GF600">
        <v>72.162238740617255</v>
      </c>
      <c r="GG600">
        <v>68.237868800089345</v>
      </c>
      <c r="GH600">
        <v>32.80211002676144</v>
      </c>
      <c r="GI600">
        <v>43.880467007076774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191.49575539790669</v>
      </c>
      <c r="AO601">
        <v>58.522811775317244</v>
      </c>
      <c r="AP601">
        <v>449.67432694042986</v>
      </c>
      <c r="AQ601">
        <v>355.72112373600726</v>
      </c>
      <c r="AR601">
        <v>57.338967654379317</v>
      </c>
      <c r="AS601">
        <v>270.0378675861927</v>
      </c>
      <c r="AT601">
        <v>27.878215007649526</v>
      </c>
      <c r="AU601">
        <v>-7.1442499838899494</v>
      </c>
      <c r="AV601"/>
      <c r="AW601"/>
      <c r="FY601" s="211">
        <v>596</v>
      </c>
      <c r="FZ601">
        <v>25.102409655471778</v>
      </c>
      <c r="GA601">
        <v>47.885139447109601</v>
      </c>
      <c r="GB601">
        <v>55.166486979294262</v>
      </c>
      <c r="GC601">
        <v>28.434853214534513</v>
      </c>
      <c r="GD601">
        <v>10.432101676026408</v>
      </c>
      <c r="GE601">
        <v>23.056759503668477</v>
      </c>
      <c r="GF601">
        <v>34.23103864820235</v>
      </c>
      <c r="GG601">
        <v>21.25751516731232</v>
      </c>
      <c r="GH601">
        <v>20.418583111697068</v>
      </c>
      <c r="GI601">
        <v>34.651865257745023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188.46754750572072</v>
      </c>
      <c r="AO602">
        <v>58.444043408061887</v>
      </c>
      <c r="AP602">
        <v>383.82160329827661</v>
      </c>
      <c r="AQ602">
        <v>312.4121790035432</v>
      </c>
      <c r="AR602">
        <v>56.803847539500929</v>
      </c>
      <c r="AS602">
        <v>257.92385877690515</v>
      </c>
      <c r="AT602">
        <v>25.859160287532216</v>
      </c>
      <c r="AU602">
        <v>14.205014751221089</v>
      </c>
      <c r="AV602"/>
      <c r="AW602"/>
      <c r="FY602" s="211">
        <v>597</v>
      </c>
      <c r="FZ602">
        <v>75.687159929934893</v>
      </c>
      <c r="GA602">
        <v>90.715418004868539</v>
      </c>
      <c r="GB602">
        <v>52.402016129594884</v>
      </c>
      <c r="GC602">
        <v>27.591675825527719</v>
      </c>
      <c r="GD602">
        <v>15.93515758280431</v>
      </c>
      <c r="GE602">
        <v>24.079650933506397</v>
      </c>
      <c r="GF602">
        <v>49.142431472157789</v>
      </c>
      <c r="GG602">
        <v>39.267599065494586</v>
      </c>
      <c r="GH602">
        <v>24.510550681153415</v>
      </c>
      <c r="GI602">
        <v>48.519953428648513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184.10127179880146</v>
      </c>
      <c r="AO603">
        <v>56.519971804049852</v>
      </c>
      <c r="AP603">
        <v>426.19668524171141</v>
      </c>
      <c r="AQ603">
        <v>323.78301155440244</v>
      </c>
      <c r="AR603">
        <v>54.974120493315851</v>
      </c>
      <c r="AS603">
        <v>252.8721960988866</v>
      </c>
      <c r="AT603">
        <v>28.225216909660706</v>
      </c>
      <c r="AU603">
        <v>72.038111019974991</v>
      </c>
      <c r="AV603"/>
      <c r="AW603"/>
      <c r="FY603" s="211">
        <v>598</v>
      </c>
      <c r="FZ603">
        <v>59.397280795213796</v>
      </c>
      <c r="GA603">
        <v>90.030965477633075</v>
      </c>
      <c r="GB603">
        <v>54.652382004347878</v>
      </c>
      <c r="GC603">
        <v>36.925020116884561</v>
      </c>
      <c r="GD603">
        <v>19.36069700205428</v>
      </c>
      <c r="GE603">
        <v>19.065964567859428</v>
      </c>
      <c r="GF603">
        <v>29.25296276706435</v>
      </c>
      <c r="GG603">
        <v>28.755126961061166</v>
      </c>
      <c r="GH603">
        <v>24.125200615135416</v>
      </c>
      <c r="GI603">
        <v>44.683678944767443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213.84823291585286</v>
      </c>
      <c r="AO604">
        <v>67.953547072528707</v>
      </c>
      <c r="AP604">
        <v>517.82302429695267</v>
      </c>
      <c r="AQ604">
        <v>422.72642973865368</v>
      </c>
      <c r="AR604">
        <v>66.691355215957444</v>
      </c>
      <c r="AS604">
        <v>325.17516410417591</v>
      </c>
      <c r="AT604">
        <v>33.086419248789809</v>
      </c>
      <c r="AU604">
        <v>-3.1077659061531975</v>
      </c>
      <c r="AV604"/>
      <c r="AW604"/>
      <c r="FY604" s="211">
        <v>599</v>
      </c>
      <c r="FZ604">
        <v>109.19216911816252</v>
      </c>
      <c r="GA604">
        <v>151.49369392082539</v>
      </c>
      <c r="GB604">
        <v>51.746654501817098</v>
      </c>
      <c r="GC604">
        <v>29.159917016208812</v>
      </c>
      <c r="GD604">
        <v>15.969819996811863</v>
      </c>
      <c r="GE604">
        <v>21.703216697035717</v>
      </c>
      <c r="GF604">
        <v>67.078696723637648</v>
      </c>
      <c r="GG604">
        <v>50.913387666470605</v>
      </c>
      <c r="GH604">
        <v>25.536019521650541</v>
      </c>
      <c r="GI604">
        <v>56.804428393606727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248.73053125379366</v>
      </c>
      <c r="AO605">
        <v>88.280189730878675</v>
      </c>
      <c r="AP605">
        <v>709.25822356797687</v>
      </c>
      <c r="AQ605">
        <v>562.8594858029478</v>
      </c>
      <c r="AR605">
        <v>84.837103229183981</v>
      </c>
      <c r="AS605">
        <v>410.70598614717954</v>
      </c>
      <c r="AT605">
        <v>42.193052786788392</v>
      </c>
      <c r="AU605">
        <v>34.861760468112024</v>
      </c>
      <c r="AV605"/>
      <c r="AW605"/>
      <c r="FY605" s="211">
        <v>600</v>
      </c>
      <c r="FZ605">
        <v>31.238719675939404</v>
      </c>
      <c r="GA605">
        <v>49.035463611709581</v>
      </c>
      <c r="GB605">
        <v>46.38444042381154</v>
      </c>
      <c r="GC605">
        <v>26.855739710172767</v>
      </c>
      <c r="GD605">
        <v>16.671572807178439</v>
      </c>
      <c r="GE605">
        <v>21.173212975930451</v>
      </c>
      <c r="GF605">
        <v>46.846509262662394</v>
      </c>
      <c r="GG605">
        <v>39.962688714507522</v>
      </c>
      <c r="GH605">
        <v>28.276582638927554</v>
      </c>
      <c r="GI605">
        <v>40.96230150926813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165.74317243176057</v>
      </c>
      <c r="AO606">
        <v>47.478563510349531</v>
      </c>
      <c r="AP606">
        <v>303.59816042900178</v>
      </c>
      <c r="AQ606">
        <v>248.54794662342135</v>
      </c>
      <c r="AR606">
        <v>45.446266933722207</v>
      </c>
      <c r="AS606">
        <v>230.58361268856183</v>
      </c>
      <c r="AT606" t="e">
        <v>#DIV/0!</v>
      </c>
      <c r="AU606" t="e">
        <v>#DIV/0!</v>
      </c>
      <c r="AV606"/>
      <c r="AW606"/>
      <c r="FY606" s="211">
        <v>601</v>
      </c>
      <c r="FZ606">
        <v>73.586043640012818</v>
      </c>
      <c r="GA606">
        <v>95.872041487467243</v>
      </c>
      <c r="GB606">
        <v>48.04473025917919</v>
      </c>
      <c r="GC606">
        <v>31.927908831712287</v>
      </c>
      <c r="GD606">
        <v>19.943832065826054</v>
      </c>
      <c r="GE606">
        <v>26.264749443957736</v>
      </c>
      <c r="GF606">
        <v>30.64374273142926</v>
      </c>
      <c r="GG606">
        <v>23.62670680123253</v>
      </c>
      <c r="GH606">
        <v>21.609578633118431</v>
      </c>
      <c r="GI606">
        <v>45.324477509739459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247.86406693985197</v>
      </c>
      <c r="AO607">
        <v>77.244636060646727</v>
      </c>
      <c r="AP607">
        <v>631.40426001163451</v>
      </c>
      <c r="AQ607">
        <v>493.09516239402865</v>
      </c>
      <c r="AR607">
        <v>76.387658122384707</v>
      </c>
      <c r="AS607">
        <v>354.91088902515622</v>
      </c>
      <c r="AT607">
        <v>38.503048603753591</v>
      </c>
      <c r="AU607">
        <v>1.8768336075005934</v>
      </c>
      <c r="AV607"/>
      <c r="AW607"/>
      <c r="FY607" s="211">
        <v>602</v>
      </c>
      <c r="FZ607">
        <v>78.159964399152756</v>
      </c>
      <c r="GA607">
        <v>92.522564790417576</v>
      </c>
      <c r="GB607">
        <v>42.993378949936535</v>
      </c>
      <c r="GC607">
        <v>27.390396525716117</v>
      </c>
      <c r="GD607">
        <v>17.015896784496729</v>
      </c>
      <c r="GE607">
        <v>21.25880831087601</v>
      </c>
      <c r="GF607">
        <v>38.899328036103626</v>
      </c>
      <c r="GG607">
        <v>36.951621190170769</v>
      </c>
      <c r="GH607">
        <v>27.934018896898536</v>
      </c>
      <c r="GI607">
        <v>45.749766707438376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161.4991157037723</v>
      </c>
      <c r="AO608">
        <v>42.801465342084256</v>
      </c>
      <c r="AP608">
        <v>314.26854733808369</v>
      </c>
      <c r="AQ608">
        <v>248.39473091471805</v>
      </c>
      <c r="AR608">
        <v>40.984023798513611</v>
      </c>
      <c r="AS608">
        <v>213.99120170888503</v>
      </c>
      <c r="AT608">
        <v>19.30950712704794</v>
      </c>
      <c r="AU608">
        <v>25.75516759772659</v>
      </c>
      <c r="AV608"/>
      <c r="AW608"/>
      <c r="FY608" s="211">
        <v>603</v>
      </c>
      <c r="FZ608">
        <v>84.990251327371269</v>
      </c>
      <c r="GA608">
        <v>74.331865285211791</v>
      </c>
      <c r="GB608">
        <v>28.308440273977205</v>
      </c>
      <c r="GC608">
        <v>26.80602616660784</v>
      </c>
      <c r="GD608">
        <v>15.101184719896608</v>
      </c>
      <c r="GE608">
        <v>22.170961866641143</v>
      </c>
      <c r="GF608">
        <v>37.710483263971739</v>
      </c>
      <c r="GG608">
        <v>19.3298018930141</v>
      </c>
      <c r="GH608">
        <v>22.01455205771509</v>
      </c>
      <c r="GI608">
        <v>40.268590023149812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261.83519680384188</v>
      </c>
      <c r="AO609">
        <v>82.314175524005748</v>
      </c>
      <c r="AP609">
        <v>741.97996520469871</v>
      </c>
      <c r="AQ609">
        <v>578.48586726742826</v>
      </c>
      <c r="AR609">
        <v>79.719761450517794</v>
      </c>
      <c r="AS609">
        <v>373.39610207236154</v>
      </c>
      <c r="AT609">
        <v>41.538565460244797</v>
      </c>
      <c r="AU609">
        <v>20.915700029458495</v>
      </c>
      <c r="AV609"/>
      <c r="AW609"/>
      <c r="FY609" s="211">
        <v>604</v>
      </c>
      <c r="FZ609">
        <v>73.519294195818929</v>
      </c>
      <c r="GA609">
        <v>92.579627618677236</v>
      </c>
      <c r="GB609">
        <v>37.259789138714588</v>
      </c>
      <c r="GC609">
        <v>26.360520818949148</v>
      </c>
      <c r="GD609">
        <v>17.326721499153898</v>
      </c>
      <c r="GE609">
        <v>22.517900588223426</v>
      </c>
      <c r="GF609">
        <v>40.780548313398917</v>
      </c>
      <c r="GG609">
        <v>34.878948987132198</v>
      </c>
      <c r="GH609">
        <v>34.607214913203528</v>
      </c>
      <c r="GI609">
        <v>44.945622227990313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218.61554798172818</v>
      </c>
      <c r="AO610">
        <v>81.879136217684191</v>
      </c>
      <c r="AP610">
        <v>720.0904573573747</v>
      </c>
      <c r="AQ610">
        <v>564.00001948593138</v>
      </c>
      <c r="AR610">
        <v>78.854731506256428</v>
      </c>
      <c r="AS610">
        <v>372.18817663209961</v>
      </c>
      <c r="AT610">
        <v>41.75456246662376</v>
      </c>
      <c r="AU610">
        <v>95.5403503233658</v>
      </c>
      <c r="AV610"/>
      <c r="AW610"/>
      <c r="FY610" s="211">
        <v>605</v>
      </c>
      <c r="FZ610">
        <v>33.196778334681277</v>
      </c>
      <c r="GA610">
        <v>34.239016164278887</v>
      </c>
      <c r="GB610">
        <v>44.176425978727444</v>
      </c>
      <c r="GC610">
        <v>26.740539021988578</v>
      </c>
      <c r="GD610">
        <v>15.302950255242555</v>
      </c>
      <c r="GE610">
        <v>25.581766099142484</v>
      </c>
      <c r="GF610">
        <v>73.299600772896355</v>
      </c>
      <c r="GG610">
        <v>60.630562435169232</v>
      </c>
      <c r="GH610">
        <v>28.068165306739967</v>
      </c>
      <c r="GI610">
        <v>44.796088278339901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228.1614698250857</v>
      </c>
      <c r="AO611">
        <v>64.114901277640925</v>
      </c>
      <c r="AP611">
        <v>514.00330208552703</v>
      </c>
      <c r="AQ611">
        <v>384.78484748711213</v>
      </c>
      <c r="AR611">
        <v>63.368544456342164</v>
      </c>
      <c r="AS611">
        <v>296.69027464477779</v>
      </c>
      <c r="AT611">
        <v>31.464987767545193</v>
      </c>
      <c r="AU611">
        <v>-17.88950785005067</v>
      </c>
      <c r="AV611"/>
      <c r="AW611"/>
      <c r="FY611" s="211">
        <v>606</v>
      </c>
      <c r="FZ611">
        <v>25.124727357000246</v>
      </c>
      <c r="GA611">
        <v>39.186992821468273</v>
      </c>
      <c r="GB611">
        <v>42.346174643083828</v>
      </c>
      <c r="GC611">
        <v>23.545428095299563</v>
      </c>
      <c r="GD611">
        <v>11.769015161182287</v>
      </c>
      <c r="GE611">
        <v>21.69480807199799</v>
      </c>
      <c r="GF611">
        <v>35.647109401932084</v>
      </c>
      <c r="GG611">
        <v>25.228514358641885</v>
      </c>
      <c r="GH611">
        <v>16.99246026038897</v>
      </c>
      <c r="GI611">
        <v>31.645667780321141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171.40591849788652</v>
      </c>
      <c r="AO612">
        <v>52.866858485448802</v>
      </c>
      <c r="AP612">
        <v>399.77578220439591</v>
      </c>
      <c r="AQ612">
        <v>300.63675266106179</v>
      </c>
      <c r="AR612">
        <v>49.617103914338159</v>
      </c>
      <c r="AS612">
        <v>229.46251024010849</v>
      </c>
      <c r="AT612">
        <v>22.442374360921601</v>
      </c>
      <c r="AU612">
        <v>-29.565820628783079</v>
      </c>
      <c r="AV612"/>
      <c r="AW612"/>
      <c r="FY612" s="211">
        <v>607</v>
      </c>
      <c r="FZ612">
        <v>40.453950782224908</v>
      </c>
      <c r="GA612">
        <v>34.609112400547367</v>
      </c>
      <c r="GB612">
        <v>37.152232507293462</v>
      </c>
      <c r="GC612">
        <v>26.740199355416092</v>
      </c>
      <c r="GD612">
        <v>17.014020757496759</v>
      </c>
      <c r="GE612">
        <v>20.381011379463356</v>
      </c>
      <c r="GF612">
        <v>32.906264121636703</v>
      </c>
      <c r="GG612">
        <v>26.407636096346188</v>
      </c>
      <c r="GH612">
        <v>23.126839214590536</v>
      </c>
      <c r="GI612">
        <v>36.446876550780061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222.19583591901755</v>
      </c>
      <c r="AO613">
        <v>71.104607699518965</v>
      </c>
      <c r="AP613">
        <v>576.9271790629798</v>
      </c>
      <c r="AQ613">
        <v>447.8516130536911</v>
      </c>
      <c r="AR613">
        <v>70.191250683022034</v>
      </c>
      <c r="AS613">
        <v>347.76658558492562</v>
      </c>
      <c r="AT613">
        <v>34.569551763541469</v>
      </c>
      <c r="AU613">
        <v>-1.0821152759535693</v>
      </c>
      <c r="AV613"/>
      <c r="AW613"/>
      <c r="FY613" s="211">
        <v>608</v>
      </c>
      <c r="FZ613">
        <v>31.808528957463167</v>
      </c>
      <c r="GA613">
        <v>43.605386929715884</v>
      </c>
      <c r="GB613">
        <v>53.158642433768918</v>
      </c>
      <c r="GC613">
        <v>27.463421989540457</v>
      </c>
      <c r="GD613">
        <v>12.901546897425067</v>
      </c>
      <c r="GE613">
        <v>20.132377534456737</v>
      </c>
      <c r="GF613">
        <v>39.529401874239525</v>
      </c>
      <c r="GG613">
        <v>37.506336643858674</v>
      </c>
      <c r="GH613">
        <v>25.281215979816775</v>
      </c>
      <c r="GI613">
        <v>38.345065935901118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202.07880274564528</v>
      </c>
      <c r="AO614">
        <v>68.258149777724768</v>
      </c>
      <c r="AP614">
        <v>511.66010659503888</v>
      </c>
      <c r="AQ614">
        <v>406.24927925202149</v>
      </c>
      <c r="AR614">
        <v>64.806643749880394</v>
      </c>
      <c r="AS614">
        <v>326.66112418248719</v>
      </c>
      <c r="AT614">
        <v>32.41322185042872</v>
      </c>
      <c r="AU614">
        <v>-41.90140748317333</v>
      </c>
      <c r="AV614"/>
      <c r="AW614"/>
      <c r="FY614" s="211">
        <v>609</v>
      </c>
      <c r="FZ614">
        <v>34.871394218508819</v>
      </c>
      <c r="GA614">
        <v>37.110016566805037</v>
      </c>
      <c r="GB614">
        <v>47.38737024042068</v>
      </c>
      <c r="GC614">
        <v>26.128767754347678</v>
      </c>
      <c r="GD614">
        <v>19.772446629268369</v>
      </c>
      <c r="GE614">
        <v>32.013556734348185</v>
      </c>
      <c r="GF614">
        <v>30.555473770055944</v>
      </c>
      <c r="GG614">
        <v>23.242312606893286</v>
      </c>
      <c r="GH614">
        <v>15.813747027679639</v>
      </c>
      <c r="GI614">
        <v>38.362179426024746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261.44079447739966</v>
      </c>
      <c r="AO615">
        <v>85.780445207062044</v>
      </c>
      <c r="AP615">
        <v>742.15639208107609</v>
      </c>
      <c r="AQ615">
        <v>579.5980035562269</v>
      </c>
      <c r="AR615">
        <v>82.295693162593338</v>
      </c>
      <c r="AS615">
        <v>402.7675110852764</v>
      </c>
      <c r="AT615">
        <v>41.003238705106561</v>
      </c>
      <c r="AU615">
        <v>-52.426483663493848</v>
      </c>
      <c r="AV615"/>
      <c r="AW615"/>
      <c r="FY615" s="211">
        <v>610</v>
      </c>
      <c r="FZ615">
        <v>64.74469675648227</v>
      </c>
      <c r="GA615">
        <v>83.847733286907086</v>
      </c>
      <c r="GB615">
        <v>58.952410404882791</v>
      </c>
      <c r="GC615">
        <v>35.467942665169225</v>
      </c>
      <c r="GD615">
        <v>15.259498642701626</v>
      </c>
      <c r="GE615">
        <v>23.31917559847021</v>
      </c>
      <c r="GF615">
        <v>31.24393100798979</v>
      </c>
      <c r="GG615">
        <v>18.378360094905116</v>
      </c>
      <c r="GH615">
        <v>20.953151526298477</v>
      </c>
      <c r="GI615">
        <v>43.902614541616948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218.81650546516531</v>
      </c>
      <c r="AO616">
        <v>59.877484393749818</v>
      </c>
      <c r="AP616">
        <v>452.50145198716712</v>
      </c>
      <c r="AQ616">
        <v>347.40723133010778</v>
      </c>
      <c r="AR616">
        <v>59.104373137434408</v>
      </c>
      <c r="AS616">
        <v>285.30933379268674</v>
      </c>
      <c r="AT616">
        <v>27.21776355051129</v>
      </c>
      <c r="AU616">
        <v>-16.573105511811463</v>
      </c>
      <c r="AV616"/>
      <c r="AW616"/>
      <c r="FY616" s="211">
        <v>611</v>
      </c>
      <c r="FZ616">
        <v>32.596081423607153</v>
      </c>
      <c r="GA616">
        <v>45.459649010130747</v>
      </c>
      <c r="GB616">
        <v>47.619991689306325</v>
      </c>
      <c r="GC616">
        <v>27.441328114519031</v>
      </c>
      <c r="GD616">
        <v>17.225658255371446</v>
      </c>
      <c r="GE616">
        <v>31.041034098278278</v>
      </c>
      <c r="GF616">
        <v>40.955004951701923</v>
      </c>
      <c r="GG616">
        <v>29.379968565085075</v>
      </c>
      <c r="GH616">
        <v>28.04306449101329</v>
      </c>
      <c r="GI616">
        <v>40.586874060862705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220.78941619733504</v>
      </c>
      <c r="AO617">
        <v>68.290879705018611</v>
      </c>
      <c r="AP617">
        <v>515.42030225621909</v>
      </c>
      <c r="AQ617">
        <v>416.84381140367492</v>
      </c>
      <c r="AR617">
        <v>65.325816127481716</v>
      </c>
      <c r="AS617">
        <v>307.99757132902954</v>
      </c>
      <c r="AT617">
        <v>32.828377682569858</v>
      </c>
      <c r="AU617">
        <v>9.0775744249902388</v>
      </c>
      <c r="AV617"/>
      <c r="AW617"/>
      <c r="FY617" s="211">
        <v>612</v>
      </c>
      <c r="FZ617">
        <v>24.316134001014245</v>
      </c>
      <c r="GA617">
        <v>58.321715292631481</v>
      </c>
      <c r="GB617">
        <v>47.13851631331012</v>
      </c>
      <c r="GC617">
        <v>20.510675940290092</v>
      </c>
      <c r="GD617">
        <v>12.682007887931247</v>
      </c>
      <c r="GE617">
        <v>18.895681755080133</v>
      </c>
      <c r="GF617">
        <v>18.111215846140087</v>
      </c>
      <c r="GG617">
        <v>12.026249267098459</v>
      </c>
      <c r="GH617">
        <v>16.816230341085927</v>
      </c>
      <c r="GI617">
        <v>30.055958238299308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198.70571844051992</v>
      </c>
      <c r="AO618">
        <v>68.256579726809335</v>
      </c>
      <c r="AP618">
        <v>543.21469028844183</v>
      </c>
      <c r="AQ618">
        <v>428.87574459120702</v>
      </c>
      <c r="AR618">
        <v>66.539850122234185</v>
      </c>
      <c r="AS618">
        <v>313.85222891635414</v>
      </c>
      <c r="AT618">
        <v>33.382858453276292</v>
      </c>
      <c r="AU618">
        <v>-49.138985082066007</v>
      </c>
      <c r="AV618"/>
      <c r="AW618"/>
      <c r="FY618" s="211">
        <v>613</v>
      </c>
      <c r="FZ618">
        <v>35.568148217654496</v>
      </c>
      <c r="GA618">
        <v>41.26464715466193</v>
      </c>
      <c r="GB618">
        <v>45.014513124846708</v>
      </c>
      <c r="GC618">
        <v>26.935617579935915</v>
      </c>
      <c r="GD618">
        <v>13.695013843488141</v>
      </c>
      <c r="GE618">
        <v>21.438304654749928</v>
      </c>
      <c r="GF618">
        <v>50.226220677452645</v>
      </c>
      <c r="GG618">
        <v>38.046011628175172</v>
      </c>
      <c r="GH618">
        <v>18.322516303115535</v>
      </c>
      <c r="GI618">
        <v>38.462822747943157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199.50831093241771</v>
      </c>
      <c r="AO619">
        <v>58.392495892162728</v>
      </c>
      <c r="AP619">
        <v>448.81258959837112</v>
      </c>
      <c r="AQ619">
        <v>371.03215687755653</v>
      </c>
      <c r="AR619">
        <v>57.172019060333845</v>
      </c>
      <c r="AS619">
        <v>292.88655144165267</v>
      </c>
      <c r="AT619">
        <v>29.11441825827259</v>
      </c>
      <c r="AU619">
        <v>38.071980313886002</v>
      </c>
      <c r="AV619"/>
      <c r="AW619"/>
      <c r="FY619" s="211">
        <v>614</v>
      </c>
      <c r="FZ619">
        <v>32.166121464121403</v>
      </c>
      <c r="GA619">
        <v>57.157214325253669</v>
      </c>
      <c r="GB619">
        <v>48.56829780924285</v>
      </c>
      <c r="GC619">
        <v>22.167778760418059</v>
      </c>
      <c r="GD619">
        <v>14.195018885377252</v>
      </c>
      <c r="GE619">
        <v>23.817343049996438</v>
      </c>
      <c r="GF619">
        <v>70.841254417877053</v>
      </c>
      <c r="GG619">
        <v>63.11929296701372</v>
      </c>
      <c r="GH619">
        <v>26.917394298821112</v>
      </c>
      <c r="GI619">
        <v>44.484099325857152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218.8250706134323</v>
      </c>
      <c r="AO620">
        <v>66.637395847216297</v>
      </c>
      <c r="AP620">
        <v>531.93407695765484</v>
      </c>
      <c r="AQ620">
        <v>424.77618830126221</v>
      </c>
      <c r="AR620">
        <v>64.640337259847357</v>
      </c>
      <c r="AS620">
        <v>304.11458064242032</v>
      </c>
      <c r="AT620">
        <v>32.997771587025731</v>
      </c>
      <c r="AU620">
        <v>-9.5405329743543419</v>
      </c>
      <c r="AV620"/>
      <c r="AW620"/>
      <c r="FY620" s="211">
        <v>615</v>
      </c>
      <c r="FZ620">
        <v>34.135982865920624</v>
      </c>
      <c r="GA620">
        <v>56.022312535120697</v>
      </c>
      <c r="GB620">
        <v>46.542506245543386</v>
      </c>
      <c r="GC620">
        <v>25.883609317061357</v>
      </c>
      <c r="GD620">
        <v>13.586820946294232</v>
      </c>
      <c r="GE620">
        <v>22.966677247885936</v>
      </c>
      <c r="GF620">
        <v>45.288815756712282</v>
      </c>
      <c r="GG620">
        <v>26.677243646681436</v>
      </c>
      <c r="GH620">
        <v>26.05534474849275</v>
      </c>
      <c r="GI620">
        <v>38.743573624551011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235.15891801220269</v>
      </c>
      <c r="AO621">
        <v>65.842068403499212</v>
      </c>
      <c r="AP621">
        <v>506.78692109951419</v>
      </c>
      <c r="AQ621">
        <v>386.03189264720669</v>
      </c>
      <c r="AR621">
        <v>64.219106280763981</v>
      </c>
      <c r="AS621">
        <v>327.50635934802261</v>
      </c>
      <c r="AT621">
        <v>30.546570168097585</v>
      </c>
      <c r="AU621">
        <v>3.0552889669102683</v>
      </c>
      <c r="AV621"/>
      <c r="AW621"/>
      <c r="FY621" s="211">
        <v>616</v>
      </c>
      <c r="FZ621">
        <v>77.534780232148478</v>
      </c>
      <c r="GA621">
        <v>89.670313550550702</v>
      </c>
      <c r="GB621">
        <v>40.158907819636745</v>
      </c>
      <c r="GC621">
        <v>22.170027928698822</v>
      </c>
      <c r="GD621">
        <v>13.522419294638743</v>
      </c>
      <c r="GE621">
        <v>25.182316203505607</v>
      </c>
      <c r="GF621">
        <v>23.530117229026118</v>
      </c>
      <c r="GG621">
        <v>10.4640503928598</v>
      </c>
      <c r="GH621">
        <v>15.779008763781237</v>
      </c>
      <c r="GI621">
        <v>37.548217953592875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181.41759313540825</v>
      </c>
      <c r="AO622">
        <v>47.264571620679114</v>
      </c>
      <c r="AP622">
        <v>350.84621091055237</v>
      </c>
      <c r="AQ622">
        <v>273.1808979513163</v>
      </c>
      <c r="AR622">
        <v>45.003969635135732</v>
      </c>
      <c r="AS622">
        <v>218.8760096194396</v>
      </c>
      <c r="AT622">
        <v>21.24797473481507</v>
      </c>
      <c r="AU622">
        <v>-16.282069578416333</v>
      </c>
      <c r="AV622"/>
      <c r="AW622"/>
      <c r="FY622" s="211">
        <v>617</v>
      </c>
      <c r="FZ622">
        <v>78.449261670499851</v>
      </c>
      <c r="GA622">
        <v>98.664106117481296</v>
      </c>
      <c r="GB622">
        <v>50.518882798930015</v>
      </c>
      <c r="GC622">
        <v>27.814889842105984</v>
      </c>
      <c r="GD622">
        <v>14.477410514686779</v>
      </c>
      <c r="GE622">
        <v>24.711882370783975</v>
      </c>
      <c r="GF622">
        <v>56.792724251077892</v>
      </c>
      <c r="GG622">
        <v>33.567695621092724</v>
      </c>
      <c r="GH622">
        <v>14.308703563147022</v>
      </c>
      <c r="GI622">
        <v>47.299203940517039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218.89988648827617</v>
      </c>
      <c r="AO623">
        <v>52.009208330906233</v>
      </c>
      <c r="AP623">
        <v>366.40431452167559</v>
      </c>
      <c r="AQ623">
        <v>295.23814316579541</v>
      </c>
      <c r="AR623">
        <v>52.232977665185665</v>
      </c>
      <c r="AS623">
        <v>268.67243274272414</v>
      </c>
      <c r="AT623">
        <v>23.954903891273464</v>
      </c>
      <c r="AU623">
        <v>34.258727586875104</v>
      </c>
      <c r="AV623"/>
      <c r="AW623"/>
      <c r="FY623" s="211">
        <v>618</v>
      </c>
      <c r="FZ623">
        <v>90.199728300743075</v>
      </c>
      <c r="GA623">
        <v>84.130593618898899</v>
      </c>
      <c r="GB623">
        <v>39.76113019844496</v>
      </c>
      <c r="GC623">
        <v>27.362335329149872</v>
      </c>
      <c r="GD623">
        <v>17.275543164628651</v>
      </c>
      <c r="GE623">
        <v>22.842678447338155</v>
      </c>
      <c r="GF623">
        <v>41.338278956661732</v>
      </c>
      <c r="GG623">
        <v>35.64277349881587</v>
      </c>
      <c r="GH623">
        <v>32.709331737542854</v>
      </c>
      <c r="GI623">
        <v>47.95809491586926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178.3818015068961</v>
      </c>
      <c r="AO624">
        <v>56.655868078891125</v>
      </c>
      <c r="AP624">
        <v>433.5324725406266</v>
      </c>
      <c r="AQ624">
        <v>329.73192517618628</v>
      </c>
      <c r="AR624">
        <v>55.195681753486859</v>
      </c>
      <c r="AS624">
        <v>261.65583768688157</v>
      </c>
      <c r="AT624">
        <v>27.568469108277284</v>
      </c>
      <c r="AU624">
        <v>71.754002730866887</v>
      </c>
      <c r="AV624"/>
      <c r="AW624"/>
      <c r="FY624" s="211">
        <v>619</v>
      </c>
      <c r="FZ624">
        <v>81.928237585774596</v>
      </c>
      <c r="GA624">
        <v>93.363824663397253</v>
      </c>
      <c r="GB624">
        <v>47.368737210837104</v>
      </c>
      <c r="GC624">
        <v>29.28748112773712</v>
      </c>
      <c r="GD624">
        <v>17.40037255475373</v>
      </c>
      <c r="GE624">
        <v>22.531688566845965</v>
      </c>
      <c r="GF624">
        <v>55.899334895992752</v>
      </c>
      <c r="GG624">
        <v>49.301871812716087</v>
      </c>
      <c r="GH624">
        <v>33.778633894688909</v>
      </c>
      <c r="GI624">
        <v>51.686722938059837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190.64047077026436</v>
      </c>
      <c r="AO625">
        <v>55.720626361211529</v>
      </c>
      <c r="AP625">
        <v>374.52620391497436</v>
      </c>
      <c r="AQ625">
        <v>305.25726497435238</v>
      </c>
      <c r="AR625">
        <v>54.925418604213</v>
      </c>
      <c r="AS625">
        <v>273.8914991507761</v>
      </c>
      <c r="AT625">
        <v>26.131698308703324</v>
      </c>
      <c r="AU625">
        <v>18.898654248104457</v>
      </c>
      <c r="AV625"/>
      <c r="AW625"/>
      <c r="FY625" s="211">
        <v>620</v>
      </c>
      <c r="FZ625">
        <v>81.034846190992823</v>
      </c>
      <c r="GA625">
        <v>84.707046403312077</v>
      </c>
      <c r="GB625">
        <v>38.99237629257911</v>
      </c>
      <c r="GC625">
        <v>22.265534534266848</v>
      </c>
      <c r="GD625">
        <v>15.512583610430063</v>
      </c>
      <c r="GE625">
        <v>27.071658268513179</v>
      </c>
      <c r="GF625">
        <v>44.694328083501915</v>
      </c>
      <c r="GG625">
        <v>30.665433177615249</v>
      </c>
      <c r="GH625">
        <v>19.101438239271125</v>
      </c>
      <c r="GI625">
        <v>43.59967474489509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185.0044990674447</v>
      </c>
      <c r="AO626">
        <v>66.064680600429057</v>
      </c>
      <c r="AP626">
        <v>504.0422658153642</v>
      </c>
      <c r="AQ626">
        <v>396.06951452542359</v>
      </c>
      <c r="AR626">
        <v>63.287261599026671</v>
      </c>
      <c r="AS626">
        <v>307.99515590201236</v>
      </c>
      <c r="AT626">
        <v>29.835764224947386</v>
      </c>
      <c r="AU626">
        <v>-23.15022818060045</v>
      </c>
      <c r="AV626"/>
      <c r="AW626"/>
      <c r="FY626" s="211">
        <v>621</v>
      </c>
      <c r="FZ626">
        <v>77.332437130407456</v>
      </c>
      <c r="GA626">
        <v>84.293809102965085</v>
      </c>
      <c r="GB626">
        <v>53.890763389099234</v>
      </c>
      <c r="GC626">
        <v>28.43200971236265</v>
      </c>
      <c r="GD626">
        <v>15.259859283125143</v>
      </c>
      <c r="GE626">
        <v>25.352075224572928</v>
      </c>
      <c r="GF626">
        <v>44.891909967103196</v>
      </c>
      <c r="GG626">
        <v>40.556174534516551</v>
      </c>
      <c r="GH626">
        <v>24.358846824246882</v>
      </c>
      <c r="GI626">
        <v>47.673059307160329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195.97596943467289</v>
      </c>
      <c r="AO627">
        <v>59.971564962475895</v>
      </c>
      <c r="AP627">
        <v>431.16931184984503</v>
      </c>
      <c r="AQ627">
        <v>340.34865465987599</v>
      </c>
      <c r="AR627">
        <v>57.896046518504548</v>
      </c>
      <c r="AS627">
        <v>280.69249954339818</v>
      </c>
      <c r="AT627">
        <v>26.707841129419023</v>
      </c>
      <c r="AU627">
        <v>8.6249100676431176</v>
      </c>
      <c r="AV627"/>
      <c r="AW627"/>
      <c r="FY627" s="211">
        <v>622</v>
      </c>
      <c r="FZ627">
        <v>167.89603062209531</v>
      </c>
      <c r="GA627">
        <v>174.27230464366275</v>
      </c>
      <c r="GB627">
        <v>38.692183163744197</v>
      </c>
      <c r="GC627">
        <v>22.631944490891179</v>
      </c>
      <c r="GD627">
        <v>11.11180316622181</v>
      </c>
      <c r="GE627">
        <v>24.802947799061585</v>
      </c>
      <c r="GF627">
        <v>30.390391266255698</v>
      </c>
      <c r="GG627">
        <v>11.344478558444901</v>
      </c>
      <c r="GH627">
        <v>20.311900578281314</v>
      </c>
      <c r="GI627">
        <v>50.797997590617292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134.91601141080693</v>
      </c>
      <c r="AO628">
        <v>44.283601706067309</v>
      </c>
      <c r="AP628">
        <v>336.83597599188374</v>
      </c>
      <c r="AQ628">
        <v>258.87438488288109</v>
      </c>
      <c r="AR628">
        <v>43.240439608945046</v>
      </c>
      <c r="AS628">
        <v>204.831876770131</v>
      </c>
      <c r="AT628">
        <v>20.994561160392699</v>
      </c>
      <c r="AU628">
        <v>-10.045810370829798</v>
      </c>
      <c r="AV628"/>
      <c r="AW628"/>
      <c r="FY628" s="211">
        <v>623</v>
      </c>
      <c r="FZ628">
        <v>77.434107878644753</v>
      </c>
      <c r="GA628">
        <v>92.694117998835182</v>
      </c>
      <c r="GB628">
        <v>32.545069985242193</v>
      </c>
      <c r="GC628">
        <v>19.422742593196165</v>
      </c>
      <c r="GD628">
        <v>17.358602912086575</v>
      </c>
      <c r="GE628">
        <v>30.982157310616248</v>
      </c>
      <c r="GF628">
        <v>48.926285241164912</v>
      </c>
      <c r="GG628">
        <v>35.224853077457446</v>
      </c>
      <c r="GH628">
        <v>29.977135981369031</v>
      </c>
      <c r="GI628">
        <v>45.32395817163659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196.42000007177057</v>
      </c>
      <c r="AO629">
        <v>56.862072425067232</v>
      </c>
      <c r="AP629">
        <v>427.8926493369691</v>
      </c>
      <c r="AQ629">
        <v>328.97381593202368</v>
      </c>
      <c r="AR629">
        <v>55.225795984166957</v>
      </c>
      <c r="AS629">
        <v>264.94040341321318</v>
      </c>
      <c r="AT629">
        <v>24.955902271423678</v>
      </c>
      <c r="AU629">
        <v>8.2727308308538809</v>
      </c>
      <c r="AV629"/>
      <c r="AW629"/>
      <c r="FY629" s="211">
        <v>624</v>
      </c>
      <c r="FZ629">
        <v>28.189128118959353</v>
      </c>
      <c r="GA629">
        <v>52.260271125887904</v>
      </c>
      <c r="GB629">
        <v>44.567918903430417</v>
      </c>
      <c r="GC629">
        <v>21.264408622468494</v>
      </c>
      <c r="GD629">
        <v>10.108468177536119</v>
      </c>
      <c r="GE629">
        <v>21.824107438969193</v>
      </c>
      <c r="GF629">
        <v>50.436728776493155</v>
      </c>
      <c r="GG629">
        <v>39.870025697457187</v>
      </c>
      <c r="GH629">
        <v>26.51996550449886</v>
      </c>
      <c r="GI629">
        <v>36.1632123302387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212.18807227468898</v>
      </c>
      <c r="AO630">
        <v>66.12239370553344</v>
      </c>
      <c r="AP630">
        <v>537.45706531358485</v>
      </c>
      <c r="AQ630">
        <v>403.43381530397875</v>
      </c>
      <c r="AR630">
        <v>64.14366622552248</v>
      </c>
      <c r="AS630">
        <v>320.82237626246217</v>
      </c>
      <c r="AT630">
        <v>31.004135297183453</v>
      </c>
      <c r="AU630">
        <v>135.47547850054875</v>
      </c>
      <c r="AV630"/>
      <c r="AW630"/>
      <c r="FY630" s="211">
        <v>625</v>
      </c>
      <c r="FZ630">
        <v>165.42193492892071</v>
      </c>
      <c r="GA630">
        <v>177.59703941063199</v>
      </c>
      <c r="GB630">
        <v>51.559406377245438</v>
      </c>
      <c r="GC630">
        <v>26.726128754190491</v>
      </c>
      <c r="GD630">
        <v>14.070948220568688</v>
      </c>
      <c r="GE630">
        <v>26.080007959244504</v>
      </c>
      <c r="GF630">
        <v>55.025273066762729</v>
      </c>
      <c r="GG630">
        <v>42.726616470330455</v>
      </c>
      <c r="GH630">
        <v>12.396956503061816</v>
      </c>
      <c r="GI630">
        <v>59.247024516192447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181.1517813149317</v>
      </c>
      <c r="AO631">
        <v>56.502593423873591</v>
      </c>
      <c r="AP631">
        <v>435.22495887583295</v>
      </c>
      <c r="AQ631">
        <v>335.90288693426373</v>
      </c>
      <c r="AR631">
        <v>55.09590945094812</v>
      </c>
      <c r="AS631">
        <v>259.48592633325592</v>
      </c>
      <c r="AT631">
        <v>26.313946611190548</v>
      </c>
      <c r="AU631">
        <v>12.954874186928457</v>
      </c>
      <c r="AV631"/>
      <c r="AW631"/>
      <c r="FY631" s="211">
        <v>626</v>
      </c>
      <c r="FZ631">
        <v>120.71365480458941</v>
      </c>
      <c r="GA631">
        <v>145.95910339546029</v>
      </c>
      <c r="GB631">
        <v>47.104433523583182</v>
      </c>
      <c r="GC631">
        <v>21.026080881468285</v>
      </c>
      <c r="GD631">
        <v>16.879702532411642</v>
      </c>
      <c r="GE631">
        <v>34.787368492793881</v>
      </c>
      <c r="GF631">
        <v>38.163332778832284</v>
      </c>
      <c r="GG631">
        <v>30.822056878453253</v>
      </c>
      <c r="GH631">
        <v>29.676715452589612</v>
      </c>
      <c r="GI631">
        <v>52.888658657328271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172.71100072273364</v>
      </c>
      <c r="AO632">
        <v>55.334493580166907</v>
      </c>
      <c r="AP632">
        <v>439.01084527869637</v>
      </c>
      <c r="AQ632">
        <v>355.56015936843914</v>
      </c>
      <c r="AR632">
        <v>53.829374210352043</v>
      </c>
      <c r="AS632">
        <v>259.12070852014432</v>
      </c>
      <c r="AT632">
        <v>28.003931759566736</v>
      </c>
      <c r="AU632">
        <v>14.88617932686649</v>
      </c>
      <c r="AV632"/>
      <c r="AW632"/>
      <c r="FY632" s="211">
        <v>627</v>
      </c>
      <c r="FZ632">
        <v>78.75961260885795</v>
      </c>
      <c r="GA632">
        <v>88.243200268974746</v>
      </c>
      <c r="GB632">
        <v>45.464869211931713</v>
      </c>
      <c r="GC632">
        <v>24.97225754727911</v>
      </c>
      <c r="GD632">
        <v>16.027471375505566</v>
      </c>
      <c r="GE632">
        <v>23.48996788706712</v>
      </c>
      <c r="GF632">
        <v>35.387070421993883</v>
      </c>
      <c r="GG632">
        <v>34.991604097510752</v>
      </c>
      <c r="GH632">
        <v>21.688222440785513</v>
      </c>
      <c r="GI632">
        <v>43.996999688575784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255.85087174066734</v>
      </c>
      <c r="AO633">
        <v>70.0079856707478</v>
      </c>
      <c r="AP633">
        <v>574.54697132994124</v>
      </c>
      <c r="AQ633">
        <v>446.60476069032262</v>
      </c>
      <c r="AR633">
        <v>67.750568650819801</v>
      </c>
      <c r="AS633">
        <v>338.33462627925906</v>
      </c>
      <c r="AT633">
        <v>33.079210823654442</v>
      </c>
      <c r="AU633">
        <v>13.292280682237859</v>
      </c>
      <c r="AV633"/>
      <c r="AW633"/>
      <c r="FY633" s="211">
        <v>628</v>
      </c>
      <c r="FZ633">
        <v>80.119439231158054</v>
      </c>
      <c r="GA633">
        <v>105.63913053294607</v>
      </c>
      <c r="GB633">
        <v>28.878761048316939</v>
      </c>
      <c r="GC633">
        <v>12.164059794551815</v>
      </c>
      <c r="GD633">
        <v>9.0269969730171233</v>
      </c>
      <c r="GE633">
        <v>14.141477808195177</v>
      </c>
      <c r="GF633">
        <v>32.477305936673083</v>
      </c>
      <c r="GG633">
        <v>23.543744328891993</v>
      </c>
      <c r="GH633">
        <v>18.051628121663235</v>
      </c>
      <c r="GI633">
        <v>34.185563338677682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212.15250108817935</v>
      </c>
      <c r="AO634">
        <v>69.55122190765637</v>
      </c>
      <c r="AP634">
        <v>551.21712540991382</v>
      </c>
      <c r="AQ634">
        <v>439.22048816809325</v>
      </c>
      <c r="AR634">
        <v>69.56838833784694</v>
      </c>
      <c r="AS634">
        <v>333.18234697030243</v>
      </c>
      <c r="AT634">
        <v>34.732179179279477</v>
      </c>
      <c r="AU634">
        <v>72.428198912320184</v>
      </c>
      <c r="AV634"/>
      <c r="AW634"/>
      <c r="FY634" s="211">
        <v>629</v>
      </c>
      <c r="FZ634">
        <v>36.513276296431258</v>
      </c>
      <c r="GA634">
        <v>50.530737527555708</v>
      </c>
      <c r="GB634">
        <v>53.936855358536988</v>
      </c>
      <c r="GC634">
        <v>30.195659397704961</v>
      </c>
      <c r="GD634">
        <v>21.254598714998803</v>
      </c>
      <c r="GE634">
        <v>31.654589468724282</v>
      </c>
      <c r="GF634">
        <v>35.515559045220634</v>
      </c>
      <c r="GG634">
        <v>30.334521402190159</v>
      </c>
      <c r="GH634">
        <v>24.077052538690076</v>
      </c>
      <c r="GI634">
        <v>43.686897345636083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261.41330105364284</v>
      </c>
      <c r="AO635">
        <v>75.780161648869637</v>
      </c>
      <c r="AP635">
        <v>615.71533063379104</v>
      </c>
      <c r="AQ635">
        <v>482.54690525080338</v>
      </c>
      <c r="AR635">
        <v>74.707457340484964</v>
      </c>
      <c r="AS635">
        <v>363.55450452805377</v>
      </c>
      <c r="AT635">
        <v>36.303944955405704</v>
      </c>
      <c r="AU635">
        <v>70.330136347851649</v>
      </c>
      <c r="AV635"/>
      <c r="AW635"/>
      <c r="FY635" s="211">
        <v>630</v>
      </c>
      <c r="FZ635">
        <v>32.227754876436535</v>
      </c>
      <c r="GA635">
        <v>56.874343936453911</v>
      </c>
      <c r="GB635">
        <v>47.950003197548014</v>
      </c>
      <c r="GC635">
        <v>26.296793643009444</v>
      </c>
      <c r="GD635">
        <v>16.605683376209619</v>
      </c>
      <c r="GE635">
        <v>28.104498214866403</v>
      </c>
      <c r="GF635">
        <v>41.430815420797401</v>
      </c>
      <c r="GG635">
        <v>21.820501454708047</v>
      </c>
      <c r="GH635">
        <v>17.050036383870502</v>
      </c>
      <c r="GI635">
        <v>38.420344308624536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200.87614093651604</v>
      </c>
      <c r="AO636">
        <v>63.488815797141726</v>
      </c>
      <c r="AP636">
        <v>508.49093157944566</v>
      </c>
      <c r="AQ636">
        <v>407.64491954537743</v>
      </c>
      <c r="AR636">
        <v>62.502879292671608</v>
      </c>
      <c r="AS636">
        <v>309.59470613023967</v>
      </c>
      <c r="AT636">
        <v>32.146251723206099</v>
      </c>
      <c r="AU636">
        <v>35.763999904435686</v>
      </c>
      <c r="AV636"/>
      <c r="AW636"/>
      <c r="FY636" s="211">
        <v>631</v>
      </c>
      <c r="FZ636">
        <v>83.858614009626365</v>
      </c>
      <c r="GA636">
        <v>94.474678955117042</v>
      </c>
      <c r="GB636">
        <v>33.129609784123836</v>
      </c>
      <c r="GC636">
        <v>18.727663049832373</v>
      </c>
      <c r="GD636">
        <v>13.691278184062776</v>
      </c>
      <c r="GE636">
        <v>26.377595757864075</v>
      </c>
      <c r="GF636">
        <v>21.190715449687712</v>
      </c>
      <c r="GG636">
        <v>8.017740140115631</v>
      </c>
      <c r="GH636">
        <v>36.191433987701494</v>
      </c>
      <c r="GI636">
        <v>39.273255959888829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194.96028472597021</v>
      </c>
      <c r="AO637">
        <v>70.608059690158072</v>
      </c>
      <c r="AP637">
        <v>564.26996061145826</v>
      </c>
      <c r="AQ637">
        <v>442.04094447555946</v>
      </c>
      <c r="AR637">
        <v>68.944236977250242</v>
      </c>
      <c r="AS637">
        <v>317.09566400313446</v>
      </c>
      <c r="AT637">
        <v>33.973810318139535</v>
      </c>
      <c r="AU637">
        <v>39.845573472913344</v>
      </c>
      <c r="AV637"/>
      <c r="AW637"/>
      <c r="FY637" s="211">
        <v>632</v>
      </c>
      <c r="FZ637">
        <v>164.1118414472578</v>
      </c>
      <c r="GA637">
        <v>185.89518022941613</v>
      </c>
      <c r="GB637">
        <v>51.506716224795511</v>
      </c>
      <c r="GC637">
        <v>29.588320047404011</v>
      </c>
      <c r="GD637">
        <v>14.260312088109877</v>
      </c>
      <c r="GE637">
        <v>18.381398324196002</v>
      </c>
      <c r="GF637">
        <v>37.567948192527972</v>
      </c>
      <c r="GG637">
        <v>30.089114877395776</v>
      </c>
      <c r="GH637">
        <v>13.35371106749394</v>
      </c>
      <c r="GI637">
        <v>55.744135163151192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181.90807020293093</v>
      </c>
      <c r="AO638">
        <v>74.631897316035818</v>
      </c>
      <c r="AP638">
        <v>674.83357228750606</v>
      </c>
      <c r="AQ638">
        <v>552.25198187927606</v>
      </c>
      <c r="AR638">
        <v>72.933619401848816</v>
      </c>
      <c r="AS638">
        <v>351.29061947139309</v>
      </c>
      <c r="AT638">
        <v>43.16931239970873</v>
      </c>
      <c r="AU638">
        <v>16.975579970397675</v>
      </c>
      <c r="AV638"/>
      <c r="AW638"/>
      <c r="FY638" s="211">
        <v>633</v>
      </c>
      <c r="FZ638">
        <v>31.798515801006587</v>
      </c>
      <c r="GA638">
        <v>37.521704995876675</v>
      </c>
      <c r="GB638">
        <v>45.389269271913392</v>
      </c>
      <c r="GC638">
        <v>23.716034654036701</v>
      </c>
      <c r="GD638">
        <v>12.224775774167474</v>
      </c>
      <c r="GE638">
        <v>25.076617582386341</v>
      </c>
      <c r="GF638">
        <v>47.792789962835514</v>
      </c>
      <c r="GG638">
        <v>34.693121369147022</v>
      </c>
      <c r="GH638">
        <v>18.267248008035608</v>
      </c>
      <c r="GI638">
        <v>36.478561925737225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224.51890066843671</v>
      </c>
      <c r="AO639">
        <v>66.609487567781301</v>
      </c>
      <c r="AP639">
        <v>536.78832944776116</v>
      </c>
      <c r="AQ639">
        <v>429.88903115024914</v>
      </c>
      <c r="AR639">
        <v>65.137688108128387</v>
      </c>
      <c r="AS639">
        <v>321.10670575242864</v>
      </c>
      <c r="AT639">
        <v>32.632354956886225</v>
      </c>
      <c r="AU639">
        <v>2.9277712306824171</v>
      </c>
      <c r="AV639"/>
      <c r="AW639"/>
      <c r="FY639" s="211">
        <v>634</v>
      </c>
      <c r="FZ639">
        <v>40.776851105366035</v>
      </c>
      <c r="GA639">
        <v>42.202398370278573</v>
      </c>
      <c r="GB639">
        <v>50.281534398168901</v>
      </c>
      <c r="GC639">
        <v>28.095008591311579</v>
      </c>
      <c r="GD639">
        <v>14.244536540062429</v>
      </c>
      <c r="GE639">
        <v>19.162843805751741</v>
      </c>
      <c r="GF639">
        <v>51.555835595767839</v>
      </c>
      <c r="GG639">
        <v>46.056118366994333</v>
      </c>
      <c r="GH639">
        <v>21.850958971673705</v>
      </c>
      <c r="GI639">
        <v>41.92157950080982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212.18872059493407</v>
      </c>
      <c r="AO640">
        <v>54.050711600948851</v>
      </c>
      <c r="AP640">
        <v>436.46513058423443</v>
      </c>
      <c r="AQ640">
        <v>331.20423469593942</v>
      </c>
      <c r="AR640">
        <v>51.572770564453798</v>
      </c>
      <c r="AS640">
        <v>253.20056781865904</v>
      </c>
      <c r="AT640">
        <v>23.955802335119202</v>
      </c>
      <c r="AU640">
        <v>1.8863846502814905</v>
      </c>
      <c r="AV640"/>
      <c r="AW640"/>
      <c r="FY640" s="211">
        <v>635</v>
      </c>
      <c r="FZ640">
        <v>26.634877588085676</v>
      </c>
      <c r="GA640">
        <v>40.508625363718153</v>
      </c>
      <c r="GB640">
        <v>51.911443312243904</v>
      </c>
      <c r="GC640">
        <v>28.262263791151813</v>
      </c>
      <c r="GD640">
        <v>14.713915304283192</v>
      </c>
      <c r="GE640">
        <v>27.022887092731427</v>
      </c>
      <c r="GF640">
        <v>37.775128226638387</v>
      </c>
      <c r="GG640">
        <v>23.739814927321721</v>
      </c>
      <c r="GH640">
        <v>17.665878573194963</v>
      </c>
      <c r="GI640">
        <v>36.799438408446989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243.8613624237185</v>
      </c>
      <c r="AO641">
        <v>89.018619802291397</v>
      </c>
      <c r="AP641">
        <v>792.13450726005999</v>
      </c>
      <c r="AQ641">
        <v>630.8513362071493</v>
      </c>
      <c r="AR641">
        <v>86.017806201398656</v>
      </c>
      <c r="AS641">
        <v>418.26356769247417</v>
      </c>
      <c r="AT641">
        <v>46.774043727636979</v>
      </c>
      <c r="AU641">
        <v>23.028732564696575</v>
      </c>
      <c r="AV641"/>
      <c r="AW641"/>
      <c r="FY641" s="211">
        <v>636</v>
      </c>
      <c r="FZ641">
        <v>122.47654289382628</v>
      </c>
      <c r="GA641">
        <v>142.2785038207451</v>
      </c>
      <c r="GB641">
        <v>52.620170560448642</v>
      </c>
      <c r="GC641">
        <v>30.487793033642106</v>
      </c>
      <c r="GD641">
        <v>13.800084266079457</v>
      </c>
      <c r="GE641">
        <v>25.45084531768347</v>
      </c>
      <c r="GF641">
        <v>71.812490772527241</v>
      </c>
      <c r="GG641">
        <v>50.463294466488748</v>
      </c>
      <c r="GH641">
        <v>15.06188360971092</v>
      </c>
      <c r="GI641">
        <v>56.624541476441742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216.56884301462591</v>
      </c>
      <c r="AO642">
        <v>78.832227027796321</v>
      </c>
      <c r="AP642">
        <v>671.4011685006185</v>
      </c>
      <c r="AQ642">
        <v>538.02110739751015</v>
      </c>
      <c r="AR642">
        <v>76.692003217038717</v>
      </c>
      <c r="AS642">
        <v>352.25389822637078</v>
      </c>
      <c r="AT642">
        <v>42.746271076081541</v>
      </c>
      <c r="AU642">
        <v>-23.123290470874096</v>
      </c>
      <c r="AV642"/>
      <c r="AW642"/>
      <c r="FY642" s="211">
        <v>637</v>
      </c>
      <c r="FZ642">
        <v>35.857206506058155</v>
      </c>
      <c r="GA642">
        <v>37.63042354232234</v>
      </c>
      <c r="GB642">
        <v>46.192007071976001</v>
      </c>
      <c r="GC642">
        <v>28.93892347278781</v>
      </c>
      <c r="GD642">
        <v>13.888276367305251</v>
      </c>
      <c r="GE642">
        <v>23.71144081696297</v>
      </c>
      <c r="GF642">
        <v>55.358738636835639</v>
      </c>
      <c r="GG642">
        <v>38.222785406528743</v>
      </c>
      <c r="GH642">
        <v>22.022550400689571</v>
      </c>
      <c r="GI642">
        <v>40.454986140669931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216.71869389606368</v>
      </c>
      <c r="AO643">
        <v>65.333242652920788</v>
      </c>
      <c r="AP643">
        <v>522.83330764170853</v>
      </c>
      <c r="AQ643">
        <v>413.02127554848215</v>
      </c>
      <c r="AR643">
        <v>63.807268226231088</v>
      </c>
      <c r="AS643">
        <v>306.81354204924338</v>
      </c>
      <c r="AT643">
        <v>32.032225591101373</v>
      </c>
      <c r="AU643">
        <v>47.726670735267803</v>
      </c>
      <c r="AV643"/>
      <c r="AW643"/>
      <c r="FY643" s="211">
        <v>638</v>
      </c>
      <c r="FZ643">
        <v>109.90440442591984</v>
      </c>
      <c r="GA643">
        <v>142.05899480376428</v>
      </c>
      <c r="GB643">
        <v>44.002573156893263</v>
      </c>
      <c r="GC643">
        <v>20.540119264445991</v>
      </c>
      <c r="GD643">
        <v>9.8730491076551257</v>
      </c>
      <c r="GE643">
        <v>22.10103286159174</v>
      </c>
      <c r="GF643">
        <v>56.730072737434632</v>
      </c>
      <c r="GG643">
        <v>39.522591422809107</v>
      </c>
      <c r="GH643">
        <v>23.71515001761405</v>
      </c>
      <c r="GI643">
        <v>48.669143819684408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149.53850641423887</v>
      </c>
      <c r="AO644">
        <v>50.016367296348427</v>
      </c>
      <c r="AP644">
        <v>454.15507629685834</v>
      </c>
      <c r="AQ644">
        <v>358.22810711409113</v>
      </c>
      <c r="AR644">
        <v>49.167423384905568</v>
      </c>
      <c r="AS644">
        <v>221.87691004779558</v>
      </c>
      <c r="AT644">
        <v>25.728382287443676</v>
      </c>
      <c r="AU644">
        <v>-20.768132716653675</v>
      </c>
      <c r="AV644"/>
      <c r="AW644"/>
      <c r="FY644" s="211">
        <v>639</v>
      </c>
      <c r="FZ644">
        <v>99.501283532423898</v>
      </c>
      <c r="GA644">
        <v>147.55648838586555</v>
      </c>
      <c r="GB644">
        <v>29.419562604700218</v>
      </c>
      <c r="GC644">
        <v>14.95061299470184</v>
      </c>
      <c r="GD644">
        <v>18.623568909023426</v>
      </c>
      <c r="GE644">
        <v>26.128914868255293</v>
      </c>
      <c r="GF644">
        <v>32.311833572630604</v>
      </c>
      <c r="GG644">
        <v>22.886495455639263</v>
      </c>
      <c r="GH644">
        <v>17.763854465071805</v>
      </c>
      <c r="GI644">
        <v>43.148004854131806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220.75179940924977</v>
      </c>
      <c r="AO645">
        <v>64.484043801868154</v>
      </c>
      <c r="AP645">
        <v>451.54494135429036</v>
      </c>
      <c r="AQ645">
        <v>357.69974709568896</v>
      </c>
      <c r="AR645">
        <v>63.099950613255494</v>
      </c>
      <c r="AS645">
        <v>303.73820520016614</v>
      </c>
      <c r="AT645">
        <v>28.535686554696834</v>
      </c>
      <c r="AU645">
        <v>14.616122969799832</v>
      </c>
      <c r="AV645"/>
      <c r="AW645"/>
      <c r="FY645" s="211">
        <v>640</v>
      </c>
      <c r="FZ645">
        <v>76.224405059749472</v>
      </c>
      <c r="GA645">
        <v>69.197694847388618</v>
      </c>
      <c r="GB645">
        <v>47.299882316553358</v>
      </c>
      <c r="GC645">
        <v>34.275511790267188</v>
      </c>
      <c r="GD645">
        <v>20.03185788547783</v>
      </c>
      <c r="GE645">
        <v>29.227153726449966</v>
      </c>
      <c r="GF645">
        <v>37.456450879660956</v>
      </c>
      <c r="GG645">
        <v>30.060180713903581</v>
      </c>
      <c r="GH645">
        <v>23.91604507484147</v>
      </c>
      <c r="GI645">
        <v>47.466330505892628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219.6007557326503</v>
      </c>
      <c r="AO646">
        <v>56.76848966232221</v>
      </c>
      <c r="AP646">
        <v>414.67611093819897</v>
      </c>
      <c r="AQ646">
        <v>326.78077481252438</v>
      </c>
      <c r="AR646">
        <v>54.639156908178585</v>
      </c>
      <c r="AS646">
        <v>272.59215207734172</v>
      </c>
      <c r="AT646">
        <v>23.76337523282989</v>
      </c>
      <c r="AU646">
        <v>-6.1104462551099203</v>
      </c>
      <c r="AV646"/>
      <c r="AW646"/>
      <c r="FY646" s="211">
        <v>641</v>
      </c>
      <c r="FZ646">
        <v>117.82005920864056</v>
      </c>
      <c r="GA646">
        <v>132.93445962816824</v>
      </c>
      <c r="GB646">
        <v>55.414625734903673</v>
      </c>
      <c r="GC646">
        <v>28.623014886280558</v>
      </c>
      <c r="GD646">
        <v>15.188570273016238</v>
      </c>
      <c r="GE646">
        <v>28.447872310254226</v>
      </c>
      <c r="GF646">
        <v>41.359383262901375</v>
      </c>
      <c r="GG646">
        <v>31.53845397828773</v>
      </c>
      <c r="GH646">
        <v>21.663666355688587</v>
      </c>
      <c r="GI646">
        <v>52.846118616696295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193.67931771485604</v>
      </c>
      <c r="AO647">
        <v>55.495148004275123</v>
      </c>
      <c r="AP647">
        <v>455.06557901439652</v>
      </c>
      <c r="AQ647">
        <v>374.93258527802016</v>
      </c>
      <c r="AR647">
        <v>55.703320933031137</v>
      </c>
      <c r="AS647">
        <v>271.19460847543905</v>
      </c>
      <c r="AT647" t="e">
        <v>#DIV/0!</v>
      </c>
      <c r="AU647" t="e">
        <v>#DIV/0!</v>
      </c>
      <c r="AV647"/>
      <c r="AW647"/>
      <c r="FY647" s="211">
        <v>642</v>
      </c>
      <c r="FZ647">
        <v>74.710155900705246</v>
      </c>
      <c r="GA647">
        <v>92.1034445876289</v>
      </c>
      <c r="GB647">
        <v>46.576216528800337</v>
      </c>
      <c r="GC647">
        <v>24.026569391339574</v>
      </c>
      <c r="GD647">
        <v>9.160454904485885</v>
      </c>
      <c r="GE647">
        <v>19.263667648948257</v>
      </c>
      <c r="GF647">
        <v>33.809563166968189</v>
      </c>
      <c r="GG647">
        <v>19.994673556934305</v>
      </c>
      <c r="GH647">
        <v>18.349935565546794</v>
      </c>
      <c r="GI647">
        <v>38.240427862066895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215.25325703000658</v>
      </c>
      <c r="AO648">
        <v>83.839328921497525</v>
      </c>
      <c r="AP648">
        <v>746.03823248940648</v>
      </c>
      <c r="AQ648">
        <v>600.49867766174827</v>
      </c>
      <c r="AR648">
        <v>80.956250910410162</v>
      </c>
      <c r="AS648">
        <v>373.51777406950691</v>
      </c>
      <c r="AT648">
        <v>44.546907671490658</v>
      </c>
      <c r="AU648">
        <v>-14.822422613428799</v>
      </c>
      <c r="AV648"/>
      <c r="AW648"/>
      <c r="FY648" s="211">
        <v>643</v>
      </c>
      <c r="FZ648">
        <v>91.258807912555625</v>
      </c>
      <c r="GA648">
        <v>100.27224864416814</v>
      </c>
      <c r="GB648">
        <v>51.522737245078986</v>
      </c>
      <c r="GC648">
        <v>28.795499405489604</v>
      </c>
      <c r="GD648">
        <v>16.211901719169948</v>
      </c>
      <c r="GE648">
        <v>20.876116663365288</v>
      </c>
      <c r="GF648">
        <v>23.682593951795802</v>
      </c>
      <c r="GG648">
        <v>19.171121127274837</v>
      </c>
      <c r="GH648">
        <v>30.74637889591364</v>
      </c>
      <c r="GI648">
        <v>46.334961095765372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187.2442559005344</v>
      </c>
      <c r="AO649">
        <v>54.042325440448053</v>
      </c>
      <c r="AP649">
        <v>409.21970550430831</v>
      </c>
      <c r="AQ649">
        <v>312.95863934514256</v>
      </c>
      <c r="AR649">
        <v>52.231947581196422</v>
      </c>
      <c r="AS649">
        <v>245.98383132433722</v>
      </c>
      <c r="AT649">
        <v>23.414403054999877</v>
      </c>
      <c r="AU649">
        <v>12.484735457640628</v>
      </c>
      <c r="AV649"/>
      <c r="AW649"/>
      <c r="FY649" s="211">
        <v>644</v>
      </c>
      <c r="FZ649">
        <v>37.976555873683509</v>
      </c>
      <c r="GA649">
        <v>58.633689269263478</v>
      </c>
      <c r="GB649">
        <v>48.374697468171192</v>
      </c>
      <c r="GC649">
        <v>29.063304498590817</v>
      </c>
      <c r="GD649">
        <v>18.599457485224622</v>
      </c>
      <c r="GE649">
        <v>28.034683936517514</v>
      </c>
      <c r="GF649">
        <v>53.155728198576064</v>
      </c>
      <c r="GG649">
        <v>33.254953644650314</v>
      </c>
      <c r="GH649">
        <v>14.686875483181836</v>
      </c>
      <c r="GI649">
        <v>42.713557371538755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202.00365620472354</v>
      </c>
      <c r="AO650">
        <v>61.219112603179227</v>
      </c>
      <c r="AP650">
        <v>469.84482535103132</v>
      </c>
      <c r="AQ650">
        <v>356.14766524618494</v>
      </c>
      <c r="AR650">
        <v>60.540700830134895</v>
      </c>
      <c r="AS650">
        <v>282.63605906778366</v>
      </c>
      <c r="AT650">
        <v>28.332322258490397</v>
      </c>
      <c r="AU650">
        <v>41.569927402958356</v>
      </c>
      <c r="AV650"/>
      <c r="AW650"/>
      <c r="FY650" s="211">
        <v>645</v>
      </c>
      <c r="FZ650">
        <v>69.302187419248781</v>
      </c>
      <c r="GA650">
        <v>93.243789726982783</v>
      </c>
      <c r="GB650">
        <v>53.194813227142014</v>
      </c>
      <c r="GC650">
        <v>29.886305067776874</v>
      </c>
      <c r="GD650">
        <v>16.310340380819742</v>
      </c>
      <c r="GE650">
        <v>28.585645118943052</v>
      </c>
      <c r="GF650">
        <v>39.67336548191453</v>
      </c>
      <c r="GG650">
        <v>26.835627884717368</v>
      </c>
      <c r="GH650">
        <v>32.125508680539618</v>
      </c>
      <c r="GI650">
        <v>47.248258459467039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194.67817817346662</v>
      </c>
      <c r="AO651">
        <v>54.741379056440145</v>
      </c>
      <c r="AP651">
        <v>392.51295379884647</v>
      </c>
      <c r="AQ651">
        <v>305.03427258781625</v>
      </c>
      <c r="AR651">
        <v>52.600439870833632</v>
      </c>
      <c r="AS651">
        <v>278.36080282300907</v>
      </c>
      <c r="AT651">
        <v>23.162957492273549</v>
      </c>
      <c r="AU651">
        <v>6.2106439731992964</v>
      </c>
      <c r="AV651"/>
      <c r="AW651"/>
      <c r="FY651" s="211">
        <v>646</v>
      </c>
      <c r="FZ651">
        <v>68.300923664167271</v>
      </c>
      <c r="GA651">
        <v>89.863496484677654</v>
      </c>
      <c r="GB651">
        <v>45.883558912606283</v>
      </c>
      <c r="GC651">
        <v>25.260735113014416</v>
      </c>
      <c r="GD651">
        <v>16.239771405733769</v>
      </c>
      <c r="GE651">
        <v>28.268248326803214</v>
      </c>
      <c r="GF651">
        <v>36.233313290968773</v>
      </c>
      <c r="GG651">
        <v>24.625481005192597</v>
      </c>
      <c r="GH651">
        <v>20.095045396419604</v>
      </c>
      <c r="GI651">
        <v>42.514310402193196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286.3599744080766</v>
      </c>
      <c r="AO652">
        <v>85.511191314513866</v>
      </c>
      <c r="AP652">
        <v>739.64042750043041</v>
      </c>
      <c r="AQ652">
        <v>581.07615021759364</v>
      </c>
      <c r="AR652">
        <v>81.39098452081484</v>
      </c>
      <c r="AS652">
        <v>377.02083927522182</v>
      </c>
      <c r="AT652">
        <v>42.580963734725238</v>
      </c>
      <c r="AU652">
        <v>-5.0044962216100828</v>
      </c>
      <c r="AV652"/>
      <c r="AW652"/>
      <c r="FY652" s="211">
        <v>647</v>
      </c>
      <c r="FZ652">
        <v>32.712749272728082</v>
      </c>
      <c r="GA652">
        <v>37.101266999417227</v>
      </c>
      <c r="GB652">
        <v>52.561900985687615</v>
      </c>
      <c r="GC652">
        <v>27.37846142867372</v>
      </c>
      <c r="GD652">
        <v>12.790963835263728</v>
      </c>
      <c r="GE652">
        <v>24.297812223338006</v>
      </c>
      <c r="GF652">
        <v>64.573652535485593</v>
      </c>
      <c r="GG652">
        <v>49.089889258874983</v>
      </c>
      <c r="GH652">
        <v>17.871737712446272</v>
      </c>
      <c r="GI652">
        <v>42.125793044726777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220.7891669718218</v>
      </c>
      <c r="AO653">
        <v>59.364096172763198</v>
      </c>
      <c r="AP653">
        <v>443.79186901812955</v>
      </c>
      <c r="AQ653">
        <v>342.27733836213639</v>
      </c>
      <c r="AR653">
        <v>57.705571466385315</v>
      </c>
      <c r="AS653">
        <v>281.14841176261422</v>
      </c>
      <c r="AT653">
        <v>25.889479592679493</v>
      </c>
      <c r="AU653">
        <v>30.553342735624479</v>
      </c>
      <c r="AV653"/>
      <c r="AW653"/>
      <c r="FY653" s="211">
        <v>648</v>
      </c>
      <c r="FZ653">
        <v>84.291284656698906</v>
      </c>
      <c r="GA653">
        <v>97.661453927460727</v>
      </c>
      <c r="GB653">
        <v>49.127530865570428</v>
      </c>
      <c r="GC653">
        <v>25.683551424116938</v>
      </c>
      <c r="GD653">
        <v>13.519982495636219</v>
      </c>
      <c r="GE653">
        <v>19.330759109044209</v>
      </c>
      <c r="GF653">
        <v>58.601548595100525</v>
      </c>
      <c r="GG653">
        <v>47.539438414596042</v>
      </c>
      <c r="GH653">
        <v>18.564866535515662</v>
      </c>
      <c r="GI653">
        <v>47.985673686180363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215.1273052201027</v>
      </c>
      <c r="AO654">
        <v>72.966239628853145</v>
      </c>
      <c r="AP654">
        <v>661.74693235599921</v>
      </c>
      <c r="AQ654">
        <v>517.11713161781245</v>
      </c>
      <c r="AR654">
        <v>69.984176553323422</v>
      </c>
      <c r="AS654">
        <v>327.32469966595977</v>
      </c>
      <c r="AT654">
        <v>36.797111709217532</v>
      </c>
      <c r="AU654">
        <v>6.1890272236623005</v>
      </c>
      <c r="AV654"/>
      <c r="AW654"/>
      <c r="FY654" s="211">
        <v>649</v>
      </c>
      <c r="FZ654">
        <v>73.344655888741812</v>
      </c>
      <c r="GA654">
        <v>90.964847908207858</v>
      </c>
      <c r="GB654">
        <v>52.713236798108376</v>
      </c>
      <c r="GC654">
        <v>23.84843393714845</v>
      </c>
      <c r="GD654">
        <v>11.76661211066712</v>
      </c>
      <c r="GE654">
        <v>22.262787214425703</v>
      </c>
      <c r="GF654">
        <v>22.656855403824625</v>
      </c>
      <c r="GG654">
        <v>28.927269995818243</v>
      </c>
      <c r="GH654">
        <v>40.923323470285673</v>
      </c>
      <c r="GI654">
        <v>42.788034315439738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217.29362483122054</v>
      </c>
      <c r="AO655">
        <v>64.941350869803358</v>
      </c>
      <c r="AP655">
        <v>550.92716210034655</v>
      </c>
      <c r="AQ655">
        <v>452.29061964244369</v>
      </c>
      <c r="AR655">
        <v>62.42785431874659</v>
      </c>
      <c r="AS655">
        <v>313.29284041510897</v>
      </c>
      <c r="AT655">
        <v>32.564550777987264</v>
      </c>
      <c r="AU655">
        <v>-75.913729611335995</v>
      </c>
      <c r="AV655"/>
      <c r="AW655"/>
      <c r="FY655" s="211">
        <v>650</v>
      </c>
      <c r="FZ655">
        <v>38.587185217934852</v>
      </c>
      <c r="GA655">
        <v>53.008867404674348</v>
      </c>
      <c r="GB655">
        <v>36.076680198786548</v>
      </c>
      <c r="GC655">
        <v>18.161325455081005</v>
      </c>
      <c r="GD655">
        <v>14.274701418599648</v>
      </c>
      <c r="GE655">
        <v>33.131071403733273</v>
      </c>
      <c r="GF655">
        <v>62.458116518887294</v>
      </c>
      <c r="GG655">
        <v>35.778863228749685</v>
      </c>
      <c r="GH655">
        <v>15.021477272650332</v>
      </c>
      <c r="GI655">
        <v>38.657808096847482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209.8127724714393</v>
      </c>
      <c r="AO656">
        <v>70.452306672087076</v>
      </c>
      <c r="AP656">
        <v>514.76269615688022</v>
      </c>
      <c r="AQ656">
        <v>415.15551280018508</v>
      </c>
      <c r="AR656">
        <v>68.624078318199452</v>
      </c>
      <c r="AS656">
        <v>339.19749833534331</v>
      </c>
      <c r="AT656">
        <v>34.15012160201745</v>
      </c>
      <c r="AU656">
        <v>15.58453255487435</v>
      </c>
      <c r="AV656"/>
      <c r="AW656"/>
      <c r="FY656" s="211">
        <v>651</v>
      </c>
      <c r="FZ656">
        <v>36.603472820848481</v>
      </c>
      <c r="GA656">
        <v>41.098088823315649</v>
      </c>
      <c r="GB656">
        <v>38.775664891991731</v>
      </c>
      <c r="GC656">
        <v>24.490126136446413</v>
      </c>
      <c r="GD656">
        <v>20.9385568170058</v>
      </c>
      <c r="GE656">
        <v>42.218655061742631</v>
      </c>
      <c r="GF656">
        <v>68.328173422187731</v>
      </c>
      <c r="GG656">
        <v>43.344483946692655</v>
      </c>
      <c r="GH656">
        <v>23.035795085419302</v>
      </c>
      <c r="GI656">
        <v>45.76178421248278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225.57661275899017</v>
      </c>
      <c r="AO657">
        <v>79.118862532712356</v>
      </c>
      <c r="AP657">
        <v>663.80613777566361</v>
      </c>
      <c r="AQ657">
        <v>525.83622425483748</v>
      </c>
      <c r="AR657">
        <v>76.752417247195567</v>
      </c>
      <c r="AS657">
        <v>354.65590627529548</v>
      </c>
      <c r="AT657">
        <v>38.282664843094359</v>
      </c>
      <c r="AU657">
        <v>17.756971385969823</v>
      </c>
      <c r="AV657"/>
      <c r="AW657"/>
      <c r="FY657" s="211">
        <v>652</v>
      </c>
      <c r="FZ657">
        <v>74.416472862680067</v>
      </c>
      <c r="GA657">
        <v>106.17869824828605</v>
      </c>
      <c r="GB657">
        <v>45.307729126016667</v>
      </c>
      <c r="GC657">
        <v>22.808313087407836</v>
      </c>
      <c r="GD657">
        <v>17.576902660007612</v>
      </c>
      <c r="GE657">
        <v>26.508178797561932</v>
      </c>
      <c r="GF657">
        <v>12.185747962967609</v>
      </c>
      <c r="GG657">
        <v>6.7971161132268669</v>
      </c>
      <c r="GH657">
        <v>17.504550707188407</v>
      </c>
      <c r="GI657">
        <v>38.994409160523183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166.4831315028004</v>
      </c>
      <c r="AO658">
        <v>57.067435826189282</v>
      </c>
      <c r="AP658">
        <v>483.04243728613147</v>
      </c>
      <c r="AQ658">
        <v>376.23510911342436</v>
      </c>
      <c r="AR658">
        <v>54.90541456649175</v>
      </c>
      <c r="AS658">
        <v>256.99557334102388</v>
      </c>
      <c r="AT658">
        <v>28.422892538600575</v>
      </c>
      <c r="AU658">
        <v>-3.4809576806697535</v>
      </c>
      <c r="AV658"/>
      <c r="AW658"/>
      <c r="FY658" s="211">
        <v>653</v>
      </c>
      <c r="FZ658">
        <v>71.451504078527989</v>
      </c>
      <c r="GA658">
        <v>83.59951905925395</v>
      </c>
      <c r="GB658">
        <v>47.129972530591068</v>
      </c>
      <c r="GC658">
        <v>29.046432899132398</v>
      </c>
      <c r="GD658">
        <v>14.295429641535129</v>
      </c>
      <c r="GE658">
        <v>25.569707972404</v>
      </c>
      <c r="GF658">
        <v>50.362894619147703</v>
      </c>
      <c r="GG658">
        <v>33.690683342596984</v>
      </c>
      <c r="GH658">
        <v>25.237282156934761</v>
      </c>
      <c r="GI658">
        <v>45.668520522169153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232.01919961087805</v>
      </c>
      <c r="AO659">
        <v>66.126889099504893</v>
      </c>
      <c r="AP659">
        <v>533.23799193498462</v>
      </c>
      <c r="AQ659">
        <v>428.87236666057726</v>
      </c>
      <c r="AR659">
        <v>66.761660818939845</v>
      </c>
      <c r="AS659">
        <v>323.14032203538983</v>
      </c>
      <c r="AT659">
        <v>33.958608394829774</v>
      </c>
      <c r="AU659">
        <v>-11.700851148488823</v>
      </c>
      <c r="AV659"/>
      <c r="AW659"/>
      <c r="FY659" s="211">
        <v>654</v>
      </c>
      <c r="FZ659">
        <v>77.129181268668574</v>
      </c>
      <c r="GA659">
        <v>88.457368261710101</v>
      </c>
      <c r="GB659">
        <v>65.80199730403929</v>
      </c>
      <c r="GC659">
        <v>34.35118326432621</v>
      </c>
      <c r="GD659">
        <v>9.2961890281809474</v>
      </c>
      <c r="GE659">
        <v>20.015609358389973</v>
      </c>
      <c r="GF659">
        <v>49.936458315875434</v>
      </c>
      <c r="GG659">
        <v>38.184267918167407</v>
      </c>
      <c r="GH659">
        <v>28.612208528849699</v>
      </c>
      <c r="GI659">
        <v>48.748462124439612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225.02834366015276</v>
      </c>
      <c r="AO660">
        <v>63.115887825987684</v>
      </c>
      <c r="AP660">
        <v>461.90374524837819</v>
      </c>
      <c r="AQ660">
        <v>364.49350322939807</v>
      </c>
      <c r="AR660">
        <v>60.84749116986702</v>
      </c>
      <c r="AS660">
        <v>311.34138271282188</v>
      </c>
      <c r="AT660">
        <v>29.318258958807974</v>
      </c>
      <c r="AU660">
        <v>-17.244648329462201</v>
      </c>
      <c r="AV660"/>
      <c r="AW660"/>
      <c r="FY660" s="211">
        <v>655</v>
      </c>
      <c r="FZ660">
        <v>123.648792571938</v>
      </c>
      <c r="GA660">
        <v>147.75336117587523</v>
      </c>
      <c r="GB660">
        <v>46.162066635885573</v>
      </c>
      <c r="GC660">
        <v>19.527078123720049</v>
      </c>
      <c r="GD660">
        <v>11.573007282398361</v>
      </c>
      <c r="GE660">
        <v>27.740490908304839</v>
      </c>
      <c r="GF660">
        <v>49.321770908795685</v>
      </c>
      <c r="GG660">
        <v>36.725323641448675</v>
      </c>
      <c r="GH660">
        <v>30.118989834783847</v>
      </c>
      <c r="GI660">
        <v>51.818670013494028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209.51775894530405</v>
      </c>
      <c r="AO661">
        <v>70.181533736177101</v>
      </c>
      <c r="AP661">
        <v>552.65122215308145</v>
      </c>
      <c r="AQ661">
        <v>436.40584144755178</v>
      </c>
      <c r="AR661">
        <v>67.862353924060628</v>
      </c>
      <c r="AS661">
        <v>322.84796375739018</v>
      </c>
      <c r="AT661">
        <v>32.667708196455131</v>
      </c>
      <c r="AU661">
        <v>-11.332028314992076</v>
      </c>
      <c r="AV661"/>
      <c r="AW661"/>
      <c r="FY661" s="211">
        <v>656</v>
      </c>
      <c r="FZ661">
        <v>66.987062123625549</v>
      </c>
      <c r="GA661">
        <v>80.403782179096211</v>
      </c>
      <c r="GB661">
        <v>51.284664793854013</v>
      </c>
      <c r="GC661">
        <v>27.056109223547729</v>
      </c>
      <c r="GD661">
        <v>15.835867326953345</v>
      </c>
      <c r="GE661">
        <v>28.304233879463428</v>
      </c>
      <c r="GF661">
        <v>33.74513099846542</v>
      </c>
      <c r="GG661">
        <v>32.058605656099047</v>
      </c>
      <c r="GH661">
        <v>31.887949371242186</v>
      </c>
      <c r="GI661">
        <v>44.816052325804691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220.46783428973313</v>
      </c>
      <c r="AO662">
        <v>63.530012890806766</v>
      </c>
      <c r="AP662">
        <v>499.06623129887294</v>
      </c>
      <c r="AQ662">
        <v>397.28488400177673</v>
      </c>
      <c r="AR662">
        <v>60.975315068069762</v>
      </c>
      <c r="AS662">
        <v>309.446700794327</v>
      </c>
      <c r="AT662">
        <v>30.400691915133027</v>
      </c>
      <c r="AU662">
        <v>-10.332414363452003</v>
      </c>
      <c r="AV662"/>
      <c r="AW662"/>
      <c r="FY662" s="211">
        <v>657</v>
      </c>
      <c r="FZ662">
        <v>70.347329171137488</v>
      </c>
      <c r="GA662">
        <v>90.711439612797363</v>
      </c>
      <c r="GB662">
        <v>43.084498635760568</v>
      </c>
      <c r="GC662">
        <v>23.027738702313378</v>
      </c>
      <c r="GD662">
        <v>15.56714190264888</v>
      </c>
      <c r="GE662">
        <v>25.98470459145927</v>
      </c>
      <c r="GF662">
        <v>34.453670422854209</v>
      </c>
      <c r="GG662">
        <v>28.305973273100186</v>
      </c>
      <c r="GH662">
        <v>23.788250113955201</v>
      </c>
      <c r="GI662">
        <v>41.882453630352707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208.81301302825509</v>
      </c>
      <c r="AO663">
        <v>62.188843310869046</v>
      </c>
      <c r="AP663">
        <v>481.01080274606539</v>
      </c>
      <c r="AQ663">
        <v>360.504227296642</v>
      </c>
      <c r="AR663">
        <v>60.640069195990776</v>
      </c>
      <c r="AS663">
        <v>336.12522773804187</v>
      </c>
      <c r="AT663">
        <v>27.992330522652491</v>
      </c>
      <c r="AU663">
        <v>34.64212441877811</v>
      </c>
      <c r="AV663"/>
      <c r="AW663"/>
      <c r="FY663" s="211">
        <v>658</v>
      </c>
      <c r="FZ663">
        <v>25.954964050965341</v>
      </c>
      <c r="GA663">
        <v>42.201972831469973</v>
      </c>
      <c r="GB663">
        <v>49.439963201057459</v>
      </c>
      <c r="GC663">
        <v>27.707101218273415</v>
      </c>
      <c r="GD663">
        <v>16.156480432803086</v>
      </c>
      <c r="GE663">
        <v>25.767189550074001</v>
      </c>
      <c r="GF663">
        <v>30.991491639582417</v>
      </c>
      <c r="GG663">
        <v>22.957294944864511</v>
      </c>
      <c r="GH663">
        <v>25.259160778728095</v>
      </c>
      <c r="GI663">
        <v>36.8840129555931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254.69311108052634</v>
      </c>
      <c r="AO664">
        <v>70.242383840143603</v>
      </c>
      <c r="AP664">
        <v>595.40088791340031</v>
      </c>
      <c r="AQ664">
        <v>462.30608970992</v>
      </c>
      <c r="AR664">
        <v>69.225759375173411</v>
      </c>
      <c r="AS664">
        <v>337.97769837239457</v>
      </c>
      <c r="AT664">
        <v>34.483682494951005</v>
      </c>
      <c r="AU664">
        <v>-36.626539603054901</v>
      </c>
      <c r="AV664"/>
      <c r="AW664"/>
      <c r="FY664" s="211">
        <v>659</v>
      </c>
      <c r="FZ664">
        <v>76.303175150274583</v>
      </c>
      <c r="GA664">
        <v>86.150053810283225</v>
      </c>
      <c r="GB664">
        <v>42.712241271635911</v>
      </c>
      <c r="GC664">
        <v>26.14021816044238</v>
      </c>
      <c r="GD664">
        <v>12.46937126977665</v>
      </c>
      <c r="GE664">
        <v>22.254832902282605</v>
      </c>
      <c r="GF664">
        <v>40.77256147907687</v>
      </c>
      <c r="GG664">
        <v>23.200350786760698</v>
      </c>
      <c r="GH664">
        <v>16.789789730872865</v>
      </c>
      <c r="GI664">
        <v>40.721639137688847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182.84214006851465</v>
      </c>
      <c r="AO665">
        <v>62.907144069216315</v>
      </c>
      <c r="AP665">
        <v>526.53732749465576</v>
      </c>
      <c r="AQ665">
        <v>410.19605704266758</v>
      </c>
      <c r="AR665">
        <v>61.760152541276177</v>
      </c>
      <c r="AS665">
        <v>296.61016794222382</v>
      </c>
      <c r="AT665">
        <v>31.766469363869533</v>
      </c>
      <c r="AU665">
        <v>9.4429425764609647</v>
      </c>
      <c r="AV665"/>
      <c r="AW665"/>
      <c r="FY665" s="211">
        <v>660</v>
      </c>
      <c r="FZ665">
        <v>32.195887913317286</v>
      </c>
      <c r="GA665">
        <v>40.753803916616015</v>
      </c>
      <c r="GB665">
        <v>54.155327404228011</v>
      </c>
      <c r="GC665">
        <v>31.08119535638496</v>
      </c>
      <c r="GD665">
        <v>13.199330862408933</v>
      </c>
      <c r="GE665">
        <v>24.458134328115523</v>
      </c>
      <c r="GF665">
        <v>30.245957363931794</v>
      </c>
      <c r="GG665">
        <v>12.245722481911695</v>
      </c>
      <c r="GH665">
        <v>21.054080525765372</v>
      </c>
      <c r="GI665">
        <v>36.218882633883936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235.90850572423642</v>
      </c>
      <c r="AO666">
        <v>56.938203963431491</v>
      </c>
      <c r="AP666">
        <v>438.66147742378701</v>
      </c>
      <c r="AQ666">
        <v>345.15609621594444</v>
      </c>
      <c r="AR666">
        <v>54.457694029483051</v>
      </c>
      <c r="AS666">
        <v>288.41260928451806</v>
      </c>
      <c r="AT666">
        <v>24.452136783013756</v>
      </c>
      <c r="AU666">
        <v>1.4274940635380133</v>
      </c>
      <c r="AV666"/>
      <c r="AW666"/>
      <c r="FY666" s="211">
        <v>661</v>
      </c>
      <c r="FZ666">
        <v>25.274251192329523</v>
      </c>
      <c r="GA666">
        <v>38.538483615635386</v>
      </c>
      <c r="GB666">
        <v>40.904806220431418</v>
      </c>
      <c r="GC666">
        <v>25.570912931629024</v>
      </c>
      <c r="GD666">
        <v>14.268974625485509</v>
      </c>
      <c r="GE666">
        <v>19.587158252878105</v>
      </c>
      <c r="GF666">
        <v>35.577890255766114</v>
      </c>
      <c r="GG666">
        <v>32.630869369186691</v>
      </c>
      <c r="GH666">
        <v>30.239681103674137</v>
      </c>
      <c r="GI666">
        <v>35.276665135980814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263.43222480295032</v>
      </c>
      <c r="AO667">
        <v>67.422671523895616</v>
      </c>
      <c r="AP667">
        <v>479.87468082217816</v>
      </c>
      <c r="AQ667">
        <v>384.59480121813317</v>
      </c>
      <c r="AR667">
        <v>64.898529601316781</v>
      </c>
      <c r="AS667">
        <v>364.8287975944387</v>
      </c>
      <c r="AT667">
        <v>29.101795272515048</v>
      </c>
      <c r="AU667">
        <v>10.19613259544716</v>
      </c>
      <c r="AV667"/>
      <c r="AW667"/>
      <c r="FY667" s="211">
        <v>662</v>
      </c>
      <c r="FZ667">
        <v>71.070764278605012</v>
      </c>
      <c r="GA667">
        <v>82.314999425630987</v>
      </c>
      <c r="GB667">
        <v>48.21581177291354</v>
      </c>
      <c r="GC667">
        <v>30.356791170588256</v>
      </c>
      <c r="GD667">
        <v>19.172371913081793</v>
      </c>
      <c r="GE667">
        <v>31.958434182098486</v>
      </c>
      <c r="GF667">
        <v>57.61294612365117</v>
      </c>
      <c r="GG667">
        <v>44.07925673024711</v>
      </c>
      <c r="GH667">
        <v>14.182448497157729</v>
      </c>
      <c r="GI667">
        <v>49.146540874687915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151.0971479292987</v>
      </c>
      <c r="AO668">
        <v>58.102156641164285</v>
      </c>
      <c r="AP668">
        <v>450.21688832375736</v>
      </c>
      <c r="AQ668">
        <v>368.27811872586619</v>
      </c>
      <c r="AR668">
        <v>56.261912613482274</v>
      </c>
      <c r="AS668">
        <v>273.78179750028494</v>
      </c>
      <c r="AT668">
        <v>28.303261823860765</v>
      </c>
      <c r="AU668">
        <v>3.3249637021013534</v>
      </c>
      <c r="AV668"/>
      <c r="AW668"/>
      <c r="FY668" s="211">
        <v>663</v>
      </c>
      <c r="FZ668">
        <v>82.315045394603288</v>
      </c>
      <c r="GA668">
        <v>91.4975405009978</v>
      </c>
      <c r="GB668">
        <v>43.198813522967015</v>
      </c>
      <c r="GC668">
        <v>26.190637439910063</v>
      </c>
      <c r="GD668">
        <v>16.332113314178063</v>
      </c>
      <c r="GE668">
        <v>27.222571675484645</v>
      </c>
      <c r="GF668">
        <v>40.414777951524272</v>
      </c>
      <c r="GG668">
        <v>31.558539354953243</v>
      </c>
      <c r="GH668">
        <v>30.099614997895053</v>
      </c>
      <c r="GI668">
        <v>46.271117601253067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227.70599132183665</v>
      </c>
      <c r="AO669">
        <v>68.036170247582959</v>
      </c>
      <c r="AP669">
        <v>544.42828731255656</v>
      </c>
      <c r="AQ669">
        <v>426.05194682229313</v>
      </c>
      <c r="AR669">
        <v>65.464153221018762</v>
      </c>
      <c r="AS669">
        <v>309.85206056722041</v>
      </c>
      <c r="AT669">
        <v>31.576952598650241</v>
      </c>
      <c r="AU669">
        <v>19.801663636729888</v>
      </c>
      <c r="AV669"/>
      <c r="AW669"/>
      <c r="FY669" s="211">
        <v>664</v>
      </c>
      <c r="FZ669">
        <v>71.983115038745808</v>
      </c>
      <c r="GA669">
        <v>89.997765852958665</v>
      </c>
      <c r="GB669">
        <v>35.853048170915642</v>
      </c>
      <c r="GC669">
        <v>19.420677504878409</v>
      </c>
      <c r="GD669">
        <v>10.763932679829354</v>
      </c>
      <c r="GE669">
        <v>16.576077257089118</v>
      </c>
      <c r="GF669">
        <v>21.87441794388802</v>
      </c>
      <c r="GG669">
        <v>19.843081878944822</v>
      </c>
      <c r="GH669">
        <v>27.740544474465654</v>
      </c>
      <c r="GI669">
        <v>35.428051018648965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229.66060165371687</v>
      </c>
      <c r="AO670">
        <v>72.66514091229962</v>
      </c>
      <c r="AP670">
        <v>610.22151464705496</v>
      </c>
      <c r="AQ670">
        <v>460.53292537264724</v>
      </c>
      <c r="AR670">
        <v>70.24762679491451</v>
      </c>
      <c r="AS670">
        <v>342.59637595494917</v>
      </c>
      <c r="AT670">
        <v>34.163931891134474</v>
      </c>
      <c r="AU670">
        <v>52.381648324386425</v>
      </c>
      <c r="AV670"/>
      <c r="AW670"/>
      <c r="FY670" s="211">
        <v>665</v>
      </c>
      <c r="FZ670">
        <v>111.14308046483657</v>
      </c>
      <c r="GA670">
        <v>144.44239930975741</v>
      </c>
      <c r="GB670">
        <v>45.120215727535523</v>
      </c>
      <c r="GC670">
        <v>27.244319654680382</v>
      </c>
      <c r="GD670">
        <v>18.583200121666277</v>
      </c>
      <c r="GE670">
        <v>31.160485352487864</v>
      </c>
      <c r="GF670">
        <v>41.724984796011427</v>
      </c>
      <c r="GG670">
        <v>29.587256294875004</v>
      </c>
      <c r="GH670">
        <v>26.03013431804435</v>
      </c>
      <c r="GI670">
        <v>52.336403283061706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204.88923754866454</v>
      </c>
      <c r="AO671">
        <v>76.763314602531949</v>
      </c>
      <c r="AP671">
        <v>690.10300381960451</v>
      </c>
      <c r="AQ671">
        <v>544.38955109664437</v>
      </c>
      <c r="AR671">
        <v>74.540954064394512</v>
      </c>
      <c r="AS671">
        <v>365.75754110812096</v>
      </c>
      <c r="AT671">
        <v>40.997310338315835</v>
      </c>
      <c r="AU671">
        <v>32.152850609906821</v>
      </c>
      <c r="AV671"/>
      <c r="AW671"/>
      <c r="FY671" s="211">
        <v>666</v>
      </c>
      <c r="FZ671">
        <v>79.508359749592472</v>
      </c>
      <c r="GA671">
        <v>85.752056479655323</v>
      </c>
      <c r="GB671">
        <v>30.218375333467744</v>
      </c>
      <c r="GC671">
        <v>20.885248574457489</v>
      </c>
      <c r="GD671">
        <v>19.748371600282688</v>
      </c>
      <c r="GE671">
        <v>25.842560054614548</v>
      </c>
      <c r="GF671">
        <v>83.641691751217209</v>
      </c>
      <c r="GG671">
        <v>79.034967893279742</v>
      </c>
      <c r="GH671">
        <v>33.785480736827402</v>
      </c>
      <c r="GI671">
        <v>54.230868206400658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229.15809246837065</v>
      </c>
      <c r="AO672">
        <v>66.662971048560394</v>
      </c>
      <c r="AP672">
        <v>524.29019446362088</v>
      </c>
      <c r="AQ672">
        <v>412.3794578781517</v>
      </c>
      <c r="AR672">
        <v>64.891881357643271</v>
      </c>
      <c r="AS672">
        <v>317.33612395453554</v>
      </c>
      <c r="AT672">
        <v>31.487435770393954</v>
      </c>
      <c r="AU672">
        <v>29.776760528879958</v>
      </c>
      <c r="AV672"/>
      <c r="AW672"/>
      <c r="FY672" s="211">
        <v>667</v>
      </c>
      <c r="FZ672">
        <v>71.445066476827861</v>
      </c>
      <c r="GA672">
        <v>81.114391787868243</v>
      </c>
      <c r="GB672">
        <v>38.721966885561606</v>
      </c>
      <c r="GC672">
        <v>23.153607880681982</v>
      </c>
      <c r="GD672">
        <v>10.671837969845148</v>
      </c>
      <c r="GE672">
        <v>20.032397124342516</v>
      </c>
      <c r="GF672">
        <v>55.58984825236481</v>
      </c>
      <c r="GG672">
        <v>36.137320775721648</v>
      </c>
      <c r="GH672">
        <v>16.442873737453223</v>
      </c>
      <c r="GI672">
        <v>40.844181191083862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189.9566383666741</v>
      </c>
      <c r="AO673">
        <v>62.534429489786838</v>
      </c>
      <c r="AP673">
        <v>499.83969807475751</v>
      </c>
      <c r="AQ673">
        <v>397.15320005637921</v>
      </c>
      <c r="AR673">
        <v>60.401342658627279</v>
      </c>
      <c r="AS673">
        <v>305.68230278280805</v>
      </c>
      <c r="AT673">
        <v>29.626524741048531</v>
      </c>
      <c r="AU673">
        <v>-9.207537419306</v>
      </c>
      <c r="AV673"/>
      <c r="AW673"/>
      <c r="FY673" s="211">
        <v>668</v>
      </c>
      <c r="FZ673">
        <v>20.603029092696257</v>
      </c>
      <c r="GA673">
        <v>33.787686708662868</v>
      </c>
      <c r="GB673">
        <v>39.386461505046782</v>
      </c>
      <c r="GC673">
        <v>25.540723662159873</v>
      </c>
      <c r="GD673">
        <v>16.169509261417176</v>
      </c>
      <c r="GE673">
        <v>24.012423695890682</v>
      </c>
      <c r="GF673">
        <v>51.524026919702131</v>
      </c>
      <c r="GG673">
        <v>46.896859917147424</v>
      </c>
      <c r="GH673">
        <v>26.151427793311949</v>
      </c>
      <c r="GI673">
        <v>37.770713355357337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211.54533921695293</v>
      </c>
      <c r="AO674">
        <v>54.275698262674211</v>
      </c>
      <c r="AP674">
        <v>388.15635503739742</v>
      </c>
      <c r="AQ674">
        <v>303.31963160341138</v>
      </c>
      <c r="AR674">
        <v>52.747334831542595</v>
      </c>
      <c r="AS674">
        <v>269.98545035533817</v>
      </c>
      <c r="AT674">
        <v>23.812811579734202</v>
      </c>
      <c r="AU674">
        <v>6.811024583705148</v>
      </c>
      <c r="AV674"/>
      <c r="AW674"/>
      <c r="FY674" s="211">
        <v>669</v>
      </c>
      <c r="FZ674">
        <v>67.038733327130871</v>
      </c>
      <c r="GA674">
        <v>93.73627595289571</v>
      </c>
      <c r="GB674">
        <v>46.04029131111875</v>
      </c>
      <c r="GC674">
        <v>29.72164390466456</v>
      </c>
      <c r="GD674">
        <v>21.25190257616833</v>
      </c>
      <c r="GE674">
        <v>34.868963295755513</v>
      </c>
      <c r="GF674">
        <v>35.8199018826406</v>
      </c>
      <c r="GG674">
        <v>22.236182462794755</v>
      </c>
      <c r="GH674">
        <v>22.855782404394503</v>
      </c>
      <c r="GI674">
        <v>45.766781126465922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204.87389696928625</v>
      </c>
      <c r="AO675">
        <v>60.084684875538343</v>
      </c>
      <c r="AP675">
        <v>485.37648512309079</v>
      </c>
      <c r="AQ675">
        <v>387.51423369909458</v>
      </c>
      <c r="AR675">
        <v>58.106070062086069</v>
      </c>
      <c r="AS675">
        <v>286.09576048571193</v>
      </c>
      <c r="AT675">
        <v>28.419716100903287</v>
      </c>
      <c r="AU675">
        <v>10.915516731920334</v>
      </c>
      <c r="AV675"/>
      <c r="AW675"/>
      <c r="FY675" s="211">
        <v>670</v>
      </c>
      <c r="FZ675">
        <v>34.973256797438111</v>
      </c>
      <c r="GA675">
        <v>46.394847178191988</v>
      </c>
      <c r="GB675">
        <v>50.931627019337647</v>
      </c>
      <c r="GC675">
        <v>28.322322899754994</v>
      </c>
      <c r="GD675">
        <v>19.518537638116971</v>
      </c>
      <c r="GE675">
        <v>33.001744184520589</v>
      </c>
      <c r="GF675">
        <v>63.525838732967294</v>
      </c>
      <c r="GG675">
        <v>50.966528638080234</v>
      </c>
      <c r="GH675">
        <v>25.04561285226211</v>
      </c>
      <c r="GI675">
        <v>47.208972451600474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210.18519703637565</v>
      </c>
      <c r="AO676">
        <v>52.642418362954594</v>
      </c>
      <c r="AP676">
        <v>377.48177824414444</v>
      </c>
      <c r="AQ676">
        <v>295.60832278656352</v>
      </c>
      <c r="AR676">
        <v>51.207697204118432</v>
      </c>
      <c r="AS676">
        <v>243.0914707793994</v>
      </c>
      <c r="AT676">
        <v>23.711640077193564</v>
      </c>
      <c r="AU676">
        <v>-15.830310966642514</v>
      </c>
      <c r="AV676"/>
      <c r="AW676"/>
      <c r="FY676" s="211">
        <v>671</v>
      </c>
      <c r="FZ676">
        <v>41.894154544329638</v>
      </c>
      <c r="GA676">
        <v>52.976257144702537</v>
      </c>
      <c r="GB676">
        <v>44.959721388712261</v>
      </c>
      <c r="GC676">
        <v>24.368401856148356</v>
      </c>
      <c r="GD676">
        <v>10.164777470837008</v>
      </c>
      <c r="GE676">
        <v>13.234716518536151</v>
      </c>
      <c r="GF676">
        <v>39.148760415827965</v>
      </c>
      <c r="GG676">
        <v>36.844466661641739</v>
      </c>
      <c r="GH676">
        <v>29.402508711465472</v>
      </c>
      <c r="GI676">
        <v>36.58670876976943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204.34120934493205</v>
      </c>
      <c r="AO677">
        <v>52.100738707174422</v>
      </c>
      <c r="AP677">
        <v>385.43664204100651</v>
      </c>
      <c r="AQ677">
        <v>297.8696927029967</v>
      </c>
      <c r="AR677">
        <v>50.83235927076754</v>
      </c>
      <c r="AS677">
        <v>254.74220100140664</v>
      </c>
      <c r="AT677">
        <v>22.948050191066304</v>
      </c>
      <c r="AU677">
        <v>-3.9267755108757747</v>
      </c>
      <c r="AV677"/>
      <c r="AW677"/>
      <c r="FY677" s="211">
        <v>672</v>
      </c>
      <c r="FZ677">
        <v>107.54904022228365</v>
      </c>
      <c r="GA677">
        <v>132.74223344427685</v>
      </c>
      <c r="GB677">
        <v>43.269494555041618</v>
      </c>
      <c r="GC677">
        <v>23.08189127415185</v>
      </c>
      <c r="GD677">
        <v>15.836199011065856</v>
      </c>
      <c r="GE677">
        <v>28.966374800425029</v>
      </c>
      <c r="GF677">
        <v>76.373659976303458</v>
      </c>
      <c r="GG677">
        <v>56.124287901596915</v>
      </c>
      <c r="GH677">
        <v>22.497750130564533</v>
      </c>
      <c r="GI677">
        <v>55.56858695941645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235.9647044272302</v>
      </c>
      <c r="AO678">
        <v>75.015984539083448</v>
      </c>
      <c r="AP678">
        <v>573.90567089512217</v>
      </c>
      <c r="AQ678">
        <v>448.110364968662</v>
      </c>
      <c r="AR678">
        <v>71.284124824704193</v>
      </c>
      <c r="AS678">
        <v>357.15714309250518</v>
      </c>
      <c r="AT678">
        <v>34.50171871541832</v>
      </c>
      <c r="AU678">
        <v>22.285983589277581</v>
      </c>
      <c r="AV678"/>
      <c r="AW678"/>
      <c r="FY678" s="211">
        <v>673</v>
      </c>
      <c r="FZ678">
        <v>112.25911614409168</v>
      </c>
      <c r="GA678">
        <v>138.32533545502494</v>
      </c>
      <c r="GB678">
        <v>47.053203019954317</v>
      </c>
      <c r="GC678">
        <v>25.487364274952643</v>
      </c>
      <c r="GD678">
        <v>10.73443877243175</v>
      </c>
      <c r="GE678">
        <v>23.984594496027658</v>
      </c>
      <c r="GF678">
        <v>70.195237859997704</v>
      </c>
      <c r="GG678">
        <v>58.421965249086902</v>
      </c>
      <c r="GH678">
        <v>34.529515719535397</v>
      </c>
      <c r="GI678">
        <v>54.737819064963162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227.74447762996743</v>
      </c>
      <c r="AO679">
        <v>68.180866247482712</v>
      </c>
      <c r="AP679">
        <v>544.61265306755638</v>
      </c>
      <c r="AQ679">
        <v>435.10077175376659</v>
      </c>
      <c r="AR679">
        <v>66.431739558935305</v>
      </c>
      <c r="AS679">
        <v>326.60622186951974</v>
      </c>
      <c r="AT679">
        <v>33.134856125243623</v>
      </c>
      <c r="AU679">
        <v>55.830545579084578</v>
      </c>
      <c r="AV679"/>
      <c r="AW679"/>
      <c r="FY679" s="211">
        <v>674</v>
      </c>
      <c r="FZ679">
        <v>84.756182422691666</v>
      </c>
      <c r="GA679">
        <v>100.28414247206828</v>
      </c>
      <c r="GB679">
        <v>49.637550710886792</v>
      </c>
      <c r="GC679">
        <v>27.591690979508705</v>
      </c>
      <c r="GD679">
        <v>11.947211449103573</v>
      </c>
      <c r="GE679">
        <v>13.020444063221952</v>
      </c>
      <c r="GF679">
        <v>30.971014381781366</v>
      </c>
      <c r="GG679">
        <v>27.345300772263599</v>
      </c>
      <c r="GH679">
        <v>22.849386864465767</v>
      </c>
      <c r="GI679">
        <v>42.409761791038221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159.22856027582606</v>
      </c>
      <c r="AO680">
        <v>52.217517943458077</v>
      </c>
      <c r="AP680">
        <v>440.79739325406246</v>
      </c>
      <c r="AQ680">
        <v>349.48071182036443</v>
      </c>
      <c r="AR680">
        <v>51.118095126463039</v>
      </c>
      <c r="AS680">
        <v>230.78693472225385</v>
      </c>
      <c r="AT680">
        <v>26.700483684527043</v>
      </c>
      <c r="AU680">
        <v>2.8658835370522908</v>
      </c>
      <c r="AV680"/>
      <c r="AW680"/>
      <c r="FY680" s="211">
        <v>675</v>
      </c>
      <c r="FZ680">
        <v>104.44167356796174</v>
      </c>
      <c r="GA680">
        <v>132.56923771131116</v>
      </c>
      <c r="GB680">
        <v>39.969623185553246</v>
      </c>
      <c r="GC680">
        <v>21.437236094204323</v>
      </c>
      <c r="GD680">
        <v>9.637333088316506</v>
      </c>
      <c r="GE680">
        <v>17.197299402173389</v>
      </c>
      <c r="GF680">
        <v>46.032363894326053</v>
      </c>
      <c r="GG680">
        <v>36.73917601034745</v>
      </c>
      <c r="GH680">
        <v>22.464189162184155</v>
      </c>
      <c r="GI680">
        <v>44.360054088229887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221.96961367658892</v>
      </c>
      <c r="AO681">
        <v>79.478470664404924</v>
      </c>
      <c r="AP681">
        <v>654.85638650540125</v>
      </c>
      <c r="AQ681">
        <v>527.37247932295656</v>
      </c>
      <c r="AR681">
        <v>75.606707100402957</v>
      </c>
      <c r="AS681">
        <v>328.22977955297466</v>
      </c>
      <c r="AT681">
        <v>39.385143872506291</v>
      </c>
      <c r="AU681">
        <v>-8.4852396670847021</v>
      </c>
      <c r="AV681"/>
      <c r="AW681"/>
      <c r="FY681" s="211">
        <v>676</v>
      </c>
      <c r="FZ681">
        <v>77.979775501624104</v>
      </c>
      <c r="GA681">
        <v>86.407288449864254</v>
      </c>
      <c r="GB681">
        <v>45.902493692020705</v>
      </c>
      <c r="GC681">
        <v>29.66426213043059</v>
      </c>
      <c r="GD681">
        <v>14.02158291700548</v>
      </c>
      <c r="GE681">
        <v>18.214730340333151</v>
      </c>
      <c r="GF681">
        <v>40.145092774065958</v>
      </c>
      <c r="GG681">
        <v>33.794340725926283</v>
      </c>
      <c r="GH681">
        <v>33.886101788902145</v>
      </c>
      <c r="GI681">
        <v>45.487897986643794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240.73747979354897</v>
      </c>
      <c r="AO682">
        <v>79.981147985327624</v>
      </c>
      <c r="AP682">
        <v>655.32627183085037</v>
      </c>
      <c r="AQ682">
        <v>512.64798037979529</v>
      </c>
      <c r="AR682">
        <v>78.848508820876063</v>
      </c>
      <c r="AS682">
        <v>378.31012626556071</v>
      </c>
      <c r="AT682">
        <v>40.677088822198236</v>
      </c>
      <c r="AU682">
        <v>-279.47255636194677</v>
      </c>
      <c r="AV682"/>
      <c r="AW682"/>
      <c r="FY682" s="211">
        <v>677</v>
      </c>
      <c r="FZ682">
        <v>110.05240130257093</v>
      </c>
      <c r="GA682">
        <v>140.36040251422776</v>
      </c>
      <c r="GB682">
        <v>38.765977286316534</v>
      </c>
      <c r="GC682">
        <v>18.833879973263169</v>
      </c>
      <c r="GD682">
        <v>16.430088093730181</v>
      </c>
      <c r="GE682">
        <v>30.779477475544141</v>
      </c>
      <c r="GF682">
        <v>35.632431110880049</v>
      </c>
      <c r="GG682">
        <v>29.924206880860787</v>
      </c>
      <c r="GH682">
        <v>18.964354235772696</v>
      </c>
      <c r="GI682">
        <v>46.625353816078295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183.57088933196957</v>
      </c>
      <c r="AO683">
        <v>60.716331143377758</v>
      </c>
      <c r="AP683">
        <v>509.24576303129714</v>
      </c>
      <c r="AQ683">
        <v>394.15349208175093</v>
      </c>
      <c r="AR683">
        <v>58.589465713717409</v>
      </c>
      <c r="AS683">
        <v>286.01857233385994</v>
      </c>
      <c r="AT683">
        <v>30.067400423377986</v>
      </c>
      <c r="AU683">
        <v>70.870068286363619</v>
      </c>
      <c r="AV683"/>
      <c r="AW683"/>
      <c r="FY683" s="211">
        <v>678</v>
      </c>
      <c r="FZ683">
        <v>76.415536322042627</v>
      </c>
      <c r="GA683">
        <v>79.744577043743476</v>
      </c>
      <c r="GB683">
        <v>44.209791820539841</v>
      </c>
      <c r="GC683">
        <v>24.029852187961872</v>
      </c>
      <c r="GD683">
        <v>11.858730876456885</v>
      </c>
      <c r="GE683">
        <v>27.529240735403086</v>
      </c>
      <c r="GF683">
        <v>57.259089223377103</v>
      </c>
      <c r="GG683">
        <v>32.79683503027811</v>
      </c>
      <c r="GH683">
        <v>10.024795624132288</v>
      </c>
      <c r="GI683">
        <v>42.83846690130234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228.31253265532865</v>
      </c>
      <c r="AO684">
        <v>56.786715722192277</v>
      </c>
      <c r="AP684">
        <v>416.14194769063499</v>
      </c>
      <c r="AQ684">
        <v>321.84286191139245</v>
      </c>
      <c r="AR684">
        <v>54.29937174311226</v>
      </c>
      <c r="AS684">
        <v>278.96622821526643</v>
      </c>
      <c r="AT684">
        <v>24.821875902897613</v>
      </c>
      <c r="AU684">
        <v>24.727609834860242</v>
      </c>
      <c r="AV684"/>
      <c r="AW684"/>
      <c r="FY684" s="211">
        <v>679</v>
      </c>
      <c r="FZ684">
        <v>108.71456266763076</v>
      </c>
      <c r="GA684">
        <v>143.09101490473404</v>
      </c>
      <c r="GB684">
        <v>44.536915455951224</v>
      </c>
      <c r="GC684">
        <v>25.704967364086702</v>
      </c>
      <c r="GD684">
        <v>11.849123354818364</v>
      </c>
      <c r="GE684">
        <v>12.469427153850658</v>
      </c>
      <c r="GF684">
        <v>36.643892496403652</v>
      </c>
      <c r="GG684">
        <v>27.522963036680927</v>
      </c>
      <c r="GH684">
        <v>21.819504389466488</v>
      </c>
      <c r="GI684">
        <v>45.5901738324471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242.43458008677317</v>
      </c>
      <c r="AO685">
        <v>69.19078002245729</v>
      </c>
      <c r="AP685">
        <v>512.16604842419815</v>
      </c>
      <c r="AQ685">
        <v>419.33645824402953</v>
      </c>
      <c r="AR685">
        <v>65.481498416598228</v>
      </c>
      <c r="AS685">
        <v>315.56150751397809</v>
      </c>
      <c r="AT685">
        <v>32.346594075165847</v>
      </c>
      <c r="AU685">
        <v>-23.816597328012165</v>
      </c>
      <c r="AV685"/>
      <c r="AW685"/>
      <c r="FY685" s="211">
        <v>680</v>
      </c>
      <c r="FZ685">
        <v>43.303678340249434</v>
      </c>
      <c r="GA685">
        <v>42.155632416430386</v>
      </c>
      <c r="GB685">
        <v>51.082381553091174</v>
      </c>
      <c r="GC685">
        <v>33.633715614589114</v>
      </c>
      <c r="GD685">
        <v>18.964868848993881</v>
      </c>
      <c r="GE685">
        <v>24.231717396043837</v>
      </c>
      <c r="GF685">
        <v>36.801910900480117</v>
      </c>
      <c r="GG685">
        <v>28.747542181030553</v>
      </c>
      <c r="GH685">
        <v>19.133398498373243</v>
      </c>
      <c r="GI685">
        <v>41.786575776299415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230.16291653087896</v>
      </c>
      <c r="AO686">
        <v>69.958593116489936</v>
      </c>
      <c r="AP686">
        <v>517.25265535419101</v>
      </c>
      <c r="AQ686">
        <v>399.88928839227043</v>
      </c>
      <c r="AR686">
        <v>68.037972075833181</v>
      </c>
      <c r="AS686">
        <v>336.37517270738891</v>
      </c>
      <c r="AT686">
        <v>31.55200327474677</v>
      </c>
      <c r="AU686">
        <v>8.5951318705933168</v>
      </c>
      <c r="AV686"/>
      <c r="AW686"/>
      <c r="FY686" s="211">
        <v>681</v>
      </c>
      <c r="FZ686">
        <v>101.19866289824817</v>
      </c>
      <c r="GA686">
        <v>124.80694859509228</v>
      </c>
      <c r="GB686">
        <v>29.078445089923711</v>
      </c>
      <c r="GC686">
        <v>18.54802710026479</v>
      </c>
      <c r="GD686">
        <v>14.177095994746951</v>
      </c>
      <c r="GE686">
        <v>28.317445033271124</v>
      </c>
      <c r="GF686">
        <v>44.264630990452794</v>
      </c>
      <c r="GG686">
        <v>27.921508414053129</v>
      </c>
      <c r="GH686">
        <v>21.879328306840126</v>
      </c>
      <c r="GI686">
        <v>43.534603556640114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178.30424712280549</v>
      </c>
      <c r="AO687">
        <v>53.175993614834944</v>
      </c>
      <c r="AP687">
        <v>434.2349674149977</v>
      </c>
      <c r="AQ687">
        <v>329.58047348197056</v>
      </c>
      <c r="AR687">
        <v>52.685895622690296</v>
      </c>
      <c r="AS687">
        <v>260.44828649379491</v>
      </c>
      <c r="AT687">
        <v>27.524402698684753</v>
      </c>
      <c r="AU687">
        <v>34.22046295262691</v>
      </c>
      <c r="AV687"/>
      <c r="AW687"/>
      <c r="FY687" s="211">
        <v>682</v>
      </c>
      <c r="FZ687">
        <v>125.11437185758714</v>
      </c>
      <c r="GA687">
        <v>157.92125757854095</v>
      </c>
      <c r="GB687">
        <v>62.046045072088205</v>
      </c>
      <c r="GC687">
        <v>34.243501173935734</v>
      </c>
      <c r="GD687">
        <v>22.612652481562804</v>
      </c>
      <c r="GE687">
        <v>36.895493684221393</v>
      </c>
      <c r="GF687">
        <v>42.722031290310234</v>
      </c>
      <c r="GG687">
        <v>30.251055086667158</v>
      </c>
      <c r="GH687">
        <v>24.097586565984123</v>
      </c>
      <c r="GI687">
        <v>61.060525960744449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287.40340651751802</v>
      </c>
      <c r="AO688">
        <v>82.780035764156565</v>
      </c>
      <c r="AP688">
        <v>712.58950763846724</v>
      </c>
      <c r="AQ688">
        <v>562.0095182751262</v>
      </c>
      <c r="AR688">
        <v>80.0697120343835</v>
      </c>
      <c r="AS688">
        <v>374.36338851772916</v>
      </c>
      <c r="AT688">
        <v>40.470858011245689</v>
      </c>
      <c r="AU688">
        <v>-72.100367070138446</v>
      </c>
      <c r="AV688"/>
      <c r="AW688"/>
      <c r="FY688" s="211">
        <v>683</v>
      </c>
      <c r="FZ688">
        <v>80.493571043676098</v>
      </c>
      <c r="GA688">
        <v>91.962482206180951</v>
      </c>
      <c r="GB688">
        <v>37.607027692927694</v>
      </c>
      <c r="GC688">
        <v>20.453577221153047</v>
      </c>
      <c r="GD688">
        <v>17.492373663350929</v>
      </c>
      <c r="GE688">
        <v>35.060120132969807</v>
      </c>
      <c r="GF688">
        <v>42.259669253509387</v>
      </c>
      <c r="GG688">
        <v>29.688302745738252</v>
      </c>
      <c r="GH688">
        <v>25.34231620898009</v>
      </c>
      <c r="GI688">
        <v>44.965409115697355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217.98124616831623</v>
      </c>
      <c r="AO689">
        <v>83.288833753584271</v>
      </c>
      <c r="AP689">
        <v>743.86166981804058</v>
      </c>
      <c r="AQ689">
        <v>575.7285900560662</v>
      </c>
      <c r="AR689">
        <v>78.903192619983912</v>
      </c>
      <c r="AS689">
        <v>362.25166447624468</v>
      </c>
      <c r="AT689">
        <v>41.856024940910622</v>
      </c>
      <c r="AU689">
        <v>45.923490744718904</v>
      </c>
      <c r="AV689"/>
      <c r="AW689"/>
      <c r="FY689" s="211">
        <v>684</v>
      </c>
      <c r="FZ689">
        <v>33.329812684048704</v>
      </c>
      <c r="GA689">
        <v>50.343479993925726</v>
      </c>
      <c r="GB689">
        <v>38.814639269065125</v>
      </c>
      <c r="GC689">
        <v>24.633317052095922</v>
      </c>
      <c r="GD689">
        <v>20.54552570987148</v>
      </c>
      <c r="GE689">
        <v>32.470685769250146</v>
      </c>
      <c r="GF689">
        <v>21.964441923800567</v>
      </c>
      <c r="GG689">
        <v>14.779540535011664</v>
      </c>
      <c r="GH689">
        <v>22.042412915009674</v>
      </c>
      <c r="GI689">
        <v>35.936323797420378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203.34543298978946</v>
      </c>
      <c r="AO690">
        <v>62.282547680182404</v>
      </c>
      <c r="AP690">
        <v>525.21767463688855</v>
      </c>
      <c r="AQ690">
        <v>410.81268590702985</v>
      </c>
      <c r="AR690">
        <v>61.236138942805184</v>
      </c>
      <c r="AS690">
        <v>280.97978593562249</v>
      </c>
      <c r="AT690">
        <v>29.708782940956102</v>
      </c>
      <c r="AU690">
        <v>-14.797383449953323</v>
      </c>
      <c r="AV690"/>
      <c r="AW690"/>
      <c r="FY690" s="211">
        <v>685</v>
      </c>
      <c r="FZ690">
        <v>24.044873373307077</v>
      </c>
      <c r="GA690">
        <v>45.665273951825938</v>
      </c>
      <c r="GB690">
        <v>42.699498308723832</v>
      </c>
      <c r="GC690">
        <v>22.274512128179111</v>
      </c>
      <c r="GD690">
        <v>11.498040567716712</v>
      </c>
      <c r="GE690">
        <v>19.489484350718939</v>
      </c>
      <c r="GF690">
        <v>44.21685935615416</v>
      </c>
      <c r="GG690">
        <v>36.431764530748232</v>
      </c>
      <c r="GH690">
        <v>26.822887425034644</v>
      </c>
      <c r="GI690">
        <v>34.816794001947493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206.82743141449114</v>
      </c>
      <c r="AO691">
        <v>67.375024272475315</v>
      </c>
      <c r="AP691">
        <v>607.93870119614257</v>
      </c>
      <c r="AQ691">
        <v>474.84818620460794</v>
      </c>
      <c r="AR691">
        <v>64.067864304854908</v>
      </c>
      <c r="AS691">
        <v>288.4559738915911</v>
      </c>
      <c r="AT691">
        <v>33.17468018331374</v>
      </c>
      <c r="AU691">
        <v>27.343929041837839</v>
      </c>
      <c r="AV691"/>
      <c r="AW691"/>
      <c r="FY691" s="211">
        <v>686</v>
      </c>
      <c r="FZ691">
        <v>199.86748035810029</v>
      </c>
      <c r="GA691">
        <v>223.95461151359055</v>
      </c>
      <c r="GB691">
        <v>34.026665215663961</v>
      </c>
      <c r="GC691">
        <v>18.96812243618686</v>
      </c>
      <c r="GD691">
        <v>12.85497931194883</v>
      </c>
      <c r="GE691">
        <v>26.169895232974472</v>
      </c>
      <c r="GF691">
        <v>63.858013736517115</v>
      </c>
      <c r="GG691">
        <v>46.27122498210165</v>
      </c>
      <c r="GH691">
        <v>40.219059431406947</v>
      </c>
      <c r="GI691">
        <v>65.452316603424279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193.74531332118806</v>
      </c>
      <c r="AO692">
        <v>66.469893844097413</v>
      </c>
      <c r="AP692">
        <v>540.93510324650174</v>
      </c>
      <c r="AQ692">
        <v>425.50356630681648</v>
      </c>
      <c r="AR692">
        <v>65.550298048548356</v>
      </c>
      <c r="AS692">
        <v>301.71260008144145</v>
      </c>
      <c r="AT692">
        <v>34.808722430586229</v>
      </c>
      <c r="AU692">
        <v>19.822226972191817</v>
      </c>
      <c r="AV692"/>
      <c r="AW692"/>
      <c r="FY692" s="211">
        <v>687</v>
      </c>
      <c r="FZ692">
        <v>63.651473913007123</v>
      </c>
      <c r="GA692">
        <v>91.827395448417263</v>
      </c>
      <c r="GB692">
        <v>52.656284246715742</v>
      </c>
      <c r="GC692">
        <v>28.346513821117405</v>
      </c>
      <c r="GD692">
        <v>19.89235951259457</v>
      </c>
      <c r="GE692">
        <v>34.88756316322273</v>
      </c>
      <c r="GF692">
        <v>55.406024457217733</v>
      </c>
      <c r="GG692">
        <v>39.192868521635745</v>
      </c>
      <c r="GH692">
        <v>16.906136509245055</v>
      </c>
      <c r="GI692">
        <v>49.398830604347879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224.69622118495334</v>
      </c>
      <c r="AO693">
        <v>71.163637683666053</v>
      </c>
      <c r="AP693">
        <v>600.48938855168785</v>
      </c>
      <c r="AQ693">
        <v>486.36857268924456</v>
      </c>
      <c r="AR693">
        <v>67.569916382031337</v>
      </c>
      <c r="AS693">
        <v>307.10976744000243</v>
      </c>
      <c r="AT693">
        <v>33.725975476542942</v>
      </c>
      <c r="AU693">
        <v>33.609747055382428</v>
      </c>
      <c r="AV693"/>
      <c r="AW693"/>
      <c r="FY693" s="211">
        <v>688</v>
      </c>
      <c r="FZ693">
        <v>31.178501117231193</v>
      </c>
      <c r="GA693">
        <v>31.481479719296068</v>
      </c>
      <c r="GB693">
        <v>39.494100996604999</v>
      </c>
      <c r="GC693">
        <v>23.395515217883474</v>
      </c>
      <c r="GD693">
        <v>14.301545017120009</v>
      </c>
      <c r="GE693">
        <v>26.031304626773665</v>
      </c>
      <c r="GF693">
        <v>38.003424708031829</v>
      </c>
      <c r="GG693">
        <v>30.178436465749886</v>
      </c>
      <c r="GH693">
        <v>27.052339861422993</v>
      </c>
      <c r="GI693">
        <v>35.574215746664002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211.12280089246673</v>
      </c>
      <c r="AO694">
        <v>63.211475737620141</v>
      </c>
      <c r="AP694">
        <v>515.11277324688047</v>
      </c>
      <c r="AQ694">
        <v>406.70691576523762</v>
      </c>
      <c r="AR694">
        <v>60.972854713982876</v>
      </c>
      <c r="AS694">
        <v>288.61797558824207</v>
      </c>
      <c r="AT694">
        <v>30.794563001074128</v>
      </c>
      <c r="AU694">
        <v>2.6460377545898695</v>
      </c>
      <c r="AV694"/>
      <c r="AW694"/>
      <c r="FY694" s="211">
        <v>689</v>
      </c>
      <c r="FZ694">
        <v>192.72290969273598</v>
      </c>
      <c r="GA694">
        <v>223.35272964043784</v>
      </c>
      <c r="GB694">
        <v>36.618721950484172</v>
      </c>
      <c r="GC694">
        <v>21.130996738183676</v>
      </c>
      <c r="GD694">
        <v>15.643293015013231</v>
      </c>
      <c r="GE694">
        <v>29.996738870806677</v>
      </c>
      <c r="GF694">
        <v>32.461597446375919</v>
      </c>
      <c r="GG694">
        <v>19.162898232884736</v>
      </c>
      <c r="GH694">
        <v>19.41340522105326</v>
      </c>
      <c r="GI694">
        <v>57.278653924822372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219.74360167146779</v>
      </c>
      <c r="AO695">
        <v>68.000550923055158</v>
      </c>
      <c r="AP695">
        <v>605.48279157503612</v>
      </c>
      <c r="AQ695">
        <v>477.94254465606986</v>
      </c>
      <c r="AR695">
        <v>65.897786948745519</v>
      </c>
      <c r="AS695">
        <v>318.68270391808761</v>
      </c>
      <c r="AT695">
        <v>34.650287505240144</v>
      </c>
      <c r="AU695">
        <v>-62.330971599665041</v>
      </c>
      <c r="AV695"/>
      <c r="AW695"/>
      <c r="FY695" s="211">
        <v>690</v>
      </c>
      <c r="FZ695">
        <v>118.99332343345243</v>
      </c>
      <c r="GA695">
        <v>143.56298346359421</v>
      </c>
      <c r="GB695">
        <v>46.258451436935822</v>
      </c>
      <c r="GC695">
        <v>25.153105942894953</v>
      </c>
      <c r="GD695">
        <v>13.029638952334343</v>
      </c>
      <c r="GE695">
        <v>19.624146135943111</v>
      </c>
      <c r="GF695">
        <v>36.101087983453525</v>
      </c>
      <c r="GG695">
        <v>29.756473056245092</v>
      </c>
      <c r="GH695">
        <v>24.400491045614793</v>
      </c>
      <c r="GI695">
        <v>48.65764163376577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247.27759408263768</v>
      </c>
      <c r="AO696">
        <v>60.98769864362464</v>
      </c>
      <c r="AP696">
        <v>428.94094439328956</v>
      </c>
      <c r="AQ696">
        <v>339.84142152558115</v>
      </c>
      <c r="AR696">
        <v>60.012766225410601</v>
      </c>
      <c r="AS696">
        <v>315.49240279452823</v>
      </c>
      <c r="AT696">
        <v>28.683578348592878</v>
      </c>
      <c r="AU696">
        <v>24.315145751456811</v>
      </c>
      <c r="AV696"/>
      <c r="AW696"/>
      <c r="FY696" s="211">
        <v>691</v>
      </c>
      <c r="FZ696">
        <v>81.886925210798864</v>
      </c>
      <c r="GA696">
        <v>91.051165286506418</v>
      </c>
      <c r="GB696">
        <v>49.600960956641934</v>
      </c>
      <c r="GC696">
        <v>24.577417553906127</v>
      </c>
      <c r="GD696">
        <v>16.491508661435347</v>
      </c>
      <c r="GE696">
        <v>33.329932560633488</v>
      </c>
      <c r="GF696">
        <v>59.888215364023424</v>
      </c>
      <c r="GG696">
        <v>45.007565094658872</v>
      </c>
      <c r="GH696">
        <v>22.228116292373976</v>
      </c>
      <c r="GI696">
        <v>50.728326506621528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200.63246181225441</v>
      </c>
      <c r="AO697">
        <v>66.021617644299653</v>
      </c>
      <c r="AP697">
        <v>561.87522466034989</v>
      </c>
      <c r="AQ697">
        <v>453.72669597953313</v>
      </c>
      <c r="AR697">
        <v>62.460053207455296</v>
      </c>
      <c r="AS697">
        <v>290.40143288665189</v>
      </c>
      <c r="AT697">
        <v>33.572583106846565</v>
      </c>
      <c r="AU697">
        <v>20.027431483185673</v>
      </c>
      <c r="AV697"/>
      <c r="AW697"/>
      <c r="FY697" s="211">
        <v>692</v>
      </c>
      <c r="FZ697">
        <v>26.491658447338139</v>
      </c>
      <c r="GA697">
        <v>36.280945511588484</v>
      </c>
      <c r="GB697">
        <v>43.303912272607462</v>
      </c>
      <c r="GC697">
        <v>31.07883183933264</v>
      </c>
      <c r="GD697">
        <v>21.179783621888649</v>
      </c>
      <c r="GE697">
        <v>31.285191746348403</v>
      </c>
      <c r="GF697">
        <v>23.891794296358682</v>
      </c>
      <c r="GG697">
        <v>6.0236881637641577</v>
      </c>
      <c r="GH697">
        <v>18.655374521834204</v>
      </c>
      <c r="GI697">
        <v>36.07215708574342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251.76108358154539</v>
      </c>
      <c r="AO698">
        <v>92.179179024468993</v>
      </c>
      <c r="AP698">
        <v>743.36934340265429</v>
      </c>
      <c r="AQ698">
        <v>596.96452075164223</v>
      </c>
      <c r="AR698">
        <v>88.354948970333197</v>
      </c>
      <c r="AS698">
        <v>396.93463252099946</v>
      </c>
      <c r="AT698">
        <v>44.528714369474436</v>
      </c>
      <c r="AU698">
        <v>-7.822723114651879</v>
      </c>
      <c r="AV698"/>
      <c r="AW698"/>
      <c r="FY698" s="211">
        <v>693</v>
      </c>
      <c r="FZ698">
        <v>39.17194760651779</v>
      </c>
      <c r="GA698">
        <v>40.973920658009767</v>
      </c>
      <c r="GB698">
        <v>50.792413616342699</v>
      </c>
      <c r="GC698">
        <v>27.872058405744863</v>
      </c>
      <c r="GD698">
        <v>15.130605701397513</v>
      </c>
      <c r="GE698">
        <v>31.549079821129709</v>
      </c>
      <c r="GF698">
        <v>29.425977363529025</v>
      </c>
      <c r="GG698">
        <v>17.390534587931555</v>
      </c>
      <c r="GH698">
        <v>32.085946802488159</v>
      </c>
      <c r="GI698">
        <v>39.336887871017794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218.19915502424834</v>
      </c>
      <c r="AO699">
        <v>66.665121286165444</v>
      </c>
      <c r="AP699">
        <v>527.60804178788635</v>
      </c>
      <c r="AQ699">
        <v>425.32484928418364</v>
      </c>
      <c r="AR699">
        <v>64.628689604163981</v>
      </c>
      <c r="AS699">
        <v>307.74966568908263</v>
      </c>
      <c r="AT699">
        <v>31.932780314781951</v>
      </c>
      <c r="AU699">
        <v>10.239609913016722</v>
      </c>
      <c r="AV699"/>
      <c r="AW699"/>
      <c r="FY699" s="211">
        <v>694</v>
      </c>
      <c r="FZ699">
        <v>31.664735323441828</v>
      </c>
      <c r="GA699">
        <v>37.872615097373036</v>
      </c>
      <c r="GB699">
        <v>44.614875163325451</v>
      </c>
      <c r="GC699">
        <v>25.55211714458137</v>
      </c>
      <c r="GD699">
        <v>13.869180927931749</v>
      </c>
      <c r="GE699">
        <v>19.684779266759829</v>
      </c>
      <c r="GF699">
        <v>43.072529686661404</v>
      </c>
      <c r="GG699">
        <v>33.750583759977474</v>
      </c>
      <c r="GH699">
        <v>18.334236426066926</v>
      </c>
      <c r="GI699">
        <v>36.327941690872336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162.31643373718606</v>
      </c>
      <c r="AO700">
        <v>53.625661670805869</v>
      </c>
      <c r="AP700">
        <v>356.30065106367402</v>
      </c>
      <c r="AQ700">
        <v>294.86017964949934</v>
      </c>
      <c r="AR700">
        <v>51.659187662931231</v>
      </c>
      <c r="AS700">
        <v>271.53200361298542</v>
      </c>
      <c r="AT700">
        <v>25.011778681528593</v>
      </c>
      <c r="AU700">
        <v>-31.390224709290592</v>
      </c>
      <c r="AV700"/>
      <c r="AW700"/>
      <c r="FY700" s="211">
        <v>695</v>
      </c>
      <c r="FZ700">
        <v>74.654865025213383</v>
      </c>
      <c r="GA700">
        <v>84.176427867872036</v>
      </c>
      <c r="GB700">
        <v>41.708976419030918</v>
      </c>
      <c r="GC700">
        <v>25.869695807527869</v>
      </c>
      <c r="GD700">
        <v>16.599151720182768</v>
      </c>
      <c r="GE700">
        <v>26.518947469099505</v>
      </c>
      <c r="GF700">
        <v>30.131753229549485</v>
      </c>
      <c r="GG700">
        <v>20.43502297842921</v>
      </c>
      <c r="GH700">
        <v>25.672922553282671</v>
      </c>
      <c r="GI700">
        <v>42.276138165160233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186.82524882599856</v>
      </c>
      <c r="AO701">
        <v>51.479105074230304</v>
      </c>
      <c r="AP701">
        <v>403.7865943115591</v>
      </c>
      <c r="AQ701">
        <v>307.95998799435614</v>
      </c>
      <c r="AR701">
        <v>49.628125794456821</v>
      </c>
      <c r="AS701">
        <v>251.0811403056675</v>
      </c>
      <c r="AT701">
        <v>23.846207213084512</v>
      </c>
      <c r="AU701">
        <v>7.4291536389667314</v>
      </c>
      <c r="AV701"/>
      <c r="AW701"/>
      <c r="FY701" s="211">
        <v>696</v>
      </c>
      <c r="FZ701">
        <v>70.962969842650793</v>
      </c>
      <c r="GA701">
        <v>94.546759542926722</v>
      </c>
      <c r="GB701">
        <v>27.83277219665187</v>
      </c>
      <c r="GC701">
        <v>19.98685079386399</v>
      </c>
      <c r="GD701">
        <v>15.299117709286415</v>
      </c>
      <c r="GE701">
        <v>24.420173148036902</v>
      </c>
      <c r="GF701">
        <v>41.161500190778256</v>
      </c>
      <c r="GG701">
        <v>25.038204448568845</v>
      </c>
      <c r="GH701">
        <v>16.273802224579242</v>
      </c>
      <c r="GI701">
        <v>38.08495056061092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235.81391791076709</v>
      </c>
      <c r="AO702">
        <v>96.954115645212241</v>
      </c>
      <c r="AP702">
        <v>917.36404151458612</v>
      </c>
      <c r="AQ702">
        <v>731.64236882191506</v>
      </c>
      <c r="AR702">
        <v>94.815098690195953</v>
      </c>
      <c r="AS702">
        <v>442.54876907394572</v>
      </c>
      <c r="AT702">
        <v>54.650889746126644</v>
      </c>
      <c r="AU702">
        <v>9.2079676351062929</v>
      </c>
      <c r="AV702"/>
      <c r="AW702"/>
      <c r="FY702" s="211">
        <v>697</v>
      </c>
      <c r="FZ702">
        <v>89.462684351784503</v>
      </c>
      <c r="GA702">
        <v>97.550923497119442</v>
      </c>
      <c r="GB702">
        <v>52.091080780275348</v>
      </c>
      <c r="GC702">
        <v>26.699341049983165</v>
      </c>
      <c r="GD702">
        <v>12.480179911449026</v>
      </c>
      <c r="GE702">
        <v>18.603517047764125</v>
      </c>
      <c r="GF702">
        <v>36.101670646257929</v>
      </c>
      <c r="GG702">
        <v>27.513072334599482</v>
      </c>
      <c r="GH702">
        <v>18.224372214619912</v>
      </c>
      <c r="GI702">
        <v>44.484452238566895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244.10814374405328</v>
      </c>
      <c r="AO703">
        <v>74.694667961632675</v>
      </c>
      <c r="AP703">
        <v>573.53698061599493</v>
      </c>
      <c r="AQ703">
        <v>452.1654501975213</v>
      </c>
      <c r="AR703">
        <v>71.148011805732168</v>
      </c>
      <c r="AS703">
        <v>352.54164341779625</v>
      </c>
      <c r="AT703">
        <v>33.13439985913714</v>
      </c>
      <c r="AU703">
        <v>-14.02435355530449</v>
      </c>
      <c r="AV703"/>
      <c r="AW703"/>
      <c r="FY703" s="211">
        <v>698</v>
      </c>
      <c r="FZ703">
        <v>117.40908076457293</v>
      </c>
      <c r="GA703">
        <v>146.64676907574972</v>
      </c>
      <c r="GB703">
        <v>57.452957679871588</v>
      </c>
      <c r="GC703">
        <v>29.196604210739135</v>
      </c>
      <c r="GD703">
        <v>14.813090096646015</v>
      </c>
      <c r="GE703">
        <v>21.773930311729039</v>
      </c>
      <c r="GF703">
        <v>33.074978591708579</v>
      </c>
      <c r="GG703">
        <v>23.900393953798055</v>
      </c>
      <c r="GH703">
        <v>26.363587809780686</v>
      </c>
      <c r="GI703">
        <v>52.201408998790932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161.89263569753513</v>
      </c>
      <c r="AO704">
        <v>52.068680607875805</v>
      </c>
      <c r="AP704">
        <v>378.99159078331417</v>
      </c>
      <c r="AQ704">
        <v>296.69086347677808</v>
      </c>
      <c r="AR704">
        <v>50.989854518708299</v>
      </c>
      <c r="AS704">
        <v>259.0391047116309</v>
      </c>
      <c r="AT704">
        <v>24.497489726870651</v>
      </c>
      <c r="AU704">
        <v>25.747990210498799</v>
      </c>
      <c r="AV704"/>
      <c r="AW704"/>
      <c r="FY704" s="211">
        <v>699</v>
      </c>
      <c r="FZ704">
        <v>68.133972390428809</v>
      </c>
      <c r="GA704">
        <v>82.768456074507782</v>
      </c>
      <c r="GB704">
        <v>37.915369395720553</v>
      </c>
      <c r="GC704">
        <v>24.551985425347105</v>
      </c>
      <c r="GD704">
        <v>18.08165450332687</v>
      </c>
      <c r="GE704">
        <v>24.157679003675465</v>
      </c>
      <c r="GF704">
        <v>24.785275896399451</v>
      </c>
      <c r="GG704">
        <v>24.33493220271788</v>
      </c>
      <c r="GH704">
        <v>27.720559154044533</v>
      </c>
      <c r="GI704">
        <v>40.536019889246191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206.41450785162198</v>
      </c>
      <c r="AO705">
        <v>87.235034550673134</v>
      </c>
      <c r="AP705">
        <v>790.93567056174197</v>
      </c>
      <c r="AQ705">
        <v>647.78194473279791</v>
      </c>
      <c r="AR705">
        <v>83.250625401179818</v>
      </c>
      <c r="AS705">
        <v>390.50945619508042</v>
      </c>
      <c r="AT705">
        <v>47.28416018328533</v>
      </c>
      <c r="AU705">
        <v>-11.140694310059192</v>
      </c>
      <c r="AV705"/>
      <c r="AW705"/>
      <c r="FY705" s="211">
        <v>700</v>
      </c>
      <c r="FZ705">
        <v>103.65141774520677</v>
      </c>
      <c r="GA705">
        <v>127.36154225869582</v>
      </c>
      <c r="GB705">
        <v>42.20752027303913</v>
      </c>
      <c r="GC705">
        <v>22.814152889449563</v>
      </c>
      <c r="GD705">
        <v>13.954011117109923</v>
      </c>
      <c r="GE705">
        <v>24.378302118962885</v>
      </c>
      <c r="GF705">
        <v>29.030592109176471</v>
      </c>
      <c r="GG705">
        <v>22.788191834514151</v>
      </c>
      <c r="GH705">
        <v>26.639548560135172</v>
      </c>
      <c r="GI705">
        <v>45.049784210931378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216.44878449854883</v>
      </c>
      <c r="AO706">
        <v>73.026765384546749</v>
      </c>
      <c r="AP706">
        <v>638.70566553277126</v>
      </c>
      <c r="AQ706">
        <v>505.53734308423407</v>
      </c>
      <c r="AR706">
        <v>70.557653317939483</v>
      </c>
      <c r="AS706">
        <v>334.38940322462975</v>
      </c>
      <c r="AT706">
        <v>36.706551789638944</v>
      </c>
      <c r="AU706">
        <v>41.896966196462429</v>
      </c>
      <c r="AV706"/>
      <c r="AW706"/>
      <c r="FY706" s="211">
        <v>701</v>
      </c>
      <c r="FZ706">
        <v>80.027734952244188</v>
      </c>
      <c r="GA706">
        <v>101.81336590959771</v>
      </c>
      <c r="GB706">
        <v>45.518239965400959</v>
      </c>
      <c r="GC706">
        <v>24.599935649021536</v>
      </c>
      <c r="GD706">
        <v>17.24820267062066</v>
      </c>
      <c r="GE706">
        <v>24.567100527993521</v>
      </c>
      <c r="GF706">
        <v>33.332273741442847</v>
      </c>
      <c r="GG706">
        <v>26.813667281921624</v>
      </c>
      <c r="GH706">
        <v>27.188313730226042</v>
      </c>
      <c r="GI706">
        <v>45.457116529214623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247.15628533272829</v>
      </c>
      <c r="AO707">
        <v>74.976750277191826</v>
      </c>
      <c r="AP707">
        <v>603.97974346829403</v>
      </c>
      <c r="AQ707">
        <v>474.79013348759986</v>
      </c>
      <c r="AR707">
        <v>72.991840055838637</v>
      </c>
      <c r="AS707">
        <v>334.26315377288802</v>
      </c>
      <c r="AT707">
        <v>34.086990339195097</v>
      </c>
      <c r="AU707">
        <v>2.3627591865735411</v>
      </c>
      <c r="AV707"/>
      <c r="AW707"/>
      <c r="FY707" s="211">
        <v>702</v>
      </c>
      <c r="FZ707">
        <v>41.848341239486992</v>
      </c>
      <c r="GA707">
        <v>57.617735208609155</v>
      </c>
      <c r="GB707">
        <v>57.890646544699919</v>
      </c>
      <c r="GC707">
        <v>29.944636455993976</v>
      </c>
      <c r="GD707">
        <v>14.667042524571563</v>
      </c>
      <c r="GE707">
        <v>20.445620390363782</v>
      </c>
      <c r="GF707">
        <v>44.560597067239982</v>
      </c>
      <c r="GG707">
        <v>35.115209541950385</v>
      </c>
      <c r="GH707">
        <v>37.5422646239575</v>
      </c>
      <c r="GI707">
        <v>45.119645588146525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189.0538881728809</v>
      </c>
      <c r="AO708">
        <v>52.540313441950445</v>
      </c>
      <c r="AP708">
        <v>327.36349070289634</v>
      </c>
      <c r="AQ708">
        <v>274.26333750680425</v>
      </c>
      <c r="AR708">
        <v>51.137238616510892</v>
      </c>
      <c r="AS708">
        <v>263.42545408115876</v>
      </c>
      <c r="AT708">
        <v>23.449793944799058</v>
      </c>
      <c r="AU708">
        <v>-0.65106532878061785</v>
      </c>
      <c r="AV708"/>
      <c r="AW708"/>
      <c r="FY708" s="211">
        <v>703</v>
      </c>
      <c r="FZ708">
        <v>37.277791623099915</v>
      </c>
      <c r="GA708">
        <v>50.405554599091744</v>
      </c>
      <c r="GB708">
        <v>35.862551266735338</v>
      </c>
      <c r="GC708">
        <v>17.039265749162524</v>
      </c>
      <c r="GD708">
        <v>12.324287288178301</v>
      </c>
      <c r="GE708">
        <v>19.981011141934321</v>
      </c>
      <c r="GF708">
        <v>58.551609516485158</v>
      </c>
      <c r="GG708">
        <v>51.434611745462647</v>
      </c>
      <c r="GH708">
        <v>32.234185821764271</v>
      </c>
      <c r="GI708">
        <v>39.436776848473073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190.97315568585441</v>
      </c>
      <c r="AO709">
        <v>57.003657702055854</v>
      </c>
      <c r="AP709">
        <v>410.4703699093883</v>
      </c>
      <c r="AQ709">
        <v>323.72937243410883</v>
      </c>
      <c r="AR709">
        <v>56.146071004544936</v>
      </c>
      <c r="AS709">
        <v>269.87801581749608</v>
      </c>
      <c r="AT709">
        <v>27.368165609421784</v>
      </c>
      <c r="AU709">
        <v>-20.658420564293174</v>
      </c>
      <c r="AV709"/>
      <c r="AW709"/>
      <c r="FY709" s="211">
        <v>704</v>
      </c>
      <c r="FZ709">
        <v>75.257033674971211</v>
      </c>
      <c r="GA709">
        <v>83.229669997519409</v>
      </c>
      <c r="GB709">
        <v>28.032880431517381</v>
      </c>
      <c r="GC709">
        <v>14.135329565519505</v>
      </c>
      <c r="GD709">
        <v>10.831710927315573</v>
      </c>
      <c r="GE709">
        <v>18.915387310106258</v>
      </c>
      <c r="GF709">
        <v>36.490975983653762</v>
      </c>
      <c r="GG709">
        <v>26.620427156149091</v>
      </c>
      <c r="GH709">
        <v>15.917208032488119</v>
      </c>
      <c r="GI709">
        <v>34.912713355611935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191.3160024071513</v>
      </c>
      <c r="AO710">
        <v>52.739093904993943</v>
      </c>
      <c r="AP710">
        <v>395.40501529665977</v>
      </c>
      <c r="AQ710">
        <v>304.74359448699136</v>
      </c>
      <c r="AR710">
        <v>51.926715540355772</v>
      </c>
      <c r="AS710">
        <v>267.28080568651438</v>
      </c>
      <c r="AT710">
        <v>25.600313854585973</v>
      </c>
      <c r="AU710">
        <v>23.195175151221171</v>
      </c>
      <c r="AV710"/>
      <c r="AW710"/>
      <c r="FY710" s="211">
        <v>705</v>
      </c>
      <c r="FZ710">
        <v>72.369374602661892</v>
      </c>
      <c r="GA710">
        <v>93.905950190297162</v>
      </c>
      <c r="GB710">
        <v>48.837452219720873</v>
      </c>
      <c r="GC710">
        <v>29.280877863584521</v>
      </c>
      <c r="GD710">
        <v>14.048659616600945</v>
      </c>
      <c r="GE710">
        <v>17.325244859792527</v>
      </c>
      <c r="GF710">
        <v>33.639657059887327</v>
      </c>
      <c r="GG710">
        <v>25.914267317970026</v>
      </c>
      <c r="GH710">
        <v>25.598381499139315</v>
      </c>
      <c r="GI710">
        <v>42.798172321032951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171.28697819802619</v>
      </c>
      <c r="AO711">
        <v>61.982592165791075</v>
      </c>
      <c r="AP711">
        <v>478.47879613783499</v>
      </c>
      <c r="AQ711">
        <v>388.04390123534802</v>
      </c>
      <c r="AR711">
        <v>60.716364032750917</v>
      </c>
      <c r="AS711">
        <v>293.32264504580223</v>
      </c>
      <c r="AT711">
        <v>31.950795423683456</v>
      </c>
      <c r="AU711">
        <v>1.2752068800179686</v>
      </c>
      <c r="AV711"/>
      <c r="AW711"/>
      <c r="FY711" s="211">
        <v>706</v>
      </c>
      <c r="FZ711">
        <v>120.55560575165886</v>
      </c>
      <c r="GA711">
        <v>134.89514209742336</v>
      </c>
      <c r="GB711">
        <v>36.912302760969311</v>
      </c>
      <c r="GC711">
        <v>22.855312652650714</v>
      </c>
      <c r="GD711">
        <v>15.231574010346103</v>
      </c>
      <c r="GE711">
        <v>22.616263662416696</v>
      </c>
      <c r="GF711">
        <v>49.587858750404386</v>
      </c>
      <c r="GG711">
        <v>39.147643815367211</v>
      </c>
      <c r="GH711">
        <v>21.43927243485869</v>
      </c>
      <c r="GI711">
        <v>50.092516232796775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178.49919438811443</v>
      </c>
      <c r="AO712">
        <v>57.720392432227229</v>
      </c>
      <c r="AP712">
        <v>461.78785294976387</v>
      </c>
      <c r="AQ712">
        <v>373.60710065795394</v>
      </c>
      <c r="AR712">
        <v>54.634446223166698</v>
      </c>
      <c r="AS712">
        <v>265.8106070621958</v>
      </c>
      <c r="AT712">
        <v>27.799315478143697</v>
      </c>
      <c r="AU712">
        <v>15.795510114318141</v>
      </c>
      <c r="AV712"/>
      <c r="AW712"/>
      <c r="FY712" s="211">
        <v>707</v>
      </c>
      <c r="FZ712">
        <v>78.127245235120768</v>
      </c>
      <c r="GA712">
        <v>86.65823098952454</v>
      </c>
      <c r="GB712">
        <v>41.292408139621664</v>
      </c>
      <c r="GC712">
        <v>26.860201834764439</v>
      </c>
      <c r="GD712">
        <v>18.8420026503541</v>
      </c>
      <c r="GE712">
        <v>32.001105399168509</v>
      </c>
      <c r="GF712">
        <v>47.737360554341663</v>
      </c>
      <c r="GG712">
        <v>29.815521765166093</v>
      </c>
      <c r="GH712">
        <v>23.023384703133829</v>
      </c>
      <c r="GI712">
        <v>47.178564523173129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201.85197414209875</v>
      </c>
      <c r="AO713">
        <v>64.907205847361766</v>
      </c>
      <c r="AP713">
        <v>542.76710552425334</v>
      </c>
      <c r="AQ713">
        <v>423.21129407241978</v>
      </c>
      <c r="AR713">
        <v>64.405443111274082</v>
      </c>
      <c r="AS713">
        <v>313.99425595258663</v>
      </c>
      <c r="AT713">
        <v>32.635812382568162</v>
      </c>
      <c r="AU713">
        <v>2.596626260553343</v>
      </c>
      <c r="AV713"/>
      <c r="AW713"/>
      <c r="FY713" s="211">
        <v>708</v>
      </c>
      <c r="FZ713">
        <v>89.696505357110908</v>
      </c>
      <c r="GA713">
        <v>105.64073624303198</v>
      </c>
      <c r="GB713">
        <v>39.799038066451239</v>
      </c>
      <c r="GC713">
        <v>22.84100417450831</v>
      </c>
      <c r="GD713">
        <v>15.949413702480461</v>
      </c>
      <c r="GE713">
        <v>21.769432306534821</v>
      </c>
      <c r="GF713">
        <v>34.851479767071957</v>
      </c>
      <c r="GG713">
        <v>22.264305539549049</v>
      </c>
      <c r="GH713">
        <v>14.380136373802715</v>
      </c>
      <c r="GI713">
        <v>42.546703041482061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196.59034681567138</v>
      </c>
      <c r="AO714">
        <v>77.11583899472835</v>
      </c>
      <c r="AP714">
        <v>659.86573706296576</v>
      </c>
      <c r="AQ714">
        <v>522.83280149338668</v>
      </c>
      <c r="AR714">
        <v>75.731200144949298</v>
      </c>
      <c r="AS714">
        <v>330.12482170552028</v>
      </c>
      <c r="AT714">
        <v>39.073510772624346</v>
      </c>
      <c r="AU714">
        <v>-20.716300685904251</v>
      </c>
      <c r="AV714"/>
      <c r="AW714"/>
      <c r="FY714" s="211">
        <v>709</v>
      </c>
      <c r="FZ714">
        <v>73.614380816021225</v>
      </c>
      <c r="GA714">
        <v>76.138518779004286</v>
      </c>
      <c r="GB714">
        <v>44.212444762618098</v>
      </c>
      <c r="GC714">
        <v>30.029274208539487</v>
      </c>
      <c r="GD714">
        <v>12.953670077007562</v>
      </c>
      <c r="GE714">
        <v>22.340231103947954</v>
      </c>
      <c r="GF714">
        <v>49.525318687660381</v>
      </c>
      <c r="GG714">
        <v>32.375907020790592</v>
      </c>
      <c r="GH714">
        <v>30.468255737021838</v>
      </c>
      <c r="GI714">
        <v>44.978325591256784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183.92332649298899</v>
      </c>
      <c r="AO715">
        <v>60.203082161584874</v>
      </c>
      <c r="AP715">
        <v>459.13748311950496</v>
      </c>
      <c r="AQ715">
        <v>372.98590393541457</v>
      </c>
      <c r="AR715">
        <v>58.742254837317397</v>
      </c>
      <c r="AS715">
        <v>274.83895064876708</v>
      </c>
      <c r="AT715">
        <v>29.880352908432183</v>
      </c>
      <c r="AU715">
        <v>27.266787402999697</v>
      </c>
      <c r="AV715"/>
      <c r="AW715"/>
      <c r="FY715" s="211">
        <v>710</v>
      </c>
      <c r="FZ715">
        <v>149.84110555787777</v>
      </c>
      <c r="GA715">
        <v>185.22401477972124</v>
      </c>
      <c r="GB715">
        <v>48.839000669352878</v>
      </c>
      <c r="GC715">
        <v>29.144518782106804</v>
      </c>
      <c r="GD715">
        <v>13.795984567330978</v>
      </c>
      <c r="GE715">
        <v>17.945224563518725</v>
      </c>
      <c r="GF715">
        <v>36.00698383303623</v>
      </c>
      <c r="GG715">
        <v>39.915365608357433</v>
      </c>
      <c r="GH715">
        <v>41.013532739638528</v>
      </c>
      <c r="GI715">
        <v>57.01806762351854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187.93792605521884</v>
      </c>
      <c r="AO716">
        <v>67.42091037198692</v>
      </c>
      <c r="AP716">
        <v>571.63751582843292</v>
      </c>
      <c r="AQ716">
        <v>457.87506311722126</v>
      </c>
      <c r="AR716">
        <v>65.302155221974516</v>
      </c>
      <c r="AS716">
        <v>328.49057135345618</v>
      </c>
      <c r="AT716">
        <v>34.306607173665675</v>
      </c>
      <c r="AU716">
        <v>2.1321393487205356</v>
      </c>
      <c r="AV716"/>
      <c r="AW716"/>
      <c r="FY716" s="211">
        <v>711</v>
      </c>
      <c r="FZ716">
        <v>151.65971184750788</v>
      </c>
      <c r="GA716">
        <v>175.84166235636945</v>
      </c>
      <c r="GB716">
        <v>44.378853290080052</v>
      </c>
      <c r="GC716">
        <v>26.309279226051615</v>
      </c>
      <c r="GD716">
        <v>15.598122020159593</v>
      </c>
      <c r="GE716">
        <v>29.32676728463672</v>
      </c>
      <c r="GF716">
        <v>68.670499505128831</v>
      </c>
      <c r="GG716">
        <v>59.395520460390983</v>
      </c>
      <c r="GH716">
        <v>31.07599042709456</v>
      </c>
      <c r="GI716">
        <v>62.125091197277385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204.83442791043367</v>
      </c>
      <c r="AO717">
        <v>66.64513232422965</v>
      </c>
      <c r="AP717">
        <v>535.59272480106233</v>
      </c>
      <c r="AQ717">
        <v>426.5659509576837</v>
      </c>
      <c r="AR717">
        <v>65.662784528136314</v>
      </c>
      <c r="AS717">
        <v>302.8311665187972</v>
      </c>
      <c r="AT717">
        <v>32.662754120225237</v>
      </c>
      <c r="AU717">
        <v>11.968965007083163</v>
      </c>
      <c r="AV717"/>
      <c r="AW717"/>
      <c r="FY717" s="211">
        <v>712</v>
      </c>
      <c r="FZ717">
        <v>80.367476203614004</v>
      </c>
      <c r="GA717">
        <v>93.210616900121892</v>
      </c>
      <c r="GB717">
        <v>25.86701730130298</v>
      </c>
      <c r="GC717">
        <v>15.76226801109388</v>
      </c>
      <c r="GD717">
        <v>15.008232322716571</v>
      </c>
      <c r="GE717">
        <v>22.205188603336733</v>
      </c>
      <c r="GF717">
        <v>35.173721950034896</v>
      </c>
      <c r="GG717">
        <v>21.85399101821967</v>
      </c>
      <c r="GH717">
        <v>19.498823676187481</v>
      </c>
      <c r="GI717">
        <v>37.913957510996134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217.78242859598222</v>
      </c>
      <c r="AO718">
        <v>64.389524622884437</v>
      </c>
      <c r="AP718">
        <v>505.51029542302888</v>
      </c>
      <c r="AQ718">
        <v>384.7517391850198</v>
      </c>
      <c r="AR718">
        <v>64.753674119279637</v>
      </c>
      <c r="AS718">
        <v>303.56153172070191</v>
      </c>
      <c r="AT718">
        <v>30.626522684342959</v>
      </c>
      <c r="AU718">
        <v>25.1368957024937</v>
      </c>
      <c r="AV718"/>
      <c r="AW718"/>
      <c r="FY718" s="211">
        <v>713</v>
      </c>
      <c r="FZ718">
        <v>89.621729722376529</v>
      </c>
      <c r="GA718">
        <v>103.55272268940746</v>
      </c>
      <c r="GB718">
        <v>68.29352956516172</v>
      </c>
      <c r="GC718">
        <v>32.310102553828884</v>
      </c>
      <c r="GD718">
        <v>13.734978071971753</v>
      </c>
      <c r="GE718">
        <v>28.923742812100109</v>
      </c>
      <c r="GF718">
        <v>57.977914014739227</v>
      </c>
      <c r="GG718">
        <v>46.288480924022544</v>
      </c>
      <c r="GH718">
        <v>27.821010945066284</v>
      </c>
      <c r="GI718">
        <v>55.543539017418233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236.66394564814541</v>
      </c>
      <c r="AO719">
        <v>57.090225886005918</v>
      </c>
      <c r="AP719">
        <v>471.52601319050899</v>
      </c>
      <c r="AQ719">
        <v>354.54764560038734</v>
      </c>
      <c r="AR719">
        <v>56.852264500211021</v>
      </c>
      <c r="AS719">
        <v>276.75725880646149</v>
      </c>
      <c r="AT719">
        <v>25.92058268397663</v>
      </c>
      <c r="AU719">
        <v>69.885664010577287</v>
      </c>
      <c r="AV719"/>
      <c r="AW719"/>
      <c r="FY719" s="211">
        <v>714</v>
      </c>
      <c r="FZ719">
        <v>83.347434582108548</v>
      </c>
      <c r="GA719">
        <v>87.328815076482741</v>
      </c>
      <c r="GB719">
        <v>48.244322013113269</v>
      </c>
      <c r="GC719">
        <v>31.635164203132991</v>
      </c>
      <c r="GD719">
        <v>17.249464957347548</v>
      </c>
      <c r="GE719">
        <v>24.19285453706776</v>
      </c>
      <c r="GF719">
        <v>41.637915540216461</v>
      </c>
      <c r="GG719">
        <v>24.959164130401494</v>
      </c>
      <c r="GH719">
        <v>9.9395764693278856</v>
      </c>
      <c r="GI719">
        <v>45.290235619807639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168.4588742400436</v>
      </c>
      <c r="AO720">
        <v>50.707541774545703</v>
      </c>
      <c r="AP720">
        <v>430.23196380259907</v>
      </c>
      <c r="AQ720">
        <v>344.34333643485229</v>
      </c>
      <c r="AR720">
        <v>49.97406703771243</v>
      </c>
      <c r="AS720">
        <v>246.16117446014414</v>
      </c>
      <c r="AT720">
        <v>25.142763772032197</v>
      </c>
      <c r="AU720">
        <v>16.633042462180263</v>
      </c>
      <c r="AV720"/>
      <c r="AW720"/>
      <c r="FY720" s="211">
        <v>715</v>
      </c>
      <c r="FZ720">
        <v>38.637630547579128</v>
      </c>
      <c r="GA720">
        <v>40.550923890099462</v>
      </c>
      <c r="GB720">
        <v>31.346459995148866</v>
      </c>
      <c r="GC720">
        <v>21.573108771591482</v>
      </c>
      <c r="GD720">
        <v>14.021795455515095</v>
      </c>
      <c r="GE720">
        <v>19.192635547728987</v>
      </c>
      <c r="GF720">
        <v>41.02266206958037</v>
      </c>
      <c r="GG720">
        <v>24.043106232777106</v>
      </c>
      <c r="GH720">
        <v>28.482037892356615</v>
      </c>
      <c r="GI720">
        <v>35.369791510182459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190.04501621020461</v>
      </c>
      <c r="AO721">
        <v>63.27627123011505</v>
      </c>
      <c r="AP721">
        <v>511.17405877868913</v>
      </c>
      <c r="AQ721">
        <v>403.71803755068754</v>
      </c>
      <c r="AR721">
        <v>61.572582131889227</v>
      </c>
      <c r="AS721">
        <v>288.19651556931319</v>
      </c>
      <c r="AT721">
        <v>30.929411684020341</v>
      </c>
      <c r="AU721">
        <v>-11.562795981661388</v>
      </c>
      <c r="AV721"/>
      <c r="AW721"/>
      <c r="FY721" s="211">
        <v>716</v>
      </c>
      <c r="FZ721">
        <v>16.95735031987023</v>
      </c>
      <c r="GA721">
        <v>48.016290244479386</v>
      </c>
      <c r="GB721">
        <v>61.029389323374474</v>
      </c>
      <c r="GC721">
        <v>32.259008074969152</v>
      </c>
      <c r="GD721">
        <v>20.138944832264521</v>
      </c>
      <c r="GE721">
        <v>36.178915167980044</v>
      </c>
      <c r="GF721">
        <v>19.060970620714592</v>
      </c>
      <c r="GG721">
        <v>8.7074482169046359</v>
      </c>
      <c r="GH721">
        <v>22.589931206775248</v>
      </c>
      <c r="GI721">
        <v>38.191622658640789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230.1792095758401</v>
      </c>
      <c r="AO722">
        <v>74.419897926388856</v>
      </c>
      <c r="AP722">
        <v>642.45873208513819</v>
      </c>
      <c r="AQ722">
        <v>513.33349216889212</v>
      </c>
      <c r="AR722">
        <v>72.425836270616074</v>
      </c>
      <c r="AS722">
        <v>355.45966478529465</v>
      </c>
      <c r="AT722">
        <v>38.187074301320969</v>
      </c>
      <c r="AU722">
        <v>24.841332330646566</v>
      </c>
      <c r="AV722"/>
      <c r="AW722"/>
      <c r="FY722" s="211">
        <v>717</v>
      </c>
      <c r="FZ722">
        <v>80.310525677628874</v>
      </c>
      <c r="GA722">
        <v>93.834832759214763</v>
      </c>
      <c r="GB722">
        <v>43.93733622396595</v>
      </c>
      <c r="GC722">
        <v>23.018616592925284</v>
      </c>
      <c r="GD722">
        <v>11.970069683025647</v>
      </c>
      <c r="GE722">
        <v>24.76071090446737</v>
      </c>
      <c r="GF722">
        <v>33.238986811885347</v>
      </c>
      <c r="GG722">
        <v>12.239400874885142</v>
      </c>
      <c r="GH722">
        <v>20.086354695977246</v>
      </c>
      <c r="GI722">
        <v>40.477292239800178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230.24892475268797</v>
      </c>
      <c r="AO723">
        <v>69.525165526861272</v>
      </c>
      <c r="AP723">
        <v>533.18716153899697</v>
      </c>
      <c r="AQ723">
        <v>431.5360257943687</v>
      </c>
      <c r="AR723">
        <v>67.57537474536602</v>
      </c>
      <c r="AS723">
        <v>325.58353532324935</v>
      </c>
      <c r="AT723">
        <v>32.220898245185836</v>
      </c>
      <c r="AU723">
        <v>1.5035397033207971</v>
      </c>
      <c r="AV723"/>
      <c r="AW723"/>
      <c r="FY723" s="211">
        <v>718</v>
      </c>
      <c r="FZ723">
        <v>15.754885129485144</v>
      </c>
      <c r="GA723">
        <v>45.803629113506922</v>
      </c>
      <c r="GB723">
        <v>44.677291413459891</v>
      </c>
      <c r="GC723">
        <v>28.194330913777129</v>
      </c>
      <c r="GD723">
        <v>15.558965622998578</v>
      </c>
      <c r="GE723">
        <v>16.83630043073299</v>
      </c>
      <c r="GF723">
        <v>52.508091921697073</v>
      </c>
      <c r="GG723">
        <v>48.906360021426828</v>
      </c>
      <c r="GH723">
        <v>20.519128691369644</v>
      </c>
      <c r="GI723">
        <v>37.517912271303182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210.56423600288318</v>
      </c>
      <c r="AO724">
        <v>61.938992889223485</v>
      </c>
      <c r="AP724">
        <v>504.70768052348672</v>
      </c>
      <c r="AQ724">
        <v>409.73875457202348</v>
      </c>
      <c r="AR724">
        <v>61.00928639534358</v>
      </c>
      <c r="AS724">
        <v>306.34356573666446</v>
      </c>
      <c r="AT724">
        <v>31.200972516233104</v>
      </c>
      <c r="AU724">
        <v>-10.300656728193843</v>
      </c>
      <c r="AV724"/>
      <c r="AW724"/>
      <c r="FY724" s="211">
        <v>719</v>
      </c>
      <c r="FZ724">
        <v>72.215742199955102</v>
      </c>
      <c r="GA724">
        <v>93.898074203121951</v>
      </c>
      <c r="GB724">
        <v>50.163246436136177</v>
      </c>
      <c r="GC724">
        <v>30.533673265614276</v>
      </c>
      <c r="GD724">
        <v>16.181897540546149</v>
      </c>
      <c r="GE724">
        <v>21.694965858462254</v>
      </c>
      <c r="GF724">
        <v>36.498731149886197</v>
      </c>
      <c r="GG724">
        <v>33.256338522218925</v>
      </c>
      <c r="GH724">
        <v>27.672709576850799</v>
      </c>
      <c r="GI724">
        <v>45.49009870641364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192.40023799619252</v>
      </c>
      <c r="AO725">
        <v>65.826584630321548</v>
      </c>
      <c r="AP725">
        <v>528.5311254643442</v>
      </c>
      <c r="AQ725">
        <v>416.63632678386818</v>
      </c>
      <c r="AR725">
        <v>64.153758988406565</v>
      </c>
      <c r="AS725">
        <v>286.61524006224954</v>
      </c>
      <c r="AT725">
        <v>33.673875566362625</v>
      </c>
      <c r="AU725">
        <v>27.236642726112485</v>
      </c>
      <c r="AV725"/>
      <c r="AW725"/>
      <c r="FY725" s="211">
        <v>720</v>
      </c>
      <c r="FZ725">
        <v>47.04772247298736</v>
      </c>
      <c r="GA725">
        <v>33.509837469095395</v>
      </c>
      <c r="GB725">
        <v>35.853230806366923</v>
      </c>
      <c r="GC725">
        <v>21.972275244126408</v>
      </c>
      <c r="GD725">
        <v>14.811560895814857</v>
      </c>
      <c r="GE725">
        <v>22.516001987359029</v>
      </c>
      <c r="GF725">
        <v>59.32086596277373</v>
      </c>
      <c r="GG725">
        <v>47.64111464911273</v>
      </c>
      <c r="GH725">
        <v>24.917081791766144</v>
      </c>
      <c r="GI725">
        <v>41.399156010024399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228.277251719578</v>
      </c>
      <c r="AO726">
        <v>86.843458450304638</v>
      </c>
      <c r="AP726">
        <v>781.32728182864639</v>
      </c>
      <c r="AQ726">
        <v>618.74379872445911</v>
      </c>
      <c r="AR726">
        <v>83.12168448076082</v>
      </c>
      <c r="AS726">
        <v>389.28571737165049</v>
      </c>
      <c r="AT726">
        <v>46.754076411699181</v>
      </c>
      <c r="AU726">
        <v>65.315505472212962</v>
      </c>
      <c r="AV726"/>
      <c r="AW726"/>
      <c r="FY726" s="211">
        <v>721</v>
      </c>
      <c r="FZ726">
        <v>69.250494825761564</v>
      </c>
      <c r="GA726">
        <v>82.413842175591668</v>
      </c>
      <c r="GB726">
        <v>40.458619942847719</v>
      </c>
      <c r="GC726">
        <v>22.884432777623648</v>
      </c>
      <c r="GD726">
        <v>17.258357319160805</v>
      </c>
      <c r="GE726">
        <v>30.12343609318388</v>
      </c>
      <c r="GF726">
        <v>60.017217747030237</v>
      </c>
      <c r="GG726">
        <v>47.089916611950969</v>
      </c>
      <c r="GH726">
        <v>21.513843125612365</v>
      </c>
      <c r="GI726">
        <v>46.890237660591033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289.27696832071234</v>
      </c>
      <c r="AO727">
        <v>94.714933902710328</v>
      </c>
      <c r="AP727">
        <v>840.03057613634041</v>
      </c>
      <c r="AQ727">
        <v>664.38149761469697</v>
      </c>
      <c r="AR727">
        <v>90.114639951984074</v>
      </c>
      <c r="AS727">
        <v>445.69026672186897</v>
      </c>
      <c r="AT727">
        <v>47.563372102452242</v>
      </c>
      <c r="AU727">
        <v>62.569263662746891</v>
      </c>
      <c r="AV727"/>
      <c r="AW727"/>
      <c r="FY727" s="211">
        <v>722</v>
      </c>
      <c r="FZ727">
        <v>123.28476714373019</v>
      </c>
      <c r="GA727">
        <v>141.86597896795254</v>
      </c>
      <c r="GB727">
        <v>60.983668885593957</v>
      </c>
      <c r="GC727">
        <v>34.263122454271262</v>
      </c>
      <c r="GD727">
        <v>13.621115021705656</v>
      </c>
      <c r="GE727">
        <v>16.887675273467369</v>
      </c>
      <c r="GF727">
        <v>42.327211655674667</v>
      </c>
      <c r="GG727">
        <v>34.474497007231051</v>
      </c>
      <c r="GH727">
        <v>24.695546873141097</v>
      </c>
      <c r="GI727">
        <v>54.763479470656883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202.95900615540711</v>
      </c>
      <c r="AO728">
        <v>54.734476910968098</v>
      </c>
      <c r="AP728">
        <v>449.58886786072492</v>
      </c>
      <c r="AQ728">
        <v>366.86129349762427</v>
      </c>
      <c r="AR728">
        <v>54.394725169531235</v>
      </c>
      <c r="AS728">
        <v>279.25248450309522</v>
      </c>
      <c r="AT728">
        <v>26.897545379050811</v>
      </c>
      <c r="AU728">
        <v>-20.216458122401008</v>
      </c>
      <c r="AV728"/>
      <c r="AW728"/>
      <c r="FY728" s="211">
        <v>723</v>
      </c>
      <c r="FZ728">
        <v>161.50719347781609</v>
      </c>
      <c r="GA728">
        <v>182.92876147063302</v>
      </c>
      <c r="GB728">
        <v>49.057871401039378</v>
      </c>
      <c r="GC728">
        <v>24.411516815194112</v>
      </c>
      <c r="GD728">
        <v>12.389364689327007</v>
      </c>
      <c r="GE728">
        <v>25.21752647395861</v>
      </c>
      <c r="GF728">
        <v>39.365613320976692</v>
      </c>
      <c r="GG728">
        <v>30.07741600722801</v>
      </c>
      <c r="GH728">
        <v>25.54357162384704</v>
      </c>
      <c r="GI728">
        <v>55.998346812653274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252.85893353554212</v>
      </c>
      <c r="AO729">
        <v>82.58040587259157</v>
      </c>
      <c r="AP729">
        <v>687.91937156659833</v>
      </c>
      <c r="AQ729">
        <v>524.06775031609266</v>
      </c>
      <c r="AR729">
        <v>80.241349285899275</v>
      </c>
      <c r="AS729">
        <v>391.56539616962874</v>
      </c>
      <c r="AT729">
        <v>39.104462060267174</v>
      </c>
      <c r="AU729">
        <v>56.304126376347192</v>
      </c>
      <c r="AV729"/>
      <c r="AW729"/>
      <c r="FY729" s="211">
        <v>724</v>
      </c>
      <c r="FZ729">
        <v>74.115575310218205</v>
      </c>
      <c r="GA729">
        <v>90.168412093665836</v>
      </c>
      <c r="GB729">
        <v>47.572317856480609</v>
      </c>
      <c r="GC729">
        <v>25.921071394705269</v>
      </c>
      <c r="GD729">
        <v>15.02791520559431</v>
      </c>
      <c r="GE729">
        <v>23.431670757242912</v>
      </c>
      <c r="GF729">
        <v>36.753895380194464</v>
      </c>
      <c r="GG729">
        <v>29.16485718809264</v>
      </c>
      <c r="GH729">
        <v>30.592686812748425</v>
      </c>
      <c r="GI729">
        <v>45.129061575484045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221.94917472273454</v>
      </c>
      <c r="AO730">
        <v>66.74145093435132</v>
      </c>
      <c r="AP730">
        <v>512.07728899340566</v>
      </c>
      <c r="AQ730">
        <v>413.82494712900638</v>
      </c>
      <c r="AR730">
        <v>64.988916569865324</v>
      </c>
      <c r="AS730">
        <v>331.64719322701836</v>
      </c>
      <c r="AT730">
        <v>32.634876520346232</v>
      </c>
      <c r="AU730">
        <v>-24.837758225433426</v>
      </c>
      <c r="AV730"/>
      <c r="AW730"/>
      <c r="FY730" s="211">
        <v>725</v>
      </c>
      <c r="FZ730">
        <v>55.681193000235595</v>
      </c>
      <c r="GA730">
        <v>91.419785510216485</v>
      </c>
      <c r="GB730">
        <v>51.738895908935376</v>
      </c>
      <c r="GC730">
        <v>29.738929559639388</v>
      </c>
      <c r="GD730">
        <v>17.384365505615037</v>
      </c>
      <c r="GE730">
        <v>28.331944358039898</v>
      </c>
      <c r="GF730">
        <v>40.254646216182486</v>
      </c>
      <c r="GG730">
        <v>26.147032093842352</v>
      </c>
      <c r="GH730">
        <v>14.689307265444663</v>
      </c>
      <c r="GI730">
        <v>42.801938162840962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176.56830882575397</v>
      </c>
      <c r="AO731">
        <v>49.42096407171308</v>
      </c>
      <c r="AP731">
        <v>372.62122623899938</v>
      </c>
      <c r="AQ731">
        <v>294.24015191255961</v>
      </c>
      <c r="AR731">
        <v>50.274366364379375</v>
      </c>
      <c r="AS731">
        <v>260.80888329493018</v>
      </c>
      <c r="AT731">
        <v>24.146247684146829</v>
      </c>
      <c r="AU731">
        <v>3.1766256088108946</v>
      </c>
      <c r="AV731"/>
      <c r="AW731"/>
      <c r="FY731" s="211">
        <v>726</v>
      </c>
      <c r="FZ731">
        <v>68.086458519060329</v>
      </c>
      <c r="GA731">
        <v>86.001750227420843</v>
      </c>
      <c r="GB731">
        <v>33.46055892428695</v>
      </c>
      <c r="GC731">
        <v>18.433382138707167</v>
      </c>
      <c r="GD731">
        <v>16.034217476889264</v>
      </c>
      <c r="GE731">
        <v>34.558569071391631</v>
      </c>
      <c r="GF731">
        <v>29.856658685966512</v>
      </c>
      <c r="GG731">
        <v>9.8779342000432013</v>
      </c>
      <c r="GH731">
        <v>22.448291812529213</v>
      </c>
      <c r="GI731">
        <v>38.309215854297442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206.83108663605586</v>
      </c>
      <c r="AO732">
        <v>57.456173771897497</v>
      </c>
      <c r="AP732">
        <v>377.45605984182606</v>
      </c>
      <c r="AQ732">
        <v>303.12987066597304</v>
      </c>
      <c r="AR732">
        <v>54.38387598036455</v>
      </c>
      <c r="AS732">
        <v>274.76054775979065</v>
      </c>
      <c r="AT732" t="e">
        <v>#DIV/0!</v>
      </c>
      <c r="AU732" t="e">
        <v>#DIV/0!</v>
      </c>
      <c r="AV732"/>
      <c r="AW732"/>
      <c r="FY732" s="211">
        <v>727</v>
      </c>
      <c r="FZ732">
        <v>81.761940520456619</v>
      </c>
      <c r="GA732">
        <v>88.108219359896879</v>
      </c>
      <c r="GB732">
        <v>51.593901280463164</v>
      </c>
      <c r="GC732">
        <v>29.905386407283</v>
      </c>
      <c r="GD732">
        <v>16.277623070493906</v>
      </c>
      <c r="GE732">
        <v>25.542186870722453</v>
      </c>
      <c r="GF732">
        <v>25.535337615975443</v>
      </c>
      <c r="GG732">
        <v>18.648536854071669</v>
      </c>
      <c r="GH732">
        <v>28.9417827817743</v>
      </c>
      <c r="GI732">
        <v>45.294581595615306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161.74434062553505</v>
      </c>
      <c r="AO733">
        <v>58.744972476031876</v>
      </c>
      <c r="AP733">
        <v>482.67027872925229</v>
      </c>
      <c r="AQ733">
        <v>383.87412646377584</v>
      </c>
      <c r="AR733">
        <v>57.687943458497109</v>
      </c>
      <c r="AS733">
        <v>259.89515921497019</v>
      </c>
      <c r="AT733">
        <v>29.991153908881248</v>
      </c>
      <c r="AU733">
        <v>-6.8514137408108056</v>
      </c>
      <c r="AV733"/>
      <c r="AW733"/>
      <c r="FY733" s="211">
        <v>728</v>
      </c>
      <c r="FZ733">
        <v>20.694461479449789</v>
      </c>
      <c r="GA733">
        <v>36.614596345051432</v>
      </c>
      <c r="GB733">
        <v>45.294394744659343</v>
      </c>
      <c r="GC733">
        <v>29.789280826986481</v>
      </c>
      <c r="GD733">
        <v>17.330130023836592</v>
      </c>
      <c r="GE733">
        <v>21.644305912637748</v>
      </c>
      <c r="GF733">
        <v>35.415232985741739</v>
      </c>
      <c r="GG733">
        <v>24.181854478530251</v>
      </c>
      <c r="GH733">
        <v>15.125813113404188</v>
      </c>
      <c r="GI733">
        <v>35.06931899373965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203.24580402641504</v>
      </c>
      <c r="AO734">
        <v>57.781201989581838</v>
      </c>
      <c r="AP734">
        <v>432.29016610334412</v>
      </c>
      <c r="AQ734">
        <v>326.27689552975744</v>
      </c>
      <c r="AR734">
        <v>54.338683658218777</v>
      </c>
      <c r="AS734">
        <v>298.69494765984422</v>
      </c>
      <c r="AT734">
        <v>23.946307718434458</v>
      </c>
      <c r="AU734">
        <v>77.667591325099636</v>
      </c>
      <c r="AV734"/>
      <c r="AW734"/>
      <c r="FY734" s="211">
        <v>729</v>
      </c>
      <c r="FZ734">
        <v>59.04615628961345</v>
      </c>
      <c r="GA734">
        <v>87.361463891547331</v>
      </c>
      <c r="GB734">
        <v>50.766187847258735</v>
      </c>
      <c r="GC734">
        <v>33.374684887189375</v>
      </c>
      <c r="GD734">
        <v>21.532312821925007</v>
      </c>
      <c r="GE734">
        <v>30.132508555736731</v>
      </c>
      <c r="GF734">
        <v>51.835094706193551</v>
      </c>
      <c r="GG734">
        <v>38.336654059172062</v>
      </c>
      <c r="GH734">
        <v>23.655825260555883</v>
      </c>
      <c r="GI734">
        <v>49.422372418890959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218.70227631300668</v>
      </c>
      <c r="AO735">
        <v>68.783708399452436</v>
      </c>
      <c r="AP735">
        <v>546.17384750925805</v>
      </c>
      <c r="AQ735">
        <v>427.60547745920553</v>
      </c>
      <c r="AR735">
        <v>65.985576538278409</v>
      </c>
      <c r="AS735">
        <v>313.04175568225787</v>
      </c>
      <c r="AT735">
        <v>33.406442010466904</v>
      </c>
      <c r="AU735">
        <v>293.10299370927237</v>
      </c>
      <c r="AV735"/>
      <c r="AW735"/>
      <c r="FY735" s="211">
        <v>730</v>
      </c>
      <c r="FZ735">
        <v>18.506609116139973</v>
      </c>
      <c r="GA735">
        <v>33.069129032526476</v>
      </c>
      <c r="GB735">
        <v>39.684081446125134</v>
      </c>
      <c r="GC735">
        <v>22.352835258838262</v>
      </c>
      <c r="GD735">
        <v>13.622077860506268</v>
      </c>
      <c r="GE735">
        <v>23.38879546056144</v>
      </c>
      <c r="GF735">
        <v>59.387663259178154</v>
      </c>
      <c r="GG735">
        <v>55.726708269022545</v>
      </c>
      <c r="GH735">
        <v>26.553129078560815</v>
      </c>
      <c r="GI735">
        <v>37.836710817168715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218.64581417147573</v>
      </c>
      <c r="AO736">
        <v>58.672647320259401</v>
      </c>
      <c r="AP736">
        <v>450.46061017863104</v>
      </c>
      <c r="AQ736">
        <v>348.98884728942693</v>
      </c>
      <c r="AR736">
        <v>59.725554007896548</v>
      </c>
      <c r="AS736">
        <v>285.95259859603613</v>
      </c>
      <c r="AT736">
        <v>28.295761065624987</v>
      </c>
      <c r="AU736">
        <v>19.036946142744959</v>
      </c>
      <c r="AV736"/>
      <c r="AW736"/>
      <c r="FY736" s="211">
        <v>731</v>
      </c>
      <c r="FZ736">
        <v>54.579868533267152</v>
      </c>
      <c r="GA736">
        <v>54.999411409626866</v>
      </c>
      <c r="GB736">
        <v>46.195914776881281</v>
      </c>
      <c r="GC736">
        <v>23.099971947900631</v>
      </c>
      <c r="GD736">
        <v>20.028727356737321</v>
      </c>
      <c r="GE736">
        <v>38.049856817096639</v>
      </c>
      <c r="GF736">
        <v>36.191573278080284</v>
      </c>
      <c r="GG736">
        <v>32.765590987291688</v>
      </c>
      <c r="GH736">
        <v>28.250567946172481</v>
      </c>
      <c r="GI736">
        <v>44.483598421010882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236.43147566695808</v>
      </c>
      <c r="AO737">
        <v>69.726206924260481</v>
      </c>
      <c r="AP737">
        <v>553.07051278712004</v>
      </c>
      <c r="AQ737">
        <v>437.90039827935391</v>
      </c>
      <c r="AR737">
        <v>67.646300431417444</v>
      </c>
      <c r="AS737">
        <v>337.64637761211128</v>
      </c>
      <c r="AT737">
        <v>32.475166359024485</v>
      </c>
      <c r="AU737">
        <v>-14.524874171749804</v>
      </c>
      <c r="AV737"/>
      <c r="AW737"/>
      <c r="FY737" s="211">
        <v>732</v>
      </c>
      <c r="FZ737">
        <v>96.661025708185093</v>
      </c>
      <c r="GA737">
        <v>86.006172873540848</v>
      </c>
      <c r="GB737">
        <v>45.660976075446897</v>
      </c>
      <c r="GC737">
        <v>24.936530571286589</v>
      </c>
      <c r="GD737">
        <v>12.772869173127594</v>
      </c>
      <c r="GE737">
        <v>19.945522877370617</v>
      </c>
      <c r="GF737">
        <v>52.749737543097744</v>
      </c>
      <c r="GG737">
        <v>39.123464310486547</v>
      </c>
      <c r="GH737">
        <v>10.608972841798387</v>
      </c>
      <c r="GI737">
        <v>46.162581635626964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252.38366462625567</v>
      </c>
      <c r="AO738">
        <v>81.16705743410256</v>
      </c>
      <c r="AP738">
        <v>699.12685725775884</v>
      </c>
      <c r="AQ738">
        <v>547.1670627534246</v>
      </c>
      <c r="AR738">
        <v>79.315247160858036</v>
      </c>
      <c r="AS738">
        <v>366.99508356128416</v>
      </c>
      <c r="AT738">
        <v>40.456085448218353</v>
      </c>
      <c r="AU738">
        <v>8.0468597642874684</v>
      </c>
      <c r="AV738"/>
      <c r="AW738"/>
      <c r="FY738" s="211">
        <v>733</v>
      </c>
      <c r="FZ738">
        <v>73.303902849566612</v>
      </c>
      <c r="GA738">
        <v>81.955989536250897</v>
      </c>
      <c r="GB738">
        <v>50.767608892470967</v>
      </c>
      <c r="GC738">
        <v>29.020327925300336</v>
      </c>
      <c r="GD738">
        <v>11.693510450285281</v>
      </c>
      <c r="GE738">
        <v>18.528570566406422</v>
      </c>
      <c r="GF738">
        <v>28.973637877359991</v>
      </c>
      <c r="GG738">
        <v>29.06902631640709</v>
      </c>
      <c r="GH738">
        <v>32.735230845371049</v>
      </c>
      <c r="GI738">
        <v>42.306391016120195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240.44048027071113</v>
      </c>
      <c r="AO739">
        <v>83.986263402510545</v>
      </c>
      <c r="AP739">
        <v>761.2345529972622</v>
      </c>
      <c r="AQ739">
        <v>606.49718209267326</v>
      </c>
      <c r="AR739">
        <v>81.290444740966365</v>
      </c>
      <c r="AS739">
        <v>372.99768672745864</v>
      </c>
      <c r="AT739">
        <v>43.17914573237038</v>
      </c>
      <c r="AU739">
        <v>-2.366623198859557</v>
      </c>
      <c r="AV739"/>
      <c r="AW739"/>
      <c r="FY739" s="211">
        <v>734</v>
      </c>
      <c r="FZ739">
        <v>51.937927178101653</v>
      </c>
      <c r="GA739">
        <v>88.065025713698546</v>
      </c>
      <c r="GB739">
        <v>45.326946150423531</v>
      </c>
      <c r="GC739">
        <v>26.8027997272197</v>
      </c>
      <c r="GD739">
        <v>18.303702167817985</v>
      </c>
      <c r="GE739">
        <v>26.722788758665594</v>
      </c>
      <c r="GF739">
        <v>42.177572461073204</v>
      </c>
      <c r="GG739">
        <v>28.449492631141474</v>
      </c>
      <c r="GH739">
        <v>32.59249677121116</v>
      </c>
      <c r="GI739">
        <v>44.374904654463016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167.09394799665344</v>
      </c>
      <c r="AO740">
        <v>66.498441775824887</v>
      </c>
      <c r="AP740">
        <v>535.26698449696516</v>
      </c>
      <c r="AQ740">
        <v>417.87746357442671</v>
      </c>
      <c r="AR740">
        <v>65.353154829607959</v>
      </c>
      <c r="AS740">
        <v>299.38369851115328</v>
      </c>
      <c r="AT740">
        <v>33.003357740198787</v>
      </c>
      <c r="AU740">
        <v>-2.4237841418118578</v>
      </c>
      <c r="AV740"/>
      <c r="AW740"/>
      <c r="FY740" s="211">
        <v>735</v>
      </c>
      <c r="FZ740">
        <v>62.784874797382145</v>
      </c>
      <c r="GA740">
        <v>93.676901480167018</v>
      </c>
      <c r="GB740">
        <v>58.289770121835275</v>
      </c>
      <c r="GC740">
        <v>34.478379217861104</v>
      </c>
      <c r="GD740">
        <v>15.163242342986408</v>
      </c>
      <c r="GE740">
        <v>14.976779085626511</v>
      </c>
      <c r="GF740">
        <v>43.657587909789157</v>
      </c>
      <c r="GG740">
        <v>42.563162073448943</v>
      </c>
      <c r="GH740">
        <v>32.168201734288616</v>
      </c>
      <c r="GI740">
        <v>47.684370813105929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215.95551905940937</v>
      </c>
      <c r="AO741">
        <v>65.633634166365496</v>
      </c>
      <c r="AP741">
        <v>500.83940189110257</v>
      </c>
      <c r="AQ741">
        <v>398.18803758099222</v>
      </c>
      <c r="AR741">
        <v>61.371549295021595</v>
      </c>
      <c r="AS741">
        <v>309.19538524226169</v>
      </c>
      <c r="AT741">
        <v>29.331123160581441</v>
      </c>
      <c r="AU741">
        <v>-23.377343231041124</v>
      </c>
      <c r="AV741"/>
      <c r="AW741"/>
      <c r="FY741" s="211">
        <v>736</v>
      </c>
      <c r="FZ741">
        <v>29.346016368287703</v>
      </c>
      <c r="GA741">
        <v>44.172332103620235</v>
      </c>
      <c r="GB741">
        <v>34.87720758214725</v>
      </c>
      <c r="GC741">
        <v>19.240922241707469</v>
      </c>
      <c r="GD741">
        <v>11.203994829326364</v>
      </c>
      <c r="GE741">
        <v>16.946384048987156</v>
      </c>
      <c r="GF741">
        <v>38.020727930261145</v>
      </c>
      <c r="GG741">
        <v>26.09259676093108</v>
      </c>
      <c r="GH741">
        <v>27.708975216553448</v>
      </c>
      <c r="GI741">
        <v>32.21919924035479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168.68467538116224</v>
      </c>
      <c r="AO742">
        <v>56.458631771238387</v>
      </c>
      <c r="AP742">
        <v>433.16276346015826</v>
      </c>
      <c r="AQ742">
        <v>357.06703691059261</v>
      </c>
      <c r="AR742">
        <v>54.596093746442186</v>
      </c>
      <c r="AS742">
        <v>260.64892464623205</v>
      </c>
      <c r="AT742">
        <v>26.896672539282161</v>
      </c>
      <c r="AU742">
        <v>-23.950042085632731</v>
      </c>
      <c r="AV742"/>
      <c r="AW742"/>
      <c r="FY742" s="211">
        <v>737</v>
      </c>
      <c r="FZ742">
        <v>29.79359182835405</v>
      </c>
      <c r="GA742">
        <v>35.991371643897558</v>
      </c>
      <c r="GB742">
        <v>59.376700435131895</v>
      </c>
      <c r="GC742">
        <v>35.636417242497686</v>
      </c>
      <c r="GD742">
        <v>18.569454404447402</v>
      </c>
      <c r="GE742">
        <v>31.460901708533598</v>
      </c>
      <c r="GF742">
        <v>70.174960290239056</v>
      </c>
      <c r="GG742">
        <v>46.016559434325572</v>
      </c>
      <c r="GH742">
        <v>19.562639514826813</v>
      </c>
      <c r="GI742">
        <v>48.592000178991064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198.06253480972958</v>
      </c>
      <c r="AO743">
        <v>65.919481568331477</v>
      </c>
      <c r="AP743">
        <v>512.6383007462706</v>
      </c>
      <c r="AQ743">
        <v>411.60949635675269</v>
      </c>
      <c r="AR743">
        <v>65.189769153735696</v>
      </c>
      <c r="AS743">
        <v>317.47249818758331</v>
      </c>
      <c r="AT743">
        <v>32.566068162417871</v>
      </c>
      <c r="AU743">
        <v>-2.2719379101897701</v>
      </c>
      <c r="AV743"/>
      <c r="AW743"/>
      <c r="FY743" s="211">
        <v>738</v>
      </c>
      <c r="FZ743">
        <v>84.445291194329542</v>
      </c>
      <c r="GA743">
        <v>91.95177136697302</v>
      </c>
      <c r="GB743">
        <v>51.10352586364543</v>
      </c>
      <c r="GC743">
        <v>27.739928714123337</v>
      </c>
      <c r="GD743">
        <v>12.307067905715369</v>
      </c>
      <c r="GE743">
        <v>23.046384870517628</v>
      </c>
      <c r="GF743">
        <v>43.664468590862747</v>
      </c>
      <c r="GG743">
        <v>29.867618701841312</v>
      </c>
      <c r="GH743">
        <v>18.770963146596099</v>
      </c>
      <c r="GI743">
        <v>44.934071411859819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191.05229708181767</v>
      </c>
      <c r="AO744">
        <v>52.241421149879919</v>
      </c>
      <c r="AP744">
        <v>356.62730456693424</v>
      </c>
      <c r="AQ744">
        <v>281.1593889040372</v>
      </c>
      <c r="AR744">
        <v>50.184894478159514</v>
      </c>
      <c r="AS744">
        <v>244.30681829493716</v>
      </c>
      <c r="AT744">
        <v>21.718448155578695</v>
      </c>
      <c r="AU744">
        <v>-9.5302713364692124</v>
      </c>
      <c r="AV744"/>
      <c r="AW744"/>
      <c r="FY744" s="211">
        <v>739</v>
      </c>
      <c r="FZ744">
        <v>82.301382331907661</v>
      </c>
      <c r="GA744">
        <v>94.96380015517947</v>
      </c>
      <c r="GB744">
        <v>35.749425722633084</v>
      </c>
      <c r="GC744">
        <v>20.452718482371697</v>
      </c>
      <c r="GD744">
        <v>13.579984508515697</v>
      </c>
      <c r="GE744">
        <v>21.191949192831263</v>
      </c>
      <c r="GF744">
        <v>53.92879312134032</v>
      </c>
      <c r="GG744">
        <v>45.538724920693731</v>
      </c>
      <c r="GH744">
        <v>22.43522024737247</v>
      </c>
      <c r="GI744">
        <v>44.007375384075779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254.14196470913171</v>
      </c>
      <c r="AO745">
        <v>74.793250704767303</v>
      </c>
      <c r="AP745">
        <v>559.01391398600538</v>
      </c>
      <c r="AQ745">
        <v>445.46326073808314</v>
      </c>
      <c r="AR745">
        <v>71.211011692827157</v>
      </c>
      <c r="AS745">
        <v>374.23049968787814</v>
      </c>
      <c r="AT745">
        <v>32.472726710456314</v>
      </c>
      <c r="AU745">
        <v>-9.0936013404500535</v>
      </c>
      <c r="AV745"/>
      <c r="AW745"/>
      <c r="FY745" s="211">
        <v>740</v>
      </c>
      <c r="FZ745">
        <v>81.164203215645088</v>
      </c>
      <c r="GA745">
        <v>91.636579909853154</v>
      </c>
      <c r="GB745">
        <v>50.577516678164606</v>
      </c>
      <c r="GC745">
        <v>29.623982171108388</v>
      </c>
      <c r="GD745">
        <v>15.432120533140893</v>
      </c>
      <c r="GE745">
        <v>18.102137125592638</v>
      </c>
      <c r="GF745">
        <v>38.521750681220354</v>
      </c>
      <c r="GG745">
        <v>32.566872979775141</v>
      </c>
      <c r="GH745">
        <v>22.183787156672619</v>
      </c>
      <c r="GI745">
        <v>45.864867201238738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215.12647491340539</v>
      </c>
      <c r="AO746">
        <v>57.527295853155522</v>
      </c>
      <c r="AP746">
        <v>442.16612518503251</v>
      </c>
      <c r="AQ746">
        <v>330.12773959862773</v>
      </c>
      <c r="AR746">
        <v>54.688394096280362</v>
      </c>
      <c r="AS746">
        <v>272.07942195687974</v>
      </c>
      <c r="AT746">
        <v>25.813400439663301</v>
      </c>
      <c r="AU746">
        <v>69.970108325483835</v>
      </c>
      <c r="AV746"/>
      <c r="AW746"/>
      <c r="FY746" s="211">
        <v>741</v>
      </c>
      <c r="FZ746">
        <v>81.915900946668842</v>
      </c>
      <c r="GA746">
        <v>90.314658884530616</v>
      </c>
      <c r="GB746">
        <v>67.055967793072426</v>
      </c>
      <c r="GC746">
        <v>38.229245564091514</v>
      </c>
      <c r="GD746">
        <v>19.071581425930169</v>
      </c>
      <c r="GE746">
        <v>23.790342079941926</v>
      </c>
      <c r="GF746">
        <v>33.395699086145271</v>
      </c>
      <c r="GG746">
        <v>30.048283241495266</v>
      </c>
      <c r="GH746">
        <v>14.029407261422655</v>
      </c>
      <c r="GI746">
        <v>50.249896379302726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218.76167716847539</v>
      </c>
      <c r="AO747">
        <v>65.120316819695162</v>
      </c>
      <c r="AP747">
        <v>471.72484144129197</v>
      </c>
      <c r="AQ747">
        <v>378.64508147406531</v>
      </c>
      <c r="AR747">
        <v>64.145690464027922</v>
      </c>
      <c r="AS747">
        <v>302.2978788202692</v>
      </c>
      <c r="AT747">
        <v>30.063202279196631</v>
      </c>
      <c r="AU747">
        <v>127.38146250875454</v>
      </c>
      <c r="AV747"/>
      <c r="AW747"/>
      <c r="FY747" s="211">
        <v>742</v>
      </c>
      <c r="FZ747">
        <v>122.66164015084871</v>
      </c>
      <c r="GA747">
        <v>136.47924713735841</v>
      </c>
      <c r="GB747">
        <v>43.026826415394581</v>
      </c>
      <c r="GC747">
        <v>20.402877016343869</v>
      </c>
      <c r="GD747">
        <v>13.866811336291248</v>
      </c>
      <c r="GE747">
        <v>23.492858825834901</v>
      </c>
      <c r="GF747">
        <v>41.943020016576845</v>
      </c>
      <c r="GG747">
        <v>37.171101338087333</v>
      </c>
      <c r="GH747">
        <v>22.46161852992865</v>
      </c>
      <c r="GI747">
        <v>49.862294135705739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211.95904376829944</v>
      </c>
      <c r="AO748">
        <v>66.603241276179034</v>
      </c>
      <c r="AP748">
        <v>554.20026513256437</v>
      </c>
      <c r="AQ748">
        <v>434.6278536099673</v>
      </c>
      <c r="AR748">
        <v>66.680902658002793</v>
      </c>
      <c r="AS748">
        <v>328.13498558205606</v>
      </c>
      <c r="AT748">
        <v>33.207291695603516</v>
      </c>
      <c r="AU748">
        <v>23.926339697091485</v>
      </c>
      <c r="AV748"/>
      <c r="AW748"/>
      <c r="FY748" s="211">
        <v>743</v>
      </c>
      <c r="FZ748">
        <v>40.900791893283099</v>
      </c>
      <c r="GA748">
        <v>60.098167089281652</v>
      </c>
      <c r="GB748">
        <v>42.617458273726953</v>
      </c>
      <c r="GC748">
        <v>20.37426234658161</v>
      </c>
      <c r="GD748">
        <v>10.988512164467355</v>
      </c>
      <c r="GE748">
        <v>14.973862006620697</v>
      </c>
      <c r="GF748">
        <v>44.994493858648006</v>
      </c>
      <c r="GG748">
        <v>39.058964650455309</v>
      </c>
      <c r="GH748">
        <v>19.285800338680943</v>
      </c>
      <c r="GI748">
        <v>35.949621856930086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192.25832468899316</v>
      </c>
      <c r="AO749">
        <v>63.016196977357914</v>
      </c>
      <c r="AP749">
        <v>513.4060151310855</v>
      </c>
      <c r="AQ749">
        <v>398.35419627553887</v>
      </c>
      <c r="AR749">
        <v>61.334322902890349</v>
      </c>
      <c r="AS749">
        <v>280.55533950894358</v>
      </c>
      <c r="AT749">
        <v>31.721107918747084</v>
      </c>
      <c r="AU749">
        <v>18.91359222119528</v>
      </c>
      <c r="AV749"/>
      <c r="AW749"/>
      <c r="FY749" s="211">
        <v>744</v>
      </c>
      <c r="FZ749">
        <v>77.649731517814104</v>
      </c>
      <c r="GA749">
        <v>89.169191503528978</v>
      </c>
      <c r="GB749">
        <v>27.587313459516892</v>
      </c>
      <c r="GC749">
        <v>13.666724240258404</v>
      </c>
      <c r="GD749">
        <v>13.743541773875112</v>
      </c>
      <c r="GE749">
        <v>26.935367225530953</v>
      </c>
      <c r="GF749">
        <v>41.56345630075112</v>
      </c>
      <c r="GG749">
        <v>35.796724085125774</v>
      </c>
      <c r="GH749">
        <v>30.576138428946692</v>
      </c>
      <c r="GI749">
        <v>40.367247944566479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230.08274196411639</v>
      </c>
      <c r="AO750">
        <v>65.53026111879764</v>
      </c>
      <c r="AP750">
        <v>509.38696194065886</v>
      </c>
      <c r="AQ750">
        <v>404.75365621381587</v>
      </c>
      <c r="AR750">
        <v>63.600100591997432</v>
      </c>
      <c r="AS750">
        <v>319.1191192692807</v>
      </c>
      <c r="AT750">
        <v>32.068646018913753</v>
      </c>
      <c r="AU750">
        <v>-62.887575136874581</v>
      </c>
      <c r="AV750"/>
      <c r="AW750"/>
      <c r="FY750" s="211">
        <v>745</v>
      </c>
      <c r="FZ750">
        <v>43.899595681046868</v>
      </c>
      <c r="GA750">
        <v>54.584739468914158</v>
      </c>
      <c r="GB750">
        <v>39.772620196656888</v>
      </c>
      <c r="GC750">
        <v>21.613604183000291</v>
      </c>
      <c r="GD750">
        <v>15.530569560028944</v>
      </c>
      <c r="GE750">
        <v>28.330705470905695</v>
      </c>
      <c r="GF750">
        <v>34.811022574246046</v>
      </c>
      <c r="GG750">
        <v>26.057275653705091</v>
      </c>
      <c r="GH750">
        <v>21.705567305479555</v>
      </c>
      <c r="GI750">
        <v>36.883237933366281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202.06892500134467</v>
      </c>
      <c r="AO751">
        <v>71.687522881112812</v>
      </c>
      <c r="AP751">
        <v>581.39559309023446</v>
      </c>
      <c r="AQ751">
        <v>445.44326957649116</v>
      </c>
      <c r="AR751">
        <v>69.245805880689559</v>
      </c>
      <c r="AS751">
        <v>314.25309912054007</v>
      </c>
      <c r="AT751">
        <v>34.122915103376293</v>
      </c>
      <c r="AU751">
        <v>-21.565461278120718</v>
      </c>
      <c r="AV751"/>
      <c r="AW751"/>
      <c r="FY751" s="211">
        <v>746</v>
      </c>
      <c r="FZ751">
        <v>76.542412357349903</v>
      </c>
      <c r="GA751">
        <v>97.425360537665313</v>
      </c>
      <c r="GB751">
        <v>62.590868810047084</v>
      </c>
      <c r="GC751">
        <v>30.6059988713872</v>
      </c>
      <c r="GD751">
        <v>11.487631571342428</v>
      </c>
      <c r="GE751">
        <v>17.657387498724081</v>
      </c>
      <c r="GF751">
        <v>14.259960092067463</v>
      </c>
      <c r="GG751">
        <v>11.984664928010659</v>
      </c>
      <c r="GH751">
        <v>21.985635506909418</v>
      </c>
      <c r="GI751">
        <v>41.132080691485406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185.96976189570472</v>
      </c>
      <c r="AO752">
        <v>45.96076972607213</v>
      </c>
      <c r="AP752">
        <v>362.3052863530724</v>
      </c>
      <c r="AQ752">
        <v>279.82835632217672</v>
      </c>
      <c r="AR752">
        <v>45.785638282506888</v>
      </c>
      <c r="AS752">
        <v>239.25551961975845</v>
      </c>
      <c r="AT752">
        <v>22.143072344914334</v>
      </c>
      <c r="AU752">
        <v>-11.93656901960177</v>
      </c>
      <c r="AV752"/>
      <c r="AW752"/>
      <c r="FY752" s="211">
        <v>747</v>
      </c>
      <c r="FZ752">
        <v>41.095721483626846</v>
      </c>
      <c r="GA752">
        <v>55.141757361248537</v>
      </c>
      <c r="GB752">
        <v>42.838185656218094</v>
      </c>
      <c r="GC752">
        <v>21.88364371170475</v>
      </c>
      <c r="GD752">
        <v>13.290066476958568</v>
      </c>
      <c r="GE752">
        <v>25.288781512205535</v>
      </c>
      <c r="GF752">
        <v>53.880271632702801</v>
      </c>
      <c r="GG752">
        <v>40.415231355425014</v>
      </c>
      <c r="GH752">
        <v>24.668413512642218</v>
      </c>
      <c r="GI752">
        <v>40.071019498274715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248.66251564253085</v>
      </c>
      <c r="AO753">
        <v>71.853385667796445</v>
      </c>
      <c r="AP753">
        <v>519.33200060135539</v>
      </c>
      <c r="AQ753">
        <v>395.17459668124462</v>
      </c>
      <c r="AR753">
        <v>69.7445621548963</v>
      </c>
      <c r="AS753">
        <v>398.78306781443922</v>
      </c>
      <c r="AT753">
        <v>30.967475613931878</v>
      </c>
      <c r="AU753">
        <v>-27.277877029488671</v>
      </c>
      <c r="AV753"/>
      <c r="AW753"/>
      <c r="FY753" s="211">
        <v>748</v>
      </c>
      <c r="FZ753">
        <v>85.679254252736527</v>
      </c>
      <c r="GA753">
        <v>106.18110688105229</v>
      </c>
      <c r="GB753">
        <v>43.423229796842222</v>
      </c>
      <c r="GC753">
        <v>24.71969130598724</v>
      </c>
      <c r="GD753">
        <v>16.865261000579732</v>
      </c>
      <c r="GE753">
        <v>23.976374651410403</v>
      </c>
      <c r="GF753">
        <v>42.781679878966322</v>
      </c>
      <c r="GG753">
        <v>33.420306573424647</v>
      </c>
      <c r="GH753">
        <v>17.042647090105618</v>
      </c>
      <c r="GI753">
        <v>45.50405153154027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225.17800009754583</v>
      </c>
      <c r="AO754">
        <v>66.390391701734345</v>
      </c>
      <c r="AP754">
        <v>546.37275497701228</v>
      </c>
      <c r="AQ754">
        <v>427.83109176646423</v>
      </c>
      <c r="AR754">
        <v>64.63094047695084</v>
      </c>
      <c r="AS754">
        <v>318.94887353322929</v>
      </c>
      <c r="AT754">
        <v>32.486319430023528</v>
      </c>
      <c r="AU754">
        <v>31.754723576097021</v>
      </c>
      <c r="AV754"/>
      <c r="AW754"/>
      <c r="FY754" s="211">
        <v>749</v>
      </c>
      <c r="FZ754">
        <v>121.12851091112458</v>
      </c>
      <c r="GA754">
        <v>149.57374948511321</v>
      </c>
      <c r="GB754">
        <v>55.612788470895566</v>
      </c>
      <c r="GC754">
        <v>31.66039424876729</v>
      </c>
      <c r="GD754">
        <v>20.53966161607498</v>
      </c>
      <c r="GE754">
        <v>29.14335629802164</v>
      </c>
      <c r="GF754">
        <v>46.655021162227641</v>
      </c>
      <c r="GG754">
        <v>38.093749438316806</v>
      </c>
      <c r="GH754">
        <v>38.350787750341645</v>
      </c>
      <c r="GI754">
        <v>60.547987694552774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214.80654357430117</v>
      </c>
      <c r="AO755">
        <v>65.175617699191932</v>
      </c>
      <c r="AP755">
        <v>550.27211574559851</v>
      </c>
      <c r="AQ755">
        <v>434.14937406692115</v>
      </c>
      <c r="AR755">
        <v>63.354916231332112</v>
      </c>
      <c r="AS755">
        <v>293.23613576171664</v>
      </c>
      <c r="AT755">
        <v>32.022819644616021</v>
      </c>
      <c r="AU755">
        <v>94.352258749936624</v>
      </c>
      <c r="AV755"/>
      <c r="AW755"/>
      <c r="FY755" s="211">
        <v>750</v>
      </c>
      <c r="FZ755">
        <v>25.848283305924259</v>
      </c>
      <c r="GA755">
        <v>36.798018307892548</v>
      </c>
      <c r="GB755">
        <v>48.528364594456477</v>
      </c>
      <c r="GC755">
        <v>28.244734111186169</v>
      </c>
      <c r="GD755">
        <v>14.704257604647582</v>
      </c>
      <c r="GE755">
        <v>21.310914180253533</v>
      </c>
      <c r="GF755">
        <v>39.500340228170579</v>
      </c>
      <c r="GG755">
        <v>29.499357861740801</v>
      </c>
      <c r="GH755">
        <v>27.320766925033574</v>
      </c>
      <c r="GI755">
        <v>37.688981213313831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224.46080829185297</v>
      </c>
      <c r="AO756">
        <v>66.999332980928543</v>
      </c>
      <c r="AP756">
        <v>542.06216504160409</v>
      </c>
      <c r="AQ756">
        <v>425.67381765241163</v>
      </c>
      <c r="AR756">
        <v>66.429461455222651</v>
      </c>
      <c r="AS756">
        <v>319.17851780233661</v>
      </c>
      <c r="AT756">
        <v>33.458452920077768</v>
      </c>
      <c r="AU756">
        <v>-33.116123116558924</v>
      </c>
      <c r="AV756"/>
      <c r="AW756"/>
      <c r="FY756" s="211">
        <v>751</v>
      </c>
      <c r="FZ756">
        <v>70.680079043042483</v>
      </c>
      <c r="GA756">
        <v>87.95245542215612</v>
      </c>
      <c r="GB756">
        <v>34.910038755741063</v>
      </c>
      <c r="GC756">
        <v>26.69789998678597</v>
      </c>
      <c r="GD756">
        <v>17.53705170709112</v>
      </c>
      <c r="GE756">
        <v>20.448465611711548</v>
      </c>
      <c r="GF756">
        <v>41.443175200547927</v>
      </c>
      <c r="GG756">
        <v>29.39860746763356</v>
      </c>
      <c r="GH756">
        <v>20.151549376119394</v>
      </c>
      <c r="GI756">
        <v>42.155732039345757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231.10593094987607</v>
      </c>
      <c r="AO757">
        <v>74.562587491365974</v>
      </c>
      <c r="AP757">
        <v>566.62984451697605</v>
      </c>
      <c r="AQ757">
        <v>448.10098266260138</v>
      </c>
      <c r="AR757">
        <v>72.992570759096608</v>
      </c>
      <c r="AS757">
        <v>350.21373430773855</v>
      </c>
      <c r="AT757">
        <v>35.43355023857908</v>
      </c>
      <c r="AU757">
        <v>23.434744231318469</v>
      </c>
      <c r="AV757"/>
      <c r="AW757"/>
      <c r="FY757" s="211">
        <v>752</v>
      </c>
      <c r="FZ757">
        <v>69.720964317877005</v>
      </c>
      <c r="GA757">
        <v>73.07327410286031</v>
      </c>
      <c r="GB757">
        <v>44.634589956018651</v>
      </c>
      <c r="GC757">
        <v>31.633690096248387</v>
      </c>
      <c r="GD757">
        <v>23.668552047118247</v>
      </c>
      <c r="GE757">
        <v>39.918570828072518</v>
      </c>
      <c r="GF757">
        <v>50.464248363787107</v>
      </c>
      <c r="GG757">
        <v>36.941341166140191</v>
      </c>
      <c r="GH757">
        <v>28.031216282997345</v>
      </c>
      <c r="GI757">
        <v>51.377812016633087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241.31098087819788</v>
      </c>
      <c r="AO758">
        <v>73.814720730655807</v>
      </c>
      <c r="AP758">
        <v>647.62358177305771</v>
      </c>
      <c r="AQ758">
        <v>511.36829490237028</v>
      </c>
      <c r="AR758">
        <v>72.548252147363357</v>
      </c>
      <c r="AS758">
        <v>336.57903148176774</v>
      </c>
      <c r="AT758">
        <v>36.637246506522793</v>
      </c>
      <c r="AU758">
        <v>38.88431929623497</v>
      </c>
      <c r="AV758"/>
      <c r="AW758"/>
      <c r="FY758" s="211">
        <v>753</v>
      </c>
      <c r="FZ758">
        <v>83.406154590302435</v>
      </c>
      <c r="GA758">
        <v>107.85398432040697</v>
      </c>
      <c r="GB758">
        <v>55.794581797640483</v>
      </c>
      <c r="GC758">
        <v>28.161207487456551</v>
      </c>
      <c r="GD758">
        <v>19.021907007597932</v>
      </c>
      <c r="GE758">
        <v>29.325389497639488</v>
      </c>
      <c r="GF758">
        <v>71.300109444086516</v>
      </c>
      <c r="GG758">
        <v>61.770214851761374</v>
      </c>
      <c r="GH758">
        <v>29.194287629150502</v>
      </c>
      <c r="GI758">
        <v>57.682777398974999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186.83291909006522</v>
      </c>
      <c r="AO759">
        <v>52.933998335385944</v>
      </c>
      <c r="AP759">
        <v>436.83385426500246</v>
      </c>
      <c r="AQ759">
        <v>329.24193447867572</v>
      </c>
      <c r="AR759">
        <v>52.00097352518474</v>
      </c>
      <c r="AS759">
        <v>249.15236233132904</v>
      </c>
      <c r="AT759">
        <v>24.68329222355408</v>
      </c>
      <c r="AU759">
        <v>11.765184856771263</v>
      </c>
      <c r="AV759"/>
      <c r="AW759"/>
      <c r="FY759" s="211">
        <v>754</v>
      </c>
      <c r="FZ759">
        <v>41.888352264356584</v>
      </c>
      <c r="GA759">
        <v>55.911775475399025</v>
      </c>
      <c r="GB759">
        <v>69.778353586252891</v>
      </c>
      <c r="GC759">
        <v>37.431558251012682</v>
      </c>
      <c r="GD759">
        <v>13.97713624123856</v>
      </c>
      <c r="GE759">
        <v>17.589863635848229</v>
      </c>
      <c r="GF759">
        <v>32.6561624261874</v>
      </c>
      <c r="GG759">
        <v>26.638887376933827</v>
      </c>
      <c r="GH759">
        <v>24.646951874744154</v>
      </c>
      <c r="GI759">
        <v>43.356039072922066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197.93015215535829</v>
      </c>
      <c r="AO760">
        <v>59.42614817420521</v>
      </c>
      <c r="AP760">
        <v>499.72274464539328</v>
      </c>
      <c r="AQ760">
        <v>397.05543647991459</v>
      </c>
      <c r="AR760">
        <v>58.172022263229486</v>
      </c>
      <c r="AS760">
        <v>266.46306960964222</v>
      </c>
      <c r="AT760">
        <v>30.940468852601583</v>
      </c>
      <c r="AU760">
        <v>260.64836305508231</v>
      </c>
      <c r="AV760"/>
      <c r="AW760"/>
      <c r="FY760" s="211">
        <v>755</v>
      </c>
      <c r="FZ760">
        <v>108.08626221037704</v>
      </c>
      <c r="GA760">
        <v>132.81460320172579</v>
      </c>
      <c r="GB760">
        <v>34.593296903470204</v>
      </c>
      <c r="GC760">
        <v>17.502967220882432</v>
      </c>
      <c r="GD760">
        <v>11.259103659755844</v>
      </c>
      <c r="GE760">
        <v>21.476033400163747</v>
      </c>
      <c r="GF760">
        <v>52.491412194118332</v>
      </c>
      <c r="GG760">
        <v>44.775716167220729</v>
      </c>
      <c r="GH760">
        <v>26.824580984691909</v>
      </c>
      <c r="GI760">
        <v>46.666017507574772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199.93441530547474</v>
      </c>
      <c r="AO761">
        <v>54.320305615441654</v>
      </c>
      <c r="AP761">
        <v>405.65925420773647</v>
      </c>
      <c r="AQ761">
        <v>323.18893802734982</v>
      </c>
      <c r="AR761">
        <v>52.582837462417956</v>
      </c>
      <c r="AS761">
        <v>270.21044526779866</v>
      </c>
      <c r="AT761">
        <v>25.137567944245205</v>
      </c>
      <c r="AU761">
        <v>16.381610316050363</v>
      </c>
      <c r="AV761"/>
      <c r="AW761"/>
      <c r="FY761" s="211">
        <v>756</v>
      </c>
      <c r="FZ761">
        <v>44.567574566127377</v>
      </c>
      <c r="GA761">
        <v>29.74473962088366</v>
      </c>
      <c r="GB761">
        <v>42.82326295672727</v>
      </c>
      <c r="GC761">
        <v>26.497710135077813</v>
      </c>
      <c r="GD761">
        <v>15.345823376387838</v>
      </c>
      <c r="GE761">
        <v>25.807997855647333</v>
      </c>
      <c r="GF761">
        <v>31.333231652372348</v>
      </c>
      <c r="GG761">
        <v>20.614653229154758</v>
      </c>
      <c r="GH761">
        <v>21.654328062731892</v>
      </c>
      <c r="GI761">
        <v>36.834808416203742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139.80698531161593</v>
      </c>
      <c r="AO762">
        <v>61.360361445893318</v>
      </c>
      <c r="AP762">
        <v>499.83026440882338</v>
      </c>
      <c r="AQ762">
        <v>385.67200086498895</v>
      </c>
      <c r="AR762">
        <v>59.91969672028246</v>
      </c>
      <c r="AS762">
        <v>284.86899694690317</v>
      </c>
      <c r="AT762">
        <v>30.693327039941163</v>
      </c>
      <c r="AU762">
        <v>20.38843843173634</v>
      </c>
      <c r="AV762"/>
      <c r="AW762"/>
      <c r="FY762" s="211">
        <v>757</v>
      </c>
      <c r="FZ762">
        <v>69.328658304732443</v>
      </c>
      <c r="GA762">
        <v>88.47171374590026</v>
      </c>
      <c r="GB762">
        <v>28.576912279734827</v>
      </c>
      <c r="GC762">
        <v>12.153857639410068</v>
      </c>
      <c r="GD762">
        <v>7.6836769819653226</v>
      </c>
      <c r="GE762">
        <v>20.211692027009317</v>
      </c>
      <c r="GF762">
        <v>67.130472839689716</v>
      </c>
      <c r="GG762">
        <v>51.391701113608192</v>
      </c>
      <c r="GH762">
        <v>18.94427567818925</v>
      </c>
      <c r="GI762">
        <v>38.821747335187737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201.22418798180561</v>
      </c>
      <c r="AO763">
        <v>58.800182969982316</v>
      </c>
      <c r="AP763">
        <v>465.93874613120192</v>
      </c>
      <c r="AQ763">
        <v>358.57309220100706</v>
      </c>
      <c r="AR763">
        <v>57.100226691153352</v>
      </c>
      <c r="AS763">
        <v>271.23603938806457</v>
      </c>
      <c r="AT763">
        <v>28.272210610435604</v>
      </c>
      <c r="AU763">
        <v>36.478661416545521</v>
      </c>
      <c r="AV763"/>
      <c r="AW763"/>
      <c r="FY763" s="211">
        <v>758</v>
      </c>
      <c r="FZ763">
        <v>35.247727091699538</v>
      </c>
      <c r="GA763">
        <v>38.34678272845666</v>
      </c>
      <c r="GB763">
        <v>37.488713911520442</v>
      </c>
      <c r="GC763">
        <v>23.478170523279605</v>
      </c>
      <c r="GD763">
        <v>23.438046625981102</v>
      </c>
      <c r="GE763">
        <v>41.013298463911838</v>
      </c>
      <c r="GF763">
        <v>37.892000292297816</v>
      </c>
      <c r="GG763">
        <v>24.805211737060084</v>
      </c>
      <c r="GH763">
        <v>33.166074776303468</v>
      </c>
      <c r="GI763">
        <v>42.353536912797829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211.98858515100369</v>
      </c>
      <c r="AO764">
        <v>67.48245910953122</v>
      </c>
      <c r="AP764">
        <v>546.56088405787511</v>
      </c>
      <c r="AQ764">
        <v>439.59360296264521</v>
      </c>
      <c r="AR764">
        <v>65.646520019509353</v>
      </c>
      <c r="AS764">
        <v>318.38360630415559</v>
      </c>
      <c r="AT764">
        <v>33.858339894021725</v>
      </c>
      <c r="AU764">
        <v>-35.708545206739288</v>
      </c>
      <c r="AV764"/>
      <c r="AW764"/>
      <c r="FY764" s="211">
        <v>759</v>
      </c>
      <c r="FZ764">
        <v>68.840035772566509</v>
      </c>
      <c r="GA764">
        <v>100.19086379857686</v>
      </c>
      <c r="GB764">
        <v>48.18897094093893</v>
      </c>
      <c r="GC764">
        <v>19.974581462332811</v>
      </c>
      <c r="GD764">
        <v>13.316175471501122</v>
      </c>
      <c r="GE764">
        <v>26.019008771830425</v>
      </c>
      <c r="GF764">
        <v>51.162863027020698</v>
      </c>
      <c r="GG764">
        <v>46.828858849872482</v>
      </c>
      <c r="GH764">
        <v>32.179321147079889</v>
      </c>
      <c r="GI764">
        <v>46.498547792610076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265.57596850712019</v>
      </c>
      <c r="AO765">
        <v>89.330675696435932</v>
      </c>
      <c r="AP765">
        <v>742.7481414859061</v>
      </c>
      <c r="AQ765">
        <v>591.30600707543613</v>
      </c>
      <c r="AR765">
        <v>87.80802899379411</v>
      </c>
      <c r="AS765">
        <v>410.58865077263556</v>
      </c>
      <c r="AT765">
        <v>45.256806641304081</v>
      </c>
      <c r="AU765">
        <v>-25.189857677240745</v>
      </c>
      <c r="AV765"/>
      <c r="AW765"/>
      <c r="FY765" s="211">
        <v>760</v>
      </c>
      <c r="FZ765">
        <v>108.85859740184486</v>
      </c>
      <c r="GA765">
        <v>143.5665939458803</v>
      </c>
      <c r="GB765">
        <v>66.262323104764818</v>
      </c>
      <c r="GC765">
        <v>36.008639783820158</v>
      </c>
      <c r="GD765">
        <v>15.719663718178451</v>
      </c>
      <c r="GE765">
        <v>30.642348692728991</v>
      </c>
      <c r="GF765">
        <v>36.41865877464209</v>
      </c>
      <c r="GG765">
        <v>16.808699589387217</v>
      </c>
      <c r="GH765">
        <v>17.137263300495665</v>
      </c>
      <c r="GI765">
        <v>52.856864297689803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197.09358747070274</v>
      </c>
      <c r="AO766">
        <v>54.559583622430388</v>
      </c>
      <c r="AP766">
        <v>399.71521000967147</v>
      </c>
      <c r="AQ766">
        <v>309.44401833261929</v>
      </c>
      <c r="AR766">
        <v>53.899407645355879</v>
      </c>
      <c r="AS766">
        <v>275.38641972131427</v>
      </c>
      <c r="AT766">
        <v>24.258810465420542</v>
      </c>
      <c r="AU766">
        <v>1.1470800140805721</v>
      </c>
      <c r="AV766"/>
      <c r="AW766"/>
      <c r="FY766" s="211">
        <v>761</v>
      </c>
      <c r="FZ766">
        <v>82.956054698073899</v>
      </c>
      <c r="GA766">
        <v>111.94982035674919</v>
      </c>
      <c r="GB766">
        <v>68.551459270830094</v>
      </c>
      <c r="GC766">
        <v>35.830810870672742</v>
      </c>
      <c r="GD766">
        <v>19.106902141378555</v>
      </c>
      <c r="GE766">
        <v>27.83783907146405</v>
      </c>
      <c r="GF766">
        <v>36.295917530528982</v>
      </c>
      <c r="GG766">
        <v>26.151666090009385</v>
      </c>
      <c r="GH766">
        <v>17.390956169605882</v>
      </c>
      <c r="GI766">
        <v>51.657342863643244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195.07926008994767</v>
      </c>
      <c r="AO767">
        <v>63.024308214268373</v>
      </c>
      <c r="AP767">
        <v>489.31795996543127</v>
      </c>
      <c r="AQ767">
        <v>391.37505461017497</v>
      </c>
      <c r="AR767">
        <v>60.747921162506536</v>
      </c>
      <c r="AS767">
        <v>315.55112562261343</v>
      </c>
      <c r="AT767">
        <v>29.906443766268925</v>
      </c>
      <c r="AU767">
        <v>4.5083113492476912</v>
      </c>
      <c r="AV767"/>
      <c r="AW767"/>
      <c r="FY767" s="211">
        <v>762</v>
      </c>
      <c r="FZ767">
        <v>80.40816469045717</v>
      </c>
      <c r="GA767">
        <v>100.81273893667625</v>
      </c>
      <c r="GB767">
        <v>37.344313821360643</v>
      </c>
      <c r="GC767">
        <v>17.263760717228756</v>
      </c>
      <c r="GD767">
        <v>13.674051899993039</v>
      </c>
      <c r="GE767">
        <v>21.958110263697634</v>
      </c>
      <c r="GF767">
        <v>31.536194188108265</v>
      </c>
      <c r="GG767">
        <v>27.431868014233928</v>
      </c>
      <c r="GH767">
        <v>28.370361890737414</v>
      </c>
      <c r="GI767">
        <v>40.811120631530187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249.68832396701299</v>
      </c>
      <c r="AO768">
        <v>76.773519937820907</v>
      </c>
      <c r="AP768">
        <v>555.03426032789446</v>
      </c>
      <c r="AQ768">
        <v>449.46425917775281</v>
      </c>
      <c r="AR768">
        <v>74.022850456035684</v>
      </c>
      <c r="AS768">
        <v>378.3805556121365</v>
      </c>
      <c r="AT768">
        <v>35.087934358344846</v>
      </c>
      <c r="AU768">
        <v>15.93977012338749</v>
      </c>
      <c r="AV768"/>
      <c r="AW768"/>
      <c r="FY768" s="211">
        <v>763</v>
      </c>
      <c r="FZ768">
        <v>69.372571685119141</v>
      </c>
      <c r="GA768">
        <v>85.104604556243544</v>
      </c>
      <c r="GB768">
        <v>50.576120728269487</v>
      </c>
      <c r="GC768">
        <v>27.90672338709815</v>
      </c>
      <c r="GD768">
        <v>14.499103741261512</v>
      </c>
      <c r="GE768">
        <v>22.331776196989058</v>
      </c>
      <c r="GF768">
        <v>52.885290897798505</v>
      </c>
      <c r="GG768">
        <v>39.468352489534674</v>
      </c>
      <c r="GH768">
        <v>14.984866215001551</v>
      </c>
      <c r="GI768">
        <v>45.17161212364006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241.56281159380916</v>
      </c>
      <c r="AO769">
        <v>85.85655861886778</v>
      </c>
      <c r="AP769">
        <v>704.72578264067374</v>
      </c>
      <c r="AQ769">
        <v>543.51061402501716</v>
      </c>
      <c r="AR769">
        <v>83.613332793095523</v>
      </c>
      <c r="AS769">
        <v>412.25901810349654</v>
      </c>
      <c r="AT769">
        <v>41.206219374537305</v>
      </c>
      <c r="AU769">
        <v>51.092453888784533</v>
      </c>
      <c r="AV769"/>
      <c r="AW769"/>
      <c r="FY769" s="211">
        <v>764</v>
      </c>
      <c r="FZ769">
        <v>75.535842771205125</v>
      </c>
      <c r="GA769">
        <v>85.356295384299273</v>
      </c>
      <c r="GB769">
        <v>55.638630641081647</v>
      </c>
      <c r="GC769">
        <v>30.065911518585608</v>
      </c>
      <c r="GD769">
        <v>11.930992876284135</v>
      </c>
      <c r="GE769">
        <v>14.696027789062359</v>
      </c>
      <c r="GF769">
        <v>17.193260648496235</v>
      </c>
      <c r="GG769">
        <v>14.620340538765072</v>
      </c>
      <c r="GH769">
        <v>22.214593050576966</v>
      </c>
      <c r="GI769">
        <v>40.000248366181474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213.60476366202565</v>
      </c>
      <c r="AO770">
        <v>63.436273662262032</v>
      </c>
      <c r="AP770">
        <v>479.43793399591988</v>
      </c>
      <c r="AQ770">
        <v>363.87508020489543</v>
      </c>
      <c r="AR770">
        <v>62.549159279199536</v>
      </c>
      <c r="AS770">
        <v>299.47127859660981</v>
      </c>
      <c r="AT770">
        <v>28.206715913600007</v>
      </c>
      <c r="AU770">
        <v>14.948519045344192</v>
      </c>
      <c r="AV770"/>
      <c r="AW770"/>
      <c r="FY770" s="211">
        <v>765</v>
      </c>
      <c r="FZ770">
        <v>53.763204539578091</v>
      </c>
      <c r="GA770">
        <v>32.495083161625196</v>
      </c>
      <c r="GB770">
        <v>53.573971949556082</v>
      </c>
      <c r="GC770">
        <v>31.928159048973242</v>
      </c>
      <c r="GD770">
        <v>15.443842291169574</v>
      </c>
      <c r="GE770">
        <v>25.277572854545461</v>
      </c>
      <c r="GF770">
        <v>36.020267080198487</v>
      </c>
      <c r="GG770">
        <v>31.111087787087211</v>
      </c>
      <c r="GH770">
        <v>30.515630190450807</v>
      </c>
      <c r="GI770">
        <v>43.551725146555086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193.51170500403583</v>
      </c>
      <c r="AO771">
        <v>70.381985949528513</v>
      </c>
      <c r="AP771">
        <v>631.99420056707072</v>
      </c>
      <c r="AQ771">
        <v>496.48999344998083</v>
      </c>
      <c r="AR771">
        <v>67.507126050432547</v>
      </c>
      <c r="AS771">
        <v>330.71671946988999</v>
      </c>
      <c r="AT771">
        <v>36.378694116014337</v>
      </c>
      <c r="AU771">
        <v>38.908586278831251</v>
      </c>
      <c r="AV771"/>
      <c r="AW771"/>
      <c r="FY771" s="211">
        <v>766</v>
      </c>
      <c r="FZ771">
        <v>75.28816149711065</v>
      </c>
      <c r="GA771">
        <v>72.072167586105678</v>
      </c>
      <c r="GB771">
        <v>47.097954653858963</v>
      </c>
      <c r="GC771">
        <v>31.60668790981552</v>
      </c>
      <c r="GD771">
        <v>15.451835342873681</v>
      </c>
      <c r="GE771">
        <v>22.809310734079794</v>
      </c>
      <c r="GF771">
        <v>52.336418422768965</v>
      </c>
      <c r="GG771">
        <v>39.675469812029149</v>
      </c>
      <c r="GH771">
        <v>18.054855317131</v>
      </c>
      <c r="GI771">
        <v>46.266812910625511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186.61920046693513</v>
      </c>
      <c r="AO772">
        <v>52.185490466661086</v>
      </c>
      <c r="AP772">
        <v>368.42225999350268</v>
      </c>
      <c r="AQ772">
        <v>295.22412987131406</v>
      </c>
      <c r="AR772">
        <v>52.70460952232871</v>
      </c>
      <c r="AS772">
        <v>247.00714205903594</v>
      </c>
      <c r="AT772">
        <v>25.62928964556782</v>
      </c>
      <c r="AU772">
        <v>20.265548159338863</v>
      </c>
      <c r="AV772"/>
      <c r="AW772"/>
      <c r="FY772" s="211">
        <v>767</v>
      </c>
      <c r="FZ772">
        <v>47.258896739138081</v>
      </c>
      <c r="GA772">
        <v>47.867892674200647</v>
      </c>
      <c r="GB772">
        <v>33.098245447238412</v>
      </c>
      <c r="GC772">
        <v>16.249727695901232</v>
      </c>
      <c r="GD772">
        <v>16.966937452130956</v>
      </c>
      <c r="GE772">
        <v>31.213898474178038</v>
      </c>
      <c r="GF772">
        <v>52.252090297628541</v>
      </c>
      <c r="GG772">
        <v>39.116672588561109</v>
      </c>
      <c r="GH772">
        <v>23.247682923816161</v>
      </c>
      <c r="GI772">
        <v>40.211779475226855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192.72692352182932</v>
      </c>
      <c r="AO773">
        <v>58.384411074100946</v>
      </c>
      <c r="AP773">
        <v>528.29165368415215</v>
      </c>
      <c r="AQ773">
        <v>402.71470794542711</v>
      </c>
      <c r="AR773">
        <v>55.82934290662066</v>
      </c>
      <c r="AS773">
        <v>268.30359269735891</v>
      </c>
      <c r="AT773">
        <v>27.889339355201887</v>
      </c>
      <c r="AU773">
        <v>13.300353711392386</v>
      </c>
      <c r="AV773"/>
      <c r="AW773"/>
      <c r="FY773" s="211">
        <v>768</v>
      </c>
      <c r="FZ773">
        <v>32.33201998617438</v>
      </c>
      <c r="GA773">
        <v>29.797844696525853</v>
      </c>
      <c r="GB773">
        <v>32.767014333245072</v>
      </c>
      <c r="GC773">
        <v>16.004888257743239</v>
      </c>
      <c r="GD773">
        <v>8.8171007196634328</v>
      </c>
      <c r="GE773">
        <v>22.499744147086737</v>
      </c>
      <c r="GF773">
        <v>24.557740017991826</v>
      </c>
      <c r="GG773">
        <v>12.220264037024821</v>
      </c>
      <c r="GH773">
        <v>21.060671336713625</v>
      </c>
      <c r="GI773">
        <v>26.861106468781554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244.40360025497654</v>
      </c>
      <c r="AO774">
        <v>60.733153500062713</v>
      </c>
      <c r="AP774">
        <v>406.92805263520751</v>
      </c>
      <c r="AQ774">
        <v>337.22956306330838</v>
      </c>
      <c r="AR774">
        <v>60.414383002623161</v>
      </c>
      <c r="AS774">
        <v>310.92888045794649</v>
      </c>
      <c r="AT774">
        <v>28.611409813305215</v>
      </c>
      <c r="AU774">
        <v>5.3088918664059292E-2</v>
      </c>
      <c r="AV774"/>
      <c r="AW774"/>
      <c r="FY774" s="211">
        <v>769</v>
      </c>
      <c r="FZ774">
        <v>112.7118261726844</v>
      </c>
      <c r="GA774">
        <v>120.48309984511873</v>
      </c>
      <c r="GB774">
        <v>44.997199283963617</v>
      </c>
      <c r="GC774">
        <v>33.501298278697661</v>
      </c>
      <c r="GD774">
        <v>18.890875435119934</v>
      </c>
      <c r="GE774">
        <v>27.366957798253285</v>
      </c>
      <c r="GF774">
        <v>68.581458994516325</v>
      </c>
      <c r="GG774">
        <v>60.137359144772972</v>
      </c>
      <c r="GH774">
        <v>36.689585704769897</v>
      </c>
      <c r="GI774">
        <v>59.800920886580734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212.99961508346118</v>
      </c>
      <c r="AO775">
        <v>69.6944193031607</v>
      </c>
      <c r="AP775">
        <v>591.81404055170981</v>
      </c>
      <c r="AQ775">
        <v>453.19922703432979</v>
      </c>
      <c r="AR775">
        <v>67.40891145880083</v>
      </c>
      <c r="AS775">
        <v>302.93191321287497</v>
      </c>
      <c r="AT775">
        <v>32.005014002472258</v>
      </c>
      <c r="AU775">
        <v>21.699097688045406</v>
      </c>
      <c r="AV775"/>
      <c r="AW775"/>
      <c r="FY775" s="211">
        <v>770</v>
      </c>
      <c r="FZ775">
        <v>28.722044120113747</v>
      </c>
      <c r="GA775">
        <v>30.951486885554768</v>
      </c>
      <c r="GB775">
        <v>31.84501934039573</v>
      </c>
      <c r="GC775">
        <v>18.508892979770032</v>
      </c>
      <c r="GD775">
        <v>13.950562399901804</v>
      </c>
      <c r="GE775">
        <v>24.514228919802271</v>
      </c>
      <c r="GF775">
        <v>74.169125865485427</v>
      </c>
      <c r="GG775">
        <v>58.050620926554764</v>
      </c>
      <c r="GH775">
        <v>10.762724314804233</v>
      </c>
      <c r="GI775">
        <v>37.600937319366153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234.35870741425566</v>
      </c>
      <c r="AO776">
        <v>80.635361435292765</v>
      </c>
      <c r="AP776">
        <v>660.58115925764241</v>
      </c>
      <c r="AQ776">
        <v>524.27965260943233</v>
      </c>
      <c r="AR776">
        <v>75.96587739843541</v>
      </c>
      <c r="AS776">
        <v>383.9582534673745</v>
      </c>
      <c r="AT776">
        <v>37.289672922381349</v>
      </c>
      <c r="AU776">
        <v>-44.609669557733156</v>
      </c>
      <c r="AV776"/>
      <c r="AW776"/>
      <c r="FY776" s="211">
        <v>771</v>
      </c>
      <c r="FZ776">
        <v>112.95706065470452</v>
      </c>
      <c r="GA776">
        <v>140.09242521506661</v>
      </c>
      <c r="GB776">
        <v>55.248790928476843</v>
      </c>
      <c r="GC776">
        <v>29.225038458788759</v>
      </c>
      <c r="GD776">
        <v>13.672737259047516</v>
      </c>
      <c r="GE776">
        <v>20.61786139688466</v>
      </c>
      <c r="GF776">
        <v>35.035685316629646</v>
      </c>
      <c r="GG776">
        <v>25.521333967261107</v>
      </c>
      <c r="GH776">
        <v>16.446144500148318</v>
      </c>
      <c r="GI776">
        <v>49.104345157769409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274.63440765544499</v>
      </c>
      <c r="AO777">
        <v>76.804563822891495</v>
      </c>
      <c r="AP777">
        <v>600.72417759474126</v>
      </c>
      <c r="AQ777">
        <v>477.72876906295596</v>
      </c>
      <c r="AR777">
        <v>74.256054263221671</v>
      </c>
      <c r="AS777">
        <v>352.29555741907632</v>
      </c>
      <c r="AT777">
        <v>35.366620309412852</v>
      </c>
      <c r="AU777">
        <v>4.8365572312082392</v>
      </c>
      <c r="AV777"/>
      <c r="AW777"/>
      <c r="FY777" s="211">
        <v>772</v>
      </c>
      <c r="FZ777">
        <v>66.595728101227593</v>
      </c>
      <c r="GA777">
        <v>87.652949293188456</v>
      </c>
      <c r="GB777">
        <v>33.959922612082948</v>
      </c>
      <c r="GC777">
        <v>21.779091745750332</v>
      </c>
      <c r="GD777">
        <v>18.340131335413584</v>
      </c>
      <c r="GE777">
        <v>31.502716585934259</v>
      </c>
      <c r="GF777">
        <v>55.14260454688614</v>
      </c>
      <c r="GG777">
        <v>37.674967161882314</v>
      </c>
      <c r="GH777">
        <v>19.162653259357445</v>
      </c>
      <c r="GI777">
        <v>44.093098815093683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190.28189732957105</v>
      </c>
      <c r="AO778">
        <v>59.271946982695866</v>
      </c>
      <c r="AP778">
        <v>500.85759523350322</v>
      </c>
      <c r="AQ778">
        <v>399.61068505402329</v>
      </c>
      <c r="AR778">
        <v>58.817174041557344</v>
      </c>
      <c r="AS778">
        <v>295.92465542705611</v>
      </c>
      <c r="AT778">
        <v>30.319605693879655</v>
      </c>
      <c r="AU778">
        <v>8.5129080947215812</v>
      </c>
      <c r="AV778"/>
      <c r="AW778"/>
      <c r="FY778" s="211">
        <v>773</v>
      </c>
      <c r="FZ778">
        <v>31.911284444203332</v>
      </c>
      <c r="GA778">
        <v>40.491741454920962</v>
      </c>
      <c r="GB778">
        <v>32.966676314034927</v>
      </c>
      <c r="GC778">
        <v>18.895069102691316</v>
      </c>
      <c r="GD778">
        <v>15.901230942245771</v>
      </c>
      <c r="GE778">
        <v>29.219017802563439</v>
      </c>
      <c r="GF778">
        <v>57.281724594640544</v>
      </c>
      <c r="GG778">
        <v>39.45919427804354</v>
      </c>
      <c r="GH778">
        <v>20.702956426331259</v>
      </c>
      <c r="GI778">
        <v>37.805456641972711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213.32094977973242</v>
      </c>
      <c r="AO779">
        <v>67.038092780398642</v>
      </c>
      <c r="AP779">
        <v>540.91731881733426</v>
      </c>
      <c r="AQ779">
        <v>422.3010220209556</v>
      </c>
      <c r="AR779">
        <v>65.201769267896822</v>
      </c>
      <c r="AS779">
        <v>327.71023424616692</v>
      </c>
      <c r="AT779">
        <v>33.699311664737159</v>
      </c>
      <c r="AU779">
        <v>-49.821818363053978</v>
      </c>
      <c r="AV779"/>
      <c r="AW779"/>
      <c r="FY779" s="211">
        <v>774</v>
      </c>
      <c r="FZ779">
        <v>38.056884387853202</v>
      </c>
      <c r="GA779">
        <v>33.422753818912796</v>
      </c>
      <c r="GB779">
        <v>51.525943830299802</v>
      </c>
      <c r="GC779">
        <v>31.39080330485908</v>
      </c>
      <c r="GD779">
        <v>13.452099989908035</v>
      </c>
      <c r="GE779">
        <v>23.062939566841735</v>
      </c>
      <c r="GF779">
        <v>56.127817420476539</v>
      </c>
      <c r="GG779">
        <v>40.066868089361215</v>
      </c>
      <c r="GH779">
        <v>19.526370287498025</v>
      </c>
      <c r="GI779">
        <v>41.450532261017408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165.62560978439862</v>
      </c>
      <c r="AO780">
        <v>58.305900322390087</v>
      </c>
      <c r="AP780">
        <v>468.16012650676208</v>
      </c>
      <c r="AQ780">
        <v>367.25214358453792</v>
      </c>
      <c r="AR780">
        <v>57.884037978363921</v>
      </c>
      <c r="AS780">
        <v>272.8914828636469</v>
      </c>
      <c r="AT780">
        <v>28.647219457472417</v>
      </c>
      <c r="AU780">
        <v>16.795665939068847</v>
      </c>
      <c r="AV780"/>
      <c r="AW780"/>
      <c r="FY780" s="211">
        <v>775</v>
      </c>
      <c r="FZ780">
        <v>73.817967793616248</v>
      </c>
      <c r="GA780">
        <v>98.662804759485027</v>
      </c>
      <c r="GB780">
        <v>45.250046531220967</v>
      </c>
      <c r="GC780">
        <v>22.773086355573078</v>
      </c>
      <c r="GD780">
        <v>15.552415199063518</v>
      </c>
      <c r="GE780">
        <v>24.725884527134202</v>
      </c>
      <c r="GF780">
        <v>25.684712994042229</v>
      </c>
      <c r="GG780">
        <v>28.500136447562554</v>
      </c>
      <c r="GH780">
        <v>33.632664519369385</v>
      </c>
      <c r="GI780">
        <v>42.711971389432911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176.61570588077399</v>
      </c>
      <c r="AO781">
        <v>62.055342523205546</v>
      </c>
      <c r="AP781">
        <v>454.13672751428129</v>
      </c>
      <c r="AQ781">
        <v>353.68054404973924</v>
      </c>
      <c r="AR781">
        <v>62.856364231306905</v>
      </c>
      <c r="AS781">
        <v>298.71520511434204</v>
      </c>
      <c r="AT781">
        <v>31.44733171594244</v>
      </c>
      <c r="AU781">
        <v>50.913354921359918</v>
      </c>
      <c r="AV781"/>
      <c r="AW781"/>
      <c r="FY781" s="211">
        <v>776</v>
      </c>
      <c r="FZ781">
        <v>71.964223937548354</v>
      </c>
      <c r="GA781">
        <v>85.59151994348386</v>
      </c>
      <c r="GB781">
        <v>44.634660024282994</v>
      </c>
      <c r="GC781">
        <v>24.971249091717148</v>
      </c>
      <c r="GD781">
        <v>12.923109480070636</v>
      </c>
      <c r="GE781">
        <v>25.017738982696528</v>
      </c>
      <c r="GF781">
        <v>51.043741664845292</v>
      </c>
      <c r="GG781">
        <v>41.865606520169337</v>
      </c>
      <c r="GH781">
        <v>22.766859223857402</v>
      </c>
      <c r="GI781">
        <v>43.847182843388111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233.49038812984728</v>
      </c>
      <c r="AO782">
        <v>68.812839091262887</v>
      </c>
      <c r="AP782">
        <v>536.16738142437805</v>
      </c>
      <c r="AQ782">
        <v>420.659674186399</v>
      </c>
      <c r="AR782">
        <v>66.867435084264372</v>
      </c>
      <c r="AS782">
        <v>324.50216360150608</v>
      </c>
      <c r="AT782">
        <v>31.953239391558167</v>
      </c>
      <c r="AU782">
        <v>6.3623139356025149E-2</v>
      </c>
      <c r="AV782"/>
      <c r="AW782"/>
      <c r="FY782" s="211">
        <v>777</v>
      </c>
      <c r="FZ782">
        <v>87.196611992220355</v>
      </c>
      <c r="GA782">
        <v>84.655871243850285</v>
      </c>
      <c r="GB782">
        <v>34.421540105440634</v>
      </c>
      <c r="GC782">
        <v>21.165088022047527</v>
      </c>
      <c r="GD782">
        <v>14.221915481059526</v>
      </c>
      <c r="GE782">
        <v>19.038925378783237</v>
      </c>
      <c r="GF782">
        <v>40.30385113529038</v>
      </c>
      <c r="GG782">
        <v>37.576777191776927</v>
      </c>
      <c r="GH782">
        <v>20.845563298691758</v>
      </c>
      <c r="GI782">
        <v>41.937548061135544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231.45307431668283</v>
      </c>
      <c r="AO783">
        <v>57.305400561995228</v>
      </c>
      <c r="AP783">
        <v>436.84981092040914</v>
      </c>
      <c r="AQ783">
        <v>347.48382376802005</v>
      </c>
      <c r="AR783">
        <v>57.527751304720894</v>
      </c>
      <c r="AS783">
        <v>303.67937246147426</v>
      </c>
      <c r="AT783">
        <v>27.32350469902217</v>
      </c>
      <c r="AU783">
        <v>39.241450223002701</v>
      </c>
      <c r="AV783"/>
      <c r="AW783"/>
      <c r="FY783" s="211">
        <v>778</v>
      </c>
      <c r="FZ783">
        <v>76.194701776101795</v>
      </c>
      <c r="GA783">
        <v>102.67559952303965</v>
      </c>
      <c r="GB783">
        <v>37.983947165019117</v>
      </c>
      <c r="GC783">
        <v>18.299134967314881</v>
      </c>
      <c r="GD783">
        <v>11.936357337623141</v>
      </c>
      <c r="GE783">
        <v>20.087403110542887</v>
      </c>
      <c r="GF783">
        <v>41.640757084149229</v>
      </c>
      <c r="GG783">
        <v>29.243748300428024</v>
      </c>
      <c r="GH783">
        <v>9.991523837969293</v>
      </c>
      <c r="GI783">
        <v>38.434281053066535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146.00577284920556</v>
      </c>
      <c r="AO784">
        <v>37.897118429279246</v>
      </c>
      <c r="AP784">
        <v>285.88357894212828</v>
      </c>
      <c r="AQ784">
        <v>226.91839400095051</v>
      </c>
      <c r="AR784">
        <v>37.960368226569869</v>
      </c>
      <c r="AS784">
        <v>187.81724077612881</v>
      </c>
      <c r="AT784">
        <v>17.862487896295367</v>
      </c>
      <c r="AU784">
        <v>10.232722505891303</v>
      </c>
      <c r="AV784"/>
      <c r="AW784"/>
      <c r="FY784" s="211">
        <v>779</v>
      </c>
      <c r="FZ784">
        <v>76.901908231420279</v>
      </c>
      <c r="GA784">
        <v>98.876636337465399</v>
      </c>
      <c r="GB784">
        <v>55.772379390450489</v>
      </c>
      <c r="GC784">
        <v>27.298957518791145</v>
      </c>
      <c r="GD784">
        <v>13.383110093860358</v>
      </c>
      <c r="GE784">
        <v>21.721337307301418</v>
      </c>
      <c r="GF784">
        <v>46.298632678564807</v>
      </c>
      <c r="GG784">
        <v>33.2677874324961</v>
      </c>
      <c r="GH784">
        <v>18.659335418180586</v>
      </c>
      <c r="GI784">
        <v>46.130259128451172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246.80721853631286</v>
      </c>
      <c r="AO785">
        <v>90.025517104613783</v>
      </c>
      <c r="AP785">
        <v>738.66872022074415</v>
      </c>
      <c r="AQ785">
        <v>583.16058154447751</v>
      </c>
      <c r="AR785">
        <v>86.694931704293396</v>
      </c>
      <c r="AS785">
        <v>405.949230039209</v>
      </c>
      <c r="AT785">
        <v>45.745471446165709</v>
      </c>
      <c r="AU785">
        <v>51.718961713549284</v>
      </c>
      <c r="AV785"/>
      <c r="AW785"/>
      <c r="FY785" s="211">
        <v>780</v>
      </c>
      <c r="FZ785">
        <v>78.004685918031527</v>
      </c>
      <c r="GA785">
        <v>86.973922053853798</v>
      </c>
      <c r="GB785">
        <v>46.484515859781013</v>
      </c>
      <c r="GC785">
        <v>24.147120973317822</v>
      </c>
      <c r="GD785">
        <v>13.6510965068587</v>
      </c>
      <c r="GE785">
        <v>22.736621143566001</v>
      </c>
      <c r="GF785">
        <v>22.407221843156101</v>
      </c>
      <c r="GG785">
        <v>13.237188565703208</v>
      </c>
      <c r="GH785">
        <v>26.13767250902227</v>
      </c>
      <c r="GI785">
        <v>40.708265322061692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213.04517274974825</v>
      </c>
      <c r="AO786">
        <v>55.826363337782801</v>
      </c>
      <c r="AP786">
        <v>428.40390292251709</v>
      </c>
      <c r="AQ786">
        <v>329.07564307174891</v>
      </c>
      <c r="AR786">
        <v>53.865650748041347</v>
      </c>
      <c r="AS786">
        <v>271.11071489838838</v>
      </c>
      <c r="AT786">
        <v>23.910467086026689</v>
      </c>
      <c r="AU786">
        <v>24.8042433068645</v>
      </c>
      <c r="AV786"/>
      <c r="AW786"/>
      <c r="FY786" s="211">
        <v>781</v>
      </c>
      <c r="FZ786">
        <v>75.408759149431702</v>
      </c>
      <c r="GA786">
        <v>97.032930719484654</v>
      </c>
      <c r="GB786">
        <v>37.028876398196637</v>
      </c>
      <c r="GC786">
        <v>20.386496251537963</v>
      </c>
      <c r="GD786">
        <v>17.636822146177227</v>
      </c>
      <c r="GE786">
        <v>27.306395318970896</v>
      </c>
      <c r="GF786">
        <v>55.806760133254656</v>
      </c>
      <c r="GG786">
        <v>48.94738940570253</v>
      </c>
      <c r="GH786">
        <v>27.914434155193504</v>
      </c>
      <c r="GI786">
        <v>47.68853286964287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213.7783647308741</v>
      </c>
      <c r="AO787">
        <v>73.933950317642868</v>
      </c>
      <c r="AP787">
        <v>630.53336009414443</v>
      </c>
      <c r="AQ787">
        <v>497.9214228547774</v>
      </c>
      <c r="AR787">
        <v>71.211997876990409</v>
      </c>
      <c r="AS787">
        <v>343.47649173362868</v>
      </c>
      <c r="AT787">
        <v>37.630605013384169</v>
      </c>
      <c r="AU787">
        <v>-1.2620627202335442</v>
      </c>
      <c r="AV787"/>
      <c r="AW787"/>
      <c r="FY787" s="211">
        <v>782</v>
      </c>
      <c r="FZ787">
        <v>112.41285126270871</v>
      </c>
      <c r="GA787">
        <v>131.48256470445475</v>
      </c>
      <c r="GB787">
        <v>34.560902119678119</v>
      </c>
      <c r="GC787">
        <v>22.846213155835002</v>
      </c>
      <c r="GD787">
        <v>13.307099514103349</v>
      </c>
      <c r="GE787">
        <v>19.320487584692451</v>
      </c>
      <c r="GF787">
        <v>54.218554750104047</v>
      </c>
      <c r="GG787">
        <v>42.13326091206185</v>
      </c>
      <c r="GH787">
        <v>23.788891934024534</v>
      </c>
      <c r="GI787">
        <v>48.322722082997828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213.77980634749429</v>
      </c>
      <c r="AO788">
        <v>66.283472689224396</v>
      </c>
      <c r="AP788">
        <v>517.36533466342644</v>
      </c>
      <c r="AQ788">
        <v>415.90386345681679</v>
      </c>
      <c r="AR788">
        <v>63.120491263282737</v>
      </c>
      <c r="AS788">
        <v>304.68629632984641</v>
      </c>
      <c r="AT788">
        <v>31.7011997025553</v>
      </c>
      <c r="AU788">
        <v>-14.051590730660596</v>
      </c>
      <c r="AV788"/>
      <c r="AW788"/>
      <c r="FY788" s="211">
        <v>783</v>
      </c>
      <c r="FZ788">
        <v>69.250568331352312</v>
      </c>
      <c r="GA788">
        <v>85.013551985533724</v>
      </c>
      <c r="GB788">
        <v>42.786502196785293</v>
      </c>
      <c r="GC788">
        <v>23.544329432763597</v>
      </c>
      <c r="GD788">
        <v>14.671564536765837</v>
      </c>
      <c r="GE788">
        <v>22.322794544835823</v>
      </c>
      <c r="GF788">
        <v>34.073453438017154</v>
      </c>
      <c r="GG788">
        <v>22.417754089707987</v>
      </c>
      <c r="GH788">
        <v>16.065233889851996</v>
      </c>
      <c r="GI788">
        <v>39.709260666752336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212.02085628193055</v>
      </c>
      <c r="AO789">
        <v>55.275153274941566</v>
      </c>
      <c r="AP789">
        <v>414.78512323105957</v>
      </c>
      <c r="AQ789">
        <v>324.63435200164781</v>
      </c>
      <c r="AR789">
        <v>53.852253691015164</v>
      </c>
      <c r="AS789">
        <v>310.96102471679501</v>
      </c>
      <c r="AT789">
        <v>24.758882631884347</v>
      </c>
      <c r="AU789">
        <v>54.0597968551752</v>
      </c>
      <c r="AV789"/>
      <c r="AW789"/>
      <c r="FY789" s="211">
        <v>784</v>
      </c>
      <c r="FZ789">
        <v>78.623912201637864</v>
      </c>
      <c r="GA789">
        <v>87.216302051838923</v>
      </c>
      <c r="GB789">
        <v>39.549042632228627</v>
      </c>
      <c r="GC789">
        <v>21.887860782041312</v>
      </c>
      <c r="GD789">
        <v>13.063514007882349</v>
      </c>
      <c r="GE789">
        <v>19.974687052951044</v>
      </c>
      <c r="GF789">
        <v>60.820495881114589</v>
      </c>
      <c r="GG789">
        <v>54.530808721540986</v>
      </c>
      <c r="GH789">
        <v>21.64202084323675</v>
      </c>
      <c r="GI789">
        <v>45.547320261954475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214.46259398559818</v>
      </c>
      <c r="AO790">
        <v>60.519100093178295</v>
      </c>
      <c r="AP790">
        <v>455.22804243632095</v>
      </c>
      <c r="AQ790">
        <v>348.0830129570279</v>
      </c>
      <c r="AR790">
        <v>59.099514091312649</v>
      </c>
      <c r="AS790">
        <v>290.69195455943225</v>
      </c>
      <c r="AT790">
        <v>29.027527399458009</v>
      </c>
      <c r="AU790">
        <v>-12.395106369015657</v>
      </c>
      <c r="AV790"/>
      <c r="AW790"/>
      <c r="FY790" s="211">
        <v>785</v>
      </c>
      <c r="FZ790">
        <v>44.804240052399336</v>
      </c>
      <c r="GA790">
        <v>43.920518904979701</v>
      </c>
      <c r="GB790">
        <v>46.367425335880561</v>
      </c>
      <c r="GC790">
        <v>27.541963310572108</v>
      </c>
      <c r="GD790">
        <v>13.377978152835174</v>
      </c>
      <c r="GE790">
        <v>20.486786568872478</v>
      </c>
      <c r="GF790">
        <v>36.213337419639771</v>
      </c>
      <c r="GG790">
        <v>26.506459520541419</v>
      </c>
      <c r="GH790">
        <v>17.308336299809501</v>
      </c>
      <c r="GI790">
        <v>36.846973051479651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191.13582497725025</v>
      </c>
      <c r="AO791">
        <v>63.688837703357684</v>
      </c>
      <c r="AP791">
        <v>518.43979088358049</v>
      </c>
      <c r="AQ791">
        <v>411.31169051650011</v>
      </c>
      <c r="AR791">
        <v>61.793872757285733</v>
      </c>
      <c r="AS791">
        <v>299.9921040017316</v>
      </c>
      <c r="AT791">
        <v>31.266874405652825</v>
      </c>
      <c r="AU791">
        <v>2.6645575483387347</v>
      </c>
      <c r="AV791"/>
      <c r="AW791"/>
      <c r="FY791" s="211">
        <v>786</v>
      </c>
      <c r="FZ791">
        <v>36.570074310538068</v>
      </c>
      <c r="GA791">
        <v>50.016268450845125</v>
      </c>
      <c r="GB791">
        <v>52.88666991443619</v>
      </c>
      <c r="GC791">
        <v>23.676287583393254</v>
      </c>
      <c r="GD791">
        <v>12.428496666093118</v>
      </c>
      <c r="GE791">
        <v>22.560945217952938</v>
      </c>
      <c r="GF791">
        <v>21.489755843443103</v>
      </c>
      <c r="GG791">
        <v>12.756539187596367</v>
      </c>
      <c r="GH791">
        <v>20.210280645022426</v>
      </c>
      <c r="GI791">
        <v>34.202936517326684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227.79731048962554</v>
      </c>
      <c r="AO792">
        <v>65.983387392570791</v>
      </c>
      <c r="AP792">
        <v>539.79668842133037</v>
      </c>
      <c r="AQ792">
        <v>424.62589171205963</v>
      </c>
      <c r="AR792">
        <v>62.885437420476123</v>
      </c>
      <c r="AS792">
        <v>297.97446537134545</v>
      </c>
      <c r="AT792">
        <v>30.518273020448522</v>
      </c>
      <c r="AU792">
        <v>5.4073124934948176</v>
      </c>
      <c r="AV792"/>
      <c r="AW792"/>
      <c r="FY792" s="211">
        <v>787</v>
      </c>
      <c r="FZ792">
        <v>21.520005865161192</v>
      </c>
      <c r="GA792">
        <v>50.991642922333696</v>
      </c>
      <c r="GB792">
        <v>29.543457762950109</v>
      </c>
      <c r="GC792">
        <v>13.331751645401694</v>
      </c>
      <c r="GD792">
        <v>12.303846140795912</v>
      </c>
      <c r="GE792">
        <v>21.099050980403263</v>
      </c>
      <c r="GF792">
        <v>58.507065270596975</v>
      </c>
      <c r="GG792">
        <v>46.002225838249053</v>
      </c>
      <c r="GH792">
        <v>19.703780831738882</v>
      </c>
      <c r="GI792">
        <v>33.195616463331419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197.53859940253676</v>
      </c>
      <c r="AO793">
        <v>61.297539608507485</v>
      </c>
      <c r="AP793">
        <v>505.4711698240713</v>
      </c>
      <c r="AQ793">
        <v>401.36369191029621</v>
      </c>
      <c r="AR793">
        <v>60.760996894070381</v>
      </c>
      <c r="AS793">
        <v>284.13166738969505</v>
      </c>
      <c r="AT793">
        <v>30.88239597926578</v>
      </c>
      <c r="AU793">
        <v>75.970123997021162</v>
      </c>
      <c r="AV793"/>
      <c r="AW793"/>
      <c r="FY793" s="211">
        <v>788</v>
      </c>
      <c r="FZ793">
        <v>92.449179506084633</v>
      </c>
      <c r="GA793">
        <v>94.404868155274698</v>
      </c>
      <c r="GB793">
        <v>37.996636473372384</v>
      </c>
      <c r="GC793">
        <v>24.145355153757858</v>
      </c>
      <c r="GD793">
        <v>18.246031354765538</v>
      </c>
      <c r="GE793">
        <v>33.177322990963759</v>
      </c>
      <c r="GF793">
        <v>23.60949179408972</v>
      </c>
      <c r="GG793">
        <v>6.6813286145444231</v>
      </c>
      <c r="GH793">
        <v>17.335457450127912</v>
      </c>
      <c r="GI793">
        <v>42.229058072773313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183.13004869252023</v>
      </c>
      <c r="AO794">
        <v>57.854141176790975</v>
      </c>
      <c r="AP794">
        <v>491.70562740779798</v>
      </c>
      <c r="AQ794">
        <v>386.48745415525451</v>
      </c>
      <c r="AR794">
        <v>55.495911019704842</v>
      </c>
      <c r="AS794">
        <v>266.6542767789889</v>
      </c>
      <c r="AT794">
        <v>26.800963443727756</v>
      </c>
      <c r="AU794">
        <v>-34.205648320924276</v>
      </c>
      <c r="AV794"/>
      <c r="AW794"/>
      <c r="FY794" s="211">
        <v>789</v>
      </c>
      <c r="FZ794">
        <v>187.83217646725626</v>
      </c>
      <c r="GA794">
        <v>238.02644445030626</v>
      </c>
      <c r="GB794">
        <v>46.646490543034794</v>
      </c>
      <c r="GC794">
        <v>24.693860185910037</v>
      </c>
      <c r="GD794">
        <v>14.212590990639988</v>
      </c>
      <c r="GE794">
        <v>15.79798725187327</v>
      </c>
      <c r="GF794">
        <v>46.177862731895829</v>
      </c>
      <c r="GG794">
        <v>47.684997141813099</v>
      </c>
      <c r="GH794">
        <v>27.635776091112511</v>
      </c>
      <c r="GI794">
        <v>62.493455090964474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212.73516907157335</v>
      </c>
      <c r="AO795">
        <v>68.011114307671178</v>
      </c>
      <c r="AP795">
        <v>564.06157076031695</v>
      </c>
      <c r="AQ795">
        <v>438.3103435369818</v>
      </c>
      <c r="AR795">
        <v>66.466283446346267</v>
      </c>
      <c r="AS795">
        <v>333.93416730711573</v>
      </c>
      <c r="AT795">
        <v>32.268364632485778</v>
      </c>
      <c r="AU795">
        <v>-48.269809619422851</v>
      </c>
      <c r="AV795"/>
      <c r="AW795"/>
      <c r="FY795" s="211">
        <v>790</v>
      </c>
      <c r="FZ795">
        <v>44.85060012847935</v>
      </c>
      <c r="GA795">
        <v>44.921350474006381</v>
      </c>
      <c r="GB795">
        <v>45.584815943652082</v>
      </c>
      <c r="GC795">
        <v>23.879853266525803</v>
      </c>
      <c r="GD795">
        <v>10.644077838906508</v>
      </c>
      <c r="GE795">
        <v>21.623394771090549</v>
      </c>
      <c r="GF795">
        <v>52.653510768699562</v>
      </c>
      <c r="GG795">
        <v>43.824091011267868</v>
      </c>
      <c r="GH795">
        <v>37.110645610062548</v>
      </c>
      <c r="GI795">
        <v>41.393038195197995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174.20100920092128</v>
      </c>
      <c r="AO796">
        <v>58.202503331649552</v>
      </c>
      <c r="AP796">
        <v>467.86342449067934</v>
      </c>
      <c r="AQ796">
        <v>374.48831069535208</v>
      </c>
      <c r="AR796">
        <v>58.448464734330436</v>
      </c>
      <c r="AS796">
        <v>264.87054454251393</v>
      </c>
      <c r="AT796">
        <v>30.339899218392578</v>
      </c>
      <c r="AU796">
        <v>9.1886574830436984</v>
      </c>
      <c r="AV796"/>
      <c r="AW796"/>
      <c r="FY796" s="211">
        <v>791</v>
      </c>
      <c r="FZ796">
        <v>45.733478007280603</v>
      </c>
      <c r="GA796">
        <v>52.934215670396298</v>
      </c>
      <c r="GB796">
        <v>41.356616141431175</v>
      </c>
      <c r="GC796">
        <v>26.998427928000709</v>
      </c>
      <c r="GD796">
        <v>18.121501131838503</v>
      </c>
      <c r="GE796">
        <v>22.595543453715937</v>
      </c>
      <c r="GF796">
        <v>35.207051709949141</v>
      </c>
      <c r="GG796">
        <v>23.736421001447397</v>
      </c>
      <c r="GH796">
        <v>15.628500996225361</v>
      </c>
      <c r="GI796">
        <v>38.484949223639561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224.013944367763</v>
      </c>
      <c r="AO797">
        <v>71.146865088917792</v>
      </c>
      <c r="AP797">
        <v>579.53903693963071</v>
      </c>
      <c r="AQ797">
        <v>455.15739654759267</v>
      </c>
      <c r="AR797">
        <v>69.169133413693871</v>
      </c>
      <c r="AS797">
        <v>339.07770731031241</v>
      </c>
      <c r="AT797">
        <v>33.74802737871817</v>
      </c>
      <c r="AU797">
        <v>-43.832566043142897</v>
      </c>
      <c r="AV797"/>
      <c r="AW797"/>
      <c r="FY797" s="211">
        <v>792</v>
      </c>
      <c r="FZ797">
        <v>30.373855294280322</v>
      </c>
      <c r="GA797">
        <v>58.896038150359637</v>
      </c>
      <c r="GB797">
        <v>67.445005912743483</v>
      </c>
      <c r="GC797">
        <v>32.665586808438462</v>
      </c>
      <c r="GD797">
        <v>11.504238998274428</v>
      </c>
      <c r="GE797">
        <v>17.944629088171997</v>
      </c>
      <c r="GF797">
        <v>54.548916877704308</v>
      </c>
      <c r="GG797">
        <v>41.887748969043365</v>
      </c>
      <c r="GH797">
        <v>15.626818290100843</v>
      </c>
      <c r="GI797">
        <v>42.307657027296671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227.29943996243782</v>
      </c>
      <c r="AO798">
        <v>72.612667545969984</v>
      </c>
      <c r="AP798">
        <v>636.09389703450256</v>
      </c>
      <c r="AQ798">
        <v>502.39354802066066</v>
      </c>
      <c r="AR798">
        <v>69.85597010384943</v>
      </c>
      <c r="AS798">
        <v>342.45152036846531</v>
      </c>
      <c r="AT798">
        <v>35.572580644943102</v>
      </c>
      <c r="AU798">
        <v>-7.6821511733686449</v>
      </c>
      <c r="AV798"/>
      <c r="AW798"/>
      <c r="FY798" s="211">
        <v>793</v>
      </c>
      <c r="FZ798">
        <v>108.97263842791403</v>
      </c>
      <c r="GA798">
        <v>132.91304415947158</v>
      </c>
      <c r="GB798">
        <v>44.15626179046977</v>
      </c>
      <c r="GC798">
        <v>24.897996392951832</v>
      </c>
      <c r="GD798">
        <v>12.969420945271061</v>
      </c>
      <c r="GE798">
        <v>21.54721672725686</v>
      </c>
      <c r="GF798">
        <v>42.133600010534678</v>
      </c>
      <c r="GG798">
        <v>26.17247774705195</v>
      </c>
      <c r="GH798">
        <v>22.086216118889876</v>
      </c>
      <c r="GI798">
        <v>47.316647771532061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189.33541552730455</v>
      </c>
      <c r="AO799">
        <v>58.291285479595004</v>
      </c>
      <c r="AP799">
        <v>464.79243591815111</v>
      </c>
      <c r="AQ799">
        <v>369.85501311236607</v>
      </c>
      <c r="AR799">
        <v>57.220221141449819</v>
      </c>
      <c r="AS799">
        <v>286.71045964745809</v>
      </c>
      <c r="AT799">
        <v>28.779254701036759</v>
      </c>
      <c r="AU799">
        <v>-8.3735095202891401</v>
      </c>
      <c r="AV799"/>
      <c r="AW799"/>
      <c r="FY799" s="211">
        <v>794</v>
      </c>
      <c r="FZ799">
        <v>118.98613019007973</v>
      </c>
      <c r="GA799">
        <v>147.22209818218332</v>
      </c>
      <c r="GB799">
        <v>50.674295955969995</v>
      </c>
      <c r="GC799">
        <v>24.624239277245326</v>
      </c>
      <c r="GD799">
        <v>14.32796836387992</v>
      </c>
      <c r="GE799">
        <v>24.359881449282163</v>
      </c>
      <c r="GF799">
        <v>48.589608245788561</v>
      </c>
      <c r="GG799">
        <v>34.38146542350735</v>
      </c>
      <c r="GH799">
        <v>16.583835918078748</v>
      </c>
      <c r="GI799">
        <v>51.732111511863955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227.6504874323297</v>
      </c>
      <c r="AO800">
        <v>67.678657690017005</v>
      </c>
      <c r="AP800">
        <v>570.9058422650005</v>
      </c>
      <c r="AQ800">
        <v>442.85596443642703</v>
      </c>
      <c r="AR800">
        <v>65.908566097678289</v>
      </c>
      <c r="AS800">
        <v>298.41408883081533</v>
      </c>
      <c r="AT800">
        <v>32.437427175391129</v>
      </c>
      <c r="AU800">
        <v>43.499021686575304</v>
      </c>
      <c r="AV800"/>
      <c r="AW800"/>
      <c r="FY800" s="211">
        <v>795</v>
      </c>
      <c r="FZ800">
        <v>67.225241933754731</v>
      </c>
      <c r="GA800">
        <v>83.357468025926636</v>
      </c>
      <c r="GB800">
        <v>46.830840994722948</v>
      </c>
      <c r="GC800">
        <v>31.805821090496739</v>
      </c>
      <c r="GD800">
        <v>18.62134169278681</v>
      </c>
      <c r="GE800">
        <v>22.052784273227211</v>
      </c>
      <c r="GF800">
        <v>33.342976627504818</v>
      </c>
      <c r="GG800">
        <v>27.738836351822414</v>
      </c>
      <c r="GH800">
        <v>18.246354202876258</v>
      </c>
      <c r="GI800">
        <v>43.372172063132751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199.01673566668643</v>
      </c>
      <c r="AO801">
        <v>53.744271566728528</v>
      </c>
      <c r="AP801">
        <v>400.29241290982952</v>
      </c>
      <c r="AQ801">
        <v>313.37401861700971</v>
      </c>
      <c r="AR801">
        <v>52.698106911749903</v>
      </c>
      <c r="AS801">
        <v>258.19302990224259</v>
      </c>
      <c r="AT801">
        <v>23.242520884554164</v>
      </c>
      <c r="AU801">
        <v>26.579241130913012</v>
      </c>
      <c r="AV801"/>
      <c r="AW801"/>
      <c r="FY801" s="211">
        <v>796</v>
      </c>
      <c r="FZ801">
        <v>79.738631787779326</v>
      </c>
      <c r="GA801">
        <v>98.201428574754843</v>
      </c>
      <c r="GB801">
        <v>42.899304610950857</v>
      </c>
      <c r="GC801">
        <v>19.212491088356472</v>
      </c>
      <c r="GD801">
        <v>11.239235764131465</v>
      </c>
      <c r="GE801">
        <v>21.425505726167724</v>
      </c>
      <c r="GF801">
        <v>24.293703939406541</v>
      </c>
      <c r="GG801">
        <v>18.666988576451367</v>
      </c>
      <c r="GH801">
        <v>19.609592198543602</v>
      </c>
      <c r="GI801">
        <v>37.824155887501824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171.99945477832497</v>
      </c>
      <c r="AO802">
        <v>48.824202493704306</v>
      </c>
      <c r="AP802">
        <v>369.1525938407022</v>
      </c>
      <c r="AQ802">
        <v>286.79825433664723</v>
      </c>
      <c r="AR802">
        <v>48.941854606082657</v>
      </c>
      <c r="AS802">
        <v>258.60371095972027</v>
      </c>
      <c r="AT802">
        <v>23.423636275091837</v>
      </c>
      <c r="AU802">
        <v>4.7640055897399662</v>
      </c>
      <c r="AV802"/>
      <c r="AW802"/>
      <c r="FY802" s="211">
        <v>797</v>
      </c>
      <c r="FZ802">
        <v>30.062395701905054</v>
      </c>
      <c r="GA802">
        <v>44.525075581261277</v>
      </c>
      <c r="GB802">
        <v>44.763114227370508</v>
      </c>
      <c r="GC802">
        <v>21.382313348531081</v>
      </c>
      <c r="GD802">
        <v>13.742055783894118</v>
      </c>
      <c r="GE802">
        <v>25.564486265617699</v>
      </c>
      <c r="GF802">
        <v>61.42307171329054</v>
      </c>
      <c r="GG802">
        <v>52.033793897667884</v>
      </c>
      <c r="GH802">
        <v>20.736838785284313</v>
      </c>
      <c r="GI802">
        <v>40.378160899892706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190.19675317951632</v>
      </c>
      <c r="AO803">
        <v>49.434359703528045</v>
      </c>
      <c r="AP803">
        <v>401.99285689898204</v>
      </c>
      <c r="AQ803">
        <v>306.19844372096219</v>
      </c>
      <c r="AR803">
        <v>47.308576229409653</v>
      </c>
      <c r="AS803">
        <v>245.13546317599346</v>
      </c>
      <c r="AT803">
        <v>21.544753837692877</v>
      </c>
      <c r="AU803">
        <v>19.434999375560491</v>
      </c>
      <c r="AV803"/>
      <c r="AW803"/>
      <c r="FY803" s="211">
        <v>798</v>
      </c>
      <c r="FZ803">
        <v>28.154986980331781</v>
      </c>
      <c r="GA803">
        <v>33.840652009889979</v>
      </c>
      <c r="GB803">
        <v>36.484936597495633</v>
      </c>
      <c r="GC803">
        <v>22.933401552530007</v>
      </c>
      <c r="GD803">
        <v>12.696333272412735</v>
      </c>
      <c r="GE803">
        <v>17.096499110554326</v>
      </c>
      <c r="GF803">
        <v>24.020834069097219</v>
      </c>
      <c r="GG803">
        <v>14.25948166668466</v>
      </c>
      <c r="GH803">
        <v>23.248728557434113</v>
      </c>
      <c r="GI803">
        <v>29.950248957407805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175.0574496754376</v>
      </c>
      <c r="AO804">
        <v>61.489583448012709</v>
      </c>
      <c r="AP804">
        <v>464.96382806503948</v>
      </c>
      <c r="AQ804">
        <v>390.27472956575434</v>
      </c>
      <c r="AR804">
        <v>60.274213144449284</v>
      </c>
      <c r="AS804">
        <v>273.82634066399532</v>
      </c>
      <c r="AT804" t="e">
        <v>#DIV/0!</v>
      </c>
      <c r="AU804" t="e">
        <v>#DIV/0!</v>
      </c>
      <c r="AV804"/>
      <c r="AW804"/>
      <c r="FY804" s="211">
        <v>799</v>
      </c>
      <c r="FZ804">
        <v>70.371346033555938</v>
      </c>
      <c r="GA804">
        <v>89.789544537721213</v>
      </c>
      <c r="GB804">
        <v>43.487870434127274</v>
      </c>
      <c r="GC804">
        <v>28.422235335967205</v>
      </c>
      <c r="GD804">
        <v>17.207970849129591</v>
      </c>
      <c r="GE804">
        <v>21.12346961193122</v>
      </c>
      <c r="GF804">
        <v>19.341561393518262</v>
      </c>
      <c r="GG804">
        <v>16.409379294944507</v>
      </c>
      <c r="GH804">
        <v>23.874184807199484</v>
      </c>
      <c r="GI804">
        <v>40.153722338600943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242.66168579245627</v>
      </c>
      <c r="AO805">
        <v>95.859903594865017</v>
      </c>
      <c r="AP805">
        <v>901.33994206189004</v>
      </c>
      <c r="AQ805">
        <v>711.20164094480651</v>
      </c>
      <c r="AR805">
        <v>91.779460748646514</v>
      </c>
      <c r="AS805">
        <v>434.52146646142944</v>
      </c>
      <c r="AT805">
        <v>51.478091992907423</v>
      </c>
      <c r="AU805">
        <v>39.369793781699812</v>
      </c>
      <c r="AV805"/>
      <c r="AW805"/>
      <c r="FY805" s="211">
        <v>800</v>
      </c>
      <c r="FZ805">
        <v>157.94023026742474</v>
      </c>
      <c r="GA805">
        <v>184.13583294186179</v>
      </c>
      <c r="GB805">
        <v>48.129800588737361</v>
      </c>
      <c r="GC805">
        <v>25.791305610958862</v>
      </c>
      <c r="GD805">
        <v>13.718602725462446</v>
      </c>
      <c r="GE805">
        <v>27.211864705133607</v>
      </c>
      <c r="GF805">
        <v>35.813301546473248</v>
      </c>
      <c r="GG805">
        <v>20.778322945625643</v>
      </c>
      <c r="GH805">
        <v>21.777725740666007</v>
      </c>
      <c r="GI805">
        <v>54.71131440148234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205.85057376173245</v>
      </c>
      <c r="AO806">
        <v>59.451316512631919</v>
      </c>
      <c r="AP806">
        <v>481.59147215913157</v>
      </c>
      <c r="AQ806">
        <v>366.48537800788864</v>
      </c>
      <c r="AR806">
        <v>59.1757578467641</v>
      </c>
      <c r="AS806">
        <v>285.24102208776969</v>
      </c>
      <c r="AT806">
        <v>28.345781450129607</v>
      </c>
      <c r="AU806">
        <v>22.421129220806016</v>
      </c>
      <c r="AV806"/>
      <c r="AW806"/>
      <c r="FY806" s="211">
        <v>801</v>
      </c>
      <c r="FZ806">
        <v>126.75863742018163</v>
      </c>
      <c r="GA806">
        <v>130.71985936024788</v>
      </c>
      <c r="GB806">
        <v>29.433067838465526</v>
      </c>
      <c r="GC806">
        <v>20.809559969471081</v>
      </c>
      <c r="GD806">
        <v>15.122015353636948</v>
      </c>
      <c r="GE806">
        <v>18.837899178029534</v>
      </c>
      <c r="GF806">
        <v>55.218419425449746</v>
      </c>
      <c r="GG806">
        <v>48.63969214267631</v>
      </c>
      <c r="GH806">
        <v>27.524034248267188</v>
      </c>
      <c r="GI806">
        <v>51.130222021833809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206.86839327216916</v>
      </c>
      <c r="AO807">
        <v>55.96360531697686</v>
      </c>
      <c r="AP807">
        <v>400.80606158960785</v>
      </c>
      <c r="AQ807">
        <v>320.79670526392471</v>
      </c>
      <c r="AR807">
        <v>55.291769233385999</v>
      </c>
      <c r="AS807">
        <v>261.27505320853567</v>
      </c>
      <c r="AT807">
        <v>25.225717509837462</v>
      </c>
      <c r="AU807">
        <v>-2.5211381076164656</v>
      </c>
      <c r="AV807"/>
      <c r="AW807"/>
      <c r="FY807" s="211">
        <v>802</v>
      </c>
      <c r="FZ807">
        <v>118.80015990312977</v>
      </c>
      <c r="GA807">
        <v>128.18704606981692</v>
      </c>
      <c r="GB807">
        <v>45.284674503016554</v>
      </c>
      <c r="GC807">
        <v>28.361652975417666</v>
      </c>
      <c r="GD807">
        <v>15.570124860294767</v>
      </c>
      <c r="GE807">
        <v>26.159644269448222</v>
      </c>
      <c r="GF807">
        <v>35.142755153287347</v>
      </c>
      <c r="GG807">
        <v>18.714029687431559</v>
      </c>
      <c r="GH807">
        <v>22.442436043816496</v>
      </c>
      <c r="GI807">
        <v>49.440579588588029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257.84186883570192</v>
      </c>
      <c r="AO808">
        <v>63.384436241549984</v>
      </c>
      <c r="AP808">
        <v>502.53806087547167</v>
      </c>
      <c r="AQ808">
        <v>373.2004954164135</v>
      </c>
      <c r="AR808">
        <v>60.731835343183427</v>
      </c>
      <c r="AS808">
        <v>306.33577205125005</v>
      </c>
      <c r="AT808">
        <v>27.508293834649013</v>
      </c>
      <c r="AU808">
        <v>20.835198991742033</v>
      </c>
      <c r="AV808"/>
      <c r="AW808"/>
      <c r="FY808" s="211">
        <v>803</v>
      </c>
      <c r="FZ808">
        <v>34.102219306566354</v>
      </c>
      <c r="GA808">
        <v>45.374426338221838</v>
      </c>
      <c r="GB808">
        <v>26.436505359708796</v>
      </c>
      <c r="GC808">
        <v>17.625813865077337</v>
      </c>
      <c r="GD808">
        <v>16.066535902144082</v>
      </c>
      <c r="GE808">
        <v>18.428531643866048</v>
      </c>
      <c r="GF808">
        <v>45.464601146574502</v>
      </c>
      <c r="GG808">
        <v>35.822551337022176</v>
      </c>
      <c r="GH808">
        <v>18.035187341350852</v>
      </c>
      <c r="GI808">
        <v>33.941491697772449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200.20877835752316</v>
      </c>
      <c r="AO809">
        <v>70.31569815443811</v>
      </c>
      <c r="AP809">
        <v>608.21001118558399</v>
      </c>
      <c r="AQ809">
        <v>483.16552009134369</v>
      </c>
      <c r="AR809">
        <v>68.210003523279326</v>
      </c>
      <c r="AS809">
        <v>312.93836348173778</v>
      </c>
      <c r="AT809">
        <v>35.937277071122132</v>
      </c>
      <c r="AU809">
        <v>-26.539321446253965</v>
      </c>
      <c r="AV809"/>
      <c r="AW809"/>
      <c r="FY809" s="211">
        <v>804</v>
      </c>
      <c r="FZ809">
        <v>31.65368841691431</v>
      </c>
      <c r="GA809">
        <v>48.430125053789965</v>
      </c>
      <c r="GB809">
        <v>44.863380275351481</v>
      </c>
      <c r="GC809">
        <v>24.266336153662724</v>
      </c>
      <c r="GD809">
        <v>15.929803094675101</v>
      </c>
      <c r="GE809">
        <v>28.428529943236867</v>
      </c>
      <c r="GF809">
        <v>71.81971985219127</v>
      </c>
      <c r="GG809">
        <v>59.521531071676691</v>
      </c>
      <c r="GH809">
        <v>25.202861060143398</v>
      </c>
      <c r="GI809">
        <v>44.777814250039256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211.96798025657623</v>
      </c>
      <c r="AO810">
        <v>77.164107956786893</v>
      </c>
      <c r="AP810">
        <v>671.17063226421612</v>
      </c>
      <c r="AQ810">
        <v>531.48163451787912</v>
      </c>
      <c r="AR810">
        <v>74.853456632802704</v>
      </c>
      <c r="AS810">
        <v>355.95238681301095</v>
      </c>
      <c r="AT810">
        <v>39.749897114328519</v>
      </c>
      <c r="AU810">
        <v>-35.690679872062091</v>
      </c>
      <c r="AV810"/>
      <c r="AW810"/>
      <c r="FY810" s="211">
        <v>805</v>
      </c>
      <c r="FZ810">
        <v>38.598449016243414</v>
      </c>
      <c r="GA810">
        <v>50.864527417774454</v>
      </c>
      <c r="GB810">
        <v>61.880248016888224</v>
      </c>
      <c r="GC810">
        <v>35.469305512971481</v>
      </c>
      <c r="GD810">
        <v>19.528831162864602</v>
      </c>
      <c r="GE810">
        <v>30.546427199402501</v>
      </c>
      <c r="GF810">
        <v>34.175936249317445</v>
      </c>
      <c r="GG810">
        <v>17.782848890826294</v>
      </c>
      <c r="GH810">
        <v>16.713445791065212</v>
      </c>
      <c r="GI810">
        <v>43.343776508510636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206.46726721700276</v>
      </c>
      <c r="AO811">
        <v>65.349321845050753</v>
      </c>
      <c r="AP811">
        <v>491.02230654659604</v>
      </c>
      <c r="AQ811">
        <v>392.59383725625128</v>
      </c>
      <c r="AR811">
        <v>62.80105930941609</v>
      </c>
      <c r="AS811">
        <v>298.47313261253038</v>
      </c>
      <c r="AT811">
        <v>30.372416955470797</v>
      </c>
      <c r="AU811">
        <v>-18.211253280584614</v>
      </c>
      <c r="AV811"/>
      <c r="AW811"/>
      <c r="FY811" s="211">
        <v>806</v>
      </c>
      <c r="FZ811">
        <v>67.742066120758395</v>
      </c>
      <c r="GA811">
        <v>82.854033673706525</v>
      </c>
      <c r="GB811">
        <v>36.198824991521448</v>
      </c>
      <c r="GC811">
        <v>22.982690784909327</v>
      </c>
      <c r="GD811">
        <v>21.217401719799494</v>
      </c>
      <c r="GE811">
        <v>34.943935772975557</v>
      </c>
      <c r="GF811">
        <v>67.344063669296517</v>
      </c>
      <c r="GG811">
        <v>52.357841998457154</v>
      </c>
      <c r="GH811">
        <v>23.562041790747969</v>
      </c>
      <c r="GI811">
        <v>49.919627430035597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175.76928970509141</v>
      </c>
      <c r="AO812">
        <v>56.064486260019386</v>
      </c>
      <c r="AP812">
        <v>471.22719347513515</v>
      </c>
      <c r="AQ812">
        <v>373.11103815404408</v>
      </c>
      <c r="AR812">
        <v>54.66502947810168</v>
      </c>
      <c r="AS812">
        <v>267.66507379732798</v>
      </c>
      <c r="AT812">
        <v>26.86450510897393</v>
      </c>
      <c r="AU812">
        <v>23.539664580789868</v>
      </c>
      <c r="AV812"/>
      <c r="AW812"/>
      <c r="FY812" s="211">
        <v>807</v>
      </c>
      <c r="FZ812">
        <v>75.716951202328474</v>
      </c>
      <c r="GA812">
        <v>86.165958014429009</v>
      </c>
      <c r="GB812">
        <v>49.856767028422702</v>
      </c>
      <c r="GC812">
        <v>27.838200594685894</v>
      </c>
      <c r="GD812">
        <v>15.73644729348492</v>
      </c>
      <c r="GE812">
        <v>23.676982547561149</v>
      </c>
      <c r="GF812">
        <v>34.157548790122128</v>
      </c>
      <c r="GG812">
        <v>27.107432366419495</v>
      </c>
      <c r="GH812">
        <v>17.547620404185508</v>
      </c>
      <c r="GI812">
        <v>43.541674706988644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198.19792398186988</v>
      </c>
      <c r="AO813">
        <v>60.149902055935321</v>
      </c>
      <c r="AP813">
        <v>471.08368746986361</v>
      </c>
      <c r="AQ813">
        <v>354.61130620471516</v>
      </c>
      <c r="AR813">
        <v>58.392774971988459</v>
      </c>
      <c r="AS813">
        <v>300.34695800983769</v>
      </c>
      <c r="AT813">
        <v>27.816093244094535</v>
      </c>
      <c r="AU813">
        <v>1.7579012318357101</v>
      </c>
      <c r="AV813"/>
      <c r="AW813"/>
      <c r="FY813" s="211">
        <v>808</v>
      </c>
      <c r="FZ813">
        <v>74.780887557538804</v>
      </c>
      <c r="GA813">
        <v>84.804022862693387</v>
      </c>
      <c r="GB813">
        <v>44.663707414372709</v>
      </c>
      <c r="GC813">
        <v>24.557146771539497</v>
      </c>
      <c r="GD813">
        <v>12.44390068314361</v>
      </c>
      <c r="GE813">
        <v>16.970217063961602</v>
      </c>
      <c r="GF813">
        <v>41.761864920833389</v>
      </c>
      <c r="GG813">
        <v>38.246223049345204</v>
      </c>
      <c r="GH813">
        <v>22.345252379448191</v>
      </c>
      <c r="GI813">
        <v>42.235058948704641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166.28351821996677</v>
      </c>
      <c r="AO814">
        <v>42.290907583415951</v>
      </c>
      <c r="AP814">
        <v>304.68395609633137</v>
      </c>
      <c r="AQ814">
        <v>242.68610277383826</v>
      </c>
      <c r="AR814">
        <v>42.711180368022646</v>
      </c>
      <c r="AS814">
        <v>217.54003169378078</v>
      </c>
      <c r="AT814">
        <v>20.912070578627119</v>
      </c>
      <c r="AU814">
        <v>-16.494080737907257</v>
      </c>
      <c r="AV814"/>
      <c r="AW814"/>
      <c r="FY814" s="211">
        <v>809</v>
      </c>
      <c r="FZ814">
        <v>44.519639731594218</v>
      </c>
      <c r="GA814">
        <v>65.013158991084424</v>
      </c>
      <c r="GB814">
        <v>42.386049395914128</v>
      </c>
      <c r="GC814">
        <v>19.682250779501754</v>
      </c>
      <c r="GD814">
        <v>18.273577022566339</v>
      </c>
      <c r="GE814">
        <v>38.180231841841902</v>
      </c>
      <c r="GF814">
        <v>101.35872391219964</v>
      </c>
      <c r="GG814">
        <v>83.661826157110866</v>
      </c>
      <c r="GH814">
        <v>29.819018892719512</v>
      </c>
      <c r="GI814">
        <v>54.123970280965345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186.10536658122305</v>
      </c>
      <c r="AO815">
        <v>60.159853668489951</v>
      </c>
      <c r="AP815">
        <v>459.61103052570894</v>
      </c>
      <c r="AQ815">
        <v>370.18128463669564</v>
      </c>
      <c r="AR815">
        <v>58.252142622349879</v>
      </c>
      <c r="AS815">
        <v>274.12522452870724</v>
      </c>
      <c r="AT815">
        <v>28.044040301798901</v>
      </c>
      <c r="AU815">
        <v>-25.15931606924293</v>
      </c>
      <c r="AV815"/>
      <c r="AW815"/>
      <c r="FY815" s="211">
        <v>810</v>
      </c>
      <c r="FZ815">
        <v>36.06262667619189</v>
      </c>
      <c r="GA815">
        <v>52.612394894493086</v>
      </c>
      <c r="GB815">
        <v>47.639174218705278</v>
      </c>
      <c r="GC815">
        <v>23.118953720811014</v>
      </c>
      <c r="GD815">
        <v>16.075133250527038</v>
      </c>
      <c r="GE815">
        <v>27.230092272221246</v>
      </c>
      <c r="GF815">
        <v>33.663486228027864</v>
      </c>
      <c r="GG815">
        <v>23.221592074390255</v>
      </c>
      <c r="GH815">
        <v>16.34018342188741</v>
      </c>
      <c r="GI815">
        <v>37.055911426208915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225.52070156076428</v>
      </c>
      <c r="AO816">
        <v>82.050246507772272</v>
      </c>
      <c r="AP816">
        <v>729.17883225459229</v>
      </c>
      <c r="AQ816">
        <v>590.00830147382612</v>
      </c>
      <c r="AR816">
        <v>78.781204272086441</v>
      </c>
      <c r="AS816">
        <v>346.54600533453169</v>
      </c>
      <c r="AT816">
        <v>43.410815138813241</v>
      </c>
      <c r="AU816">
        <v>-23.004489116940007</v>
      </c>
      <c r="AV816"/>
      <c r="AW816"/>
      <c r="FY816" s="211">
        <v>811</v>
      </c>
      <c r="FZ816">
        <v>17.86916537633979</v>
      </c>
      <c r="GA816">
        <v>40.444233473912021</v>
      </c>
      <c r="GB816">
        <v>55.013793233460596</v>
      </c>
      <c r="GC816">
        <v>33.404153214150398</v>
      </c>
      <c r="GD816">
        <v>18.828157033091369</v>
      </c>
      <c r="GE816">
        <v>27.341283270673895</v>
      </c>
      <c r="GF816">
        <v>33.437169985329056</v>
      </c>
      <c r="GG816">
        <v>19.085698239129496</v>
      </c>
      <c r="GH816">
        <v>17.42736506606375</v>
      </c>
      <c r="GI816">
        <v>38.254371147018226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219.0216211515245</v>
      </c>
      <c r="AO817">
        <v>75.024101357700061</v>
      </c>
      <c r="AP817">
        <v>656.55573965978203</v>
      </c>
      <c r="AQ817">
        <v>524.19340695825963</v>
      </c>
      <c r="AR817">
        <v>74.079029279270046</v>
      </c>
      <c r="AS817">
        <v>343.63088072635753</v>
      </c>
      <c r="AT817">
        <v>39.907686231107924</v>
      </c>
      <c r="AU817">
        <v>-22.751997500366116</v>
      </c>
      <c r="AV817"/>
      <c r="AW817"/>
      <c r="FY817" s="211">
        <v>812</v>
      </c>
      <c r="FZ817">
        <v>70.158340984990801</v>
      </c>
      <c r="GA817">
        <v>91.556368323366783</v>
      </c>
      <c r="GB817">
        <v>47.229472101559644</v>
      </c>
      <c r="GC817">
        <v>22.927167763078671</v>
      </c>
      <c r="GD817">
        <v>10.900300903630459</v>
      </c>
      <c r="GE817">
        <v>18.38020496815388</v>
      </c>
      <c r="GF817">
        <v>56.278353992981984</v>
      </c>
      <c r="GG817">
        <v>43.914024358699578</v>
      </c>
      <c r="GH817">
        <v>21.708556884186134</v>
      </c>
      <c r="GI817">
        <v>44.085031183341556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202.0091985588875</v>
      </c>
      <c r="AO818">
        <v>72.590239412269483</v>
      </c>
      <c r="AP818">
        <v>600.73589946005382</v>
      </c>
      <c r="AQ818">
        <v>488.1031030542473</v>
      </c>
      <c r="AR818">
        <v>70.998897931199238</v>
      </c>
      <c r="AS818">
        <v>326.64818887757912</v>
      </c>
      <c r="AT818">
        <v>38.464255245985449</v>
      </c>
      <c r="AU818">
        <v>-8.8166182727807225</v>
      </c>
      <c r="AV818"/>
      <c r="AW818"/>
      <c r="FY818" s="211">
        <v>813</v>
      </c>
      <c r="FZ818">
        <v>74.570685481741066</v>
      </c>
      <c r="GA818">
        <v>104.5511693193059</v>
      </c>
      <c r="GB818">
        <v>63.911235227846007</v>
      </c>
      <c r="GC818">
        <v>31.123259719254403</v>
      </c>
      <c r="GD818">
        <v>15.525293757596243</v>
      </c>
      <c r="GE818">
        <v>26.888028331288677</v>
      </c>
      <c r="GF818">
        <v>34.496651028633394</v>
      </c>
      <c r="GG818">
        <v>27.940883458039348</v>
      </c>
      <c r="GH818">
        <v>24.87848697228193</v>
      </c>
      <c r="GI818">
        <v>48.129568416803401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156.32357796780212</v>
      </c>
      <c r="AO819">
        <v>48.920649192996784</v>
      </c>
      <c r="AP819">
        <v>367.85852642988209</v>
      </c>
      <c r="AQ819">
        <v>291.29786393830449</v>
      </c>
      <c r="AR819">
        <v>48.829549711395281</v>
      </c>
      <c r="AS819">
        <v>238.32087007294638</v>
      </c>
      <c r="AT819">
        <v>23.854018558476152</v>
      </c>
      <c r="AU819">
        <v>0.9225222895182057</v>
      </c>
      <c r="AV819"/>
      <c r="AW819"/>
      <c r="FY819" s="211">
        <v>814</v>
      </c>
      <c r="FZ819">
        <v>153.21392485573318</v>
      </c>
      <c r="GA819">
        <v>186.65209246269396</v>
      </c>
      <c r="GB819">
        <v>31.843471660694526</v>
      </c>
      <c r="GC819">
        <v>15.372960821845901</v>
      </c>
      <c r="GD819">
        <v>16.197785462872027</v>
      </c>
      <c r="GE819">
        <v>29.578402425973735</v>
      </c>
      <c r="GF819">
        <v>40.311336687347641</v>
      </c>
      <c r="GG819">
        <v>33.697657197342011</v>
      </c>
      <c r="GH819">
        <v>30.04258995151033</v>
      </c>
      <c r="GI819">
        <v>53.75642590894914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204.23626605330952</v>
      </c>
      <c r="AO820">
        <v>67.299787147265221</v>
      </c>
      <c r="AP820">
        <v>520.4906008622213</v>
      </c>
      <c r="AQ820">
        <v>394.89378917168108</v>
      </c>
      <c r="AR820">
        <v>64.547451122912889</v>
      </c>
      <c r="AS820">
        <v>314.20711257011635</v>
      </c>
      <c r="AT820">
        <v>30.266024417820649</v>
      </c>
      <c r="AU820">
        <v>93.239180020048209</v>
      </c>
      <c r="AV820"/>
      <c r="AW820"/>
      <c r="FY820" s="211">
        <v>815</v>
      </c>
      <c r="FZ820">
        <v>127.78649242686912</v>
      </c>
      <c r="GA820">
        <v>122.56552898605074</v>
      </c>
      <c r="GB820">
        <v>45.10702333756857</v>
      </c>
      <c r="GC820">
        <v>32.397342982541581</v>
      </c>
      <c r="GD820">
        <v>14.30539844846256</v>
      </c>
      <c r="GE820">
        <v>16.387636206982108</v>
      </c>
      <c r="GF820">
        <v>44.161756957269262</v>
      </c>
      <c r="GG820">
        <v>31.698394890404565</v>
      </c>
      <c r="GH820">
        <v>23.052488611084996</v>
      </c>
      <c r="GI820">
        <v>51.761611879275819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240.51670380538636</v>
      </c>
      <c r="AO821">
        <v>63.434216888766045</v>
      </c>
      <c r="AP821">
        <v>439.700346170682</v>
      </c>
      <c r="AQ821">
        <v>348.90379576586429</v>
      </c>
      <c r="AR821">
        <v>61.787269391411876</v>
      </c>
      <c r="AS821">
        <v>325.37272199260229</v>
      </c>
      <c r="AT821">
        <v>28.251797107453708</v>
      </c>
      <c r="AU821">
        <v>11.275040697182924</v>
      </c>
      <c r="AV821"/>
      <c r="AW821"/>
      <c r="FY821" s="211">
        <v>816</v>
      </c>
      <c r="FZ821">
        <v>121.35775459089663</v>
      </c>
      <c r="GA821">
        <v>146.91678180616381</v>
      </c>
      <c r="GB821">
        <v>50.615760455370527</v>
      </c>
      <c r="GC821">
        <v>24.969516580247777</v>
      </c>
      <c r="GD821">
        <v>16.952348195380793</v>
      </c>
      <c r="GE821">
        <v>27.143956964508522</v>
      </c>
      <c r="GF821">
        <v>61.206266823851983</v>
      </c>
      <c r="GG821">
        <v>54.659080669777687</v>
      </c>
      <c r="GH821">
        <v>24.394253908279353</v>
      </c>
      <c r="GI821">
        <v>57.560559089436026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266.28742853728647</v>
      </c>
      <c r="AO822">
        <v>74.374217395682493</v>
      </c>
      <c r="AP822">
        <v>578.30235369221305</v>
      </c>
      <c r="AQ822">
        <v>459.12252795220797</v>
      </c>
      <c r="AR822">
        <v>71.903602023960573</v>
      </c>
      <c r="AS822">
        <v>362.14199946106311</v>
      </c>
      <c r="AT822">
        <v>35.601824028668752</v>
      </c>
      <c r="AU822">
        <v>21.32916465312703</v>
      </c>
      <c r="AV822"/>
      <c r="AW822"/>
      <c r="FY822" s="211">
        <v>817</v>
      </c>
      <c r="FZ822">
        <v>84.919788765415944</v>
      </c>
      <c r="GA822">
        <v>100.23242647529287</v>
      </c>
      <c r="GB822">
        <v>44.767067828280844</v>
      </c>
      <c r="GC822">
        <v>20.998944473478623</v>
      </c>
      <c r="GD822">
        <v>12.153106370693864</v>
      </c>
      <c r="GE822">
        <v>20.339688686148552</v>
      </c>
      <c r="GF822">
        <v>14.387624799787794</v>
      </c>
      <c r="GG822">
        <v>15.668021685534994</v>
      </c>
      <c r="GH822">
        <v>38.207812695636825</v>
      </c>
      <c r="GI822">
        <v>40.66458159400208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186.84943048633127</v>
      </c>
      <c r="AO823">
        <v>64.519045616075402</v>
      </c>
      <c r="AP823">
        <v>506.19336146012694</v>
      </c>
      <c r="AQ823">
        <v>401.34558294862796</v>
      </c>
      <c r="AR823">
        <v>62.94001571822389</v>
      </c>
      <c r="AS823">
        <v>294.09201862119608</v>
      </c>
      <c r="AT823">
        <v>31.162573550839003</v>
      </c>
      <c r="AU823">
        <v>5.4033116412313547</v>
      </c>
      <c r="AV823"/>
      <c r="AW823"/>
      <c r="FY823" s="211">
        <v>818</v>
      </c>
      <c r="FZ823">
        <v>32.716538734563173</v>
      </c>
      <c r="GA823">
        <v>32.916872442612117</v>
      </c>
      <c r="GB823">
        <v>31.717733426561473</v>
      </c>
      <c r="GC823">
        <v>24.218195240456829</v>
      </c>
      <c r="GD823">
        <v>18.379146616081272</v>
      </c>
      <c r="GE823">
        <v>24.723398164425507</v>
      </c>
      <c r="GF823">
        <v>24.133987125305783</v>
      </c>
      <c r="GG823">
        <v>12.011410274227501</v>
      </c>
      <c r="GH823">
        <v>18.754338564488478</v>
      </c>
      <c r="GI823">
        <v>32.351075770021488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202.39076586171274</v>
      </c>
      <c r="AO824">
        <v>62.256437295445934</v>
      </c>
      <c r="AP824">
        <v>518.16521437173071</v>
      </c>
      <c r="AQ824">
        <v>402.80828165158101</v>
      </c>
      <c r="AR824">
        <v>61.162192071951694</v>
      </c>
      <c r="AS824">
        <v>290.77085489510381</v>
      </c>
      <c r="AT824">
        <v>30.616021345155456</v>
      </c>
      <c r="AU824">
        <v>41.851734049244634</v>
      </c>
      <c r="AV824"/>
      <c r="AW824"/>
      <c r="FY824" s="211">
        <v>819</v>
      </c>
      <c r="FZ824">
        <v>116.0707772445172</v>
      </c>
      <c r="GA824">
        <v>120.2928593911724</v>
      </c>
      <c r="GB824">
        <v>50.071753918170423</v>
      </c>
      <c r="GC824">
        <v>31.068028052482653</v>
      </c>
      <c r="GD824">
        <v>14.873966251650188</v>
      </c>
      <c r="GE824">
        <v>22.611657785105191</v>
      </c>
      <c r="GF824">
        <v>92.983409100673242</v>
      </c>
      <c r="GG824">
        <v>74.750415119794368</v>
      </c>
      <c r="GH824">
        <v>18.916683892130401</v>
      </c>
      <c r="GI824">
        <v>60.889453655557489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276.26021108632114</v>
      </c>
      <c r="AO825">
        <v>81.213108223786108</v>
      </c>
      <c r="AP825">
        <v>656.00304907713974</v>
      </c>
      <c r="AQ825">
        <v>497.0184470054981</v>
      </c>
      <c r="AR825">
        <v>77.908251841992382</v>
      </c>
      <c r="AS825">
        <v>401.45544745683429</v>
      </c>
      <c r="AT825">
        <v>36.024958640591741</v>
      </c>
      <c r="AU825">
        <v>220.84713285551183</v>
      </c>
      <c r="AV825"/>
      <c r="AW825"/>
      <c r="FY825" s="211">
        <v>820</v>
      </c>
      <c r="FZ825">
        <v>70.314635647041271</v>
      </c>
      <c r="GA825">
        <v>95.179595033041281</v>
      </c>
      <c r="GB825">
        <v>48.613243737367881</v>
      </c>
      <c r="GC825">
        <v>27.274800733559694</v>
      </c>
      <c r="GD825">
        <v>17.375711154696933</v>
      </c>
      <c r="GE825">
        <v>29.165091180012304</v>
      </c>
      <c r="GF825">
        <v>38.302402940030817</v>
      </c>
      <c r="GG825">
        <v>25.667368219404096</v>
      </c>
      <c r="GH825">
        <v>24.175016586258394</v>
      </c>
      <c r="GI825">
        <v>45.407788407046702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177.55906226225699</v>
      </c>
      <c r="AO826">
        <v>54.359964745880333</v>
      </c>
      <c r="AP826">
        <v>399.56416225157699</v>
      </c>
      <c r="AQ826">
        <v>313.019548183464</v>
      </c>
      <c r="AR826">
        <v>53.255871543329938</v>
      </c>
      <c r="AS826">
        <v>282.94304235800678</v>
      </c>
      <c r="AT826">
        <v>24.510134339112284</v>
      </c>
      <c r="AU826">
        <v>14.020174061745422</v>
      </c>
      <c r="AV826"/>
      <c r="AW826"/>
      <c r="FY826" s="211">
        <v>821</v>
      </c>
      <c r="FZ826">
        <v>36.089823718529288</v>
      </c>
      <c r="GA826">
        <v>58.162221013049106</v>
      </c>
      <c r="GB826">
        <v>57.614422536745145</v>
      </c>
      <c r="GC826">
        <v>27.148744453852991</v>
      </c>
      <c r="GD826">
        <v>14.066325486776352</v>
      </c>
      <c r="GE826">
        <v>25.199803092197563</v>
      </c>
      <c r="GF826">
        <v>25.933944952910721</v>
      </c>
      <c r="GG826">
        <v>16.620828782636242</v>
      </c>
      <c r="GH826">
        <v>25.270784017684107</v>
      </c>
      <c r="GI826">
        <v>38.098565646977747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207.38362901444106</v>
      </c>
      <c r="AO827">
        <v>57.135301521076123</v>
      </c>
      <c r="AP827">
        <v>384.09641745178925</v>
      </c>
      <c r="AQ827">
        <v>301.10539003916864</v>
      </c>
      <c r="AR827">
        <v>54.839043080724494</v>
      </c>
      <c r="AS827">
        <v>260.91706971445967</v>
      </c>
      <c r="AT827">
        <v>24.946699700836252</v>
      </c>
      <c r="AU827">
        <v>-25.367596312534197</v>
      </c>
      <c r="AV827"/>
      <c r="AW827"/>
      <c r="FY827" s="211">
        <v>822</v>
      </c>
      <c r="FZ827">
        <v>65.711826603795174</v>
      </c>
      <c r="GA827">
        <v>88.080184428130721</v>
      </c>
      <c r="GB827">
        <v>37.308344262592087</v>
      </c>
      <c r="GC827">
        <v>21.712360779331526</v>
      </c>
      <c r="GD827">
        <v>14.634196513262401</v>
      </c>
      <c r="GE827">
        <v>30.051801075539807</v>
      </c>
      <c r="GF827">
        <v>70.521342490917462</v>
      </c>
      <c r="GG827">
        <v>49.260361233370162</v>
      </c>
      <c r="GH827">
        <v>19.785132682115172</v>
      </c>
      <c r="GI827">
        <v>45.691920018231343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222.62626559799259</v>
      </c>
      <c r="AO828">
        <v>65.352778558279965</v>
      </c>
      <c r="AP828">
        <v>561.39685466446304</v>
      </c>
      <c r="AQ828">
        <v>427.13782146398944</v>
      </c>
      <c r="AR828">
        <v>63.813770934600925</v>
      </c>
      <c r="AS828">
        <v>325.76646780050174</v>
      </c>
      <c r="AT828">
        <v>30.673068277889101</v>
      </c>
      <c r="AU828">
        <v>8.3610891904625646</v>
      </c>
      <c r="AV828"/>
      <c r="AW828"/>
      <c r="FY828" s="211">
        <v>823</v>
      </c>
      <c r="FZ828">
        <v>110.52818942368516</v>
      </c>
      <c r="GA828">
        <v>147.39288452752396</v>
      </c>
      <c r="GB828">
        <v>58.870704974241221</v>
      </c>
      <c r="GC828">
        <v>32.340123149720377</v>
      </c>
      <c r="GD828">
        <v>15.924143073070914</v>
      </c>
      <c r="GE828">
        <v>31.985055957504859</v>
      </c>
      <c r="GF828">
        <v>33.570432071505792</v>
      </c>
      <c r="GG828">
        <v>13.099974662367705</v>
      </c>
      <c r="GH828">
        <v>24.095288678641431</v>
      </c>
      <c r="GI828">
        <v>51.739519579770636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207.29721411945494</v>
      </c>
      <c r="AO829">
        <v>72.474458650183834</v>
      </c>
      <c r="AP829">
        <v>582.43856196621164</v>
      </c>
      <c r="AQ829">
        <v>452.01526171279033</v>
      </c>
      <c r="AR829">
        <v>69.819257697254827</v>
      </c>
      <c r="AS829">
        <v>328.04566396623432</v>
      </c>
      <c r="AT829">
        <v>34.400228712482154</v>
      </c>
      <c r="AU829">
        <v>6.3860071751601915</v>
      </c>
      <c r="AV829"/>
      <c r="AW829"/>
      <c r="FY829" s="211">
        <v>824</v>
      </c>
      <c r="FZ829">
        <v>32.070112718602786</v>
      </c>
      <c r="GA829">
        <v>40.845096188014921</v>
      </c>
      <c r="GB829">
        <v>38.559139437678233</v>
      </c>
      <c r="GC829">
        <v>24.308357343749257</v>
      </c>
      <c r="GD829">
        <v>13.814935007340958</v>
      </c>
      <c r="GE829">
        <v>18.431546596885859</v>
      </c>
      <c r="GF829">
        <v>39.572705009053067</v>
      </c>
      <c r="GG829">
        <v>36.027367151715048</v>
      </c>
      <c r="GH829">
        <v>24.077469161255983</v>
      </c>
      <c r="GI829">
        <v>34.98630983076108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214.49536339511297</v>
      </c>
      <c r="AO830">
        <v>80.577186663218669</v>
      </c>
      <c r="AP830">
        <v>724.29014121392674</v>
      </c>
      <c r="AQ830">
        <v>590.66664743496244</v>
      </c>
      <c r="AR830">
        <v>77.878621552015701</v>
      </c>
      <c r="AS830">
        <v>361.84542651151719</v>
      </c>
      <c r="AT830">
        <v>42.221833304494076</v>
      </c>
      <c r="AU830">
        <v>-14.663607492317198</v>
      </c>
      <c r="AV830"/>
      <c r="AW830"/>
      <c r="FY830" s="211">
        <v>825</v>
      </c>
      <c r="FZ830">
        <v>82.905922247506339</v>
      </c>
      <c r="GA830">
        <v>100.64849728915691</v>
      </c>
      <c r="GB830">
        <v>42.749515773429117</v>
      </c>
      <c r="GC830">
        <v>24.021400545809367</v>
      </c>
      <c r="GD830">
        <v>16.966523170163647</v>
      </c>
      <c r="GE830">
        <v>23.553283227234203</v>
      </c>
      <c r="GF830">
        <v>23.697970682833958</v>
      </c>
      <c r="GG830">
        <v>20.865454944335088</v>
      </c>
      <c r="GH830">
        <v>23.672829715408184</v>
      </c>
      <c r="GI830">
        <v>42.597718366363381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218.11975014426304</v>
      </c>
      <c r="AO831">
        <v>75.411378392304371</v>
      </c>
      <c r="AP831">
        <v>636.35047871563484</v>
      </c>
      <c r="AQ831">
        <v>509.22367472650933</v>
      </c>
      <c r="AR831">
        <v>74.774833963492796</v>
      </c>
      <c r="AS831">
        <v>374.18352945373704</v>
      </c>
      <c r="AT831">
        <v>40.194505526432188</v>
      </c>
      <c r="AU831">
        <v>22.487334513324015</v>
      </c>
      <c r="AV831"/>
      <c r="AW831"/>
      <c r="FY831" s="211">
        <v>826</v>
      </c>
      <c r="FZ831">
        <v>35.892157663034631</v>
      </c>
      <c r="GA831">
        <v>55.807172832194752</v>
      </c>
      <c r="GB831">
        <v>39.926482399425957</v>
      </c>
      <c r="GC831">
        <v>19.021432224577151</v>
      </c>
      <c r="GD831">
        <v>14.40848256657838</v>
      </c>
      <c r="GE831">
        <v>25.794068028870985</v>
      </c>
      <c r="GF831">
        <v>54.410663999635183</v>
      </c>
      <c r="GG831">
        <v>37.109862737663384</v>
      </c>
      <c r="GH831">
        <v>13.614419883197771</v>
      </c>
      <c r="GI831">
        <v>37.593955754850356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239.89764514217327</v>
      </c>
      <c r="AO832">
        <v>86.174947859477612</v>
      </c>
      <c r="AP832">
        <v>743.44623011800445</v>
      </c>
      <c r="AQ832">
        <v>585.7762790839131</v>
      </c>
      <c r="AR832">
        <v>83.573571787825117</v>
      </c>
      <c r="AS832">
        <v>398.1287670824367</v>
      </c>
      <c r="AT832">
        <v>44.063617758094857</v>
      </c>
      <c r="AU832">
        <v>60.48807005707782</v>
      </c>
      <c r="AV832"/>
      <c r="AW832"/>
      <c r="FY832" s="211">
        <v>827</v>
      </c>
      <c r="FZ832">
        <v>78.821422335358974</v>
      </c>
      <c r="GA832">
        <v>94.288086057160527</v>
      </c>
      <c r="GB832">
        <v>44.614035147942886</v>
      </c>
      <c r="GC832">
        <v>26.347900371052908</v>
      </c>
      <c r="GD832">
        <v>11.534617480094688</v>
      </c>
      <c r="GE832">
        <v>11.922981258378814</v>
      </c>
      <c r="GF832">
        <v>70.005680182534348</v>
      </c>
      <c r="GG832">
        <v>66.450107579006129</v>
      </c>
      <c r="GH832">
        <v>28.773483891183801</v>
      </c>
      <c r="GI832">
        <v>48.849647715549985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156.39736884228915</v>
      </c>
      <c r="AO833">
        <v>58.464143727312226</v>
      </c>
      <c r="AP833">
        <v>492.4739810568035</v>
      </c>
      <c r="AQ833">
        <v>392.33906337427243</v>
      </c>
      <c r="AR833">
        <v>58.684730088514101</v>
      </c>
      <c r="AS833">
        <v>272.20455910795181</v>
      </c>
      <c r="AT833">
        <v>30.902116072080627</v>
      </c>
      <c r="AU833">
        <v>-56.807775750807174</v>
      </c>
      <c r="AV833"/>
      <c r="AW833"/>
      <c r="FY833" s="211">
        <v>828</v>
      </c>
      <c r="FZ833">
        <v>36.86648788523955</v>
      </c>
      <c r="GA833">
        <v>38.468651626094207</v>
      </c>
      <c r="GB833">
        <v>47.24334223800102</v>
      </c>
      <c r="GC833">
        <v>28.940980557943995</v>
      </c>
      <c r="GD833">
        <v>17.88007737392941</v>
      </c>
      <c r="GE833">
        <v>26.02593783600868</v>
      </c>
      <c r="GF833">
        <v>24.150186240588447</v>
      </c>
      <c r="GG833">
        <v>16.760719071603848</v>
      </c>
      <c r="GH833">
        <v>20.117745445914455</v>
      </c>
      <c r="GI833">
        <v>36.967608740154169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175.03664319808473</v>
      </c>
      <c r="AO834">
        <v>46.282682574327168</v>
      </c>
      <c r="AP834">
        <v>300.85973503829234</v>
      </c>
      <c r="AQ834">
        <v>251.92269635874362</v>
      </c>
      <c r="AR834">
        <v>46.010753916967502</v>
      </c>
      <c r="AS834">
        <v>225.77379784258312</v>
      </c>
      <c r="AT834">
        <v>20.707575507876367</v>
      </c>
      <c r="AU834">
        <v>5.0315520275614105</v>
      </c>
      <c r="AV834"/>
      <c r="AW834"/>
      <c r="FY834" s="211">
        <v>829</v>
      </c>
      <c r="FZ834">
        <v>25.140706877260556</v>
      </c>
      <c r="GA834">
        <v>56.134886857018877</v>
      </c>
      <c r="GB834">
        <v>55.801684246910263</v>
      </c>
      <c r="GC834">
        <v>26.098272240088804</v>
      </c>
      <c r="GD834">
        <v>10.700576560778597</v>
      </c>
      <c r="GE834">
        <v>19.24900587468791</v>
      </c>
      <c r="GF834">
        <v>43.505724774948824</v>
      </c>
      <c r="GG834">
        <v>37.219947632949953</v>
      </c>
      <c r="GH834">
        <v>26.335452957435947</v>
      </c>
      <c r="GI834">
        <v>37.716495339103368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280.80545117885652</v>
      </c>
      <c r="AO835">
        <v>91.211470297490109</v>
      </c>
      <c r="AP835">
        <v>781.33197833072438</v>
      </c>
      <c r="AQ835">
        <v>602.52900441125371</v>
      </c>
      <c r="AR835">
        <v>88.467767012693201</v>
      </c>
      <c r="AS835">
        <v>417.03595483143403</v>
      </c>
      <c r="AT835">
        <v>43.962921113711083</v>
      </c>
      <c r="AU835">
        <v>-86.196488825946801</v>
      </c>
      <c r="AV835"/>
      <c r="AW835"/>
      <c r="FY835" s="211">
        <v>830</v>
      </c>
      <c r="FZ835">
        <v>149.67422562186499</v>
      </c>
      <c r="GA835">
        <v>172.70042940589084</v>
      </c>
      <c r="GB835">
        <v>32.896631716712037</v>
      </c>
      <c r="GC835">
        <v>17.424088846754053</v>
      </c>
      <c r="GD835">
        <v>13.969658592136092</v>
      </c>
      <c r="GE835">
        <v>27.892069953110276</v>
      </c>
      <c r="GF835">
        <v>57.62864618260565</v>
      </c>
      <c r="GG835">
        <v>48.328211129600597</v>
      </c>
      <c r="GH835">
        <v>29.409755134345332</v>
      </c>
      <c r="GI835">
        <v>55.564251561473391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206.33453447850692</v>
      </c>
      <c r="AO836">
        <v>67.714349060920199</v>
      </c>
      <c r="AP836">
        <v>527.86216074406229</v>
      </c>
      <c r="AQ836">
        <v>421.47565363845945</v>
      </c>
      <c r="AR836">
        <v>65.332211487785244</v>
      </c>
      <c r="AS836">
        <v>308.34900057676975</v>
      </c>
      <c r="AT836">
        <v>31.990418938012201</v>
      </c>
      <c r="AU836">
        <v>-15.565116584689029</v>
      </c>
      <c r="AV836"/>
      <c r="AW836"/>
      <c r="FY836" s="211">
        <v>831</v>
      </c>
      <c r="FZ836">
        <v>121.37713531698267</v>
      </c>
      <c r="GA836">
        <v>145.299652176416</v>
      </c>
      <c r="GB836">
        <v>59.301059685346317</v>
      </c>
      <c r="GC836">
        <v>29.098021202713458</v>
      </c>
      <c r="GD836">
        <v>12.388060630065667</v>
      </c>
      <c r="GE836">
        <v>16.524289198331935</v>
      </c>
      <c r="GF836">
        <v>47.886138258845016</v>
      </c>
      <c r="GG836">
        <v>41.634643750040269</v>
      </c>
      <c r="GH836">
        <v>14.360392587952955</v>
      </c>
      <c r="GI836">
        <v>52.824347017268607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190.55127910999812</v>
      </c>
      <c r="AO837">
        <v>55.242203235596648</v>
      </c>
      <c r="AP837">
        <v>415.59382163534593</v>
      </c>
      <c r="AQ837">
        <v>324.20546370135924</v>
      </c>
      <c r="AR837">
        <v>54.217785113476367</v>
      </c>
      <c r="AS837">
        <v>275.78192365434467</v>
      </c>
      <c r="AT837">
        <v>25.980957722656569</v>
      </c>
      <c r="AU837">
        <v>7.3374348938064102</v>
      </c>
      <c r="AV837"/>
      <c r="AW837"/>
      <c r="FY837" s="211">
        <v>832</v>
      </c>
      <c r="FZ837">
        <v>71.660435777362565</v>
      </c>
      <c r="GA837">
        <v>89.862026753335527</v>
      </c>
      <c r="GB837">
        <v>50.957634828021739</v>
      </c>
      <c r="GC837">
        <v>26.093253324135475</v>
      </c>
      <c r="GD837">
        <v>10.389830824111524</v>
      </c>
      <c r="GE837">
        <v>19.286987241389035</v>
      </c>
      <c r="GF837">
        <v>49.563796809228414</v>
      </c>
      <c r="GG837">
        <v>41.646058691748863</v>
      </c>
      <c r="GH837">
        <v>24.256555816314158</v>
      </c>
      <c r="GI837">
        <v>43.845735395481611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219.12049116359418</v>
      </c>
      <c r="AO838">
        <v>69.35813464474144</v>
      </c>
      <c r="AP838">
        <v>565.82198366348257</v>
      </c>
      <c r="AQ838">
        <v>442.75747008728581</v>
      </c>
      <c r="AR838">
        <v>65.493664233467911</v>
      </c>
      <c r="AS838">
        <v>309.59708395291761</v>
      </c>
      <c r="AT838">
        <v>31.608674653249466</v>
      </c>
      <c r="AU838">
        <v>20.509658024877126</v>
      </c>
      <c r="AV838"/>
      <c r="AW838"/>
      <c r="FY838" s="211">
        <v>833</v>
      </c>
      <c r="FZ838">
        <v>80.4109165798493</v>
      </c>
      <c r="GA838">
        <v>85.539145413525659</v>
      </c>
      <c r="GB838">
        <v>39.651920738852375</v>
      </c>
      <c r="GC838">
        <v>24.954321977840529</v>
      </c>
      <c r="GD838">
        <v>16.552770206749059</v>
      </c>
      <c r="GE838">
        <v>27.22499704582949</v>
      </c>
      <c r="GF838">
        <v>38.430067647751144</v>
      </c>
      <c r="GG838">
        <v>26.340621542213249</v>
      </c>
      <c r="GH838">
        <v>25.503570511769869</v>
      </c>
      <c r="GI838">
        <v>44.075218070068416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229.99149612445484</v>
      </c>
      <c r="AO839">
        <v>78.259676938199419</v>
      </c>
      <c r="AP839">
        <v>647.85472967553198</v>
      </c>
      <c r="AQ839">
        <v>519.54631609803209</v>
      </c>
      <c r="AR839">
        <v>74.05755555332712</v>
      </c>
      <c r="AS839">
        <v>374.21307946817376</v>
      </c>
      <c r="AT839">
        <v>38.486411244220669</v>
      </c>
      <c r="AU839">
        <v>-30.165532890952218</v>
      </c>
      <c r="AV839"/>
      <c r="AW839"/>
      <c r="FY839" s="211">
        <v>834</v>
      </c>
      <c r="FZ839">
        <v>70.589711782624335</v>
      </c>
      <c r="GA839">
        <v>90.400270583902582</v>
      </c>
      <c r="GB839">
        <v>33.028493968897486</v>
      </c>
      <c r="GC839">
        <v>20.627055290118914</v>
      </c>
      <c r="GD839">
        <v>19.432785224655802</v>
      </c>
      <c r="GE839">
        <v>31.636508987160802</v>
      </c>
      <c r="GF839">
        <v>46.53418562174474</v>
      </c>
      <c r="GG839">
        <v>32.053268499069212</v>
      </c>
      <c r="GH839">
        <v>26.849571541700399</v>
      </c>
      <c r="GI839">
        <v>44.567549910958476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159.92976653963677</v>
      </c>
      <c r="AO840">
        <v>51.697038469860345</v>
      </c>
      <c r="AP840">
        <v>389.59951862038929</v>
      </c>
      <c r="AQ840">
        <v>302.6930384450572</v>
      </c>
      <c r="AR840">
        <v>50.25900492621026</v>
      </c>
      <c r="AS840">
        <v>248.02684608865758</v>
      </c>
      <c r="AT840">
        <v>25.936922806096607</v>
      </c>
      <c r="AU840">
        <v>5.6551491192269729</v>
      </c>
      <c r="AV840"/>
      <c r="AW840"/>
      <c r="FY840" s="211">
        <v>835</v>
      </c>
      <c r="FZ840">
        <v>123.32425499050709</v>
      </c>
      <c r="GA840">
        <v>139.00136251189213</v>
      </c>
      <c r="GB840">
        <v>44.989936603246683</v>
      </c>
      <c r="GC840">
        <v>25.489970701291533</v>
      </c>
      <c r="GD840">
        <v>15.987516280752919</v>
      </c>
      <c r="GE840">
        <v>29.542466088244073</v>
      </c>
      <c r="GF840">
        <v>75.612887505004579</v>
      </c>
      <c r="GG840">
        <v>60.719347777928526</v>
      </c>
      <c r="GH840">
        <v>38.643121465357588</v>
      </c>
      <c r="GI840">
        <v>60.99589505937378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189.6779565992303</v>
      </c>
      <c r="AO841">
        <v>62.911551896901017</v>
      </c>
      <c r="AP841">
        <v>500.334970036595</v>
      </c>
      <c r="AQ841">
        <v>401.67911596224025</v>
      </c>
      <c r="AR841">
        <v>61.621371843198986</v>
      </c>
      <c r="AS841">
        <v>279.76914769523097</v>
      </c>
      <c r="AT841">
        <v>30.187094066641677</v>
      </c>
      <c r="AU841">
        <v>19.096518619896329</v>
      </c>
      <c r="AV841"/>
      <c r="AW841"/>
      <c r="FY841" s="211">
        <v>836</v>
      </c>
      <c r="FZ841">
        <v>28.732935149922806</v>
      </c>
      <c r="GA841">
        <v>39.672389857987135</v>
      </c>
      <c r="GB841">
        <v>56.144722892839823</v>
      </c>
      <c r="GC841">
        <v>29.97667572568076</v>
      </c>
      <c r="GD841">
        <v>19.356076461165465</v>
      </c>
      <c r="GE841">
        <v>33.16828416995606</v>
      </c>
      <c r="GF841">
        <v>56.48461600335056</v>
      </c>
      <c r="GG841">
        <v>49.169353889124373</v>
      </c>
      <c r="GH841">
        <v>27.000451483645868</v>
      </c>
      <c r="GI841">
        <v>46.58296499960634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201.64400574872352</v>
      </c>
      <c r="AO842">
        <v>55.206431582714103</v>
      </c>
      <c r="AP842">
        <v>430.3716584241173</v>
      </c>
      <c r="AQ842">
        <v>333.57869809002858</v>
      </c>
      <c r="AR842">
        <v>53.618210786933986</v>
      </c>
      <c r="AS842">
        <v>273.645749949123</v>
      </c>
      <c r="AT842">
        <v>25.646882470951269</v>
      </c>
      <c r="AU842">
        <v>-5.440071239885178</v>
      </c>
      <c r="AV842"/>
      <c r="AW842"/>
      <c r="FY842" s="211">
        <v>837</v>
      </c>
      <c r="FZ842">
        <v>35.750300771754596</v>
      </c>
      <c r="GA842">
        <v>50.360329234406635</v>
      </c>
      <c r="GB842">
        <v>57.329942463046713</v>
      </c>
      <c r="GC842">
        <v>30.38914039708202</v>
      </c>
      <c r="GD842">
        <v>16.083948932607143</v>
      </c>
      <c r="GE842">
        <v>25.296151554774081</v>
      </c>
      <c r="GF842">
        <v>27.860418231826749</v>
      </c>
      <c r="GG842">
        <v>20.371049756468228</v>
      </c>
      <c r="GH842">
        <v>19.79100371859186</v>
      </c>
      <c r="GI842">
        <v>38.824994771360245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214.31702608309851</v>
      </c>
      <c r="AO843">
        <v>72.786037725821217</v>
      </c>
      <c r="AP843">
        <v>631.50056511078833</v>
      </c>
      <c r="AQ843">
        <v>481.60796201826304</v>
      </c>
      <c r="AR843">
        <v>70.838140234475262</v>
      </c>
      <c r="AS843">
        <v>327.25712604297865</v>
      </c>
      <c r="AT843">
        <v>34.992267355326419</v>
      </c>
      <c r="AU843">
        <v>31.364196242981045</v>
      </c>
      <c r="AV843"/>
      <c r="AW843"/>
      <c r="FY843" s="211">
        <v>838</v>
      </c>
      <c r="FZ843">
        <v>81.181130931198652</v>
      </c>
      <c r="GA843">
        <v>89.530283096299485</v>
      </c>
      <c r="GB843">
        <v>39.840244661612097</v>
      </c>
      <c r="GC843">
        <v>25.110989930384914</v>
      </c>
      <c r="GD843">
        <v>15.914269634342501</v>
      </c>
      <c r="GE843">
        <v>23.437606119323064</v>
      </c>
      <c r="GF843">
        <v>46.749591793887909</v>
      </c>
      <c r="GG843">
        <v>37.485579481915906</v>
      </c>
      <c r="GH843">
        <v>26.964238362574267</v>
      </c>
      <c r="GI843">
        <v>45.984747211344853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204.38189263190023</v>
      </c>
      <c r="AO844">
        <v>53.542996810318144</v>
      </c>
      <c r="AP844">
        <v>364.21441280344766</v>
      </c>
      <c r="AQ844">
        <v>293.42173701547779</v>
      </c>
      <c r="AR844">
        <v>52.918790316372721</v>
      </c>
      <c r="AS844">
        <v>260.43313737665704</v>
      </c>
      <c r="AT844">
        <v>24.002009121950589</v>
      </c>
      <c r="AU844">
        <v>2.9331352512006532</v>
      </c>
      <c r="AV844"/>
      <c r="AW844"/>
      <c r="FY844" s="211">
        <v>839</v>
      </c>
      <c r="FZ844">
        <v>78.704712745543162</v>
      </c>
      <c r="GA844">
        <v>94.456722122533691</v>
      </c>
      <c r="GB844">
        <v>65.73799754816082</v>
      </c>
      <c r="GC844">
        <v>34.964621212264667</v>
      </c>
      <c r="GD844">
        <v>13.371607823069617</v>
      </c>
      <c r="GE844">
        <v>16.622274362530202</v>
      </c>
      <c r="GF844">
        <v>13.255791453116261</v>
      </c>
      <c r="GG844">
        <v>9.0267767064709545</v>
      </c>
      <c r="GH844">
        <v>22.9844748563401</v>
      </c>
      <c r="GI844">
        <v>43.082052920851133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158.83346318424861</v>
      </c>
      <c r="AO845">
        <v>56.762730190572441</v>
      </c>
      <c r="AP845">
        <v>453.45605620024713</v>
      </c>
      <c r="AQ845">
        <v>337.90275336118304</v>
      </c>
      <c r="AR845">
        <v>54.080689229873677</v>
      </c>
      <c r="AS845">
        <v>277.34263924165811</v>
      </c>
      <c r="AT845">
        <v>26.949303265065353</v>
      </c>
      <c r="AU845">
        <v>17.345465648321998</v>
      </c>
      <c r="AV845"/>
      <c r="AW845"/>
      <c r="FY845" s="211">
        <v>840</v>
      </c>
      <c r="FZ845">
        <v>39.920868911870578</v>
      </c>
      <c r="GA845">
        <v>47.480376063295857</v>
      </c>
      <c r="GB845">
        <v>33.319146586244415</v>
      </c>
      <c r="GC845">
        <v>18.534248608851279</v>
      </c>
      <c r="GD845">
        <v>14.584250751750147</v>
      </c>
      <c r="GE845">
        <v>24.036315580543999</v>
      </c>
      <c r="GF845">
        <v>51.931613039926063</v>
      </c>
      <c r="GG845">
        <v>33.943535302166332</v>
      </c>
      <c r="GH845">
        <v>10.347786198929729</v>
      </c>
      <c r="GI845">
        <v>35.620548038666072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216.45403691270386</v>
      </c>
      <c r="AO846">
        <v>83.813166219219426</v>
      </c>
      <c r="AP846">
        <v>760.30333609241018</v>
      </c>
      <c r="AQ846">
        <v>605.48796814449327</v>
      </c>
      <c r="AR846">
        <v>80.807111865416218</v>
      </c>
      <c r="AS846">
        <v>393.05529708320267</v>
      </c>
      <c r="AT846">
        <v>45.305580456096919</v>
      </c>
      <c r="AU846">
        <v>70.05158776391302</v>
      </c>
      <c r="AV846"/>
      <c r="AW846"/>
      <c r="FY846" s="211">
        <v>841</v>
      </c>
      <c r="FZ846">
        <v>34.779213253275699</v>
      </c>
      <c r="GA846">
        <v>55.759817445047723</v>
      </c>
      <c r="GB846">
        <v>53.748491908805974</v>
      </c>
      <c r="GC846">
        <v>26.518487624997448</v>
      </c>
      <c r="GD846">
        <v>17.07874117858772</v>
      </c>
      <c r="GE846">
        <v>31.300785174897225</v>
      </c>
      <c r="GF846">
        <v>40.680656940934448</v>
      </c>
      <c r="GG846">
        <v>29.788028842892359</v>
      </c>
      <c r="GH846">
        <v>27.522786109999245</v>
      </c>
      <c r="GI846">
        <v>42.248292021514168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216.27757460403578</v>
      </c>
      <c r="AO847">
        <v>79.325939151898908</v>
      </c>
      <c r="AP847">
        <v>696.57213509496034</v>
      </c>
      <c r="AQ847">
        <v>540.69373982396291</v>
      </c>
      <c r="AR847">
        <v>76.968032102554119</v>
      </c>
      <c r="AS847">
        <v>355.38295453575682</v>
      </c>
      <c r="AT847">
        <v>39.078974062925724</v>
      </c>
      <c r="AU847">
        <v>-57.928783030456394</v>
      </c>
      <c r="AV847"/>
      <c r="AW847"/>
      <c r="FY847" s="211">
        <v>842</v>
      </c>
      <c r="FZ847">
        <v>68.393753464028947</v>
      </c>
      <c r="GA847">
        <v>102.5216066594996</v>
      </c>
      <c r="GB847">
        <v>42.686348827947896</v>
      </c>
      <c r="GC847">
        <v>24.471669696438646</v>
      </c>
      <c r="GD847">
        <v>19.439751494051418</v>
      </c>
      <c r="GE847">
        <v>27.074386383593783</v>
      </c>
      <c r="GF847">
        <v>52.514180657952451</v>
      </c>
      <c r="GG847">
        <v>46.111600400856332</v>
      </c>
      <c r="GH847">
        <v>30.890720863802919</v>
      </c>
      <c r="GI847">
        <v>48.53202894102909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207.42583542871876</v>
      </c>
      <c r="AO848">
        <v>65.731412798171078</v>
      </c>
      <c r="AP848">
        <v>556.68169644653119</v>
      </c>
      <c r="AQ848">
        <v>427.56231546112889</v>
      </c>
      <c r="AR848">
        <v>63.279291969945291</v>
      </c>
      <c r="AS848">
        <v>291.62285279089605</v>
      </c>
      <c r="AT848">
        <v>31.256356548727695</v>
      </c>
      <c r="AU848">
        <v>24.218424617369287</v>
      </c>
      <c r="AV848"/>
      <c r="AW848"/>
      <c r="FY848" s="211">
        <v>843</v>
      </c>
      <c r="FZ848">
        <v>42.557092270827603</v>
      </c>
      <c r="GA848">
        <v>56.690915805853592</v>
      </c>
      <c r="GB848">
        <v>35.069061328473161</v>
      </c>
      <c r="GC848">
        <v>17.56592227854081</v>
      </c>
      <c r="GD848">
        <v>10.088712980091341</v>
      </c>
      <c r="GE848">
        <v>22.870224402870118</v>
      </c>
      <c r="GF848">
        <v>46.85332409921493</v>
      </c>
      <c r="GG848">
        <v>30.843452990119296</v>
      </c>
      <c r="GH848">
        <v>28.189813188129797</v>
      </c>
      <c r="GI848">
        <v>35.327123439272981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225.86593754808632</v>
      </c>
      <c r="AO849">
        <v>64.392727522477387</v>
      </c>
      <c r="AP849">
        <v>507.36092235070134</v>
      </c>
      <c r="AQ849">
        <v>408.683549734449</v>
      </c>
      <c r="AR849">
        <v>63.330484786075495</v>
      </c>
      <c r="AS849">
        <v>304.90274466376201</v>
      </c>
      <c r="AT849">
        <v>30.553691637964445</v>
      </c>
      <c r="AU849">
        <v>10.76611514432193</v>
      </c>
      <c r="AV849"/>
      <c r="AW849"/>
      <c r="FY849" s="211">
        <v>844</v>
      </c>
      <c r="FZ849">
        <v>44.024408013137183</v>
      </c>
      <c r="GA849">
        <v>44.446271659115503</v>
      </c>
      <c r="GB849">
        <v>60.287155401806096</v>
      </c>
      <c r="GC849">
        <v>32.323096312467676</v>
      </c>
      <c r="GD849">
        <v>17.528485282626843</v>
      </c>
      <c r="GE849">
        <v>24.439410067079024</v>
      </c>
      <c r="GF849">
        <v>39.195814613938815</v>
      </c>
      <c r="GG849">
        <v>29.033580844108208</v>
      </c>
      <c r="GH849">
        <v>21.179736714581317</v>
      </c>
      <c r="GI849">
        <v>44.176419339101429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213.55339633471431</v>
      </c>
      <c r="AO850">
        <v>65.480191258155941</v>
      </c>
      <c r="AP850">
        <v>511.41913913287914</v>
      </c>
      <c r="AQ850">
        <v>415.7194014108328</v>
      </c>
      <c r="AR850">
        <v>63.74182160809243</v>
      </c>
      <c r="AS850">
        <v>298.64854106572869</v>
      </c>
      <c r="AT850">
        <v>32.021897999579437</v>
      </c>
      <c r="AU850">
        <v>13.863928711813251</v>
      </c>
      <c r="AV850"/>
      <c r="AW850"/>
      <c r="FY850" s="211">
        <v>845</v>
      </c>
      <c r="FZ850">
        <v>34.871233214257202</v>
      </c>
      <c r="GA850">
        <v>48.007132131532721</v>
      </c>
      <c r="GB850">
        <v>43.810312990574552</v>
      </c>
      <c r="GC850">
        <v>19.002495777330509</v>
      </c>
      <c r="GD850">
        <v>13.725729224336943</v>
      </c>
      <c r="GE850">
        <v>27.869712971638648</v>
      </c>
      <c r="GF850">
        <v>31.945328484911879</v>
      </c>
      <c r="GG850">
        <v>21.545503288612835</v>
      </c>
      <c r="GH850">
        <v>23.989736763993601</v>
      </c>
      <c r="GI850">
        <v>35.212471025632432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293.85460854678706</v>
      </c>
      <c r="AO851">
        <v>90.150280752431769</v>
      </c>
      <c r="AP851">
        <v>783.7651403480927</v>
      </c>
      <c r="AQ851">
        <v>614.30675898359891</v>
      </c>
      <c r="AR851">
        <v>88.002355876237047</v>
      </c>
      <c r="AS851">
        <v>431.35983635777762</v>
      </c>
      <c r="AT851">
        <v>45.236089426669309</v>
      </c>
      <c r="AU851">
        <v>121.46429321282073</v>
      </c>
      <c r="AV851"/>
      <c r="AW851"/>
      <c r="FY851" s="211">
        <v>846</v>
      </c>
      <c r="FZ851">
        <v>117.64082607137208</v>
      </c>
      <c r="GA851">
        <v>129.62008373797454</v>
      </c>
      <c r="GB851">
        <v>33.809295985563466</v>
      </c>
      <c r="GC851">
        <v>22.037715647326788</v>
      </c>
      <c r="GD851">
        <v>14.007850741426804</v>
      </c>
      <c r="GE851">
        <v>22.42725328930295</v>
      </c>
      <c r="GF851">
        <v>29.162336987401549</v>
      </c>
      <c r="GG851">
        <v>25.60120417699811</v>
      </c>
      <c r="GH851">
        <v>19.587121141056112</v>
      </c>
      <c r="GI851">
        <v>43.802297619489941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238.9304616131779</v>
      </c>
      <c r="AO852">
        <v>69.312833724126151</v>
      </c>
      <c r="AP852">
        <v>503.22031868262638</v>
      </c>
      <c r="AQ852">
        <v>386.28847063327913</v>
      </c>
      <c r="AR852">
        <v>67.304168115255464</v>
      </c>
      <c r="AS852">
        <v>331.01653518700704</v>
      </c>
      <c r="AT852">
        <v>31.710020900479893</v>
      </c>
      <c r="AU852">
        <v>110.518618712673</v>
      </c>
      <c r="AV852"/>
      <c r="AW852"/>
      <c r="FY852" s="211">
        <v>847</v>
      </c>
      <c r="FZ852">
        <v>190.46177161834851</v>
      </c>
      <c r="GA852">
        <v>231.65024811995877</v>
      </c>
      <c r="GB852">
        <v>50.038531482461892</v>
      </c>
      <c r="GC852">
        <v>22.180674433011468</v>
      </c>
      <c r="GD852">
        <v>11.226188949869243</v>
      </c>
      <c r="GE852">
        <v>21.803534917281379</v>
      </c>
      <c r="GF852">
        <v>43.181405333386387</v>
      </c>
      <c r="GG852">
        <v>35.559998206644117</v>
      </c>
      <c r="GH852">
        <v>23.2934615767028</v>
      </c>
      <c r="GI852">
        <v>60.281134591187602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192.93710849882513</v>
      </c>
      <c r="AO853">
        <v>57.06042989293725</v>
      </c>
      <c r="AP853">
        <v>411.20296735189322</v>
      </c>
      <c r="AQ853">
        <v>322.05727983191827</v>
      </c>
      <c r="AR853">
        <v>55.764469519593298</v>
      </c>
      <c r="AS853">
        <v>287.39222508255205</v>
      </c>
      <c r="AT853">
        <v>26.822973041644868</v>
      </c>
      <c r="AU853">
        <v>7.4344201501435734</v>
      </c>
      <c r="AV853"/>
      <c r="AW853"/>
      <c r="FY853" s="211">
        <v>848</v>
      </c>
      <c r="FZ853">
        <v>77.379692959838835</v>
      </c>
      <c r="GA853">
        <v>93.598363387960873</v>
      </c>
      <c r="GB853">
        <v>39.161433819533173</v>
      </c>
      <c r="GC853">
        <v>25.126483065713266</v>
      </c>
      <c r="GD853">
        <v>18.023650932362941</v>
      </c>
      <c r="GE853">
        <v>21.230013597147764</v>
      </c>
      <c r="GF853">
        <v>30.067069326901329</v>
      </c>
      <c r="GG853">
        <v>28.322111278393844</v>
      </c>
      <c r="GH853">
        <v>20.969560194897561</v>
      </c>
      <c r="GI853">
        <v>42.417881764441695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212.03618129453503</v>
      </c>
      <c r="AO854">
        <v>67.692305260372237</v>
      </c>
      <c r="AP854">
        <v>548.76465109996752</v>
      </c>
      <c r="AQ854">
        <v>432.19868122288369</v>
      </c>
      <c r="AR854">
        <v>66.401340038713414</v>
      </c>
      <c r="AS854">
        <v>309.66263530824159</v>
      </c>
      <c r="AT854">
        <v>34.525317182178846</v>
      </c>
      <c r="AU854">
        <v>1.2383390123000879</v>
      </c>
      <c r="AV854"/>
      <c r="AW854"/>
      <c r="FY854" s="211">
        <v>849</v>
      </c>
      <c r="FZ854">
        <v>32.889172176871796</v>
      </c>
      <c r="GA854">
        <v>29.852507520619231</v>
      </c>
      <c r="GB854">
        <v>32.520803930641577</v>
      </c>
      <c r="GC854">
        <v>26.696304891533231</v>
      </c>
      <c r="GD854">
        <v>21.003740915979495</v>
      </c>
      <c r="GE854">
        <v>25.361558383218586</v>
      </c>
      <c r="GF854">
        <v>19.476716411232914</v>
      </c>
      <c r="GG854">
        <v>19.542472657369906</v>
      </c>
      <c r="GH854">
        <v>42.094879232256716</v>
      </c>
      <c r="GI854">
        <v>37.29420809199344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194.09131709458345</v>
      </c>
      <c r="AO855">
        <v>63.015655034886251</v>
      </c>
      <c r="AP855">
        <v>501.33985849520809</v>
      </c>
      <c r="AQ855">
        <v>392.20703175088067</v>
      </c>
      <c r="AR855">
        <v>62.24916787195788</v>
      </c>
      <c r="AS855">
        <v>278.67129423296376</v>
      </c>
      <c r="AT855">
        <v>30.090404948066791</v>
      </c>
      <c r="AU855">
        <v>-41.45487088818151</v>
      </c>
      <c r="AV855"/>
      <c r="AW855"/>
      <c r="FY855" s="211">
        <v>850</v>
      </c>
      <c r="FZ855">
        <v>120.69663288482498</v>
      </c>
      <c r="GA855">
        <v>144.36706440522258</v>
      </c>
      <c r="GB855">
        <v>48.094505424377502</v>
      </c>
      <c r="GC855">
        <v>27.068634456265496</v>
      </c>
      <c r="GD855">
        <v>16.18146014890911</v>
      </c>
      <c r="GE855">
        <v>23.329786377682726</v>
      </c>
      <c r="GF855">
        <v>57.632881342547464</v>
      </c>
      <c r="GG855">
        <v>49.85012003925376</v>
      </c>
      <c r="GH855">
        <v>33.977663189511603</v>
      </c>
      <c r="GI855">
        <v>57.086642439781727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174.50149729739837</v>
      </c>
      <c r="AO856">
        <v>51.805674802789284</v>
      </c>
      <c r="AP856">
        <v>395.88151166096168</v>
      </c>
      <c r="AQ856">
        <v>309.71868908224445</v>
      </c>
      <c r="AR856">
        <v>50.861698126396703</v>
      </c>
      <c r="AS856">
        <v>284.19259047168572</v>
      </c>
      <c r="AT856">
        <v>24.184426036325601</v>
      </c>
      <c r="AU856">
        <v>13.388259806884356</v>
      </c>
      <c r="AV856"/>
      <c r="AW856"/>
      <c r="FY856" s="211">
        <v>851</v>
      </c>
      <c r="FZ856">
        <v>79.418329544508552</v>
      </c>
      <c r="GA856">
        <v>92.104335083404379</v>
      </c>
      <c r="GB856">
        <v>52.07915082224978</v>
      </c>
      <c r="GC856">
        <v>27.789511506788948</v>
      </c>
      <c r="GD856">
        <v>14.885977997520085</v>
      </c>
      <c r="GE856">
        <v>24.424474938936168</v>
      </c>
      <c r="GF856">
        <v>61.519348907887334</v>
      </c>
      <c r="GG856">
        <v>48.507116906980592</v>
      </c>
      <c r="GH856">
        <v>33.099856804906771</v>
      </c>
      <c r="GI856">
        <v>51.973566004881114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232.07158145192994</v>
      </c>
      <c r="AO857">
        <v>62.180444173501463</v>
      </c>
      <c r="AP857">
        <v>461.79620743385124</v>
      </c>
      <c r="AQ857">
        <v>359.42530050095195</v>
      </c>
      <c r="AR857">
        <v>60.517190108621541</v>
      </c>
      <c r="AS857">
        <v>294.40376632180954</v>
      </c>
      <c r="AT857">
        <v>26.198111126825182</v>
      </c>
      <c r="AU857">
        <v>12.313066418302487</v>
      </c>
      <c r="AV857"/>
      <c r="AW857"/>
      <c r="FY857" s="211">
        <v>852</v>
      </c>
      <c r="FZ857">
        <v>65.943892462400157</v>
      </c>
      <c r="GA857">
        <v>85.466508763265367</v>
      </c>
      <c r="GB857">
        <v>40.429195164449055</v>
      </c>
      <c r="GC857">
        <v>16.42389693077191</v>
      </c>
      <c r="GD857">
        <v>9.5690156189067945</v>
      </c>
      <c r="GE857">
        <v>18.640811893191394</v>
      </c>
      <c r="GF857">
        <v>38.251369699983634</v>
      </c>
      <c r="GG857">
        <v>27.335273524628537</v>
      </c>
      <c r="GH857">
        <v>16.585541757746853</v>
      </c>
      <c r="GI857">
        <v>36.5039771243136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247.06598926897794</v>
      </c>
      <c r="AO858">
        <v>72.552205405806518</v>
      </c>
      <c r="AP858">
        <v>583.6718449468633</v>
      </c>
      <c r="AQ858">
        <v>462.63604738920105</v>
      </c>
      <c r="AR858">
        <v>70.035325153171087</v>
      </c>
      <c r="AS858">
        <v>328.31627667322817</v>
      </c>
      <c r="AT858">
        <v>33.938714116782613</v>
      </c>
      <c r="AU858">
        <v>-21.150755757950055</v>
      </c>
      <c r="AV858"/>
      <c r="AW858"/>
      <c r="FY858" s="211">
        <v>853</v>
      </c>
      <c r="FZ858">
        <v>23.213204963181209</v>
      </c>
      <c r="GA858">
        <v>56.9997466148494</v>
      </c>
      <c r="GB858">
        <v>47.944760248486801</v>
      </c>
      <c r="GC858">
        <v>28.974007770339519</v>
      </c>
      <c r="GD858">
        <v>17.3769700372107</v>
      </c>
      <c r="GE858">
        <v>17.799765499549004</v>
      </c>
      <c r="GF858">
        <v>34.446482487614894</v>
      </c>
      <c r="GG858">
        <v>26.885934127719747</v>
      </c>
      <c r="GH858">
        <v>23.419283232118119</v>
      </c>
      <c r="GI858">
        <v>37.213299909600828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186.16984047499312</v>
      </c>
      <c r="AO859">
        <v>51.290164843639687</v>
      </c>
      <c r="AP859">
        <v>420.55333458945586</v>
      </c>
      <c r="AQ859">
        <v>326.05564278339364</v>
      </c>
      <c r="AR859">
        <v>49.848286103725201</v>
      </c>
      <c r="AS859">
        <v>242.47880660136059</v>
      </c>
      <c r="AT859">
        <v>23.84239287773087</v>
      </c>
      <c r="AU859">
        <v>6.4556011339205384</v>
      </c>
      <c r="AV859"/>
      <c r="AW859"/>
      <c r="FY859" s="211">
        <v>854</v>
      </c>
      <c r="FZ859">
        <v>125.20161293783693</v>
      </c>
      <c r="GA859">
        <v>163.34022112374691</v>
      </c>
      <c r="GB859">
        <v>55.884348337218611</v>
      </c>
      <c r="GC859">
        <v>26.568587199818424</v>
      </c>
      <c r="GD859">
        <v>11.555448025224077</v>
      </c>
      <c r="GE859">
        <v>17.705697900133561</v>
      </c>
      <c r="GF859">
        <v>22.355763840560314</v>
      </c>
      <c r="GG859">
        <v>15.364229381841227</v>
      </c>
      <c r="GH859">
        <v>21.666679126172408</v>
      </c>
      <c r="GI859">
        <v>47.89598869408313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237.77286304986077</v>
      </c>
      <c r="AO860">
        <v>63.077754130886738</v>
      </c>
      <c r="AP860">
        <v>461.32789979114398</v>
      </c>
      <c r="AQ860">
        <v>356.6343782479621</v>
      </c>
      <c r="AR860">
        <v>63.799597669635347</v>
      </c>
      <c r="AS860">
        <v>316.15548107243967</v>
      </c>
      <c r="AT860">
        <v>29.505813973065955</v>
      </c>
      <c r="AU860">
        <v>-10.92042438892841</v>
      </c>
      <c r="AV860"/>
      <c r="AW860"/>
      <c r="FY860" s="211">
        <v>855</v>
      </c>
      <c r="FZ860">
        <v>29.471470669370287</v>
      </c>
      <c r="GA860">
        <v>45.286211378936436</v>
      </c>
      <c r="GB860">
        <v>48.664709622083407</v>
      </c>
      <c r="GC860">
        <v>29.332838577580503</v>
      </c>
      <c r="GD860">
        <v>19.487265411742744</v>
      </c>
      <c r="GE860">
        <v>30.872021462824122</v>
      </c>
      <c r="GF860">
        <v>70.378432261151985</v>
      </c>
      <c r="GG860">
        <v>48.369261826359057</v>
      </c>
      <c r="GH860">
        <v>18.967317873062978</v>
      </c>
      <c r="GI860">
        <v>46.221429463217582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167.89230979685038</v>
      </c>
      <c r="AO861">
        <v>50.508468875887843</v>
      </c>
      <c r="AP861">
        <v>382.69869018344917</v>
      </c>
      <c r="AQ861">
        <v>299.9796558728213</v>
      </c>
      <c r="AR861">
        <v>50.309796603626431</v>
      </c>
      <c r="AS861">
        <v>252.9030772463534</v>
      </c>
      <c r="AT861">
        <v>25.192487171341025</v>
      </c>
      <c r="AU861">
        <v>17.232191645852652</v>
      </c>
      <c r="AV861"/>
      <c r="AW861"/>
      <c r="FY861" s="211">
        <v>856</v>
      </c>
      <c r="FZ861">
        <v>82.473884262968909</v>
      </c>
      <c r="GA861">
        <v>96.122206600834659</v>
      </c>
      <c r="GB861">
        <v>55.06847893739296</v>
      </c>
      <c r="GC861">
        <v>31.282953700960483</v>
      </c>
      <c r="GD861">
        <v>13.405995723888095</v>
      </c>
      <c r="GE861">
        <v>15.12732905670941</v>
      </c>
      <c r="GF861">
        <v>48.081494885141552</v>
      </c>
      <c r="GG861">
        <v>43.499511321536254</v>
      </c>
      <c r="GH861">
        <v>31.620688594979892</v>
      </c>
      <c r="GI861">
        <v>49.087357950399621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208.3059602732923</v>
      </c>
      <c r="AO862">
        <v>66.36120159446952</v>
      </c>
      <c r="AP862">
        <v>565.55800154569454</v>
      </c>
      <c r="AQ862">
        <v>457.6959853979123</v>
      </c>
      <c r="AR862">
        <v>63.558073512992856</v>
      </c>
      <c r="AS862">
        <v>295.65227148485508</v>
      </c>
      <c r="AT862">
        <v>34.121515227658286</v>
      </c>
      <c r="AU862">
        <v>43.604713744782678</v>
      </c>
      <c r="AV862"/>
      <c r="AW862"/>
      <c r="FY862" s="211">
        <v>857</v>
      </c>
      <c r="FZ862">
        <v>130.00617870904861</v>
      </c>
      <c r="GA862">
        <v>136.54859113801388</v>
      </c>
      <c r="GB862">
        <v>36.846758060569663</v>
      </c>
      <c r="GC862">
        <v>23.823778894562103</v>
      </c>
      <c r="GD862">
        <v>16.574778255062178</v>
      </c>
      <c r="GE862">
        <v>20.834905420473156</v>
      </c>
      <c r="GF862">
        <v>40.379195719205072</v>
      </c>
      <c r="GG862">
        <v>36.076428872281348</v>
      </c>
      <c r="GH862">
        <v>27.476142202933737</v>
      </c>
      <c r="GI862">
        <v>51.479772181219168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238.7065664814686</v>
      </c>
      <c r="AO863">
        <v>91.609184251532568</v>
      </c>
      <c r="AP863">
        <v>869.43711480965487</v>
      </c>
      <c r="AQ863">
        <v>689.67694922885221</v>
      </c>
      <c r="AR863">
        <v>87.917616154014596</v>
      </c>
      <c r="AS863">
        <v>421.26722180906978</v>
      </c>
      <c r="AT863">
        <v>48.660232408083921</v>
      </c>
      <c r="AU863">
        <v>-44.725697890177834</v>
      </c>
      <c r="AV863"/>
      <c r="AW863"/>
      <c r="FY863" s="211">
        <v>858</v>
      </c>
      <c r="FZ863">
        <v>23.792672778286875</v>
      </c>
      <c r="GA863">
        <v>31.69989893015368</v>
      </c>
      <c r="GB863">
        <v>51.559179325312009</v>
      </c>
      <c r="GC863">
        <v>27.264017281418937</v>
      </c>
      <c r="GD863">
        <v>10.130008237934044</v>
      </c>
      <c r="GE863">
        <v>19.832800298910147</v>
      </c>
      <c r="GF863">
        <v>33.195224262607795</v>
      </c>
      <c r="GG863">
        <v>17.180090407010457</v>
      </c>
      <c r="GH863">
        <v>27.320016285370905</v>
      </c>
      <c r="GI863">
        <v>34.08709993485747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181.34912537647327</v>
      </c>
      <c r="AO864">
        <v>63.071483362590435</v>
      </c>
      <c r="AP864">
        <v>491.97372678664061</v>
      </c>
      <c r="AQ864">
        <v>396.29626032719131</v>
      </c>
      <c r="AR864">
        <v>61.495885048328752</v>
      </c>
      <c r="AS864">
        <v>277.81949172224824</v>
      </c>
      <c r="AT864">
        <v>31.012706326483201</v>
      </c>
      <c r="AU864">
        <v>20.730377403711387</v>
      </c>
      <c r="AV864"/>
      <c r="AW864"/>
      <c r="FY864" s="211">
        <v>859</v>
      </c>
      <c r="FZ864">
        <v>69.887978162389274</v>
      </c>
      <c r="GA864">
        <v>85.072479900629261</v>
      </c>
      <c r="GB864">
        <v>47.716162880345159</v>
      </c>
      <c r="GC864">
        <v>21.489079517512192</v>
      </c>
      <c r="GD864">
        <v>8.8245296185415683</v>
      </c>
      <c r="GE864">
        <v>19.65150894053258</v>
      </c>
      <c r="GF864">
        <v>47.330110191396699</v>
      </c>
      <c r="GG864">
        <v>37.316097398493447</v>
      </c>
      <c r="GH864">
        <v>23.403598220232496</v>
      </c>
      <c r="GI864">
        <v>41.192232801822428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185.99007688629948</v>
      </c>
      <c r="AO865">
        <v>52.778245946472111</v>
      </c>
      <c r="AP865">
        <v>345.18513058448463</v>
      </c>
      <c r="AQ865">
        <v>286.73236421171691</v>
      </c>
      <c r="AR865">
        <v>53.622644031810175</v>
      </c>
      <c r="AS865">
        <v>270.4216446999244</v>
      </c>
      <c r="AT865">
        <v>25.267056358721252</v>
      </c>
      <c r="AU865">
        <v>-21.251042258866285</v>
      </c>
      <c r="AV865"/>
      <c r="AW865"/>
      <c r="FY865" s="211">
        <v>860</v>
      </c>
      <c r="FZ865">
        <v>28.978263238205155</v>
      </c>
      <c r="GA865">
        <v>49.812278646258363</v>
      </c>
      <c r="GB865">
        <v>53.037285911783528</v>
      </c>
      <c r="GC865">
        <v>30.464580188451727</v>
      </c>
      <c r="GD865">
        <v>17.163729865493135</v>
      </c>
      <c r="GE865">
        <v>19.985118349756533</v>
      </c>
      <c r="GF865">
        <v>37.749423248845993</v>
      </c>
      <c r="GG865">
        <v>34.105504841165228</v>
      </c>
      <c r="GH865">
        <v>19.923733329149645</v>
      </c>
      <c r="GI865">
        <v>39.449892258434708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258.15415025210837</v>
      </c>
      <c r="AO866">
        <v>84.603434384445336</v>
      </c>
      <c r="AP866">
        <v>731.61762200543069</v>
      </c>
      <c r="AQ866">
        <v>578.28539070837701</v>
      </c>
      <c r="AR866">
        <v>82.535502319996993</v>
      </c>
      <c r="AS866">
        <v>400.6750627167462</v>
      </c>
      <c r="AT866">
        <v>42.087873317082888</v>
      </c>
      <c r="AU866">
        <v>47.862675142386706</v>
      </c>
      <c r="AV866"/>
      <c r="AW866"/>
      <c r="FY866" s="211">
        <v>861</v>
      </c>
      <c r="FZ866">
        <v>87.730647973829235</v>
      </c>
      <c r="GA866">
        <v>90.579505377951534</v>
      </c>
      <c r="GB866">
        <v>40.295682794828352</v>
      </c>
      <c r="GC866">
        <v>24.490358671435537</v>
      </c>
      <c r="GD866">
        <v>15.702329185818856</v>
      </c>
      <c r="GE866">
        <v>23.020615707393791</v>
      </c>
      <c r="GF866">
        <v>39.768364140937322</v>
      </c>
      <c r="GG866">
        <v>33.667410443881465</v>
      </c>
      <c r="GH866">
        <v>31.359797719811432</v>
      </c>
      <c r="GI866">
        <v>45.884966839389129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246.98723260297294</v>
      </c>
      <c r="AO867">
        <v>75.786948764623375</v>
      </c>
      <c r="AP867">
        <v>630.97289384581097</v>
      </c>
      <c r="AQ867">
        <v>485.80166851806365</v>
      </c>
      <c r="AR867">
        <v>74.849932395566142</v>
      </c>
      <c r="AS867">
        <v>376.92535080108513</v>
      </c>
      <c r="AT867">
        <v>37.21763490293268</v>
      </c>
      <c r="AU867">
        <v>7.2316502606314259</v>
      </c>
      <c r="AV867"/>
      <c r="AW867"/>
      <c r="FY867" s="211">
        <v>862</v>
      </c>
      <c r="FZ867">
        <v>40.399990741974115</v>
      </c>
      <c r="GA867">
        <v>43.374215598176249</v>
      </c>
      <c r="GB867">
        <v>45.842528776869557</v>
      </c>
      <c r="GC867">
        <v>26.13074659479577</v>
      </c>
      <c r="GD867">
        <v>13.605716085281736</v>
      </c>
      <c r="GE867">
        <v>28.237759090324033</v>
      </c>
      <c r="GF867">
        <v>31.10175018915379</v>
      </c>
      <c r="GG867">
        <v>10.290803786324881</v>
      </c>
      <c r="GH867">
        <v>27.149453204094737</v>
      </c>
      <c r="GI867">
        <v>36.514461893129408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143.91393984645484</v>
      </c>
      <c r="AO868">
        <v>53.696374220736324</v>
      </c>
      <c r="AP868">
        <v>460.56656486243764</v>
      </c>
      <c r="AQ868">
        <v>355.14948293965733</v>
      </c>
      <c r="AR868">
        <v>52.947054453616275</v>
      </c>
      <c r="AS868">
        <v>261.81375626333192</v>
      </c>
      <c r="AT868">
        <v>26.299099198924996</v>
      </c>
      <c r="AU868">
        <v>-17.289778951369044</v>
      </c>
      <c r="AV868"/>
      <c r="AW868"/>
      <c r="FY868" s="211">
        <v>863</v>
      </c>
      <c r="FZ868">
        <v>60.758638597940028</v>
      </c>
      <c r="GA868">
        <v>87.821731880535282</v>
      </c>
      <c r="GB868">
        <v>44.380694110007852</v>
      </c>
      <c r="GC868">
        <v>25.080379275470701</v>
      </c>
      <c r="GD868">
        <v>17.326911636733772</v>
      </c>
      <c r="GE868">
        <v>25.676137934172981</v>
      </c>
      <c r="GF868">
        <v>19.132485793341626</v>
      </c>
      <c r="GG868">
        <v>15.696261668668663</v>
      </c>
      <c r="GH868">
        <v>24.291302350936441</v>
      </c>
      <c r="GI868">
        <v>39.006429458555949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220.3451290319957</v>
      </c>
      <c r="AO869">
        <v>54.821518549981796</v>
      </c>
      <c r="AP869">
        <v>400.90059542681001</v>
      </c>
      <c r="AQ869">
        <v>314.27345489067022</v>
      </c>
      <c r="AR869">
        <v>53.25618293509411</v>
      </c>
      <c r="AS869">
        <v>274.94696704622203</v>
      </c>
      <c r="AT869">
        <v>22.943560864774184</v>
      </c>
      <c r="AU869">
        <v>-8.0600469079626791</v>
      </c>
      <c r="AV869"/>
      <c r="AW869"/>
      <c r="FY869" s="211">
        <v>864</v>
      </c>
      <c r="FZ869">
        <v>45.390499493556852</v>
      </c>
      <c r="GA869">
        <v>51.012613876121073</v>
      </c>
      <c r="GB869">
        <v>69.142120007991736</v>
      </c>
      <c r="GC869">
        <v>36.019314461811319</v>
      </c>
      <c r="GD869">
        <v>17.51114826748012</v>
      </c>
      <c r="GE869">
        <v>37.404766536106457</v>
      </c>
      <c r="GF869">
        <v>41.26632910637931</v>
      </c>
      <c r="GG869">
        <v>15.214337466752829</v>
      </c>
      <c r="GH869">
        <v>13.952287409831749</v>
      </c>
      <c r="GI869">
        <v>45.81199583377844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187.88518940323334</v>
      </c>
      <c r="AO870">
        <v>71.597468359905577</v>
      </c>
      <c r="AP870">
        <v>640.07557565711613</v>
      </c>
      <c r="AQ870">
        <v>507.53857656663558</v>
      </c>
      <c r="AR870">
        <v>69.296452525093542</v>
      </c>
      <c r="AS870">
        <v>307.45991782518757</v>
      </c>
      <c r="AT870">
        <v>38.017318148443401</v>
      </c>
      <c r="AU870">
        <v>-41.842064352396569</v>
      </c>
      <c r="AV870"/>
      <c r="AW870"/>
      <c r="FY870" s="211">
        <v>865</v>
      </c>
      <c r="FZ870">
        <v>113.10302992218229</v>
      </c>
      <c r="GA870">
        <v>129.55129498334472</v>
      </c>
      <c r="GB870">
        <v>42.170850946003092</v>
      </c>
      <c r="GC870">
        <v>27.287178448041811</v>
      </c>
      <c r="GD870">
        <v>14.54061729939111</v>
      </c>
      <c r="GE870">
        <v>24.891644294000955</v>
      </c>
      <c r="GF870">
        <v>54.085056506877557</v>
      </c>
      <c r="GG870">
        <v>38.458907845444543</v>
      </c>
      <c r="GH870">
        <v>26.085559620579733</v>
      </c>
      <c r="GI870">
        <v>51.623920855135815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250.20296885422485</v>
      </c>
      <c r="AO871">
        <v>68.369456077388733</v>
      </c>
      <c r="AP871">
        <v>501.35462733660813</v>
      </c>
      <c r="AQ871">
        <v>387.05095854632913</v>
      </c>
      <c r="AR871">
        <v>66.030851082185791</v>
      </c>
      <c r="AS871">
        <v>329.1786836085904</v>
      </c>
      <c r="AT871">
        <v>29.272694017818466</v>
      </c>
      <c r="AU871">
        <v>3.9437605100649762</v>
      </c>
      <c r="AV871"/>
      <c r="AW871"/>
      <c r="FY871" s="211">
        <v>866</v>
      </c>
      <c r="FZ871">
        <v>142.29646169180802</v>
      </c>
      <c r="GA871">
        <v>184.5639261232449</v>
      </c>
      <c r="GB871">
        <v>33.42840988454337</v>
      </c>
      <c r="GC871">
        <v>22.394972090917761</v>
      </c>
      <c r="GD871">
        <v>15.136394738035378</v>
      </c>
      <c r="GE871">
        <v>15.528492223421468</v>
      </c>
      <c r="GF871">
        <v>29.175464011652608</v>
      </c>
      <c r="GG871">
        <v>27.265825573807781</v>
      </c>
      <c r="GH871">
        <v>17.378440298596903</v>
      </c>
      <c r="GI871">
        <v>47.525676299764008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272.63745183946941</v>
      </c>
      <c r="AO872">
        <v>71.403779162960006</v>
      </c>
      <c r="AP872">
        <v>598.33881620747275</v>
      </c>
      <c r="AQ872">
        <v>465.76990103481182</v>
      </c>
      <c r="AR872">
        <v>70.636151284779601</v>
      </c>
      <c r="AS872">
        <v>355.70420317682107</v>
      </c>
      <c r="AT872">
        <v>34.929199316581723</v>
      </c>
      <c r="AU872">
        <v>-5.4867693294465667</v>
      </c>
      <c r="AV872"/>
      <c r="AW872"/>
      <c r="FY872" s="211">
        <v>867</v>
      </c>
      <c r="FZ872">
        <v>45.855747183047718</v>
      </c>
      <c r="GA872">
        <v>46.671831388756019</v>
      </c>
      <c r="GB872">
        <v>36.718577279587116</v>
      </c>
      <c r="GC872">
        <v>23.214460768260281</v>
      </c>
      <c r="GD872">
        <v>14.223194790111666</v>
      </c>
      <c r="GE872">
        <v>19.550287318446479</v>
      </c>
      <c r="GF872">
        <v>56.294432141744188</v>
      </c>
      <c r="GG872">
        <v>46.611866021665087</v>
      </c>
      <c r="GH872">
        <v>26.365181691223121</v>
      </c>
      <c r="GI872">
        <v>40.732030818316872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216.1424412422943</v>
      </c>
      <c r="AO873">
        <v>75.590685927439509</v>
      </c>
      <c r="AP873">
        <v>647.24411241140353</v>
      </c>
      <c r="AQ873">
        <v>520.04652945336886</v>
      </c>
      <c r="AR873">
        <v>74.980743080348645</v>
      </c>
      <c r="AS873">
        <v>355.18797569109364</v>
      </c>
      <c r="AT873">
        <v>39.955890286745763</v>
      </c>
      <c r="AU873">
        <v>8.276935579261135</v>
      </c>
      <c r="AV873"/>
      <c r="AW873"/>
      <c r="FY873" s="211">
        <v>868</v>
      </c>
      <c r="FZ873">
        <v>71.68223911258346</v>
      </c>
      <c r="GA873">
        <v>88.81115643816365</v>
      </c>
      <c r="GB873">
        <v>46.234454653696957</v>
      </c>
      <c r="GC873">
        <v>28.676345480604049</v>
      </c>
      <c r="GD873">
        <v>22.091392088167954</v>
      </c>
      <c r="GE873">
        <v>36.263446646294774</v>
      </c>
      <c r="GF873">
        <v>69.145105546177916</v>
      </c>
      <c r="GG873">
        <v>57.910235031030012</v>
      </c>
      <c r="GH873">
        <v>25.321185262225221</v>
      </c>
      <c r="GI873">
        <v>54.25199715286945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176.28001940764483</v>
      </c>
      <c r="AO874">
        <v>48.674622224182237</v>
      </c>
      <c r="AP874">
        <v>365.91305533205696</v>
      </c>
      <c r="AQ874">
        <v>276.06100774186234</v>
      </c>
      <c r="AR874">
        <v>48.491608303072475</v>
      </c>
      <c r="AS874">
        <v>246.04751175469951</v>
      </c>
      <c r="AT874">
        <v>22.766567075650304</v>
      </c>
      <c r="AU874">
        <v>2.5677358083839863E-2</v>
      </c>
      <c r="AV874"/>
      <c r="AW874"/>
      <c r="FY874" s="211">
        <v>869</v>
      </c>
      <c r="FZ874">
        <v>29.486094951054664</v>
      </c>
      <c r="GA874">
        <v>46.050312814524368</v>
      </c>
      <c r="GB874">
        <v>45.337924896919581</v>
      </c>
      <c r="GC874">
        <v>21.985632445993506</v>
      </c>
      <c r="GD874">
        <v>17.057956796255425</v>
      </c>
      <c r="GE874">
        <v>36.691957095986673</v>
      </c>
      <c r="GF874">
        <v>58.107399344869641</v>
      </c>
      <c r="GG874">
        <v>37.626330868104127</v>
      </c>
      <c r="GH874">
        <v>31.08473226415294</v>
      </c>
      <c r="GI874">
        <v>43.285157138970099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168.17889124574216</v>
      </c>
      <c r="AO875">
        <v>60.864676572642153</v>
      </c>
      <c r="AP875">
        <v>524.99737006913654</v>
      </c>
      <c r="AQ875">
        <v>401.8837776318951</v>
      </c>
      <c r="AR875">
        <v>59.361241119893442</v>
      </c>
      <c r="AS875">
        <v>279.49127027241184</v>
      </c>
      <c r="AT875">
        <v>30.363546370916826</v>
      </c>
      <c r="AU875">
        <v>-21.495536569170547</v>
      </c>
      <c r="AV875"/>
      <c r="AW875"/>
      <c r="FY875" s="211">
        <v>870</v>
      </c>
      <c r="FZ875">
        <v>40.365575866568122</v>
      </c>
      <c r="GA875">
        <v>57.354335768023631</v>
      </c>
      <c r="GB875">
        <v>42.51351054967958</v>
      </c>
      <c r="GC875">
        <v>26.123372340724227</v>
      </c>
      <c r="GD875">
        <v>15.52540140400955</v>
      </c>
      <c r="GE875">
        <v>15.874343678349641</v>
      </c>
      <c r="GF875">
        <v>16.718906309874523</v>
      </c>
      <c r="GG875">
        <v>20.842207667133838</v>
      </c>
      <c r="GH875">
        <v>31.259950285343358</v>
      </c>
      <c r="GI875">
        <v>34.981680609468533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181.77319261047265</v>
      </c>
      <c r="AO876">
        <v>58.620416352070052</v>
      </c>
      <c r="AP876">
        <v>426.99142269923021</v>
      </c>
      <c r="AQ876">
        <v>330.66980987754403</v>
      </c>
      <c r="AR876">
        <v>56.83697598533665</v>
      </c>
      <c r="AS876">
        <v>290.58821346238415</v>
      </c>
      <c r="AT876">
        <v>28.416693811749028</v>
      </c>
      <c r="AU876">
        <v>-43.693439432768365</v>
      </c>
      <c r="AV876"/>
      <c r="AW876"/>
      <c r="FY876" s="211">
        <v>871</v>
      </c>
      <c r="FZ876">
        <v>87.599338444499864</v>
      </c>
      <c r="GA876">
        <v>107.76897915626391</v>
      </c>
      <c r="GB876">
        <v>43.836996251793494</v>
      </c>
      <c r="GC876">
        <v>22.574914068637664</v>
      </c>
      <c r="GD876">
        <v>13.829261146266306</v>
      </c>
      <c r="GE876">
        <v>23.222332294481369</v>
      </c>
      <c r="GF876">
        <v>44.670965945196336</v>
      </c>
      <c r="GG876">
        <v>37.794432702186214</v>
      </c>
      <c r="GH876">
        <v>27.891870751499056</v>
      </c>
      <c r="GI876">
        <v>46.076242472966925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219.37591006633926</v>
      </c>
      <c r="AO877">
        <v>66.136811853015757</v>
      </c>
      <c r="AP877">
        <v>539.02414543628186</v>
      </c>
      <c r="AQ877">
        <v>432.49967885527661</v>
      </c>
      <c r="AR877">
        <v>65.962188226062096</v>
      </c>
      <c r="AS877">
        <v>336.48008661298428</v>
      </c>
      <c r="AT877">
        <v>35.279345740830514</v>
      </c>
      <c r="AU877">
        <v>-1.0898059726801748</v>
      </c>
      <c r="AV877"/>
      <c r="AW877"/>
      <c r="FY877" s="211">
        <v>872</v>
      </c>
      <c r="FZ877">
        <v>156.63009881483532</v>
      </c>
      <c r="GA877">
        <v>183.26819826997823</v>
      </c>
      <c r="GB877">
        <v>37.75231195062667</v>
      </c>
      <c r="GC877">
        <v>25.963770506184947</v>
      </c>
      <c r="GD877">
        <v>16.055981885290837</v>
      </c>
      <c r="GE877">
        <v>19.774654202691359</v>
      </c>
      <c r="GF877">
        <v>28.692126947776888</v>
      </c>
      <c r="GG877">
        <v>24.736246288499888</v>
      </c>
      <c r="GH877">
        <v>37.656873083416201</v>
      </c>
      <c r="GI877">
        <v>54.529363887723719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193.71452289293012</v>
      </c>
      <c r="AO878">
        <v>51.507344448423474</v>
      </c>
      <c r="AP878">
        <v>376.32334016485061</v>
      </c>
      <c r="AQ878">
        <v>302.64742596012428</v>
      </c>
      <c r="AR878">
        <v>51.368697354824548</v>
      </c>
      <c r="AS878">
        <v>259.43452785284023</v>
      </c>
      <c r="AT878">
        <v>26.27080973561327</v>
      </c>
      <c r="AU878">
        <v>-25.264740483068628</v>
      </c>
      <c r="AV878"/>
      <c r="AW878"/>
      <c r="FY878" s="211">
        <v>873</v>
      </c>
      <c r="FZ878">
        <v>30.613312854983221</v>
      </c>
      <c r="GA878">
        <v>48.979843416604545</v>
      </c>
      <c r="GB878">
        <v>43.32319769497056</v>
      </c>
      <c r="GC878">
        <v>27.165949510963308</v>
      </c>
      <c r="GD878">
        <v>17.46573065210023</v>
      </c>
      <c r="GE878">
        <v>21.704495324902076</v>
      </c>
      <c r="GF878">
        <v>56.3850258194079</v>
      </c>
      <c r="GG878">
        <v>45.849906499082699</v>
      </c>
      <c r="GH878">
        <v>21.466734600203829</v>
      </c>
      <c r="GI878">
        <v>41.460356867444325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170.30232424931089</v>
      </c>
      <c r="AO879">
        <v>58.376889310821959</v>
      </c>
      <c r="AP879">
        <v>443.60816560948695</v>
      </c>
      <c r="AQ879">
        <v>359.17097270636333</v>
      </c>
      <c r="AR879">
        <v>56.217147791348623</v>
      </c>
      <c r="AS879">
        <v>256.4515758954351</v>
      </c>
      <c r="AT879">
        <v>29.255237202741341</v>
      </c>
      <c r="AU879">
        <v>-0.21481075360119917</v>
      </c>
      <c r="AV879"/>
      <c r="AW879"/>
      <c r="FY879" s="211">
        <v>874</v>
      </c>
      <c r="FZ879">
        <v>114.54512358521308</v>
      </c>
      <c r="GA879">
        <v>147.265111769908</v>
      </c>
      <c r="GB879">
        <v>49.579276177221104</v>
      </c>
      <c r="GC879">
        <v>22.410152502675516</v>
      </c>
      <c r="GD879">
        <v>11.890729197149183</v>
      </c>
      <c r="GE879">
        <v>21.095839238342627</v>
      </c>
      <c r="GF879">
        <v>56.662011604454037</v>
      </c>
      <c r="GG879">
        <v>52.249288426959104</v>
      </c>
      <c r="GH879">
        <v>49.029730117242906</v>
      </c>
      <c r="GI879">
        <v>56.196282059741435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236.62999587107475</v>
      </c>
      <c r="AO880">
        <v>67.156899899523566</v>
      </c>
      <c r="AP880">
        <v>474.80435340354802</v>
      </c>
      <c r="AQ880">
        <v>372.72541245980989</v>
      </c>
      <c r="AR880">
        <v>65.196574730328294</v>
      </c>
      <c r="AS880">
        <v>330.31906261722469</v>
      </c>
      <c r="AT880">
        <v>29.654738701377983</v>
      </c>
      <c r="AU880">
        <v>-33.482798435054725</v>
      </c>
      <c r="AV880"/>
      <c r="AW880"/>
      <c r="FY880" s="211">
        <v>875</v>
      </c>
      <c r="FZ880">
        <v>122.59041905946935</v>
      </c>
      <c r="GA880">
        <v>133.38513103544432</v>
      </c>
      <c r="GB880">
        <v>42.109185201407499</v>
      </c>
      <c r="GC880">
        <v>28.576091948175325</v>
      </c>
      <c r="GD880">
        <v>15.517716285254673</v>
      </c>
      <c r="GE880">
        <v>16.826094205185044</v>
      </c>
      <c r="GF880">
        <v>53.45573552487437</v>
      </c>
      <c r="GG880">
        <v>45.752644655802669</v>
      </c>
      <c r="GH880">
        <v>34.095874529135962</v>
      </c>
      <c r="GI880">
        <v>54.70281843564937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249.25864901104038</v>
      </c>
      <c r="AO881">
        <v>77.392255500012382</v>
      </c>
      <c r="AP881">
        <v>655.88353997542731</v>
      </c>
      <c r="AQ881">
        <v>521.79806072100155</v>
      </c>
      <c r="AR881">
        <v>74.383176368112856</v>
      </c>
      <c r="AS881">
        <v>361.42764596303192</v>
      </c>
      <c r="AT881">
        <v>37.774697431595705</v>
      </c>
      <c r="AU881">
        <v>1.915826654322931</v>
      </c>
      <c r="AV881"/>
      <c r="AW881"/>
      <c r="FY881" s="211">
        <v>876</v>
      </c>
      <c r="FZ881">
        <v>79.853368163862939</v>
      </c>
      <c r="GA881">
        <v>96.864199732703227</v>
      </c>
      <c r="GB881">
        <v>40.747149661542302</v>
      </c>
      <c r="GC881">
        <v>29.012779338655395</v>
      </c>
      <c r="GD881">
        <v>16.822209397422029</v>
      </c>
      <c r="GE881">
        <v>20.819675220334712</v>
      </c>
      <c r="GF881">
        <v>58.90623983852538</v>
      </c>
      <c r="GG881">
        <v>43.177736635218963</v>
      </c>
      <c r="GH881">
        <v>24.757210692273627</v>
      </c>
      <c r="GI881">
        <v>48.295891040601148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215.27469543469778</v>
      </c>
      <c r="AO882">
        <v>73.206656496232114</v>
      </c>
      <c r="AP882">
        <v>656.89062772096281</v>
      </c>
      <c r="AQ882">
        <v>534.6940629357922</v>
      </c>
      <c r="AR882">
        <v>69.201616701015155</v>
      </c>
      <c r="AS882">
        <v>308.5871845341938</v>
      </c>
      <c r="AT882">
        <v>38.289730098652882</v>
      </c>
      <c r="AU882">
        <v>-24.70118641462043</v>
      </c>
      <c r="AV882"/>
      <c r="AW882"/>
      <c r="FY882" s="211">
        <v>877</v>
      </c>
      <c r="FZ882">
        <v>31.348345412748909</v>
      </c>
      <c r="GA882">
        <v>34.532612486960737</v>
      </c>
      <c r="GB882">
        <v>38.096120588660561</v>
      </c>
      <c r="GC882">
        <v>22.051958564183565</v>
      </c>
      <c r="GD882">
        <v>18.566370329189976</v>
      </c>
      <c r="GE882">
        <v>31.624275068586385</v>
      </c>
      <c r="GF882">
        <v>31.367866700177423</v>
      </c>
      <c r="GG882">
        <v>22.826475376408659</v>
      </c>
      <c r="GH882">
        <v>18.85666235229699</v>
      </c>
      <c r="GI882">
        <v>35.569006653491925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199.59988467880589</v>
      </c>
      <c r="AO883">
        <v>59.254031161299999</v>
      </c>
      <c r="AP883">
        <v>462.05296421877449</v>
      </c>
      <c r="AQ883">
        <v>356.23760940115858</v>
      </c>
      <c r="AR883">
        <v>58.694441053777155</v>
      </c>
      <c r="AS883">
        <v>271.68785351270861</v>
      </c>
      <c r="AT883">
        <v>27.803570170869332</v>
      </c>
      <c r="AU883">
        <v>144.60750624409289</v>
      </c>
      <c r="AV883"/>
      <c r="AW883"/>
      <c r="FY883" s="211">
        <v>878</v>
      </c>
      <c r="FZ883">
        <v>101.96683764868551</v>
      </c>
      <c r="GA883">
        <v>135.3975616264693</v>
      </c>
      <c r="GB883">
        <v>42.783706885442349</v>
      </c>
      <c r="GC883">
        <v>22.526847634722657</v>
      </c>
      <c r="GD883">
        <v>12.61085098070121</v>
      </c>
      <c r="GE883">
        <v>20.278535943322591</v>
      </c>
      <c r="GF883">
        <v>43.081544819978376</v>
      </c>
      <c r="GG883">
        <v>37.280860184986715</v>
      </c>
      <c r="GH883">
        <v>27.23900866823568</v>
      </c>
      <c r="GI883">
        <v>46.942447337444428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274.11198561330718</v>
      </c>
      <c r="AO884">
        <v>82.101043088288577</v>
      </c>
      <c r="AP884">
        <v>635.84050971670717</v>
      </c>
      <c r="AQ884">
        <v>500.38755741181342</v>
      </c>
      <c r="AR884">
        <v>78.530586406560175</v>
      </c>
      <c r="AS884">
        <v>422.57967914043974</v>
      </c>
      <c r="AT884">
        <v>38.985709543910751</v>
      </c>
      <c r="AU884">
        <v>103.34195728049508</v>
      </c>
      <c r="AV884"/>
      <c r="AW884"/>
      <c r="FY884" s="211">
        <v>879</v>
      </c>
      <c r="FZ884">
        <v>145.43261054235009</v>
      </c>
      <c r="GA884">
        <v>170.1256529391772</v>
      </c>
      <c r="GB884">
        <v>40.385046742654993</v>
      </c>
      <c r="GC884">
        <v>25.480263680806587</v>
      </c>
      <c r="GD884">
        <v>13.884750175426383</v>
      </c>
      <c r="GE884">
        <v>24.031442945694952</v>
      </c>
      <c r="GF884">
        <v>65.004199996878498</v>
      </c>
      <c r="GG884">
        <v>55.431745549098032</v>
      </c>
      <c r="GH884">
        <v>42.188905648251456</v>
      </c>
      <c r="GI884">
        <v>60.224808818793058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213.52978402685821</v>
      </c>
      <c r="AO885">
        <v>62.977505780875596</v>
      </c>
      <c r="AP885">
        <v>470.88066200356479</v>
      </c>
      <c r="AQ885">
        <v>366.71349861683098</v>
      </c>
      <c r="AR885">
        <v>61.498926939366555</v>
      </c>
      <c r="AS885">
        <v>336.69945720974243</v>
      </c>
      <c r="AT885">
        <v>28.37597231243728</v>
      </c>
      <c r="AU885">
        <v>22.883841343919769</v>
      </c>
      <c r="AV885"/>
      <c r="AW885"/>
      <c r="FY885" s="211">
        <v>880</v>
      </c>
      <c r="FZ885">
        <v>70.638367029182163</v>
      </c>
      <c r="GA885">
        <v>77.934655474347693</v>
      </c>
      <c r="GB885">
        <v>34.569769591504411</v>
      </c>
      <c r="GC885">
        <v>24.256932771377908</v>
      </c>
      <c r="GD885">
        <v>16.919863382658836</v>
      </c>
      <c r="GE885">
        <v>28.718686981504199</v>
      </c>
      <c r="GF885">
        <v>22.169902613074729</v>
      </c>
      <c r="GG885">
        <v>12.662510314346795</v>
      </c>
      <c r="GH885">
        <v>38.020642330630011</v>
      </c>
      <c r="GI885">
        <v>40.448273212630539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162.16567399253356</v>
      </c>
      <c r="AO886">
        <v>51.086227940945719</v>
      </c>
      <c r="AP886">
        <v>379.99165211711124</v>
      </c>
      <c r="AQ886">
        <v>301.55928447917495</v>
      </c>
      <c r="AR886">
        <v>50.455380947594975</v>
      </c>
      <c r="AS886">
        <v>257.97210386039137</v>
      </c>
      <c r="AT886">
        <v>24.403928684771756</v>
      </c>
      <c r="AU886">
        <v>3.5833948640888167</v>
      </c>
      <c r="AV886"/>
      <c r="AW886"/>
      <c r="FY886" s="211">
        <v>881</v>
      </c>
      <c r="FZ886">
        <v>46.458255086362477</v>
      </c>
      <c r="GA886">
        <v>42.539250093956369</v>
      </c>
      <c r="GB886">
        <v>36.598219405333325</v>
      </c>
      <c r="GC886">
        <v>22.731562553970072</v>
      </c>
      <c r="GD886">
        <v>13.651401185259504</v>
      </c>
      <c r="GE886">
        <v>25.840634611084145</v>
      </c>
      <c r="GF886">
        <v>74.180820763004959</v>
      </c>
      <c r="GG886">
        <v>57.753898888542984</v>
      </c>
      <c r="GH886">
        <v>21.832924170490919</v>
      </c>
      <c r="GI886">
        <v>43.222084162337985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224.03350182564685</v>
      </c>
      <c r="AO887">
        <v>68.276081960511149</v>
      </c>
      <c r="AP887">
        <v>578.66534387855654</v>
      </c>
      <c r="AQ887">
        <v>455.26533323379113</v>
      </c>
      <c r="AR887">
        <v>66.376057994363691</v>
      </c>
      <c r="AS887">
        <v>320.9914640536598</v>
      </c>
      <c r="AT887">
        <v>32.967550145822109</v>
      </c>
      <c r="AU887">
        <v>3.9205745466954269</v>
      </c>
      <c r="AV887"/>
      <c r="AW887"/>
      <c r="FY887" s="211">
        <v>882</v>
      </c>
      <c r="FZ887">
        <v>80.412397391707856</v>
      </c>
      <c r="GA887">
        <v>93.989270236304264</v>
      </c>
      <c r="GB887">
        <v>53.199882157679305</v>
      </c>
      <c r="GC887">
        <v>31.15323639375675</v>
      </c>
      <c r="GD887">
        <v>17.342719385774068</v>
      </c>
      <c r="GE887">
        <v>24.672897301047637</v>
      </c>
      <c r="GF887">
        <v>42.705934304334527</v>
      </c>
      <c r="GG887">
        <v>36.277287779284748</v>
      </c>
      <c r="GH887">
        <v>29.609889039640471</v>
      </c>
      <c r="GI887">
        <v>49.602353218068373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208.83249558914159</v>
      </c>
      <c r="AO888">
        <v>81.061521406035737</v>
      </c>
      <c r="AP888">
        <v>717.42441725255298</v>
      </c>
      <c r="AQ888">
        <v>585.05962583702421</v>
      </c>
      <c r="AR888">
        <v>79.052792748590562</v>
      </c>
      <c r="AS888">
        <v>356.51843591666454</v>
      </c>
      <c r="AT888">
        <v>44.095219973590225</v>
      </c>
      <c r="AU888">
        <v>-24.433892048407124</v>
      </c>
      <c r="AV888"/>
      <c r="AW888"/>
      <c r="FY888" s="211">
        <v>883</v>
      </c>
      <c r="FZ888">
        <v>77.86469817036263</v>
      </c>
      <c r="GA888">
        <v>85.067954613877859</v>
      </c>
      <c r="GB888">
        <v>46.803574269359132</v>
      </c>
      <c r="GC888">
        <v>27.442502194179493</v>
      </c>
      <c r="GD888">
        <v>13.101764897117077</v>
      </c>
      <c r="GE888">
        <v>26.031924133688484</v>
      </c>
      <c r="GF888">
        <v>29.579162034043197</v>
      </c>
      <c r="GG888">
        <v>14.089678145816018</v>
      </c>
      <c r="GH888">
        <v>24.510612410258197</v>
      </c>
      <c r="GI888">
        <v>41.362009602764452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244.29886758762217</v>
      </c>
      <c r="AO889">
        <v>61.408639458060861</v>
      </c>
      <c r="AP889">
        <v>460.50531013286138</v>
      </c>
      <c r="AQ889">
        <v>354.41455324066271</v>
      </c>
      <c r="AR889">
        <v>59.657087202267299</v>
      </c>
      <c r="AS889">
        <v>300.61518545598813</v>
      </c>
      <c r="AT889">
        <v>27.951650352516623</v>
      </c>
      <c r="AU889">
        <v>-39.453445988897997</v>
      </c>
      <c r="AV889"/>
      <c r="AW889"/>
      <c r="FY889" s="211">
        <v>884</v>
      </c>
      <c r="FZ889">
        <v>29.159021817801456</v>
      </c>
      <c r="GA889">
        <v>44.104533446655999</v>
      </c>
      <c r="GB889">
        <v>28.529840524664472</v>
      </c>
      <c r="GC889">
        <v>16.123574416632824</v>
      </c>
      <c r="GD889">
        <v>14.643179090469888</v>
      </c>
      <c r="GE889">
        <v>24.477349045041777</v>
      </c>
      <c r="GF889">
        <v>40.955406553501945</v>
      </c>
      <c r="GG889">
        <v>30.74700663944051</v>
      </c>
      <c r="GH889">
        <v>24.210548347672468</v>
      </c>
      <c r="GI889">
        <v>32.93678527379825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228.96751240126613</v>
      </c>
      <c r="AO890">
        <v>82.649672513248831</v>
      </c>
      <c r="AP890">
        <v>752.22600348079845</v>
      </c>
      <c r="AQ890">
        <v>580.92354467890698</v>
      </c>
      <c r="AR890">
        <v>81.525745681130971</v>
      </c>
      <c r="AS890">
        <v>383.38358230720189</v>
      </c>
      <c r="AT890">
        <v>43.474142000434853</v>
      </c>
      <c r="AU890">
        <v>-34.577871775166898</v>
      </c>
      <c r="AV890"/>
      <c r="AW890"/>
      <c r="FY890" s="211">
        <v>885</v>
      </c>
      <c r="FZ890">
        <v>81.004681937221989</v>
      </c>
      <c r="GA890">
        <v>92.014185656362585</v>
      </c>
      <c r="GB890">
        <v>37.689160968386631</v>
      </c>
      <c r="GC890">
        <v>21.567550223693363</v>
      </c>
      <c r="GD890">
        <v>12.04781039836211</v>
      </c>
      <c r="GE890">
        <v>18.124675247226023</v>
      </c>
      <c r="GF890">
        <v>54.717259789060911</v>
      </c>
      <c r="GG890">
        <v>43.5046784159602</v>
      </c>
      <c r="GH890">
        <v>26.261501844102625</v>
      </c>
      <c r="GI890">
        <v>44.068928933621194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231.42810038279919</v>
      </c>
      <c r="AO891">
        <v>80.136391428309651</v>
      </c>
      <c r="AP891">
        <v>692.29411430813013</v>
      </c>
      <c r="AQ891">
        <v>547.0117108803986</v>
      </c>
      <c r="AR891">
        <v>79.36126291666487</v>
      </c>
      <c r="AS891">
        <v>368.30522018977996</v>
      </c>
      <c r="AT891">
        <v>42.409879445155127</v>
      </c>
      <c r="AU891">
        <v>-10.859622533313683</v>
      </c>
      <c r="AV891"/>
      <c r="AW891"/>
      <c r="FY891" s="211">
        <v>886</v>
      </c>
      <c r="FZ891">
        <v>70.77636329037297</v>
      </c>
      <c r="GA891">
        <v>87.522677693599462</v>
      </c>
      <c r="GB891">
        <v>46.666725661688446</v>
      </c>
      <c r="GC891">
        <v>25.863215541874947</v>
      </c>
      <c r="GD891">
        <v>11.255159173142413</v>
      </c>
      <c r="GE891">
        <v>24.562325034497764</v>
      </c>
      <c r="GF891">
        <v>51.879093600210403</v>
      </c>
      <c r="GG891">
        <v>38.399565908363371</v>
      </c>
      <c r="GH891">
        <v>31.439235119434322</v>
      </c>
      <c r="GI891">
        <v>44.96157997987698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245.46990281031654</v>
      </c>
      <c r="AO892">
        <v>71.308622012406616</v>
      </c>
      <c r="AP892">
        <v>577.82915568437113</v>
      </c>
      <c r="AQ892">
        <v>459.25645972113966</v>
      </c>
      <c r="AR892">
        <v>69.241936476550848</v>
      </c>
      <c r="AS892">
        <v>348.83105724860849</v>
      </c>
      <c r="AT892">
        <v>34.73835460119296</v>
      </c>
      <c r="AU892">
        <v>-33.776495887921875</v>
      </c>
      <c r="AV892"/>
      <c r="AW892"/>
      <c r="FY892" s="211">
        <v>887</v>
      </c>
      <c r="FZ892">
        <v>108.39749758079682</v>
      </c>
      <c r="GA892">
        <v>125.10248900650708</v>
      </c>
      <c r="GB892">
        <v>28.258300621026422</v>
      </c>
      <c r="GC892">
        <v>19.636367134316224</v>
      </c>
      <c r="GD892">
        <v>12.48006320389349</v>
      </c>
      <c r="GE892">
        <v>22.720098660577595</v>
      </c>
      <c r="GF892">
        <v>55.811980237875034</v>
      </c>
      <c r="GG892">
        <v>36.949357334416845</v>
      </c>
      <c r="GH892">
        <v>16.263290959708876</v>
      </c>
      <c r="GI892">
        <v>44.50705329641189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190.90740888498448</v>
      </c>
      <c r="AO893">
        <v>51.923985531827256</v>
      </c>
      <c r="AP893">
        <v>350.99890499233908</v>
      </c>
      <c r="AQ893">
        <v>284.83969353270516</v>
      </c>
      <c r="AR893">
        <v>50.881901023050453</v>
      </c>
      <c r="AS893">
        <v>255.63880435729502</v>
      </c>
      <c r="AT893">
        <v>23.333268649758281</v>
      </c>
      <c r="AU893">
        <v>54.572705257028396</v>
      </c>
      <c r="AV893"/>
      <c r="AW893"/>
      <c r="FY893" s="211">
        <v>888</v>
      </c>
      <c r="FZ893">
        <v>34.647269757233907</v>
      </c>
      <c r="GA893">
        <v>56.034245962175127</v>
      </c>
      <c r="GB893">
        <v>56.545912795032478</v>
      </c>
      <c r="GC893">
        <v>26.129216235606055</v>
      </c>
      <c r="GD893">
        <v>13.910308587043922</v>
      </c>
      <c r="GE893">
        <v>22.456813244386542</v>
      </c>
      <c r="GF893">
        <v>33.620150750393755</v>
      </c>
      <c r="GG893">
        <v>27.622286914990909</v>
      </c>
      <c r="GH893">
        <v>24.483118928638476</v>
      </c>
      <c r="GI893">
        <v>39.18975312129789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187.23981951942147</v>
      </c>
      <c r="AO894">
        <v>71.241990610305436</v>
      </c>
      <c r="AP894">
        <v>624.15938660317818</v>
      </c>
      <c r="AQ894">
        <v>490.10820172998888</v>
      </c>
      <c r="AR894">
        <v>68.062029669243131</v>
      </c>
      <c r="AS894">
        <v>315.78040848119014</v>
      </c>
      <c r="AT894">
        <v>34.96944326747203</v>
      </c>
      <c r="AU894">
        <v>-10.007995688813644</v>
      </c>
      <c r="AV894"/>
      <c r="AW894"/>
      <c r="FY894" s="211">
        <v>889</v>
      </c>
      <c r="FZ894">
        <v>64.338577140951827</v>
      </c>
      <c r="GA894">
        <v>74.622292553510363</v>
      </c>
      <c r="GB894">
        <v>39.520014405547727</v>
      </c>
      <c r="GC894">
        <v>29.956164289107608</v>
      </c>
      <c r="GD894">
        <v>14.68478336702996</v>
      </c>
      <c r="GE894">
        <v>19.452372259499754</v>
      </c>
      <c r="GF894">
        <v>71.334665159508035</v>
      </c>
      <c r="GG894">
        <v>50.565139419687739</v>
      </c>
      <c r="GH894">
        <v>13.268381819775001</v>
      </c>
      <c r="GI894">
        <v>45.090046928596941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246.60423589104636</v>
      </c>
      <c r="AO895">
        <v>90.635842319139783</v>
      </c>
      <c r="AP895">
        <v>815.83841231927499</v>
      </c>
      <c r="AQ895">
        <v>642.18942703913126</v>
      </c>
      <c r="AR895">
        <v>87.259283427364593</v>
      </c>
      <c r="AS895">
        <v>397.53846927352237</v>
      </c>
      <c r="AT895">
        <v>48.291315479732908</v>
      </c>
      <c r="AU895">
        <v>58.715349836401266</v>
      </c>
      <c r="AV895"/>
      <c r="AW895"/>
      <c r="FY895" s="211">
        <v>890</v>
      </c>
      <c r="FZ895">
        <v>28.89027827744075</v>
      </c>
      <c r="GA895">
        <v>31.300505239345089</v>
      </c>
      <c r="GB895">
        <v>37.39252241927295</v>
      </c>
      <c r="GC895">
        <v>21.155895291003159</v>
      </c>
      <c r="GD895">
        <v>15.138400146891637</v>
      </c>
      <c r="GE895">
        <v>28.231594014778405</v>
      </c>
      <c r="GF895">
        <v>32.234687529205672</v>
      </c>
      <c r="GG895">
        <v>23.526396409780538</v>
      </c>
      <c r="GH895">
        <v>30.752635958429664</v>
      </c>
      <c r="GI895">
        <v>34.764707186987764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185.78093432121216</v>
      </c>
      <c r="AO896">
        <v>58.725176422078583</v>
      </c>
      <c r="AP896">
        <v>445.33999868659123</v>
      </c>
      <c r="AQ896">
        <v>366.33960370125726</v>
      </c>
      <c r="AR896">
        <v>57.890740745633607</v>
      </c>
      <c r="AS896">
        <v>268.51672357374986</v>
      </c>
      <c r="AT896">
        <v>29.134972473980508</v>
      </c>
      <c r="AU896">
        <v>-39.779560111654312</v>
      </c>
      <c r="AV896"/>
      <c r="AW896"/>
      <c r="FY896" s="211">
        <v>891</v>
      </c>
      <c r="FZ896">
        <v>86.657789280327592</v>
      </c>
      <c r="GA896">
        <v>90.16032734553805</v>
      </c>
      <c r="GB896">
        <v>28.371119645528342</v>
      </c>
      <c r="GC896">
        <v>19.428231436014684</v>
      </c>
      <c r="GD896">
        <v>12.948095713018496</v>
      </c>
      <c r="GE896">
        <v>16.763369975330018</v>
      </c>
      <c r="GF896">
        <v>40.131717757088232</v>
      </c>
      <c r="GG896">
        <v>35.57511884999542</v>
      </c>
      <c r="GH896">
        <v>34.130700238533272</v>
      </c>
      <c r="GI896">
        <v>41.880827761930483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243.16046930263556</v>
      </c>
      <c r="AO897">
        <v>63.996179031279553</v>
      </c>
      <c r="AP897">
        <v>504.50498947189254</v>
      </c>
      <c r="AQ897">
        <v>384.80905092034277</v>
      </c>
      <c r="AR897">
        <v>62.241510897995624</v>
      </c>
      <c r="AS897">
        <v>296.18086196952402</v>
      </c>
      <c r="AT897">
        <v>28.142736270118849</v>
      </c>
      <c r="AU897">
        <v>58.26965184758987</v>
      </c>
      <c r="AV897"/>
      <c r="AW897"/>
      <c r="FY897" s="211">
        <v>892</v>
      </c>
      <c r="FZ897">
        <v>79.439913668377471</v>
      </c>
      <c r="GA897">
        <v>92.535896161904745</v>
      </c>
      <c r="GB897">
        <v>35.764238417415676</v>
      </c>
      <c r="GC897">
        <v>24.876656246651468</v>
      </c>
      <c r="GD897">
        <v>18.393391648599888</v>
      </c>
      <c r="GE897">
        <v>20.504311798110333</v>
      </c>
      <c r="GF897">
        <v>24.868143133129035</v>
      </c>
      <c r="GG897">
        <v>32.888781190617095</v>
      </c>
      <c r="GH897">
        <v>35.239391969144748</v>
      </c>
      <c r="GI897">
        <v>43.122640028143429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267.85133625423265</v>
      </c>
      <c r="AO898">
        <v>73.121550647728796</v>
      </c>
      <c r="AP898">
        <v>584.45282977269119</v>
      </c>
      <c r="AQ898">
        <v>458.96586720759785</v>
      </c>
      <c r="AR898">
        <v>71.672569737244572</v>
      </c>
      <c r="AS898">
        <v>341.07826118137615</v>
      </c>
      <c r="AT898">
        <v>35.532412133679827</v>
      </c>
      <c r="AU898">
        <v>5.0135856049963508</v>
      </c>
      <c r="AV898"/>
      <c r="AW898"/>
      <c r="FY898" s="211">
        <v>893</v>
      </c>
      <c r="FZ898">
        <v>82.745250515144591</v>
      </c>
      <c r="GA898">
        <v>86.723295521372521</v>
      </c>
      <c r="GB898">
        <v>49.556950308400161</v>
      </c>
      <c r="GC898">
        <v>30.630616315903168</v>
      </c>
      <c r="GD898">
        <v>17.173708409372992</v>
      </c>
      <c r="GE898">
        <v>23.393215467809206</v>
      </c>
      <c r="GF898">
        <v>29.082050111772261</v>
      </c>
      <c r="GG898">
        <v>24.363727207787754</v>
      </c>
      <c r="GH898">
        <v>23.015142519303328</v>
      </c>
      <c r="GI898">
        <v>45.189787952656864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195.61893844006093</v>
      </c>
      <c r="AO899">
        <v>60.417724450843465</v>
      </c>
      <c r="AP899">
        <v>479.65706845691892</v>
      </c>
      <c r="AQ899">
        <v>385.85388047146654</v>
      </c>
      <c r="AR899">
        <v>58.806386564831307</v>
      </c>
      <c r="AS899">
        <v>290.05161407386225</v>
      </c>
      <c r="AT899">
        <v>29.647981003201576</v>
      </c>
      <c r="AU899">
        <v>-9.1130682842429493</v>
      </c>
      <c r="AV899"/>
      <c r="AW899"/>
      <c r="FY899" s="211">
        <v>894</v>
      </c>
      <c r="FZ899">
        <v>31.777420398634142</v>
      </c>
      <c r="GA899">
        <v>45.054692779382222</v>
      </c>
      <c r="GB899">
        <v>39.888131083032611</v>
      </c>
      <c r="GC899">
        <v>20.935035785222752</v>
      </c>
      <c r="GD899">
        <v>12.461142678682862</v>
      </c>
      <c r="GE899">
        <v>20.54268036189735</v>
      </c>
      <c r="GF899">
        <v>52.204810652879118</v>
      </c>
      <c r="GG899">
        <v>41.231084552738189</v>
      </c>
      <c r="GH899">
        <v>21.649283703908065</v>
      </c>
      <c r="GI899">
        <v>36.660136985748942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168.34292052666598</v>
      </c>
      <c r="AO900">
        <v>48.092953629282228</v>
      </c>
      <c r="AP900">
        <v>360.75650407082361</v>
      </c>
      <c r="AQ900">
        <v>285.88724515567958</v>
      </c>
      <c r="AR900">
        <v>47.039679499967264</v>
      </c>
      <c r="AS900">
        <v>237.80723993862946</v>
      </c>
      <c r="AT900">
        <v>22.801813021252617</v>
      </c>
      <c r="AU900">
        <v>6.8473910811541003</v>
      </c>
      <c r="AV900"/>
      <c r="AW900"/>
      <c r="FY900" s="211">
        <v>895</v>
      </c>
      <c r="FZ900">
        <v>84.97604330053781</v>
      </c>
      <c r="GA900">
        <v>98.950663785568921</v>
      </c>
      <c r="GB900">
        <v>39.451752605322461</v>
      </c>
      <c r="GC900">
        <v>24.806136053965631</v>
      </c>
      <c r="GD900">
        <v>16.729289882198373</v>
      </c>
      <c r="GE900">
        <v>24.169441966055338</v>
      </c>
      <c r="GF900">
        <v>79.759327535046481</v>
      </c>
      <c r="GG900">
        <v>63.237843402747444</v>
      </c>
      <c r="GH900">
        <v>25.52947386638715</v>
      </c>
      <c r="GI900">
        <v>53.282816442956289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214.42168265399437</v>
      </c>
      <c r="AO901">
        <v>64.301894495184968</v>
      </c>
      <c r="AP901">
        <v>550.67216974635642</v>
      </c>
      <c r="AQ901">
        <v>431.0004334139976</v>
      </c>
      <c r="AR901">
        <v>63.282842617454733</v>
      </c>
      <c r="AS901">
        <v>316.10086073171021</v>
      </c>
      <c r="AT901">
        <v>31.644677290248705</v>
      </c>
      <c r="AU901">
        <v>35.792627470281879</v>
      </c>
      <c r="AV901"/>
      <c r="AW901"/>
      <c r="FY901" s="211">
        <v>896</v>
      </c>
      <c r="FZ901">
        <v>109.29652081325723</v>
      </c>
      <c r="GA901">
        <v>118.72995365126822</v>
      </c>
      <c r="GB901">
        <v>61.648320831670063</v>
      </c>
      <c r="GC901">
        <v>37.665823504889488</v>
      </c>
      <c r="GD901">
        <v>13.239823394207678</v>
      </c>
      <c r="GE901">
        <v>17.74827815630853</v>
      </c>
      <c r="GF901">
        <v>59.893589485065576</v>
      </c>
      <c r="GG901">
        <v>60.693929784806301</v>
      </c>
      <c r="GH901">
        <v>32.88410883298635</v>
      </c>
      <c r="GI901">
        <v>57.384339119836113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225.39576520233817</v>
      </c>
      <c r="AO902">
        <v>67.46577915280011</v>
      </c>
      <c r="AP902">
        <v>563.17971184422424</v>
      </c>
      <c r="AQ902">
        <v>433.32594100306108</v>
      </c>
      <c r="AR902">
        <v>64.669778231646902</v>
      </c>
      <c r="AS902">
        <v>300.90001670753338</v>
      </c>
      <c r="AT902">
        <v>32.202086540194124</v>
      </c>
      <c r="AU902">
        <v>117.82933409372532</v>
      </c>
      <c r="AV902"/>
      <c r="AW902"/>
      <c r="FY902" s="211">
        <v>897</v>
      </c>
      <c r="FZ902">
        <v>66.717982533321361</v>
      </c>
      <c r="GA902">
        <v>82.604550619688808</v>
      </c>
      <c r="GB902">
        <v>38.088729834119363</v>
      </c>
      <c r="GC902">
        <v>20.656781008889435</v>
      </c>
      <c r="GD902">
        <v>13.666986455925709</v>
      </c>
      <c r="GE902">
        <v>27.453751966914549</v>
      </c>
      <c r="GF902">
        <v>63.597844634787116</v>
      </c>
      <c r="GG902">
        <v>53.304382045216315</v>
      </c>
      <c r="GH902">
        <v>31.657739978128259</v>
      </c>
      <c r="GI902">
        <v>46.156901933310529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215.02697007808592</v>
      </c>
      <c r="AO903">
        <v>67.07427329410902</v>
      </c>
      <c r="AP903">
        <v>585.82811079737655</v>
      </c>
      <c r="AQ903">
        <v>470.12649803553029</v>
      </c>
      <c r="AR903">
        <v>63.761325606277495</v>
      </c>
      <c r="AS903">
        <v>326.30207478111669</v>
      </c>
      <c r="AT903">
        <v>33.793985903759634</v>
      </c>
      <c r="AU903">
        <v>-20.628986499202824</v>
      </c>
      <c r="AV903"/>
      <c r="AW903"/>
      <c r="FY903" s="211">
        <v>898</v>
      </c>
      <c r="FZ903">
        <v>91.259847473258787</v>
      </c>
      <c r="GA903">
        <v>105.05545450340996</v>
      </c>
      <c r="GB903">
        <v>31.654790193606509</v>
      </c>
      <c r="GC903">
        <v>17.121804931251305</v>
      </c>
      <c r="GD903">
        <v>15.284396818639866</v>
      </c>
      <c r="GE903">
        <v>21.347059071869591</v>
      </c>
      <c r="GF903">
        <v>48.835802172474764</v>
      </c>
      <c r="GG903">
        <v>35.484459925487755</v>
      </c>
      <c r="GH903">
        <v>12.17189069691867</v>
      </c>
      <c r="GI903">
        <v>42.967284872302493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190.52804855024024</v>
      </c>
      <c r="AO904">
        <v>57.336626453485835</v>
      </c>
      <c r="AP904">
        <v>439.91000487096483</v>
      </c>
      <c r="AQ904">
        <v>334.63907629679903</v>
      </c>
      <c r="AR904">
        <v>56.470066865689105</v>
      </c>
      <c r="AS904">
        <v>259.62317790292508</v>
      </c>
      <c r="AT904">
        <v>26.144288364475816</v>
      </c>
      <c r="AU904">
        <v>-14.638573437877248</v>
      </c>
      <c r="AV904"/>
      <c r="AW904"/>
      <c r="FY904" s="211">
        <v>899</v>
      </c>
      <c r="FZ904">
        <v>75.634796701745813</v>
      </c>
      <c r="GA904">
        <v>101.19055057190442</v>
      </c>
      <c r="GB904">
        <v>37.268549538372</v>
      </c>
      <c r="GC904">
        <v>17.297545103862561</v>
      </c>
      <c r="GD904">
        <v>15.488557245334752</v>
      </c>
      <c r="GE904">
        <v>25.871328708040199</v>
      </c>
      <c r="GF904">
        <v>39.076644748662922</v>
      </c>
      <c r="GG904">
        <v>38.58340607248325</v>
      </c>
      <c r="GH904">
        <v>42.710730203841244</v>
      </c>
      <c r="GI904">
        <v>45.046503573183706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256.65943449256179</v>
      </c>
      <c r="AO905">
        <v>67.743796998884164</v>
      </c>
      <c r="AP905">
        <v>543.51009464328854</v>
      </c>
      <c r="AQ905">
        <v>422.83243734321496</v>
      </c>
      <c r="AR905">
        <v>64.479072527045446</v>
      </c>
      <c r="AS905">
        <v>321.02667892157069</v>
      </c>
      <c r="AT905">
        <v>31.513322405137981</v>
      </c>
      <c r="AU905">
        <v>-44.431071852721075</v>
      </c>
      <c r="AV905"/>
      <c r="AW905"/>
      <c r="FY905" s="211">
        <v>900</v>
      </c>
      <c r="FZ905">
        <v>65.864107709942374</v>
      </c>
      <c r="GA905">
        <v>87.555663583248048</v>
      </c>
      <c r="GB905">
        <v>34.000813865964886</v>
      </c>
      <c r="GC905">
        <v>18.329161853430286</v>
      </c>
      <c r="GD905">
        <v>15.820417847880467</v>
      </c>
      <c r="GE905">
        <v>32.299250409879591</v>
      </c>
      <c r="GF905">
        <v>44.048000096307582</v>
      </c>
      <c r="GG905">
        <v>24.719206696149712</v>
      </c>
      <c r="GH905">
        <v>20.563704173538198</v>
      </c>
      <c r="GI905">
        <v>40.406138600858462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187.43160930192889</v>
      </c>
      <c r="AO906">
        <v>49.741197447213253</v>
      </c>
      <c r="AP906">
        <v>356.99112082763435</v>
      </c>
      <c r="AQ906">
        <v>283.38762247313565</v>
      </c>
      <c r="AR906">
        <v>49.523445063626944</v>
      </c>
      <c r="AS906">
        <v>252.77331430420449</v>
      </c>
      <c r="AT906">
        <v>24.089216338505778</v>
      </c>
      <c r="AU906">
        <v>65.709345238756242</v>
      </c>
      <c r="AV906"/>
      <c r="AW906"/>
      <c r="FY906" s="211">
        <v>901</v>
      </c>
      <c r="FZ906">
        <v>116.01707754111629</v>
      </c>
      <c r="GA906">
        <v>135.98705518181086</v>
      </c>
      <c r="GB906">
        <v>53.32432514913026</v>
      </c>
      <c r="GC906">
        <v>25.11937856896575</v>
      </c>
      <c r="GD906">
        <v>13.639062078920391</v>
      </c>
      <c r="GE906">
        <v>25.559044371012767</v>
      </c>
      <c r="GF906">
        <v>38.488158587709449</v>
      </c>
      <c r="GG906">
        <v>30.643278104696783</v>
      </c>
      <c r="GH906">
        <v>21.333462458245755</v>
      </c>
      <c r="GI906">
        <v>50.507380528953433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186.44966056444804</v>
      </c>
      <c r="AO907">
        <v>60.686204643807159</v>
      </c>
      <c r="AP907">
        <v>515.85696324481091</v>
      </c>
      <c r="AQ907">
        <v>406.0472980033046</v>
      </c>
      <c r="AR907">
        <v>60.591310316595539</v>
      </c>
      <c r="AS907">
        <v>279.62118766007467</v>
      </c>
      <c r="AT907">
        <v>31.257235874038102</v>
      </c>
      <c r="AU907">
        <v>15.035064548796264</v>
      </c>
      <c r="AV907"/>
      <c r="AW907"/>
      <c r="FY907" s="211">
        <v>902</v>
      </c>
      <c r="FZ907">
        <v>97.742758817633558</v>
      </c>
      <c r="GA907">
        <v>88.782080386231357</v>
      </c>
      <c r="GB907">
        <v>59.214632810453942</v>
      </c>
      <c r="GC907">
        <v>33.792744745837176</v>
      </c>
      <c r="GD907">
        <v>14.969846410128573</v>
      </c>
      <c r="GE907">
        <v>24.431935453223492</v>
      </c>
      <c r="GF907">
        <v>58.693978392228011</v>
      </c>
      <c r="GG907">
        <v>46.64765825710802</v>
      </c>
      <c r="GH907">
        <v>24.847940744736036</v>
      </c>
      <c r="GI907">
        <v>54.614110822401855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192.3399059662184</v>
      </c>
      <c r="AO908">
        <v>64.078437625132111</v>
      </c>
      <c r="AP908">
        <v>504.21545899621009</v>
      </c>
      <c r="AQ908">
        <v>407.63336426209389</v>
      </c>
      <c r="AR908">
        <v>62.643197638956103</v>
      </c>
      <c r="AS908">
        <v>283.47354552526838</v>
      </c>
      <c r="AT908">
        <v>30.943061686424997</v>
      </c>
      <c r="AU908">
        <v>36.066206131099733</v>
      </c>
      <c r="AV908"/>
      <c r="AW908"/>
      <c r="FY908" s="211">
        <v>903</v>
      </c>
      <c r="FZ908">
        <v>118.44819752986398</v>
      </c>
      <c r="GA908">
        <v>129.7601992930208</v>
      </c>
      <c r="GB908">
        <v>42.996107447153705</v>
      </c>
      <c r="GC908">
        <v>26.834828930333877</v>
      </c>
      <c r="GD908">
        <v>16.387364980327515</v>
      </c>
      <c r="GE908">
        <v>29.297236606453431</v>
      </c>
      <c r="GF908">
        <v>47.860057956429223</v>
      </c>
      <c r="GG908">
        <v>30.402139421570865</v>
      </c>
      <c r="GH908">
        <v>14.171713251249443</v>
      </c>
      <c r="GI908">
        <v>50.534332567936445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213.35152546244279</v>
      </c>
      <c r="AO909">
        <v>66.390068931922102</v>
      </c>
      <c r="AP909">
        <v>514.95407397527242</v>
      </c>
      <c r="AQ909">
        <v>411.87374432952282</v>
      </c>
      <c r="AR909">
        <v>65.414134763075609</v>
      </c>
      <c r="AS909">
        <v>301.24253858262307</v>
      </c>
      <c r="AT909">
        <v>32.919334036387824</v>
      </c>
      <c r="AU909">
        <v>-33.881285580484487</v>
      </c>
      <c r="AV909"/>
      <c r="AW909"/>
      <c r="FY909" s="211">
        <v>904</v>
      </c>
      <c r="FZ909">
        <v>45.053529463126296</v>
      </c>
      <c r="GA909">
        <v>52.86218695316667</v>
      </c>
      <c r="GB909">
        <v>48.974707589785872</v>
      </c>
      <c r="GC909">
        <v>27.151018410327232</v>
      </c>
      <c r="GD909">
        <v>17.118955328361583</v>
      </c>
      <c r="GE909">
        <v>30.383952442776625</v>
      </c>
      <c r="GF909">
        <v>37.413425557753193</v>
      </c>
      <c r="GG909">
        <v>30.204616399778402</v>
      </c>
      <c r="GH909">
        <v>39.539961113109513</v>
      </c>
      <c r="GI909">
        <v>43.813331062436468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176.73915279819383</v>
      </c>
      <c r="AO910">
        <v>53.704029541916142</v>
      </c>
      <c r="AP910">
        <v>424.16126839716742</v>
      </c>
      <c r="AQ910">
        <v>322.40441898212623</v>
      </c>
      <c r="AR910">
        <v>52.547972803436053</v>
      </c>
      <c r="AS910">
        <v>268.19738817095896</v>
      </c>
      <c r="AT910">
        <v>26.697987427860216</v>
      </c>
      <c r="AU910">
        <v>-4.6677018639396408</v>
      </c>
      <c r="AV910"/>
      <c r="AW910"/>
      <c r="FY910" s="211">
        <v>905</v>
      </c>
      <c r="FZ910">
        <v>73.848513964396318</v>
      </c>
      <c r="GA910">
        <v>87.0547095541381</v>
      </c>
      <c r="GB910">
        <v>31.533066745783234</v>
      </c>
      <c r="GC910">
        <v>19.973400524057972</v>
      </c>
      <c r="GD910">
        <v>17.296152153606961</v>
      </c>
      <c r="GE910">
        <v>28.171103250187095</v>
      </c>
      <c r="GF910">
        <v>62.406860653176125</v>
      </c>
      <c r="GG910">
        <v>52.552419750198659</v>
      </c>
      <c r="GH910">
        <v>33.873434991896701</v>
      </c>
      <c r="GI910">
        <v>47.957536435900998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263.64404089697547</v>
      </c>
      <c r="AO911">
        <v>78.811123287317443</v>
      </c>
      <c r="AP911">
        <v>657.7167639714188</v>
      </c>
      <c r="AQ911">
        <v>510.8927888407859</v>
      </c>
      <c r="AR911">
        <v>76.849988165642685</v>
      </c>
      <c r="AS911">
        <v>370.23632744633062</v>
      </c>
      <c r="AT911">
        <v>37.037607914873696</v>
      </c>
      <c r="AU911">
        <v>25.882243412476903</v>
      </c>
      <c r="AV911"/>
      <c r="AW911"/>
      <c r="FY911" s="211">
        <v>906</v>
      </c>
      <c r="FZ911">
        <v>55.494051089603133</v>
      </c>
      <c r="GA911">
        <v>95.635409112197479</v>
      </c>
      <c r="GB911">
        <v>55.817454226275466</v>
      </c>
      <c r="GC911">
        <v>26.950180561982823</v>
      </c>
      <c r="GD911">
        <v>18.642459393602842</v>
      </c>
      <c r="GE911">
        <v>31.157817876729624</v>
      </c>
      <c r="GF911">
        <v>32.967958359277773</v>
      </c>
      <c r="GG911">
        <v>23.836560637968045</v>
      </c>
      <c r="GH911">
        <v>18.207867826418727</v>
      </c>
      <c r="GI911">
        <v>43.63658762486309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243.56148938977293</v>
      </c>
      <c r="AO912">
        <v>87.028829019817493</v>
      </c>
      <c r="AP912">
        <v>740.27679654610733</v>
      </c>
      <c r="AQ912">
        <v>569.18468757429559</v>
      </c>
      <c r="AR912">
        <v>83.590332710073</v>
      </c>
      <c r="AS912">
        <v>373.25880671563107</v>
      </c>
      <c r="AT912">
        <v>44.389277272199088</v>
      </c>
      <c r="AU912">
        <v>104.99986913045169</v>
      </c>
      <c r="AV912"/>
      <c r="AW912"/>
      <c r="FY912" s="211">
        <v>907</v>
      </c>
      <c r="FZ912">
        <v>29.12888848508242</v>
      </c>
      <c r="GA912">
        <v>47.053530357595058</v>
      </c>
      <c r="GB912">
        <v>38.752407971207731</v>
      </c>
      <c r="GC912">
        <v>20.147241550988138</v>
      </c>
      <c r="GD912">
        <v>10.883715019342842</v>
      </c>
      <c r="GE912">
        <v>18.611850742412262</v>
      </c>
      <c r="GF912">
        <v>49.165192320620946</v>
      </c>
      <c r="GG912">
        <v>40.033969047163637</v>
      </c>
      <c r="GH912">
        <v>37.86228691895883</v>
      </c>
      <c r="GI912">
        <v>36.750772900537847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192.48028176973159</v>
      </c>
      <c r="AO913">
        <v>69.28801115731855</v>
      </c>
      <c r="AP913">
        <v>572.75747194953124</v>
      </c>
      <c r="AQ913">
        <v>443.90565101030137</v>
      </c>
      <c r="AR913">
        <v>66.696144311019665</v>
      </c>
      <c r="AS913">
        <v>331.6713063443093</v>
      </c>
      <c r="AT913">
        <v>32.868615834827217</v>
      </c>
      <c r="AU913">
        <v>22.410691468675264</v>
      </c>
      <c r="AV913"/>
      <c r="AW913"/>
      <c r="FY913" s="211">
        <v>908</v>
      </c>
      <c r="FZ913">
        <v>24.821922364728078</v>
      </c>
      <c r="GA913">
        <v>52.072590738350144</v>
      </c>
      <c r="GB913">
        <v>41.712932583166975</v>
      </c>
      <c r="GC913">
        <v>22.403640214771151</v>
      </c>
      <c r="GD913">
        <v>15.925041542344381</v>
      </c>
      <c r="GE913">
        <v>20.552337630536851</v>
      </c>
      <c r="GF913">
        <v>84.047489083026704</v>
      </c>
      <c r="GG913">
        <v>71.47694699141033</v>
      </c>
      <c r="GH913">
        <v>18.289305212600642</v>
      </c>
      <c r="GI913">
        <v>44.070307290979365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196.93063561817738</v>
      </c>
      <c r="AO914">
        <v>62.754510914035073</v>
      </c>
      <c r="AP914">
        <v>526.61758611100004</v>
      </c>
      <c r="AQ914">
        <v>421.18279065921973</v>
      </c>
      <c r="AR914">
        <v>61.814178721671503</v>
      </c>
      <c r="AS914">
        <v>306.09060076277103</v>
      </c>
      <c r="AT914">
        <v>30.668876586601897</v>
      </c>
      <c r="AU914">
        <v>29.351370440475527</v>
      </c>
      <c r="AV914"/>
      <c r="AW914"/>
      <c r="FY914" s="211">
        <v>909</v>
      </c>
      <c r="FZ914">
        <v>116.63239767166625</v>
      </c>
      <c r="GA914">
        <v>126.25122776731948</v>
      </c>
      <c r="GB914">
        <v>42.347780079069075</v>
      </c>
      <c r="GC914">
        <v>26.853923409132271</v>
      </c>
      <c r="GD914">
        <v>21.53870656888018</v>
      </c>
      <c r="GE914">
        <v>33.240566967203904</v>
      </c>
      <c r="GF914">
        <v>78.99451909118747</v>
      </c>
      <c r="GG914">
        <v>68.634885796501862</v>
      </c>
      <c r="GH914">
        <v>29.881986377430096</v>
      </c>
      <c r="GI914">
        <v>62.158861426867873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207.28967985524142</v>
      </c>
      <c r="AO915">
        <v>65.561431718656053</v>
      </c>
      <c r="AP915">
        <v>550.8061441692621</v>
      </c>
      <c r="AQ915">
        <v>438.16861246743088</v>
      </c>
      <c r="AR915">
        <v>65.105110242335186</v>
      </c>
      <c r="AS915">
        <v>308.05296705297621</v>
      </c>
      <c r="AT915">
        <v>32.330634763889606</v>
      </c>
      <c r="AU915">
        <v>-34.023130444340332</v>
      </c>
      <c r="AV915"/>
      <c r="AW915"/>
      <c r="FY915" s="211">
        <v>910</v>
      </c>
      <c r="FZ915">
        <v>67.301158067024957</v>
      </c>
      <c r="GA915">
        <v>92.188329386103803</v>
      </c>
      <c r="GB915">
        <v>42.902496644786353</v>
      </c>
      <c r="GC915">
        <v>29.478106809807148</v>
      </c>
      <c r="GD915">
        <v>16.700778750392175</v>
      </c>
      <c r="GE915">
        <v>19.359809342464565</v>
      </c>
      <c r="GF915">
        <v>37.020921919091229</v>
      </c>
      <c r="GG915">
        <v>26.185547336332391</v>
      </c>
      <c r="GH915">
        <v>15.665284358669231</v>
      </c>
      <c r="GI915">
        <v>41.483989875399764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186.8761018473667</v>
      </c>
      <c r="AO916">
        <v>60.014357892024137</v>
      </c>
      <c r="AP916">
        <v>475.74920030054091</v>
      </c>
      <c r="AQ916">
        <v>383.60646483719967</v>
      </c>
      <c r="AR916">
        <v>57.736526119383569</v>
      </c>
      <c r="AS916">
        <v>290.48788974698545</v>
      </c>
      <c r="AT916">
        <v>28.692723401820899</v>
      </c>
      <c r="AU916">
        <v>-23.427477514295138</v>
      </c>
      <c r="AV916"/>
      <c r="AW916"/>
      <c r="FY916" s="211">
        <v>911</v>
      </c>
      <c r="FZ916">
        <v>121.32520984678941</v>
      </c>
      <c r="GA916">
        <v>137.95229248493459</v>
      </c>
      <c r="GB916">
        <v>40.440328509309289</v>
      </c>
      <c r="GC916">
        <v>22.673715526364145</v>
      </c>
      <c r="GD916">
        <v>12.847706519015487</v>
      </c>
      <c r="GE916">
        <v>20.987817539364432</v>
      </c>
      <c r="GF916">
        <v>31.87711766011255</v>
      </c>
      <c r="GG916">
        <v>24.016016500202081</v>
      </c>
      <c r="GH916">
        <v>11.78257869977962</v>
      </c>
      <c r="GI916">
        <v>44.657288818972326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205.97591833777088</v>
      </c>
      <c r="AO917">
        <v>75.308973855920158</v>
      </c>
      <c r="AP917">
        <v>646.49727157512189</v>
      </c>
      <c r="AQ917">
        <v>510.61822257056178</v>
      </c>
      <c r="AR917">
        <v>73.309924379895079</v>
      </c>
      <c r="AS917">
        <v>349.03607017595027</v>
      </c>
      <c r="AT917">
        <v>39.105474344496805</v>
      </c>
      <c r="AU917">
        <v>0.33725256048050056</v>
      </c>
      <c r="AV917"/>
      <c r="AW917"/>
      <c r="FY917" s="211">
        <v>912</v>
      </c>
      <c r="FZ917">
        <v>125.73670827571009</v>
      </c>
      <c r="GA917">
        <v>136.72618430902733</v>
      </c>
      <c r="GB917">
        <v>44.44642607639561</v>
      </c>
      <c r="GC917">
        <v>26.942819581714133</v>
      </c>
      <c r="GD917">
        <v>14.076592285252456</v>
      </c>
      <c r="GE917">
        <v>20.156207383233504</v>
      </c>
      <c r="GF917">
        <v>49.20269765612224</v>
      </c>
      <c r="GG917">
        <v>42.476090235980124</v>
      </c>
      <c r="GH917">
        <v>17.906602301160163</v>
      </c>
      <c r="GI917">
        <v>51.617016264087994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250.85437888717775</v>
      </c>
      <c r="AO918">
        <v>79.332518841167982</v>
      </c>
      <c r="AP918">
        <v>645.60150062973423</v>
      </c>
      <c r="AQ918">
        <v>503.73768683998208</v>
      </c>
      <c r="AR918">
        <v>78.788262275489558</v>
      </c>
      <c r="AS918">
        <v>358.47569662384728</v>
      </c>
      <c r="AT918">
        <v>38.40321702874494</v>
      </c>
      <c r="AU918">
        <v>38.164618491480454</v>
      </c>
      <c r="AV918"/>
      <c r="AW918"/>
      <c r="FY918" s="211">
        <v>913</v>
      </c>
      <c r="FZ918">
        <v>64.251220017463993</v>
      </c>
      <c r="GA918">
        <v>89.543221188643543</v>
      </c>
      <c r="GB918">
        <v>36.085780959998857</v>
      </c>
      <c r="GC918">
        <v>25.629216838262565</v>
      </c>
      <c r="GD918">
        <v>17.242950246421916</v>
      </c>
      <c r="GE918">
        <v>26.649112408715371</v>
      </c>
      <c r="GF918">
        <v>60.462102938440751</v>
      </c>
      <c r="GG918">
        <v>39.538199842694617</v>
      </c>
      <c r="GH918">
        <v>21.494899510637868</v>
      </c>
      <c r="GI918">
        <v>45.028562266043288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254.33924209015436</v>
      </c>
      <c r="AO919">
        <v>75.893657643071805</v>
      </c>
      <c r="AP919">
        <v>627.38637360515588</v>
      </c>
      <c r="AQ919">
        <v>506.6921779843392</v>
      </c>
      <c r="AR919">
        <v>72.76872312642746</v>
      </c>
      <c r="AS919">
        <v>332.29700563958909</v>
      </c>
      <c r="AT919">
        <v>37.267142325746775</v>
      </c>
      <c r="AU919">
        <v>21.55035090780455</v>
      </c>
      <c r="AV919"/>
      <c r="AW919"/>
      <c r="FY919" s="211">
        <v>914</v>
      </c>
      <c r="FZ919">
        <v>71.553101306008358</v>
      </c>
      <c r="GA919">
        <v>90.208137552136009</v>
      </c>
      <c r="GB919">
        <v>52.821333439371791</v>
      </c>
      <c r="GC919">
        <v>27.885886288785855</v>
      </c>
      <c r="GD919">
        <v>13.572203369520944</v>
      </c>
      <c r="GE919">
        <v>25.183540375606686</v>
      </c>
      <c r="GF919">
        <v>47.928142136592086</v>
      </c>
      <c r="GG919">
        <v>28.659954681875352</v>
      </c>
      <c r="GH919">
        <v>15.53648764586841</v>
      </c>
      <c r="GI919">
        <v>44.529968567855974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180.41962755120267</v>
      </c>
      <c r="AO920">
        <v>63.515950073229092</v>
      </c>
      <c r="AP920">
        <v>474.17241460964539</v>
      </c>
      <c r="AQ920">
        <v>372.5156843206218</v>
      </c>
      <c r="AR920">
        <v>62.695515921004223</v>
      </c>
      <c r="AS920">
        <v>305.41158185982874</v>
      </c>
      <c r="AT920">
        <v>30.708604582193288</v>
      </c>
      <c r="AU920">
        <v>16.763781682143623</v>
      </c>
      <c r="AV920"/>
      <c r="AW920"/>
      <c r="FY920" s="211">
        <v>915</v>
      </c>
      <c r="FZ920">
        <v>195.86410588029108</v>
      </c>
      <c r="GA920">
        <v>235.5156989042666</v>
      </c>
      <c r="GB920">
        <v>54.482930006251557</v>
      </c>
      <c r="GC920">
        <v>32.729164796433501</v>
      </c>
      <c r="GD920">
        <v>18.061902517919435</v>
      </c>
      <c r="GE920">
        <v>26.876973687792329</v>
      </c>
      <c r="GF920">
        <v>67.34838748029145</v>
      </c>
      <c r="GG920">
        <v>50.26456186026342</v>
      </c>
      <c r="GH920">
        <v>18.766786561319076</v>
      </c>
      <c r="GI920">
        <v>70.378107908713119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244.50608900669371</v>
      </c>
      <c r="AO921">
        <v>70.944007401885855</v>
      </c>
      <c r="AP921">
        <v>577.82207025340688</v>
      </c>
      <c r="AQ921">
        <v>454.66719802334217</v>
      </c>
      <c r="AR921">
        <v>69.181177081881131</v>
      </c>
      <c r="AS921">
        <v>332.22827589505096</v>
      </c>
      <c r="AT921">
        <v>33.470667227737657</v>
      </c>
      <c r="AU921">
        <v>13.901374430147111</v>
      </c>
      <c r="AV921"/>
      <c r="AW921"/>
      <c r="FY921" s="211">
        <v>916</v>
      </c>
      <c r="FZ921">
        <v>79.483319000125817</v>
      </c>
      <c r="GA921">
        <v>83.004893373934365</v>
      </c>
      <c r="GB921">
        <v>42.425714682363548</v>
      </c>
      <c r="GC921">
        <v>30.348966366557153</v>
      </c>
      <c r="GD921">
        <v>21.917447579256763</v>
      </c>
      <c r="GE921">
        <v>25.604985250841185</v>
      </c>
      <c r="GF921">
        <v>41.575220912907071</v>
      </c>
      <c r="GG921">
        <v>41.727256462757936</v>
      </c>
      <c r="GH921">
        <v>22.849600802768286</v>
      </c>
      <c r="GI921">
        <v>48.39054797595383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221.79591133624172</v>
      </c>
      <c r="AO922">
        <v>65.925710809944405</v>
      </c>
      <c r="AP922">
        <v>506.697417172972</v>
      </c>
      <c r="AQ922">
        <v>402.34634670891899</v>
      </c>
      <c r="AR922">
        <v>62.822276288238903</v>
      </c>
      <c r="AS922">
        <v>319.46777120070107</v>
      </c>
      <c r="AT922">
        <v>31.168492095120712</v>
      </c>
      <c r="AU922">
        <v>-34.724196800237536</v>
      </c>
      <c r="AV922"/>
      <c r="AW922"/>
      <c r="FY922" s="211">
        <v>917</v>
      </c>
      <c r="FZ922">
        <v>122.90714717020535</v>
      </c>
      <c r="GA922">
        <v>139.88118655958365</v>
      </c>
      <c r="GB922">
        <v>43.10349976425556</v>
      </c>
      <c r="GC922">
        <v>20.38310244380278</v>
      </c>
      <c r="GD922">
        <v>13.713405345050036</v>
      </c>
      <c r="GE922">
        <v>25.561595144665688</v>
      </c>
      <c r="GF922">
        <v>38.120117916253577</v>
      </c>
      <c r="GG922">
        <v>27.418905906322877</v>
      </c>
      <c r="GH922">
        <v>22.13371229151976</v>
      </c>
      <c r="GI922">
        <v>48.852580692913847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190.00758125920203</v>
      </c>
      <c r="AO923">
        <v>52.844592590670231</v>
      </c>
      <c r="AP923">
        <v>431.20288153964543</v>
      </c>
      <c r="AQ923">
        <v>328.38985531390972</v>
      </c>
      <c r="AR923">
        <v>52.301340934070062</v>
      </c>
      <c r="AS923">
        <v>273.74974993675772</v>
      </c>
      <c r="AT923">
        <v>25.856955768800507</v>
      </c>
      <c r="AU923">
        <v>-18.762407846534092</v>
      </c>
      <c r="AV923"/>
      <c r="AW923"/>
      <c r="FY923" s="211">
        <v>918</v>
      </c>
      <c r="FZ923">
        <v>109.23456233863001</v>
      </c>
      <c r="GA923">
        <v>140.93110274024684</v>
      </c>
      <c r="GB923">
        <v>56.511423632161396</v>
      </c>
      <c r="GC923">
        <v>30.531318334363476</v>
      </c>
      <c r="GD923">
        <v>12.748242212226335</v>
      </c>
      <c r="GE923">
        <v>20.071095649568502</v>
      </c>
      <c r="GF923">
        <v>27.966510498526645</v>
      </c>
      <c r="GG923">
        <v>26.815568361107712</v>
      </c>
      <c r="GH923">
        <v>29.393189459353167</v>
      </c>
      <c r="GI923">
        <v>48.857926462173396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245.52463629237022</v>
      </c>
      <c r="AO924">
        <v>66.014202205250754</v>
      </c>
      <c r="AP924">
        <v>525.30074877297716</v>
      </c>
      <c r="AQ924">
        <v>395.37251365191463</v>
      </c>
      <c r="AR924">
        <v>63.572964571240561</v>
      </c>
      <c r="AS924">
        <v>312.46905088328748</v>
      </c>
      <c r="AT924">
        <v>28.231061572097577</v>
      </c>
      <c r="AU924">
        <v>125.29752537045313</v>
      </c>
      <c r="AV924"/>
      <c r="AW924"/>
      <c r="FY924" s="211">
        <v>919</v>
      </c>
      <c r="FZ924">
        <v>68.808117522270862</v>
      </c>
      <c r="GA924">
        <v>78.66762489773383</v>
      </c>
      <c r="GB924">
        <v>40.089616011822983</v>
      </c>
      <c r="GC924">
        <v>26.923705456955012</v>
      </c>
      <c r="GD924">
        <v>17.752410629009173</v>
      </c>
      <c r="GE924">
        <v>31.576156609294877</v>
      </c>
      <c r="GF924">
        <v>41.334725132343252</v>
      </c>
      <c r="GG924">
        <v>34.8456832234708</v>
      </c>
      <c r="GH924">
        <v>28.720421969748905</v>
      </c>
      <c r="GI924">
        <v>44.408751525960895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283.61772438612923</v>
      </c>
      <c r="AO925">
        <v>92.483342617756705</v>
      </c>
      <c r="AP925">
        <v>763.14418826037513</v>
      </c>
      <c r="AQ925">
        <v>606.53485515525836</v>
      </c>
      <c r="AR925">
        <v>90.240086062037406</v>
      </c>
      <c r="AS925">
        <v>441.94783973732655</v>
      </c>
      <c r="AT925">
        <v>45.048735073565389</v>
      </c>
      <c r="AU925">
        <v>77.544236338118992</v>
      </c>
      <c r="AV925"/>
      <c r="AW925"/>
      <c r="FY925" s="211">
        <v>920</v>
      </c>
      <c r="FZ925">
        <v>35.06554397614979</v>
      </c>
      <c r="GA925">
        <v>40.944786841727236</v>
      </c>
      <c r="GB925">
        <v>55.821033887117217</v>
      </c>
      <c r="GC925">
        <v>29.856721678501223</v>
      </c>
      <c r="GD925">
        <v>15.029627307011904</v>
      </c>
      <c r="GE925">
        <v>24.357896797320215</v>
      </c>
      <c r="GF925">
        <v>36.327691849957624</v>
      </c>
      <c r="GG925">
        <v>31.97247736121961</v>
      </c>
      <c r="GH925">
        <v>25.269524995166748</v>
      </c>
      <c r="GI925">
        <v>40.445562748725031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185.99250593694495</v>
      </c>
      <c r="AO926">
        <v>62.82548222094772</v>
      </c>
      <c r="AP926">
        <v>488.22004440088432</v>
      </c>
      <c r="AQ926">
        <v>388.28642249007157</v>
      </c>
      <c r="AR926">
        <v>59.799189715728232</v>
      </c>
      <c r="AS926">
        <v>264.58653556729354</v>
      </c>
      <c r="AT926">
        <v>29.505695365771089</v>
      </c>
      <c r="AU926">
        <v>-6.7779133033347136</v>
      </c>
      <c r="AV926"/>
      <c r="AW926"/>
      <c r="FY926" s="211">
        <v>921</v>
      </c>
      <c r="FZ926">
        <v>113.63378363047138</v>
      </c>
      <c r="GA926">
        <v>131.32113885153998</v>
      </c>
      <c r="GB926">
        <v>34.129798501399812</v>
      </c>
      <c r="GC926">
        <v>22.488691242270345</v>
      </c>
      <c r="GD926">
        <v>13.220724468262883</v>
      </c>
      <c r="GE926">
        <v>18.548208203786881</v>
      </c>
      <c r="GF926">
        <v>30.288410890489892</v>
      </c>
      <c r="GG926">
        <v>19.329220117570316</v>
      </c>
      <c r="GH926">
        <v>22.721518294464502</v>
      </c>
      <c r="GI926">
        <v>43.406275393935708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193.88025441746282</v>
      </c>
      <c r="AO927">
        <v>67.504305895762471</v>
      </c>
      <c r="AP927">
        <v>581.49443072561189</v>
      </c>
      <c r="AQ927">
        <v>468.56007210484393</v>
      </c>
      <c r="AR927">
        <v>64.800521613387119</v>
      </c>
      <c r="AS927">
        <v>307.73769775393811</v>
      </c>
      <c r="AT927">
        <v>33.514782669828385</v>
      </c>
      <c r="AU927">
        <v>-17.136981675536759</v>
      </c>
      <c r="AV927"/>
      <c r="AW927"/>
      <c r="FY927" s="211">
        <v>922</v>
      </c>
      <c r="FZ927">
        <v>35.391009761678731</v>
      </c>
      <c r="GA927">
        <v>41.194010315287144</v>
      </c>
      <c r="GB927">
        <v>50.704656527582642</v>
      </c>
      <c r="GC927">
        <v>27.140254811162958</v>
      </c>
      <c r="GD927">
        <v>16.692547121399862</v>
      </c>
      <c r="GE927">
        <v>27.526305515620951</v>
      </c>
      <c r="GF927">
        <v>28.417502698842803</v>
      </c>
      <c r="GG927">
        <v>25.856219255550013</v>
      </c>
      <c r="GH927">
        <v>25.369636072927758</v>
      </c>
      <c r="GI927">
        <v>38.453565166824838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223.39711719221208</v>
      </c>
      <c r="AO928">
        <v>77.84062610798027</v>
      </c>
      <c r="AP928">
        <v>669.7111409818591</v>
      </c>
      <c r="AQ928">
        <v>529.28734436868353</v>
      </c>
      <c r="AR928">
        <v>75.18223150250185</v>
      </c>
      <c r="AS928">
        <v>339.0229759223655</v>
      </c>
      <c r="AT928">
        <v>38.754579105230107</v>
      </c>
      <c r="AU928">
        <v>2.2639650200880865</v>
      </c>
      <c r="AV928"/>
      <c r="AW928"/>
      <c r="FY928" s="211">
        <v>923</v>
      </c>
      <c r="FZ928">
        <v>66.641872198444247</v>
      </c>
      <c r="GA928">
        <v>89.589591231381917</v>
      </c>
      <c r="GB928">
        <v>52.914181449433102</v>
      </c>
      <c r="GC928">
        <v>26.030177016184759</v>
      </c>
      <c r="GD928">
        <v>12.699075851994658</v>
      </c>
      <c r="GE928">
        <v>24.510920139626762</v>
      </c>
      <c r="GF928">
        <v>39.531287598998162</v>
      </c>
      <c r="GG928">
        <v>27.202213533427564</v>
      </c>
      <c r="GH928">
        <v>17.945397993072802</v>
      </c>
      <c r="GI928">
        <v>42.233210012488712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254.14217446043222</v>
      </c>
      <c r="AO929">
        <v>67.703464611793621</v>
      </c>
      <c r="AP929">
        <v>538.1229130096458</v>
      </c>
      <c r="AQ929">
        <v>425.92526621732281</v>
      </c>
      <c r="AR929">
        <v>64.326884000329827</v>
      </c>
      <c r="AS929">
        <v>332.3085408140193</v>
      </c>
      <c r="AT929">
        <v>33.031839228807833</v>
      </c>
      <c r="AU929">
        <v>125.15990542365437</v>
      </c>
      <c r="AV929"/>
      <c r="AW929"/>
      <c r="FY929" s="211">
        <v>924</v>
      </c>
      <c r="FZ929">
        <v>155.44538174875908</v>
      </c>
      <c r="GA929">
        <v>189.27285604179852</v>
      </c>
      <c r="GB929">
        <v>61.775758813032191</v>
      </c>
      <c r="GC929">
        <v>35.794569161794008</v>
      </c>
      <c r="GD929">
        <v>15.082414265588765</v>
      </c>
      <c r="GE929">
        <v>15.077979663661763</v>
      </c>
      <c r="GF929">
        <v>38.973275860099811</v>
      </c>
      <c r="GG929">
        <v>40.986030166003481</v>
      </c>
      <c r="GH929">
        <v>38.457459183427481</v>
      </c>
      <c r="GI929">
        <v>62.083087252098359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224.1938261161271</v>
      </c>
      <c r="AO930">
        <v>66.06919962568864</v>
      </c>
      <c r="AP930">
        <v>534.86271936460537</v>
      </c>
      <c r="AQ930">
        <v>417.87875536362151</v>
      </c>
      <c r="AR930">
        <v>63.814885032027306</v>
      </c>
      <c r="AS930">
        <v>304.12325109283034</v>
      </c>
      <c r="AT930">
        <v>31.251545341582304</v>
      </c>
      <c r="AU930">
        <v>-27.328141795546166</v>
      </c>
      <c r="AV930"/>
      <c r="AW930"/>
      <c r="FY930" s="211">
        <v>925</v>
      </c>
      <c r="FZ930">
        <v>64.805527341365533</v>
      </c>
      <c r="GA930">
        <v>80.767715412476534</v>
      </c>
      <c r="GB930">
        <v>42.563997337058524</v>
      </c>
      <c r="GC930">
        <v>26.799964424083139</v>
      </c>
      <c r="GD930">
        <v>13.382842973964761</v>
      </c>
      <c r="GE930">
        <v>20.695959388106925</v>
      </c>
      <c r="GF930">
        <v>34.001816917299927</v>
      </c>
      <c r="GG930">
        <v>20.86855207689667</v>
      </c>
      <c r="GH930">
        <v>14.605136171758669</v>
      </c>
      <c r="GI930">
        <v>37.971595548333923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281.08546421661538</v>
      </c>
      <c r="AO931">
        <v>107.28734941386737</v>
      </c>
      <c r="AP931">
        <v>964.16301923129527</v>
      </c>
      <c r="AQ931">
        <v>770.28861960354141</v>
      </c>
      <c r="AR931">
        <v>102.18916128425327</v>
      </c>
      <c r="AS931">
        <v>469.31551067621751</v>
      </c>
      <c r="AT931">
        <v>57.229945973790258</v>
      </c>
      <c r="AU931">
        <v>-16.508321148316234</v>
      </c>
      <c r="AV931"/>
      <c r="AW931"/>
      <c r="FY931" s="211">
        <v>926</v>
      </c>
      <c r="FZ931">
        <v>36.037071548601141</v>
      </c>
      <c r="GA931">
        <v>39.963534810205104</v>
      </c>
      <c r="GB931">
        <v>37.749217479620874</v>
      </c>
      <c r="GC931">
        <v>20.991980509296731</v>
      </c>
      <c r="GD931">
        <v>15.037397481657869</v>
      </c>
      <c r="GE931">
        <v>27.397403755503301</v>
      </c>
      <c r="GF931">
        <v>65.751288101738609</v>
      </c>
      <c r="GG931">
        <v>56.404609929535169</v>
      </c>
      <c r="GH931">
        <v>33.169755879926207</v>
      </c>
      <c r="GI931">
        <v>42.867776822304691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224.77345816044311</v>
      </c>
      <c r="AO932">
        <v>71.797783213627355</v>
      </c>
      <c r="AP932">
        <v>540.36661048490316</v>
      </c>
      <c r="AQ932">
        <v>437.32795240746606</v>
      </c>
      <c r="AR932">
        <v>70.229208463759093</v>
      </c>
      <c r="AS932">
        <v>344.65256524456026</v>
      </c>
      <c r="AT932">
        <v>34.650812167579112</v>
      </c>
      <c r="AU932">
        <v>53.311883129889949</v>
      </c>
      <c r="AV932"/>
      <c r="AW932"/>
      <c r="FY932" s="211">
        <v>927</v>
      </c>
      <c r="FZ932">
        <v>85.85880386654695</v>
      </c>
      <c r="GA932">
        <v>87.475273244709484</v>
      </c>
      <c r="GB932">
        <v>42.982856755697838</v>
      </c>
      <c r="GC932">
        <v>24.96811022169053</v>
      </c>
      <c r="GD932">
        <v>14.313225616757125</v>
      </c>
      <c r="GE932">
        <v>25.098748765379923</v>
      </c>
      <c r="GF932">
        <v>58.142892905468408</v>
      </c>
      <c r="GG932">
        <v>48.567614608821543</v>
      </c>
      <c r="GH932">
        <v>30.023685618622352</v>
      </c>
      <c r="GI932">
        <v>48.908810618285102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216.2607800887848</v>
      </c>
      <c r="AO933">
        <v>71.840588439480115</v>
      </c>
      <c r="AP933">
        <v>628.20825319086384</v>
      </c>
      <c r="AQ933">
        <v>502.0752532345731</v>
      </c>
      <c r="AR933">
        <v>70.554897967223738</v>
      </c>
      <c r="AS933">
        <v>330.48803455909393</v>
      </c>
      <c r="AT933">
        <v>37.161455005942656</v>
      </c>
      <c r="AU933">
        <v>21.00916035819963</v>
      </c>
      <c r="AV933"/>
      <c r="AW933"/>
      <c r="FY933" s="211">
        <v>928</v>
      </c>
      <c r="FZ933">
        <v>155.18081702275347</v>
      </c>
      <c r="GA933">
        <v>180.63570107560787</v>
      </c>
      <c r="GB933">
        <v>34.328394895275999</v>
      </c>
      <c r="GC933">
        <v>21.748918177270923</v>
      </c>
      <c r="GD933">
        <v>13.479420070352864</v>
      </c>
      <c r="GE933">
        <v>23.768288917645958</v>
      </c>
      <c r="GF933">
        <v>65.414534556237996</v>
      </c>
      <c r="GG933">
        <v>53.093211423592592</v>
      </c>
      <c r="GH933">
        <v>33.42430444505829</v>
      </c>
      <c r="GI933">
        <v>58.342676366089108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191.31708546429755</v>
      </c>
      <c r="AO934">
        <v>74.465747097541026</v>
      </c>
      <c r="AP934">
        <v>639.21408688475367</v>
      </c>
      <c r="AQ934">
        <v>503.06093968835745</v>
      </c>
      <c r="AR934">
        <v>70.925939874319724</v>
      </c>
      <c r="AS934">
        <v>309.96541904282134</v>
      </c>
      <c r="AT934">
        <v>37.356713803707883</v>
      </c>
      <c r="AU934">
        <v>7.1939809817468614</v>
      </c>
      <c r="AV934"/>
      <c r="AW934"/>
      <c r="FY934" s="211">
        <v>929</v>
      </c>
      <c r="FZ934">
        <v>77.909446911386553</v>
      </c>
      <c r="GA934">
        <v>94.118399714817087</v>
      </c>
      <c r="GB934">
        <v>36.585309938169573</v>
      </c>
      <c r="GC934">
        <v>21.984250437809546</v>
      </c>
      <c r="GD934">
        <v>13.983120294328623</v>
      </c>
      <c r="GE934">
        <v>20.011401172350908</v>
      </c>
      <c r="GF934">
        <v>28.840396059028919</v>
      </c>
      <c r="GG934">
        <v>22.925333009996557</v>
      </c>
      <c r="GH934">
        <v>26.007421470562296</v>
      </c>
      <c r="GI934">
        <v>39.717968484635378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221.27867681146736</v>
      </c>
      <c r="AO935">
        <v>67.324868690550403</v>
      </c>
      <c r="AP935">
        <v>513.08915527183615</v>
      </c>
      <c r="AQ935">
        <v>413.12721297861054</v>
      </c>
      <c r="AR935">
        <v>63.828891514820384</v>
      </c>
      <c r="AS935">
        <v>300.79627896035674</v>
      </c>
      <c r="AT935">
        <v>30.53998165096311</v>
      </c>
      <c r="AU935">
        <v>26.847238204911665</v>
      </c>
      <c r="AV935"/>
      <c r="AW935"/>
      <c r="FY935" s="211">
        <v>930</v>
      </c>
      <c r="FZ935">
        <v>35.214643108884388</v>
      </c>
      <c r="GA935">
        <v>56.592080852336878</v>
      </c>
      <c r="GB935">
        <v>54.486381701609226</v>
      </c>
      <c r="GC935">
        <v>27.190329190925581</v>
      </c>
      <c r="GD935">
        <v>17.664892903040855</v>
      </c>
      <c r="GE935">
        <v>27.04108030035303</v>
      </c>
      <c r="GF935">
        <v>64.024388233895095</v>
      </c>
      <c r="GG935">
        <v>53.639667353450655</v>
      </c>
      <c r="GH935">
        <v>21.565059595639248</v>
      </c>
      <c r="GI935">
        <v>46.746132647335038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183.26092965577115</v>
      </c>
      <c r="AO936">
        <v>59.369294630256832</v>
      </c>
      <c r="AP936">
        <v>438.80810298667478</v>
      </c>
      <c r="AQ936">
        <v>335.09086744289664</v>
      </c>
      <c r="AR936">
        <v>58.310415651219621</v>
      </c>
      <c r="AS936">
        <v>282.14923537112372</v>
      </c>
      <c r="AT936">
        <v>28.93820698726044</v>
      </c>
      <c r="AU936">
        <v>15.420159467557902</v>
      </c>
      <c r="AV936"/>
      <c r="AW936"/>
      <c r="FY936" s="211">
        <v>931</v>
      </c>
      <c r="FZ936">
        <v>75.31761109306558</v>
      </c>
      <c r="GA936">
        <v>85.850270148231516</v>
      </c>
      <c r="GB936">
        <v>51.137831661700467</v>
      </c>
      <c r="GC936">
        <v>28.637746248702797</v>
      </c>
      <c r="GD936">
        <v>19.297928150998889</v>
      </c>
      <c r="GE936">
        <v>33.459250105010341</v>
      </c>
      <c r="GF936">
        <v>50.095667027644836</v>
      </c>
      <c r="GG936">
        <v>40.337627352597053</v>
      </c>
      <c r="GH936">
        <v>23.792954901701954</v>
      </c>
      <c r="GI936">
        <v>50.222363989699737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184.26010214427052</v>
      </c>
      <c r="AO937">
        <v>64.498725272840758</v>
      </c>
      <c r="AP937">
        <v>555.92646102257845</v>
      </c>
      <c r="AQ937">
        <v>449.08776959419163</v>
      </c>
      <c r="AR937">
        <v>62.654212424659121</v>
      </c>
      <c r="AS937">
        <v>311.89008828235683</v>
      </c>
      <c r="AT937">
        <v>33.322583570971481</v>
      </c>
      <c r="AU937">
        <v>12.436221451549322</v>
      </c>
      <c r="AV937"/>
      <c r="AW937"/>
      <c r="FY937" s="211">
        <v>932</v>
      </c>
      <c r="FZ937">
        <v>38.17669424730078</v>
      </c>
      <c r="GA937">
        <v>52.571311015460381</v>
      </c>
      <c r="GB937">
        <v>67.815554454937782</v>
      </c>
      <c r="GC937">
        <v>34.770511635154186</v>
      </c>
      <c r="GD937">
        <v>17.07555116726224</v>
      </c>
      <c r="GE937">
        <v>32.297549372944097</v>
      </c>
      <c r="GF937">
        <v>51.07558269309061</v>
      </c>
      <c r="GG937">
        <v>33.051333122666016</v>
      </c>
      <c r="GH937">
        <v>23.273809772751367</v>
      </c>
      <c r="GI937">
        <v>47.682759020541305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177.0738140489612</v>
      </c>
      <c r="AO938">
        <v>56.238716845834368</v>
      </c>
      <c r="AP938">
        <v>401.12133500860693</v>
      </c>
      <c r="AQ938">
        <v>316.74570724687766</v>
      </c>
      <c r="AR938">
        <v>55.20457382634158</v>
      </c>
      <c r="AS938">
        <v>259.42816544982389</v>
      </c>
      <c r="AT938">
        <v>26.226390775168394</v>
      </c>
      <c r="AU938">
        <v>25.173420659565384</v>
      </c>
      <c r="AV938"/>
      <c r="AW938"/>
      <c r="FY938" s="211">
        <v>933</v>
      </c>
      <c r="FZ938">
        <v>40.405333580235904</v>
      </c>
      <c r="GA938">
        <v>37.615993228604516</v>
      </c>
      <c r="GB938">
        <v>44.075632694842895</v>
      </c>
      <c r="GC938">
        <v>28.63290226419371</v>
      </c>
      <c r="GD938">
        <v>15.692471288284841</v>
      </c>
      <c r="GE938">
        <v>20.223627103219968</v>
      </c>
      <c r="GF938">
        <v>29.234274473734978</v>
      </c>
      <c r="GG938">
        <v>27.999316135100106</v>
      </c>
      <c r="GH938">
        <v>41.396970719161232</v>
      </c>
      <c r="GI938">
        <v>39.577360083971286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195.58286603437199</v>
      </c>
      <c r="AO939">
        <v>63.395041827398508</v>
      </c>
      <c r="AP939">
        <v>514.53640233474459</v>
      </c>
      <c r="AQ939">
        <v>399.29792702505262</v>
      </c>
      <c r="AR939">
        <v>60.788505400446873</v>
      </c>
      <c r="AS939">
        <v>276.69965814284802</v>
      </c>
      <c r="AT939">
        <v>29.193466306906558</v>
      </c>
      <c r="AU939">
        <v>-1.0864116800841259</v>
      </c>
      <c r="AV939"/>
      <c r="AW939"/>
      <c r="FY939" s="211">
        <v>934</v>
      </c>
      <c r="FZ939">
        <v>36.58975036433403</v>
      </c>
      <c r="GA939">
        <v>44.902273575784065</v>
      </c>
      <c r="GB939">
        <v>54.548257868849738</v>
      </c>
      <c r="GC939">
        <v>28.05227706238734</v>
      </c>
      <c r="GD939">
        <v>13.812457889142365</v>
      </c>
      <c r="GE939">
        <v>26.752486764629712</v>
      </c>
      <c r="GF939">
        <v>44.080041545408733</v>
      </c>
      <c r="GG939">
        <v>24.635096492053446</v>
      </c>
      <c r="GH939">
        <v>21.078208011380447</v>
      </c>
      <c r="GI939">
        <v>40.340957968376891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250.6367459996622</v>
      </c>
      <c r="AO940">
        <v>93.344977092147687</v>
      </c>
      <c r="AP940">
        <v>830.46321088668969</v>
      </c>
      <c r="AQ940">
        <v>652.94881215626344</v>
      </c>
      <c r="AR940">
        <v>90.597125131847122</v>
      </c>
      <c r="AS940">
        <v>413.81549503840284</v>
      </c>
      <c r="AT940">
        <v>47.394446131641025</v>
      </c>
      <c r="AU940">
        <v>-30.595686465788233</v>
      </c>
      <c r="AV940"/>
      <c r="AW940"/>
      <c r="FY940" s="211">
        <v>935</v>
      </c>
      <c r="FZ940">
        <v>74.8278561973774</v>
      </c>
      <c r="GA940">
        <v>96.481592755800023</v>
      </c>
      <c r="GB940">
        <v>43.218208401505223</v>
      </c>
      <c r="GC940">
        <v>21.095562526473739</v>
      </c>
      <c r="GD940">
        <v>11.846130552112593</v>
      </c>
      <c r="GE940">
        <v>19.026486778855439</v>
      </c>
      <c r="GF940">
        <v>45.557185640197915</v>
      </c>
      <c r="GG940">
        <v>36.87981832746415</v>
      </c>
      <c r="GH940">
        <v>20.395387575847032</v>
      </c>
      <c r="GI940">
        <v>41.808405325719058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183.63770990194962</v>
      </c>
      <c r="AO941">
        <v>57.077480245189484</v>
      </c>
      <c r="AP941">
        <v>449.2471002185307</v>
      </c>
      <c r="AQ941">
        <v>356.46310759134462</v>
      </c>
      <c r="AR941">
        <v>54.37508674807826</v>
      </c>
      <c r="AS941">
        <v>265.94465857161117</v>
      </c>
      <c r="AT941">
        <v>26.769275006639024</v>
      </c>
      <c r="AU941">
        <v>14.904445293436289</v>
      </c>
      <c r="AV941"/>
      <c r="AW941"/>
      <c r="FY941" s="211">
        <v>936</v>
      </c>
      <c r="FZ941">
        <v>72.798336094592784</v>
      </c>
      <c r="GA941">
        <v>105.28085449753844</v>
      </c>
      <c r="GB941">
        <v>45.261869763808534</v>
      </c>
      <c r="GC941">
        <v>19.903709914406956</v>
      </c>
      <c r="GD941">
        <v>10.580530001425075</v>
      </c>
      <c r="GE941">
        <v>22.329227304754721</v>
      </c>
      <c r="GF941">
        <v>35.55892797998014</v>
      </c>
      <c r="GG941">
        <v>21.858053617049926</v>
      </c>
      <c r="GH941">
        <v>19.381380045622254</v>
      </c>
      <c r="GI941">
        <v>38.958791875008721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243.38919379506314</v>
      </c>
      <c r="AO942">
        <v>62.711605861342434</v>
      </c>
      <c r="AP942">
        <v>489.79096037060128</v>
      </c>
      <c r="AQ942">
        <v>375.37003631838968</v>
      </c>
      <c r="AR942">
        <v>61.566698470172803</v>
      </c>
      <c r="AS942">
        <v>304.43112078682424</v>
      </c>
      <c r="AT942">
        <v>27.471549233223161</v>
      </c>
      <c r="AU942">
        <v>102.57901381230533</v>
      </c>
      <c r="AV942"/>
      <c r="AW942"/>
      <c r="FY942" s="211">
        <v>937</v>
      </c>
      <c r="FZ942">
        <v>76.879563614377247</v>
      </c>
      <c r="GA942">
        <v>89.186045801135961</v>
      </c>
      <c r="GB942">
        <v>40.345352426174252</v>
      </c>
      <c r="GC942">
        <v>22.432675868131987</v>
      </c>
      <c r="GD942">
        <v>14.698332172090584</v>
      </c>
      <c r="GE942">
        <v>23.386253858165265</v>
      </c>
      <c r="GF942">
        <v>54.397972395212001</v>
      </c>
      <c r="GG942">
        <v>44.453872783552704</v>
      </c>
      <c r="GH942">
        <v>19.891911143271908</v>
      </c>
      <c r="GI942">
        <v>44.937118275908134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257.06781690582909</v>
      </c>
      <c r="AO943">
        <v>71.861658690021358</v>
      </c>
      <c r="AP943">
        <v>594.3737416686165</v>
      </c>
      <c r="AQ943">
        <v>466.34002222197921</v>
      </c>
      <c r="AR943">
        <v>70.353676414378086</v>
      </c>
      <c r="AS943">
        <v>341.49698640588099</v>
      </c>
      <c r="AT943">
        <v>33.08803448973984</v>
      </c>
      <c r="AU943">
        <v>65.367808582558112</v>
      </c>
      <c r="AV943"/>
      <c r="AW943"/>
      <c r="FY943" s="211">
        <v>938</v>
      </c>
      <c r="FZ943">
        <v>38.516707837598794</v>
      </c>
      <c r="GA943">
        <v>37.766481172492789</v>
      </c>
      <c r="GB943">
        <v>42.769807690877592</v>
      </c>
      <c r="GC943">
        <v>29.113117227119091</v>
      </c>
      <c r="GD943">
        <v>19.405021193644998</v>
      </c>
      <c r="GE943">
        <v>33.405840826353852</v>
      </c>
      <c r="GF943">
        <v>55.73723219522472</v>
      </c>
      <c r="GG943">
        <v>31.188756490765208</v>
      </c>
      <c r="GH943">
        <v>13.322933450751464</v>
      </c>
      <c r="GI943">
        <v>42.224710953704871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259.12885262064805</v>
      </c>
      <c r="AO944">
        <v>87.881276119558123</v>
      </c>
      <c r="AP944">
        <v>803.83879860758248</v>
      </c>
      <c r="AQ944">
        <v>639.41626694988508</v>
      </c>
      <c r="AR944">
        <v>84.46460699909305</v>
      </c>
      <c r="AS944">
        <v>373.90052547665368</v>
      </c>
      <c r="AT944">
        <v>47.483081014721627</v>
      </c>
      <c r="AU944">
        <v>50.531404218546712</v>
      </c>
      <c r="AV944"/>
      <c r="AW944"/>
      <c r="FY944" s="211">
        <v>939</v>
      </c>
      <c r="FZ944">
        <v>73.166904419599661</v>
      </c>
      <c r="GA944">
        <v>95.980485073920775</v>
      </c>
      <c r="GB944">
        <v>48.66543459169084</v>
      </c>
      <c r="GC944">
        <v>23.936459626655857</v>
      </c>
      <c r="GD944">
        <v>12.519191066270619</v>
      </c>
      <c r="GE944">
        <v>22.943382534638495</v>
      </c>
      <c r="GF944">
        <v>63.822428304405051</v>
      </c>
      <c r="GG944">
        <v>50.784210387217698</v>
      </c>
      <c r="GH944">
        <v>20.918041540412041</v>
      </c>
      <c r="GI944">
        <v>47.065980353641315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169.92427738891107</v>
      </c>
      <c r="AO945">
        <v>58.514159733816712</v>
      </c>
      <c r="AP945">
        <v>477.38167219603179</v>
      </c>
      <c r="AQ945">
        <v>382.08304749308547</v>
      </c>
      <c r="AR945">
        <v>57.329065782945079</v>
      </c>
      <c r="AS945">
        <v>279.9654360576767</v>
      </c>
      <c r="AT945">
        <v>29.600249839606168</v>
      </c>
      <c r="AU945">
        <v>-2.5611064056036028</v>
      </c>
      <c r="AV945"/>
      <c r="AW945"/>
      <c r="FY945" s="211">
        <v>940</v>
      </c>
      <c r="FZ945">
        <v>34.295532719455096</v>
      </c>
      <c r="GA945">
        <v>47.290304079314282</v>
      </c>
      <c r="GB945">
        <v>43.886381323405224</v>
      </c>
      <c r="GC945">
        <v>22.838576085252775</v>
      </c>
      <c r="GD945">
        <v>11.342795676940661</v>
      </c>
      <c r="GE945">
        <v>22.621708820551159</v>
      </c>
      <c r="GF945">
        <v>58.933508456426758</v>
      </c>
      <c r="GG945">
        <v>46.745205155695388</v>
      </c>
      <c r="GH945">
        <v>27.790531016499592</v>
      </c>
      <c r="GI945">
        <v>39.701271668032618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249.97364943546842</v>
      </c>
      <c r="AO946">
        <v>69.397572734143864</v>
      </c>
      <c r="AP946">
        <v>535.39790763410906</v>
      </c>
      <c r="AQ946">
        <v>404.16465588747002</v>
      </c>
      <c r="AR946">
        <v>67.632091337359668</v>
      </c>
      <c r="AS946">
        <v>322.47664940797029</v>
      </c>
      <c r="AT946">
        <v>30.04202012158035</v>
      </c>
      <c r="AU946">
        <v>16.467028199252368</v>
      </c>
      <c r="AV946"/>
      <c r="AW946"/>
      <c r="FY946" s="211">
        <v>941</v>
      </c>
      <c r="FZ946">
        <v>59.964660251201863</v>
      </c>
      <c r="GA946">
        <v>78.024862096219692</v>
      </c>
      <c r="GB946">
        <v>25.960931793666948</v>
      </c>
      <c r="GC946">
        <v>14.378870430365081</v>
      </c>
      <c r="GD946">
        <v>10.210778438103128</v>
      </c>
      <c r="GE946">
        <v>17.954335812939011</v>
      </c>
      <c r="GF946">
        <v>35.028986793120687</v>
      </c>
      <c r="GG946">
        <v>29.403110151145537</v>
      </c>
      <c r="GH946">
        <v>34.846330356693549</v>
      </c>
      <c r="GI946">
        <v>34.526902512949881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224.22958720018997</v>
      </c>
      <c r="AO947">
        <v>74.742096224025474</v>
      </c>
      <c r="AP947">
        <v>576.04630960212398</v>
      </c>
      <c r="AQ947">
        <v>458.14925067935309</v>
      </c>
      <c r="AR947">
        <v>72.410298549000686</v>
      </c>
      <c r="AS947">
        <v>337.72988560860483</v>
      </c>
      <c r="AT947">
        <v>35.012298280699078</v>
      </c>
      <c r="AU947">
        <v>19.063347396071912</v>
      </c>
      <c r="AV947"/>
      <c r="AW947"/>
      <c r="FY947" s="211">
        <v>942</v>
      </c>
      <c r="FZ947">
        <v>31.441853842786433</v>
      </c>
      <c r="GA947">
        <v>47.821133845646301</v>
      </c>
      <c r="GB947">
        <v>54.471624130338718</v>
      </c>
      <c r="GC947">
        <v>34.235624854897551</v>
      </c>
      <c r="GD947">
        <v>17.760209133516362</v>
      </c>
      <c r="GE947">
        <v>20.155891639941949</v>
      </c>
      <c r="GF947">
        <v>22.760925200203957</v>
      </c>
      <c r="GG947">
        <v>13.360537741704912</v>
      </c>
      <c r="GH947">
        <v>19.749272672394625</v>
      </c>
      <c r="GI947">
        <v>37.589949713037839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240.67722954673735</v>
      </c>
      <c r="AO948">
        <v>70.003014118130849</v>
      </c>
      <c r="AP948">
        <v>517.69347194706711</v>
      </c>
      <c r="AQ948">
        <v>397.79065650210873</v>
      </c>
      <c r="AR948">
        <v>68.01371195463183</v>
      </c>
      <c r="AS948">
        <v>341.55203876858553</v>
      </c>
      <c r="AT948">
        <v>31.52027250115378</v>
      </c>
      <c r="AU948">
        <v>69.247642770917651</v>
      </c>
      <c r="AV948"/>
      <c r="AW948"/>
      <c r="FY948" s="211">
        <v>943</v>
      </c>
      <c r="FZ948">
        <v>83.143989393075515</v>
      </c>
      <c r="GA948">
        <v>92.440424337826002</v>
      </c>
      <c r="GB948">
        <v>45.94472634603801</v>
      </c>
      <c r="GC948">
        <v>22.642672758512948</v>
      </c>
      <c r="GD948">
        <v>10.485276852064343</v>
      </c>
      <c r="GE948">
        <v>20.127426701259829</v>
      </c>
      <c r="GF948">
        <v>22.472725662218675</v>
      </c>
      <c r="GG948">
        <v>10.116122099305537</v>
      </c>
      <c r="GH948">
        <v>15.586606357114588</v>
      </c>
      <c r="GI948">
        <v>37.448892264886886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204.345575379747</v>
      </c>
      <c r="AO949">
        <v>56.00798789907585</v>
      </c>
      <c r="AP949">
        <v>413.12205814760114</v>
      </c>
      <c r="AQ949">
        <v>324.85388157134946</v>
      </c>
      <c r="AR949">
        <v>56.795443052653432</v>
      </c>
      <c r="AS949">
        <v>278.03555090160495</v>
      </c>
      <c r="AT949">
        <v>28.328380861823344</v>
      </c>
      <c r="AU949">
        <v>-20.249497410317652</v>
      </c>
      <c r="AV949"/>
      <c r="AW949"/>
      <c r="FY949" s="211">
        <v>944</v>
      </c>
      <c r="FZ949">
        <v>36.266470705718575</v>
      </c>
      <c r="GA949">
        <v>61.448524207423276</v>
      </c>
      <c r="GB949">
        <v>37.547518056876129</v>
      </c>
      <c r="GC949">
        <v>20.857528658578175</v>
      </c>
      <c r="GD949">
        <v>16.375569653005876</v>
      </c>
      <c r="GE949">
        <v>25.766020889046199</v>
      </c>
      <c r="GF949">
        <v>48.592726650279154</v>
      </c>
      <c r="GG949">
        <v>37.667945363666846</v>
      </c>
      <c r="GH949">
        <v>22.814178470117156</v>
      </c>
      <c r="GI949">
        <v>38.858772296433273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186.13556974271313</v>
      </c>
      <c r="AO950">
        <v>58.381123489403684</v>
      </c>
      <c r="AP950">
        <v>437.29264667995722</v>
      </c>
      <c r="AQ950">
        <v>334.79180754234676</v>
      </c>
      <c r="AR950">
        <v>57.63335313265604</v>
      </c>
      <c r="AS950">
        <v>278.1726175540494</v>
      </c>
      <c r="AT950">
        <v>27.375631551841234</v>
      </c>
      <c r="AU950">
        <v>-14.03946038705714</v>
      </c>
      <c r="AV950"/>
      <c r="AW950"/>
      <c r="FY950" s="211">
        <v>945</v>
      </c>
      <c r="FZ950">
        <v>30.006959234874085</v>
      </c>
      <c r="GA950">
        <v>35.707916835646976</v>
      </c>
      <c r="GB950">
        <v>34.689024915740276</v>
      </c>
      <c r="GC950">
        <v>19.22347559692501</v>
      </c>
      <c r="GD950">
        <v>12.859691755361437</v>
      </c>
      <c r="GE950">
        <v>18.123986760937395</v>
      </c>
      <c r="GF950">
        <v>35.658184135683442</v>
      </c>
      <c r="GG950">
        <v>39.522040872554093</v>
      </c>
      <c r="GH950">
        <v>39.132466164392135</v>
      </c>
      <c r="GI950">
        <v>34.782872978204658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238.33480833580569</v>
      </c>
      <c r="AO951">
        <v>61.934527118643338</v>
      </c>
      <c r="AP951">
        <v>530.85248928444321</v>
      </c>
      <c r="AQ951">
        <v>411.13663408135255</v>
      </c>
      <c r="AR951">
        <v>60.199837834877151</v>
      </c>
      <c r="AS951">
        <v>288.63910061665763</v>
      </c>
      <c r="AT951">
        <v>28.916384620361114</v>
      </c>
      <c r="AU951">
        <v>21.462249152309916</v>
      </c>
      <c r="AV951"/>
      <c r="AW951"/>
      <c r="FY951" s="211">
        <v>946</v>
      </c>
      <c r="FZ951">
        <v>95.957128346738784</v>
      </c>
      <c r="GA951">
        <v>105.15133731442434</v>
      </c>
      <c r="GB951">
        <v>40.404945282571632</v>
      </c>
      <c r="GC951">
        <v>22.203396993926983</v>
      </c>
      <c r="GD951">
        <v>14.139298224264506</v>
      </c>
      <c r="GE951">
        <v>21.563262340148817</v>
      </c>
      <c r="GF951">
        <v>39.876411874307173</v>
      </c>
      <c r="GG951">
        <v>27.14684609254607</v>
      </c>
      <c r="GH951">
        <v>19.720036096051857</v>
      </c>
      <c r="GI951">
        <v>44.516686199367292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191.11674140952488</v>
      </c>
      <c r="AO952">
        <v>58.038090681016946</v>
      </c>
      <c r="AP952">
        <v>500.50179845725631</v>
      </c>
      <c r="AQ952">
        <v>391.91168109418754</v>
      </c>
      <c r="AR952">
        <v>55.633512894752059</v>
      </c>
      <c r="AS952">
        <v>273.28969027363803</v>
      </c>
      <c r="AT952">
        <v>28.603135000793255</v>
      </c>
      <c r="AU952">
        <v>-7.5357374961701353</v>
      </c>
      <c r="AV952"/>
      <c r="AW952"/>
      <c r="FY952" s="211">
        <v>947</v>
      </c>
      <c r="FZ952">
        <v>58.609470274109697</v>
      </c>
      <c r="GA952">
        <v>92.623022977787144</v>
      </c>
      <c r="GB952">
        <v>42.494975512543398</v>
      </c>
      <c r="GC952">
        <v>26.054098724063223</v>
      </c>
      <c r="GD952">
        <v>13.971007771529449</v>
      </c>
      <c r="GE952">
        <v>23.418491057518139</v>
      </c>
      <c r="GF952">
        <v>54.720994295736716</v>
      </c>
      <c r="GG952">
        <v>31.027539245524817</v>
      </c>
      <c r="GH952">
        <v>19.98182915300783</v>
      </c>
      <c r="GI952">
        <v>42.451357422360317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224.84958210353571</v>
      </c>
      <c r="AO953">
        <v>66.702351817890786</v>
      </c>
      <c r="AP953">
        <v>548.66449299837518</v>
      </c>
      <c r="AQ953">
        <v>430.60909833801998</v>
      </c>
      <c r="AR953">
        <v>64.918410483583784</v>
      </c>
      <c r="AS953">
        <v>323.24788469548474</v>
      </c>
      <c r="AT953">
        <v>31.542695873906165</v>
      </c>
      <c r="AU953">
        <v>5.3372794380880677</v>
      </c>
      <c r="AV953"/>
      <c r="AW953"/>
      <c r="FY953" s="211">
        <v>948</v>
      </c>
      <c r="FZ953">
        <v>128.27147082728007</v>
      </c>
      <c r="GA953">
        <v>144.84958902204545</v>
      </c>
      <c r="GB953">
        <v>50.069971008469793</v>
      </c>
      <c r="GC953">
        <v>22.288843610847319</v>
      </c>
      <c r="GD953">
        <v>10.681316258021743</v>
      </c>
      <c r="GE953">
        <v>18.956105687903129</v>
      </c>
      <c r="GF953">
        <v>47.9476034062153</v>
      </c>
      <c r="GG953">
        <v>33.755337315034865</v>
      </c>
      <c r="GH953">
        <v>15.982241335432569</v>
      </c>
      <c r="GI953">
        <v>50.556376449466583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248.14840229159967</v>
      </c>
      <c r="AO954">
        <v>62.066499810890811</v>
      </c>
      <c r="AP954">
        <v>431.28746807797114</v>
      </c>
      <c r="AQ954">
        <v>343.4506090385334</v>
      </c>
      <c r="AR954">
        <v>60.07284807095327</v>
      </c>
      <c r="AS954">
        <v>306.26225125543334</v>
      </c>
      <c r="AT954">
        <v>27.058694732636386</v>
      </c>
      <c r="AU954">
        <v>45.372660270398313</v>
      </c>
      <c r="AV954"/>
      <c r="AW954"/>
      <c r="FY954" s="211">
        <v>949</v>
      </c>
      <c r="FZ954">
        <v>66.648960741395669</v>
      </c>
      <c r="GA954">
        <v>90.867673250813354</v>
      </c>
      <c r="GB954">
        <v>34.936858887927386</v>
      </c>
      <c r="GC954">
        <v>22.029119386279362</v>
      </c>
      <c r="GD954">
        <v>19.626829639107875</v>
      </c>
      <c r="GE954">
        <v>27.066793135615939</v>
      </c>
      <c r="GF954">
        <v>34.336810834710086</v>
      </c>
      <c r="GG954">
        <v>32.466975012983632</v>
      </c>
      <c r="GH954">
        <v>28.073623813782213</v>
      </c>
      <c r="GI954">
        <v>42.626904122125318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228.91808332707205</v>
      </c>
      <c r="AO955">
        <v>70.564988770100001</v>
      </c>
      <c r="AP955">
        <v>599.03560518782456</v>
      </c>
      <c r="AQ955">
        <v>459.80251789845232</v>
      </c>
      <c r="AR955">
        <v>67.869530305142092</v>
      </c>
      <c r="AS955">
        <v>319.5591508955053</v>
      </c>
      <c r="AT955">
        <v>32.437590114289478</v>
      </c>
      <c r="AU955">
        <v>47.954899043794839</v>
      </c>
      <c r="AV955"/>
      <c r="AW955"/>
      <c r="FY955" s="211">
        <v>950</v>
      </c>
      <c r="FZ955">
        <v>39.651347285674895</v>
      </c>
      <c r="GA955">
        <v>41.868161422008448</v>
      </c>
      <c r="GB955">
        <v>46.023515453718197</v>
      </c>
      <c r="GC955">
        <v>31.865632607658089</v>
      </c>
      <c r="GD955">
        <v>18.133591192653313</v>
      </c>
      <c r="GE955">
        <v>25.250287078798713</v>
      </c>
      <c r="GF955">
        <v>48.754979109351609</v>
      </c>
      <c r="GG955">
        <v>41.137309236639325</v>
      </c>
      <c r="GH955">
        <v>37.536521880269632</v>
      </c>
      <c r="GI955">
        <v>44.855045292656492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200.04345540653114</v>
      </c>
      <c r="AO956">
        <v>58.625327870933553</v>
      </c>
      <c r="AP956">
        <v>472.41392831768286</v>
      </c>
      <c r="AQ956">
        <v>355.44581500157358</v>
      </c>
      <c r="AR956">
        <v>56.74008654052485</v>
      </c>
      <c r="AS956">
        <v>295.35764286733291</v>
      </c>
      <c r="AT956">
        <v>28.843729680700992</v>
      </c>
      <c r="AU956">
        <v>68.077995588715922</v>
      </c>
      <c r="AV956"/>
      <c r="AW956"/>
      <c r="FY956" s="211">
        <v>951</v>
      </c>
      <c r="FZ956">
        <v>78.179748011966581</v>
      </c>
      <c r="GA956">
        <v>94.361513625444914</v>
      </c>
      <c r="GB956">
        <v>51.168797006399195</v>
      </c>
      <c r="GC956">
        <v>27.922193391014911</v>
      </c>
      <c r="GD956">
        <v>19.333837396308439</v>
      </c>
      <c r="GE956">
        <v>28.087743532793976</v>
      </c>
      <c r="GF956">
        <v>47.314104066365751</v>
      </c>
      <c r="GG956">
        <v>46.326835130624879</v>
      </c>
      <c r="GH956">
        <v>23.735002955250373</v>
      </c>
      <c r="GI956">
        <v>50.028140121624169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143.61557825136998</v>
      </c>
      <c r="AO957">
        <v>50.445296764933829</v>
      </c>
      <c r="AP957">
        <v>431.91740580325603</v>
      </c>
      <c r="AQ957">
        <v>340.29976863640536</v>
      </c>
      <c r="AR957">
        <v>49.587771988595108</v>
      </c>
      <c r="AS957">
        <v>238.71227833028138</v>
      </c>
      <c r="AT957">
        <v>26.512795646653654</v>
      </c>
      <c r="AU957">
        <v>5.0162770315084195</v>
      </c>
      <c r="AV957"/>
      <c r="AW957"/>
      <c r="FY957" s="211">
        <v>952</v>
      </c>
      <c r="FZ957">
        <v>123.73862266074751</v>
      </c>
      <c r="GA957">
        <v>138.9669044881843</v>
      </c>
      <c r="GB957">
        <v>48.736617319643329</v>
      </c>
      <c r="GC957">
        <v>27.646618966242769</v>
      </c>
      <c r="GD957">
        <v>15.238631492503666</v>
      </c>
      <c r="GE957">
        <v>23.391804485006393</v>
      </c>
      <c r="GF957">
        <v>51.849832933065386</v>
      </c>
      <c r="GG957">
        <v>35.681924906616835</v>
      </c>
      <c r="GH957">
        <v>15.718731168619762</v>
      </c>
      <c r="GI957">
        <v>53.164317629022037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165.58999065419383</v>
      </c>
      <c r="AO958">
        <v>55.074088277186092</v>
      </c>
      <c r="AP958">
        <v>380.27149846042079</v>
      </c>
      <c r="AQ958">
        <v>299.34702277446866</v>
      </c>
      <c r="AR958">
        <v>54.096475795081282</v>
      </c>
      <c r="AS958">
        <v>280.88678204577985</v>
      </c>
      <c r="AT958">
        <v>25.791816971809169</v>
      </c>
      <c r="AU958">
        <v>-29.416834765695434</v>
      </c>
      <c r="AV958"/>
      <c r="AW958"/>
      <c r="FY958" s="211">
        <v>953</v>
      </c>
      <c r="FZ958">
        <v>28.621658239827724</v>
      </c>
      <c r="GA958">
        <v>45.861623467842271</v>
      </c>
      <c r="GB958">
        <v>55.054823088661479</v>
      </c>
      <c r="GC958">
        <v>27.505479523910122</v>
      </c>
      <c r="GD958">
        <v>12.098082386711196</v>
      </c>
      <c r="GE958">
        <v>21.871932473428565</v>
      </c>
      <c r="GF958">
        <v>29.864890770839288</v>
      </c>
      <c r="GG958">
        <v>21.538365879192117</v>
      </c>
      <c r="GH958">
        <v>26.638383813373025</v>
      </c>
      <c r="GI958">
        <v>36.11646990013034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170.28765426693568</v>
      </c>
      <c r="AO959">
        <v>54.104236969154989</v>
      </c>
      <c r="AP959">
        <v>451.48147260016231</v>
      </c>
      <c r="AQ959">
        <v>360.40886277230237</v>
      </c>
      <c r="AR959">
        <v>53.617793479185437</v>
      </c>
      <c r="AS959">
        <v>252.67187685155366</v>
      </c>
      <c r="AT959">
        <v>29.262794590014991</v>
      </c>
      <c r="AU959">
        <v>1.049787510991429</v>
      </c>
      <c r="AV959"/>
      <c r="AW959"/>
      <c r="FY959" s="211">
        <v>954</v>
      </c>
      <c r="FZ959">
        <v>37.126956145184316</v>
      </c>
      <c r="GA959">
        <v>57.993672274346856</v>
      </c>
      <c r="GB959">
        <v>48.952194089357121</v>
      </c>
      <c r="GC959">
        <v>25.657261469288464</v>
      </c>
      <c r="GD959">
        <v>16.296545857710161</v>
      </c>
      <c r="GE959">
        <v>24.657741927776993</v>
      </c>
      <c r="GF959">
        <v>47.199955983520823</v>
      </c>
      <c r="GG959">
        <v>39.272699306383707</v>
      </c>
      <c r="GH959">
        <v>33.185153954216013</v>
      </c>
      <c r="GI959">
        <v>43.115770884187782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228.40518306649955</v>
      </c>
      <c r="AO960">
        <v>57.918562938485856</v>
      </c>
      <c r="AP960">
        <v>444.91476820686125</v>
      </c>
      <c r="AQ960">
        <v>346.19525495114465</v>
      </c>
      <c r="AR960">
        <v>55.672144302104122</v>
      </c>
      <c r="AS960">
        <v>270.02810837534514</v>
      </c>
      <c r="AT960">
        <v>25.163206104248118</v>
      </c>
      <c r="AU960">
        <v>30.901604965778702</v>
      </c>
      <c r="AV960"/>
      <c r="AW960"/>
      <c r="FY960" s="211">
        <v>955</v>
      </c>
      <c r="FZ960">
        <v>55.711175482412983</v>
      </c>
      <c r="GA960">
        <v>81.893740905425105</v>
      </c>
      <c r="GB960">
        <v>43.577351598146166</v>
      </c>
      <c r="GC960">
        <v>25.434211947322005</v>
      </c>
      <c r="GD960">
        <v>17.026590858322528</v>
      </c>
      <c r="GE960">
        <v>29.322355467233482</v>
      </c>
      <c r="GF960">
        <v>33.269509337006085</v>
      </c>
      <c r="GG960">
        <v>24.678577011930134</v>
      </c>
      <c r="GH960">
        <v>27.666612061302423</v>
      </c>
      <c r="GI960">
        <v>41.396264227418612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199.85603069673905</v>
      </c>
      <c r="AO961">
        <v>50.026302204220848</v>
      </c>
      <c r="AP961">
        <v>388.81658010456266</v>
      </c>
      <c r="AQ961">
        <v>299.70661925031948</v>
      </c>
      <c r="AR961">
        <v>50.284779653260294</v>
      </c>
      <c r="AS961">
        <v>251.16581807350033</v>
      </c>
      <c r="AT961">
        <v>24.081137860466626</v>
      </c>
      <c r="AU961">
        <v>41.340014276839923</v>
      </c>
      <c r="AV961"/>
      <c r="AW961"/>
      <c r="FY961" s="211">
        <v>956</v>
      </c>
      <c r="FZ961">
        <v>31.635561208360347</v>
      </c>
      <c r="GA961">
        <v>36.756239718559506</v>
      </c>
      <c r="GB961">
        <v>36.415773202431268</v>
      </c>
      <c r="GC961">
        <v>22.195793282449959</v>
      </c>
      <c r="GD961">
        <v>14.456885751442694</v>
      </c>
      <c r="GE961">
        <v>20.883227748578896</v>
      </c>
      <c r="GF961">
        <v>54.476978286425059</v>
      </c>
      <c r="GG961">
        <v>47.112052147310649</v>
      </c>
      <c r="GH961">
        <v>20.091666713492295</v>
      </c>
      <c r="GI961">
        <v>37.1908042202638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183.9142316873245</v>
      </c>
      <c r="AO962">
        <v>64.5284354101275</v>
      </c>
      <c r="AP962">
        <v>541.13164593219858</v>
      </c>
      <c r="AQ962">
        <v>430.67934876434742</v>
      </c>
      <c r="AR962">
        <v>63.941134768910196</v>
      </c>
      <c r="AS962">
        <v>321.81010932285693</v>
      </c>
      <c r="AT962">
        <v>33.291938995346833</v>
      </c>
      <c r="AU962">
        <v>24.181580654644847</v>
      </c>
      <c r="AV962"/>
      <c r="AW962"/>
      <c r="FY962" s="211">
        <v>957</v>
      </c>
      <c r="FZ962">
        <v>76.387504732909292</v>
      </c>
      <c r="GA962">
        <v>84.629054085306763</v>
      </c>
      <c r="GB962">
        <v>49.611582148425583</v>
      </c>
      <c r="GC962">
        <v>30.348707371847105</v>
      </c>
      <c r="GD962">
        <v>15.360598079095729</v>
      </c>
      <c r="GE962">
        <v>19.817269006816844</v>
      </c>
      <c r="GF962">
        <v>23.279855609350459</v>
      </c>
      <c r="GG962">
        <v>14.945021992028721</v>
      </c>
      <c r="GH962">
        <v>21.26858499462891</v>
      </c>
      <c r="GI962">
        <v>41.479382454045975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223.12494806942223</v>
      </c>
      <c r="AO963">
        <v>63.860787475187806</v>
      </c>
      <c r="AP963">
        <v>519.48014173323179</v>
      </c>
      <c r="AQ963">
        <v>405.35278643418076</v>
      </c>
      <c r="AR963">
        <v>60.433784163511127</v>
      </c>
      <c r="AS963">
        <v>287.0682440631503</v>
      </c>
      <c r="AT963">
        <v>29.535143573933269</v>
      </c>
      <c r="AU963">
        <v>-23.219535964747404</v>
      </c>
      <c r="AV963"/>
      <c r="AW963"/>
      <c r="FY963" s="211">
        <v>958</v>
      </c>
      <c r="FZ963">
        <v>36.809537118340181</v>
      </c>
      <c r="GA963">
        <v>55.354774162663659</v>
      </c>
      <c r="GB963">
        <v>37.380645664222556</v>
      </c>
      <c r="GC963">
        <v>17.012436258419896</v>
      </c>
      <c r="GD963">
        <v>12.177618531613534</v>
      </c>
      <c r="GE963">
        <v>23.283471926218795</v>
      </c>
      <c r="GF963">
        <v>46.548465927275707</v>
      </c>
      <c r="GG963">
        <v>31.904510503322385</v>
      </c>
      <c r="GH963">
        <v>14.453399437712498</v>
      </c>
      <c r="GI963">
        <v>34.441899935533939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200.94265334704289</v>
      </c>
      <c r="AO964">
        <v>73.873252386117855</v>
      </c>
      <c r="AP964">
        <v>668.64145498799496</v>
      </c>
      <c r="AQ964">
        <v>523.35885492071679</v>
      </c>
      <c r="AR964">
        <v>73.127217774025738</v>
      </c>
      <c r="AS964">
        <v>357.03117919162457</v>
      </c>
      <c r="AT964">
        <v>40.067690451495764</v>
      </c>
      <c r="AU964">
        <v>4.1615342448853383</v>
      </c>
      <c r="AV964"/>
      <c r="AW964"/>
      <c r="FY964" s="211">
        <v>959</v>
      </c>
      <c r="FZ964">
        <v>36.479038022065005</v>
      </c>
      <c r="GA964">
        <v>58.660972972257085</v>
      </c>
      <c r="GB964">
        <v>49.507854611925502</v>
      </c>
      <c r="GC964">
        <v>23.895396595845341</v>
      </c>
      <c r="GD964">
        <v>12.854992905097497</v>
      </c>
      <c r="GE964">
        <v>22.912342576800874</v>
      </c>
      <c r="GF964">
        <v>85.233695817859825</v>
      </c>
      <c r="GG964">
        <v>67.299266697696794</v>
      </c>
      <c r="GH964">
        <v>17.359598624401023</v>
      </c>
      <c r="GI964">
        <v>46.062619410459824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189.27835634545028</v>
      </c>
      <c r="AO965">
        <v>63.826619186403242</v>
      </c>
      <c r="AP965">
        <v>491.92624857054477</v>
      </c>
      <c r="AQ965">
        <v>398.68054882474092</v>
      </c>
      <c r="AR965">
        <v>61.817075122680286</v>
      </c>
      <c r="AS965">
        <v>301.80221803786429</v>
      </c>
      <c r="AT965">
        <v>30.336479913416497</v>
      </c>
      <c r="AU965">
        <v>-18.468286050479815</v>
      </c>
      <c r="AV965"/>
      <c r="AW965"/>
      <c r="FY965" s="211">
        <v>960</v>
      </c>
      <c r="FZ965">
        <v>33.058411999528019</v>
      </c>
      <c r="GA965">
        <v>44.145024034326127</v>
      </c>
      <c r="GB965">
        <v>40.978539745086437</v>
      </c>
      <c r="GC965">
        <v>20.974165177601787</v>
      </c>
      <c r="GD965">
        <v>14.611475690069454</v>
      </c>
      <c r="GE965">
        <v>25.648842277233705</v>
      </c>
      <c r="GF965">
        <v>37.439681685057373</v>
      </c>
      <c r="GG965">
        <v>29.832190113245943</v>
      </c>
      <c r="GH965">
        <v>29.04366957571839</v>
      </c>
      <c r="GI965">
        <v>36.74054568058893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224.61976183844786</v>
      </c>
      <c r="AO966">
        <v>65.458563946889768</v>
      </c>
      <c r="AP966">
        <v>479.6879628092388</v>
      </c>
      <c r="AQ966">
        <v>375.07639055942872</v>
      </c>
      <c r="AR966">
        <v>64.244903820978578</v>
      </c>
      <c r="AS966">
        <v>302.98246875548045</v>
      </c>
      <c r="AT966">
        <v>30.018640994981897</v>
      </c>
      <c r="AU966">
        <v>59.692289119533619</v>
      </c>
      <c r="AV966"/>
      <c r="AW966"/>
      <c r="FY966" s="211">
        <v>961</v>
      </c>
      <c r="FZ966">
        <v>102.15942848668617</v>
      </c>
      <c r="GA966">
        <v>130.45454410597853</v>
      </c>
      <c r="GB966">
        <v>34.211144165619771</v>
      </c>
      <c r="GC966">
        <v>20.972175502651307</v>
      </c>
      <c r="GD966">
        <v>18.707138056816422</v>
      </c>
      <c r="GE966">
        <v>33.502754053206097</v>
      </c>
      <c r="GF966">
        <v>67.980836030941376</v>
      </c>
      <c r="GG966">
        <v>53.388175918441057</v>
      </c>
      <c r="GH966">
        <v>21.956323370250374</v>
      </c>
      <c r="GI966">
        <v>52.692957500539187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249.38000380459602</v>
      </c>
      <c r="AO967">
        <v>74.515364817752896</v>
      </c>
      <c r="AP967">
        <v>586.47246490295356</v>
      </c>
      <c r="AQ967">
        <v>466.4579152377932</v>
      </c>
      <c r="AR967">
        <v>72.492384326659291</v>
      </c>
      <c r="AS967">
        <v>350.29921866978032</v>
      </c>
      <c r="AT967">
        <v>34.787167813598508</v>
      </c>
      <c r="AU967">
        <v>-0.28519579555289454</v>
      </c>
      <c r="AV967"/>
      <c r="AW967"/>
      <c r="FY967" s="211">
        <v>962</v>
      </c>
      <c r="FZ967">
        <v>72.426453589638498</v>
      </c>
      <c r="GA967">
        <v>91.115696937599921</v>
      </c>
      <c r="GB967">
        <v>57.021406312326626</v>
      </c>
      <c r="GC967">
        <v>30.402367419335114</v>
      </c>
      <c r="GD967">
        <v>14.742454049121005</v>
      </c>
      <c r="GE967">
        <v>27.780726561550015</v>
      </c>
      <c r="GF967">
        <v>35.378418705440829</v>
      </c>
      <c r="GG967">
        <v>23.916279834841578</v>
      </c>
      <c r="GH967">
        <v>33.201689174195423</v>
      </c>
      <c r="GI967">
        <v>46.880523804034858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210.87880062092319</v>
      </c>
      <c r="AO968">
        <v>78.769307692198808</v>
      </c>
      <c r="AP968">
        <v>672.33143898231503</v>
      </c>
      <c r="AQ968">
        <v>534.13400604965204</v>
      </c>
      <c r="AR968">
        <v>76.832743523245412</v>
      </c>
      <c r="AS968">
        <v>373.61755237607241</v>
      </c>
      <c r="AT968">
        <v>40.997618836774159</v>
      </c>
      <c r="AU968">
        <v>1.93026207215933</v>
      </c>
      <c r="AV968"/>
      <c r="AW968"/>
      <c r="FY968" s="211">
        <v>963</v>
      </c>
      <c r="FZ968">
        <v>74.22973404657121</v>
      </c>
      <c r="GA968">
        <v>101.59380701724272</v>
      </c>
      <c r="GB968">
        <v>38.500236350953962</v>
      </c>
      <c r="GC968">
        <v>20.486739896678895</v>
      </c>
      <c r="GD968">
        <v>15.912604707396399</v>
      </c>
      <c r="GE968">
        <v>25.278610901868863</v>
      </c>
      <c r="GF968">
        <v>42.641022732688761</v>
      </c>
      <c r="GG968">
        <v>32.347233593572867</v>
      </c>
      <c r="GH968">
        <v>21.652017985071648</v>
      </c>
      <c r="GI968">
        <v>42.784252200903055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180.61600796251864</v>
      </c>
      <c r="AO969">
        <v>52.730314351368101</v>
      </c>
      <c r="AP969">
        <v>397.54392555837205</v>
      </c>
      <c r="AQ969">
        <v>305.17170954391611</v>
      </c>
      <c r="AR969">
        <v>51.540953001950768</v>
      </c>
      <c r="AS969">
        <v>246.58914610221194</v>
      </c>
      <c r="AT969">
        <v>24.054773744579318</v>
      </c>
      <c r="AU969">
        <v>11.354829544129814</v>
      </c>
      <c r="AV969"/>
      <c r="AW969"/>
      <c r="FY969" s="211">
        <v>964</v>
      </c>
      <c r="FZ969">
        <v>62.738820711912354</v>
      </c>
      <c r="GA969">
        <v>88.528794357293705</v>
      </c>
      <c r="GB969">
        <v>36.76091110092996</v>
      </c>
      <c r="GC969">
        <v>22.461965790606417</v>
      </c>
      <c r="GD969">
        <v>17.032254016363122</v>
      </c>
      <c r="GE969">
        <v>22.554639724117624</v>
      </c>
      <c r="GF969">
        <v>51.35188694791659</v>
      </c>
      <c r="GG969">
        <v>46.45093188268347</v>
      </c>
      <c r="GH969">
        <v>20.251714334761054</v>
      </c>
      <c r="GI969">
        <v>42.832100726950479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211.034273240506</v>
      </c>
      <c r="AO970">
        <v>62.908405879365048</v>
      </c>
      <c r="AP970">
        <v>482.89156723043118</v>
      </c>
      <c r="AQ970">
        <v>373.45795189197219</v>
      </c>
      <c r="AR970">
        <v>62.071445738261374</v>
      </c>
      <c r="AS970">
        <v>301.73678768886191</v>
      </c>
      <c r="AT970">
        <v>29.06748612204845</v>
      </c>
      <c r="AU970">
        <v>47.463016202527882</v>
      </c>
      <c r="AV970"/>
      <c r="AW970"/>
      <c r="FY970" s="211">
        <v>965</v>
      </c>
      <c r="FZ970">
        <v>36.093962009958275</v>
      </c>
      <c r="GA970">
        <v>62.605394491568084</v>
      </c>
      <c r="GB970">
        <v>53.525722279989708</v>
      </c>
      <c r="GC970">
        <v>28.037773126248485</v>
      </c>
      <c r="GD970">
        <v>13.001330525102317</v>
      </c>
      <c r="GE970">
        <v>17.877701080686926</v>
      </c>
      <c r="GF970">
        <v>52.774424083870088</v>
      </c>
      <c r="GG970">
        <v>41.480759310119439</v>
      </c>
      <c r="GH970">
        <v>21.886107521621579</v>
      </c>
      <c r="GI970">
        <v>41.196622399632354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166.29180059428967</v>
      </c>
      <c r="AO971">
        <v>62.844148171962388</v>
      </c>
      <c r="AP971">
        <v>477.90840470666478</v>
      </c>
      <c r="AQ971">
        <v>379.97638889651955</v>
      </c>
      <c r="AR971">
        <v>59.580726025553432</v>
      </c>
      <c r="AS971">
        <v>267.423792543621</v>
      </c>
      <c r="AT971">
        <v>29.723362843466557</v>
      </c>
      <c r="AU971">
        <v>4.5614947505680163</v>
      </c>
      <c r="AV971"/>
      <c r="AW971"/>
      <c r="FY971" s="211">
        <v>966</v>
      </c>
      <c r="FZ971">
        <v>88.599266015170315</v>
      </c>
      <c r="GA971">
        <v>89.266255504177053</v>
      </c>
      <c r="GB971">
        <v>31.881185610978733</v>
      </c>
      <c r="GC971">
        <v>19.539722953387937</v>
      </c>
      <c r="GD971">
        <v>10.344516179847806</v>
      </c>
      <c r="GE971">
        <v>14.123733721788863</v>
      </c>
      <c r="GF971">
        <v>33.207190499768622</v>
      </c>
      <c r="GG971">
        <v>29.825304015089682</v>
      </c>
      <c r="GH971">
        <v>21.670912649816398</v>
      </c>
      <c r="GI971">
        <v>37.928673733833392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214.27044566553249</v>
      </c>
      <c r="AO972">
        <v>54.780395748681386</v>
      </c>
      <c r="AP972">
        <v>416.30431290083857</v>
      </c>
      <c r="AQ972">
        <v>321.21498227931454</v>
      </c>
      <c r="AR972">
        <v>53.368874222674819</v>
      </c>
      <c r="AS972">
        <v>281.43117165440901</v>
      </c>
      <c r="AT972">
        <v>25.000447309044741</v>
      </c>
      <c r="AU972">
        <v>19.49964814579138</v>
      </c>
      <c r="AV972"/>
      <c r="AW972"/>
      <c r="FY972" s="211">
        <v>967</v>
      </c>
      <c r="FZ972">
        <v>56.928680373764834</v>
      </c>
      <c r="GA972">
        <v>57.38383648649495</v>
      </c>
      <c r="GB972">
        <v>52.734353883433798</v>
      </c>
      <c r="GC972">
        <v>27.645042087986976</v>
      </c>
      <c r="GD972">
        <v>15.693574397324179</v>
      </c>
      <c r="GE972">
        <v>26.702542797282582</v>
      </c>
      <c r="GF972">
        <v>31.513215378952484</v>
      </c>
      <c r="GG972">
        <v>16.71780843974939</v>
      </c>
      <c r="GH972">
        <v>16.860825152220187</v>
      </c>
      <c r="GI972">
        <v>40.676672168179586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193.31686157026715</v>
      </c>
      <c r="AO973">
        <v>60.036591454531376</v>
      </c>
      <c r="AP973">
        <v>466.43030671597052</v>
      </c>
      <c r="AQ973">
        <v>377.12756047445544</v>
      </c>
      <c r="AR973">
        <v>59.652753376650388</v>
      </c>
      <c r="AS973">
        <v>283.74979500971068</v>
      </c>
      <c r="AT973">
        <v>32.079906299160683</v>
      </c>
      <c r="AU973">
        <v>-21.595523970304207</v>
      </c>
      <c r="AV973"/>
      <c r="AW973"/>
      <c r="FY973" s="211">
        <v>968</v>
      </c>
      <c r="FZ973">
        <v>103.09551750999452</v>
      </c>
      <c r="GA973">
        <v>133.23277902486876</v>
      </c>
      <c r="GB973">
        <v>36.65832053231658</v>
      </c>
      <c r="GC973">
        <v>22.019951792545886</v>
      </c>
      <c r="GD973">
        <v>15.65812605992871</v>
      </c>
      <c r="GE973">
        <v>24.720834156129271</v>
      </c>
      <c r="GF973">
        <v>30.432934548812732</v>
      </c>
      <c r="GG973">
        <v>19.525739245499505</v>
      </c>
      <c r="GH973">
        <v>19.452208395640042</v>
      </c>
      <c r="GI973">
        <v>43.508425444194778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210.32799256453745</v>
      </c>
      <c r="AO974">
        <v>50.840209371477705</v>
      </c>
      <c r="AP974">
        <v>404.44878212060229</v>
      </c>
      <c r="AQ974">
        <v>309.36675946532318</v>
      </c>
      <c r="AR974">
        <v>49.485859707559754</v>
      </c>
      <c r="AS974">
        <v>245.14220713180146</v>
      </c>
      <c r="AT974">
        <v>21.790946039713472</v>
      </c>
      <c r="AU974">
        <v>-5.1090633141123973</v>
      </c>
      <c r="AV974"/>
      <c r="AW974"/>
      <c r="FY974" s="211">
        <v>969</v>
      </c>
      <c r="FZ974">
        <v>78.000567529298849</v>
      </c>
      <c r="GA974">
        <v>88.924254869953728</v>
      </c>
      <c r="GB974">
        <v>59.859663396587408</v>
      </c>
      <c r="GC974">
        <v>36.807406105440691</v>
      </c>
      <c r="GD974">
        <v>14.698934094944414</v>
      </c>
      <c r="GE974">
        <v>19.346307856374558</v>
      </c>
      <c r="GF974">
        <v>28.810845215029115</v>
      </c>
      <c r="GG974">
        <v>24.42232933625786</v>
      </c>
      <c r="GH974">
        <v>24.504378514551341</v>
      </c>
      <c r="GI974">
        <v>45.886770546819015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219.96059313360516</v>
      </c>
      <c r="AO975">
        <v>68.905572044906251</v>
      </c>
      <c r="AP975">
        <v>566.13681483943242</v>
      </c>
      <c r="AQ975">
        <v>420.2657782344088</v>
      </c>
      <c r="AR975">
        <v>66.335066133059911</v>
      </c>
      <c r="AS975">
        <v>327.46861696162665</v>
      </c>
      <c r="AT975">
        <v>31.277483461801435</v>
      </c>
      <c r="AU975">
        <v>0.83307734662538024</v>
      </c>
      <c r="AV975"/>
      <c r="AW975"/>
      <c r="FY975" s="211">
        <v>970</v>
      </c>
      <c r="FZ975">
        <v>74.324305472659745</v>
      </c>
      <c r="GA975">
        <v>101.69845975729531</v>
      </c>
      <c r="GB975">
        <v>54.15063736013456</v>
      </c>
      <c r="GC975">
        <v>30.379435392774923</v>
      </c>
      <c r="GD975">
        <v>19.146934721894286</v>
      </c>
      <c r="GE975">
        <v>31.483393424468648</v>
      </c>
      <c r="GF975">
        <v>58.439733213753364</v>
      </c>
      <c r="GG975">
        <v>40.29475174717556</v>
      </c>
      <c r="GH975">
        <v>26.936511623441724</v>
      </c>
      <c r="GI975">
        <v>52.840678854725155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208.88904990217583</v>
      </c>
      <c r="AO976">
        <v>53.110815370918282</v>
      </c>
      <c r="AP976">
        <v>401.14202867721229</v>
      </c>
      <c r="AQ976">
        <v>312.4725459784562</v>
      </c>
      <c r="AR976">
        <v>52.652173393489392</v>
      </c>
      <c r="AS976">
        <v>259.18091962321699</v>
      </c>
      <c r="AT976">
        <v>24.389205968437263</v>
      </c>
      <c r="AU976">
        <v>27.429291952763723</v>
      </c>
      <c r="AV976"/>
      <c r="AW976"/>
      <c r="FY976" s="211">
        <v>971</v>
      </c>
      <c r="FZ976">
        <v>69.648147930131898</v>
      </c>
      <c r="GA976">
        <v>98.078003722361771</v>
      </c>
      <c r="GB976">
        <v>35.923871801611128</v>
      </c>
      <c r="GC976">
        <v>19.643765770773573</v>
      </c>
      <c r="GD976">
        <v>12.912303828170801</v>
      </c>
      <c r="GE976">
        <v>21.951135679721769</v>
      </c>
      <c r="GF976">
        <v>40.979862037267615</v>
      </c>
      <c r="GG976">
        <v>31.913662598765427</v>
      </c>
      <c r="GH976">
        <v>25.416260820684577</v>
      </c>
      <c r="GI976">
        <v>40.040781030061702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256.77144590911371</v>
      </c>
      <c r="AO977">
        <v>80.47432800894633</v>
      </c>
      <c r="AP977">
        <v>672.280457644786</v>
      </c>
      <c r="AQ977">
        <v>536.02547719113022</v>
      </c>
      <c r="AR977">
        <v>76.061389916641744</v>
      </c>
      <c r="AS977">
        <v>388.56383756802472</v>
      </c>
      <c r="AT977">
        <v>38.852276025532781</v>
      </c>
      <c r="AU977">
        <v>19.919386647169631</v>
      </c>
      <c r="AV977"/>
      <c r="AW977"/>
      <c r="FY977" s="211">
        <v>972</v>
      </c>
      <c r="FZ977">
        <v>82.688122462438244</v>
      </c>
      <c r="GA977">
        <v>106.52184971781405</v>
      </c>
      <c r="GB977">
        <v>46.311863899400066</v>
      </c>
      <c r="GC977">
        <v>25.957757065959424</v>
      </c>
      <c r="GD977">
        <v>16.66461357593289</v>
      </c>
      <c r="GE977">
        <v>24.851637174986124</v>
      </c>
      <c r="GF977">
        <v>35.671656923516657</v>
      </c>
      <c r="GG977">
        <v>26.276830661249324</v>
      </c>
      <c r="GH977">
        <v>18.56484675369158</v>
      </c>
      <c r="GI977">
        <v>44.406592634284912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225.45313326486908</v>
      </c>
      <c r="AO978">
        <v>69.022422788727084</v>
      </c>
      <c r="AP978">
        <v>551.47565425688742</v>
      </c>
      <c r="AQ978">
        <v>432.86601638808384</v>
      </c>
      <c r="AR978">
        <v>67.332152096701705</v>
      </c>
      <c r="AS978">
        <v>331.65377421843317</v>
      </c>
      <c r="AT978">
        <v>34.17173606494385</v>
      </c>
      <c r="AU978">
        <v>-33.858677521256716</v>
      </c>
      <c r="AV978"/>
      <c r="AW978"/>
      <c r="FY978" s="211">
        <v>973</v>
      </c>
      <c r="FZ978">
        <v>32.723916078060796</v>
      </c>
      <c r="GA978">
        <v>39.042813681631671</v>
      </c>
      <c r="GB978">
        <v>36.226271831398542</v>
      </c>
      <c r="GC978">
        <v>24.116867489746806</v>
      </c>
      <c r="GD978">
        <v>18.054686963725313</v>
      </c>
      <c r="GE978">
        <v>26.786877753343965</v>
      </c>
      <c r="GF978">
        <v>33.011532472830183</v>
      </c>
      <c r="GG978">
        <v>28.835642492720581</v>
      </c>
      <c r="GH978">
        <v>22.10011560629799</v>
      </c>
      <c r="GI978">
        <v>35.59788990831089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225.08521544622153</v>
      </c>
      <c r="AO979">
        <v>63.755158982516775</v>
      </c>
      <c r="AP979">
        <v>521.77929922126532</v>
      </c>
      <c r="AQ979">
        <v>415.42625943294843</v>
      </c>
      <c r="AR979">
        <v>61.483089418844443</v>
      </c>
      <c r="AS979">
        <v>311.7995635792272</v>
      </c>
      <c r="AT979">
        <v>29.353648645800842</v>
      </c>
      <c r="AU979">
        <v>2.0204083771178318</v>
      </c>
      <c r="AV979"/>
      <c r="AW979"/>
      <c r="FY979" s="211">
        <v>974</v>
      </c>
      <c r="FZ979">
        <v>114.83589653193665</v>
      </c>
      <c r="GA979">
        <v>143.56107236612297</v>
      </c>
      <c r="GB979">
        <v>46.034151839222147</v>
      </c>
      <c r="GC979">
        <v>23.767591013337608</v>
      </c>
      <c r="GD979">
        <v>11.121828976416003</v>
      </c>
      <c r="GE979">
        <v>19.60135393428396</v>
      </c>
      <c r="GF979">
        <v>47.767877180120188</v>
      </c>
      <c r="GG979">
        <v>30.166550880763122</v>
      </c>
      <c r="GH979">
        <v>12.628661622835692</v>
      </c>
      <c r="GI979">
        <v>47.27884086753356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203.43422306211158</v>
      </c>
      <c r="AO980">
        <v>64.776057350277483</v>
      </c>
      <c r="AP980">
        <v>518.59414744049138</v>
      </c>
      <c r="AQ980">
        <v>410.96401959353477</v>
      </c>
      <c r="AR980">
        <v>61.923766613872623</v>
      </c>
      <c r="AS980">
        <v>340.10741178883069</v>
      </c>
      <c r="AT980">
        <v>29.9377306828586</v>
      </c>
      <c r="AU980">
        <v>1.7272012636841367</v>
      </c>
      <c r="AV980"/>
      <c r="AW980"/>
      <c r="FY980" s="211">
        <v>975</v>
      </c>
      <c r="FZ980">
        <v>86.466871425541896</v>
      </c>
      <c r="GA980">
        <v>90.964602791085795</v>
      </c>
      <c r="GB980">
        <v>20.145799333336175</v>
      </c>
      <c r="GC980">
        <v>11.738551848767285</v>
      </c>
      <c r="GD980">
        <v>11.979030566276393</v>
      </c>
      <c r="GE980">
        <v>25.168468406478784</v>
      </c>
      <c r="GF980">
        <v>54.674774670411558</v>
      </c>
      <c r="GG980">
        <v>35.623534456244698</v>
      </c>
      <c r="GH980">
        <v>21.532589834853766</v>
      </c>
      <c r="GI980">
        <v>39.669510049853422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229.2847097397277</v>
      </c>
      <c r="AO981">
        <v>61.190091891551575</v>
      </c>
      <c r="AP981">
        <v>487.42008792616343</v>
      </c>
      <c r="AQ981">
        <v>368.47979682879719</v>
      </c>
      <c r="AR981">
        <v>58.98357739900684</v>
      </c>
      <c r="AS981">
        <v>292.30402797681472</v>
      </c>
      <c r="AT981">
        <v>25.969617823828106</v>
      </c>
      <c r="AU981">
        <v>13.892864535707545</v>
      </c>
      <c r="AV981"/>
      <c r="AW981"/>
      <c r="FY981" s="211">
        <v>976</v>
      </c>
      <c r="FZ981">
        <v>42.427288577012817</v>
      </c>
      <c r="GA981">
        <v>41.13939834241561</v>
      </c>
      <c r="GB981">
        <v>41.216276786015371</v>
      </c>
      <c r="GC981">
        <v>23.987236513977283</v>
      </c>
      <c r="GD981">
        <v>13.569919953935226</v>
      </c>
      <c r="GE981">
        <v>18.19161983191205</v>
      </c>
      <c r="GF981">
        <v>47.350875057592731</v>
      </c>
      <c r="GG981">
        <v>41.595367578940724</v>
      </c>
      <c r="GH981">
        <v>24.270542858263539</v>
      </c>
      <c r="GI981">
        <v>38.615844363318104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156.44995591354922</v>
      </c>
      <c r="AO982">
        <v>55.713859514316333</v>
      </c>
      <c r="AP982">
        <v>478.15880935272764</v>
      </c>
      <c r="AQ982">
        <v>376.38676088385876</v>
      </c>
      <c r="AR982">
        <v>55.097414512479709</v>
      </c>
      <c r="AS982">
        <v>253.89607678880421</v>
      </c>
      <c r="AT982">
        <v>28.487229232815906</v>
      </c>
      <c r="AU982">
        <v>12.019284897180391</v>
      </c>
      <c r="AV982"/>
      <c r="AW982"/>
      <c r="FY982" s="211">
        <v>977</v>
      </c>
      <c r="FZ982">
        <v>22.310461928057396</v>
      </c>
      <c r="GA982">
        <v>43.396965535188706</v>
      </c>
      <c r="GB982">
        <v>35.689479343084649</v>
      </c>
      <c r="GC982">
        <v>18.722788727750089</v>
      </c>
      <c r="GD982">
        <v>15.692211250723695</v>
      </c>
      <c r="GE982">
        <v>25.634152496220025</v>
      </c>
      <c r="GF982">
        <v>34.686242747030235</v>
      </c>
      <c r="GG982">
        <v>22.10766052622829</v>
      </c>
      <c r="GH982">
        <v>16.304009603841312</v>
      </c>
      <c r="GI982">
        <v>31.881828178792315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183.45869450291167</v>
      </c>
      <c r="AO983">
        <v>57.773293663260326</v>
      </c>
      <c r="AP983">
        <v>428.68704953378244</v>
      </c>
      <c r="AQ983">
        <v>342.85655116538896</v>
      </c>
      <c r="AR983">
        <v>57.983007543949412</v>
      </c>
      <c r="AS983">
        <v>294.46573165749425</v>
      </c>
      <c r="AT983">
        <v>28.271278293787109</v>
      </c>
      <c r="AU983">
        <v>25.46976939566531</v>
      </c>
      <c r="AV983"/>
      <c r="AW983"/>
      <c r="FY983" s="211">
        <v>978</v>
      </c>
      <c r="FZ983">
        <v>39.310382574800499</v>
      </c>
      <c r="GA983">
        <v>40.341820446785796</v>
      </c>
      <c r="GB983">
        <v>25.51521145518246</v>
      </c>
      <c r="GC983">
        <v>23.317009335434729</v>
      </c>
      <c r="GD983">
        <v>18.809335350776486</v>
      </c>
      <c r="GE983">
        <v>24.829854337222148</v>
      </c>
      <c r="GF983">
        <v>34.406780748990627</v>
      </c>
      <c r="GG983">
        <v>21.959612945187228</v>
      </c>
      <c r="GH983">
        <v>19.833595469294732</v>
      </c>
      <c r="GI983">
        <v>34.436373829338784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212.45455525103958</v>
      </c>
      <c r="AO984">
        <v>65.623818867584745</v>
      </c>
      <c r="AP984">
        <v>550.33700302791374</v>
      </c>
      <c r="AQ984">
        <v>448.30483670993073</v>
      </c>
      <c r="AR984">
        <v>62.619039323085886</v>
      </c>
      <c r="AS984">
        <v>293.11415089742303</v>
      </c>
      <c r="AT984">
        <v>32.467303604047878</v>
      </c>
      <c r="AU984">
        <v>-10.814400435718099</v>
      </c>
      <c r="AV984"/>
      <c r="AW984"/>
      <c r="FY984" s="211">
        <v>979</v>
      </c>
      <c r="FZ984">
        <v>26.32663029863161</v>
      </c>
      <c r="GA984">
        <v>49.369924705205293</v>
      </c>
      <c r="GB984">
        <v>40.366492783186366</v>
      </c>
      <c r="GC984">
        <v>23.164471740868077</v>
      </c>
      <c r="GD984">
        <v>13.624544384233497</v>
      </c>
      <c r="GE984">
        <v>20.868902343392456</v>
      </c>
      <c r="GF984">
        <v>22.999070926116108</v>
      </c>
      <c r="GG984">
        <v>13.454658959088992</v>
      </c>
      <c r="GH984">
        <v>24.023280177809522</v>
      </c>
      <c r="GI984">
        <v>31.318492856251758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193.42360073042704</v>
      </c>
      <c r="AO985">
        <v>68.871416667211676</v>
      </c>
      <c r="AP985">
        <v>538.31753737254598</v>
      </c>
      <c r="AQ985">
        <v>421.26145746525702</v>
      </c>
      <c r="AR985">
        <v>66.492953042217962</v>
      </c>
      <c r="AS985">
        <v>301.73626643901355</v>
      </c>
      <c r="AT985">
        <v>33.030218469383613</v>
      </c>
      <c r="AU985">
        <v>31.77033460838279</v>
      </c>
      <c r="AV985"/>
      <c r="AW985"/>
      <c r="FY985" s="211">
        <v>980</v>
      </c>
      <c r="FZ985">
        <v>82.614494900050403</v>
      </c>
      <c r="GA985">
        <v>84.672245633785465</v>
      </c>
      <c r="GB985">
        <v>44.108520628555404</v>
      </c>
      <c r="GC985">
        <v>26.155363261869343</v>
      </c>
      <c r="GD985">
        <v>13.75245920057359</v>
      </c>
      <c r="GE985">
        <v>20.251317908063978</v>
      </c>
      <c r="GF985">
        <v>34.142935194070247</v>
      </c>
      <c r="GG985">
        <v>27.661239129841352</v>
      </c>
      <c r="GH985">
        <v>28.741345085523317</v>
      </c>
      <c r="GI985">
        <v>43.884828416267773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265.17146106985012</v>
      </c>
      <c r="AO986">
        <v>78.450064521187542</v>
      </c>
      <c r="AP986">
        <v>623.66880760849097</v>
      </c>
      <c r="AQ986">
        <v>489.69484156832323</v>
      </c>
      <c r="AR986">
        <v>75.888648274012198</v>
      </c>
      <c r="AS986">
        <v>396.69429895496631</v>
      </c>
      <c r="AT986">
        <v>36.26478766513118</v>
      </c>
      <c r="AU986">
        <v>-20.120757337057285</v>
      </c>
      <c r="AV986"/>
      <c r="AW986"/>
      <c r="FY986" s="211">
        <v>981</v>
      </c>
      <c r="FZ986">
        <v>80.838598730096706</v>
      </c>
      <c r="GA986">
        <v>93.748124596755986</v>
      </c>
      <c r="GB986">
        <v>53.613596413197129</v>
      </c>
      <c r="GC986">
        <v>27.337889442907908</v>
      </c>
      <c r="GD986">
        <v>16.060586633011749</v>
      </c>
      <c r="GE986">
        <v>22.368124944716836</v>
      </c>
      <c r="GF986">
        <v>35.71937698685246</v>
      </c>
      <c r="GG986">
        <v>32.404182030357234</v>
      </c>
      <c r="GH986">
        <v>28.350349604200684</v>
      </c>
      <c r="GI986">
        <v>47.472334112945077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196.58590164030699</v>
      </c>
      <c r="AO987">
        <v>60.311255421588612</v>
      </c>
      <c r="AP987">
        <v>507.09478242197184</v>
      </c>
      <c r="AQ987">
        <v>396.50779521955019</v>
      </c>
      <c r="AR987">
        <v>57.604563409018631</v>
      </c>
      <c r="AS987">
        <v>285.39578532238141</v>
      </c>
      <c r="AT987">
        <v>28.747204348896503</v>
      </c>
      <c r="AU987">
        <v>16.744271609024239</v>
      </c>
      <c r="AV987"/>
      <c r="AW987"/>
      <c r="FY987" s="211">
        <v>982</v>
      </c>
      <c r="FZ987">
        <v>77.538953157088841</v>
      </c>
      <c r="GA987">
        <v>87.422010084659433</v>
      </c>
      <c r="GB987">
        <v>47.182915624313694</v>
      </c>
      <c r="GC987">
        <v>30.730242473050829</v>
      </c>
      <c r="GD987">
        <v>17.638678245356953</v>
      </c>
      <c r="GE987">
        <v>28.083959180747719</v>
      </c>
      <c r="GF987">
        <v>54.587640737532283</v>
      </c>
      <c r="GG987">
        <v>41.419741339858575</v>
      </c>
      <c r="GH987">
        <v>20.426370233596238</v>
      </c>
      <c r="GI987">
        <v>48.819492126157854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227.39532765137739</v>
      </c>
      <c r="AO988">
        <v>65.961378336138878</v>
      </c>
      <c r="AP988">
        <v>530.6721789278796</v>
      </c>
      <c r="AQ988">
        <v>427.91577086927327</v>
      </c>
      <c r="AR988">
        <v>63.641341851778584</v>
      </c>
      <c r="AS988">
        <v>309.97801866341138</v>
      </c>
      <c r="AT988">
        <v>31.178186021522123</v>
      </c>
      <c r="AU988">
        <v>-10.455755071896455</v>
      </c>
      <c r="AV988"/>
      <c r="AW988"/>
      <c r="FY988" s="211">
        <v>983</v>
      </c>
      <c r="FZ988">
        <v>60.63934609769904</v>
      </c>
      <c r="GA988">
        <v>93.875519093664835</v>
      </c>
      <c r="GB988">
        <v>37.773548576563229</v>
      </c>
      <c r="GC988">
        <v>21.402657698459596</v>
      </c>
      <c r="GD988">
        <v>18.546759708016218</v>
      </c>
      <c r="GE988">
        <v>34.086451715068584</v>
      </c>
      <c r="GF988">
        <v>57.259556253212075</v>
      </c>
      <c r="GG988">
        <v>35.485854308187108</v>
      </c>
      <c r="GH988">
        <v>16.416030601451638</v>
      </c>
      <c r="GI988">
        <v>44.494109744889244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223.27005665409871</v>
      </c>
      <c r="AO989">
        <v>52.665749845926939</v>
      </c>
      <c r="AP989">
        <v>366.08951538660517</v>
      </c>
      <c r="AQ989">
        <v>296.49661427806672</v>
      </c>
      <c r="AR989">
        <v>51.054885066076238</v>
      </c>
      <c r="AS989">
        <v>270.25329211127581</v>
      </c>
      <c r="AT989">
        <v>22.761345381180025</v>
      </c>
      <c r="AU989">
        <v>30.471899993375537</v>
      </c>
      <c r="AV989"/>
      <c r="AW989"/>
      <c r="FY989" s="211">
        <v>984</v>
      </c>
      <c r="FZ989">
        <v>116.25120454465163</v>
      </c>
      <c r="GA989">
        <v>144.15224959964473</v>
      </c>
      <c r="GB989">
        <v>37.660873920935295</v>
      </c>
      <c r="GC989">
        <v>21.90663716700768</v>
      </c>
      <c r="GD989">
        <v>14.192780689298258</v>
      </c>
      <c r="GE989">
        <v>19.930922461980472</v>
      </c>
      <c r="GF989">
        <v>34.751889583129298</v>
      </c>
      <c r="GG989">
        <v>21.858728930603515</v>
      </c>
      <c r="GH989">
        <v>14.867754203602853</v>
      </c>
      <c r="GI989">
        <v>44.790957693178235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192.33677556562694</v>
      </c>
      <c r="AO990">
        <v>71.171417824047779</v>
      </c>
      <c r="AP990">
        <v>631.6692631086413</v>
      </c>
      <c r="AQ990">
        <v>496.76382521257193</v>
      </c>
      <c r="AR990">
        <v>68.152231951233219</v>
      </c>
      <c r="AS990">
        <v>302.24920955237701</v>
      </c>
      <c r="AT990">
        <v>35.757369901118615</v>
      </c>
      <c r="AU990">
        <v>-18.640278776605221</v>
      </c>
      <c r="AV990"/>
      <c r="AW990"/>
      <c r="FY990" s="211">
        <v>985</v>
      </c>
      <c r="FZ990">
        <v>89.058555674234825</v>
      </c>
      <c r="GA990">
        <v>97.313099290956515</v>
      </c>
      <c r="GB990">
        <v>46.189029766336624</v>
      </c>
      <c r="GC990">
        <v>27.755332715582696</v>
      </c>
      <c r="GD990">
        <v>17.825934657435745</v>
      </c>
      <c r="GE990">
        <v>26.069938803938513</v>
      </c>
      <c r="GF990">
        <v>45.946670545475001</v>
      </c>
      <c r="GG990">
        <v>39.792331858971529</v>
      </c>
      <c r="GH990">
        <v>30.449559077770395</v>
      </c>
      <c r="GI990">
        <v>50.315482845706413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191.67135106287228</v>
      </c>
      <c r="AO991">
        <v>57.519934054872166</v>
      </c>
      <c r="AP991">
        <v>495.44929777207091</v>
      </c>
      <c r="AQ991">
        <v>397.9637333828498</v>
      </c>
      <c r="AR991">
        <v>56.7053435447298</v>
      </c>
      <c r="AS991">
        <v>275.76505234936195</v>
      </c>
      <c r="AT991">
        <v>28.415401134283979</v>
      </c>
      <c r="AU991">
        <v>-10.793754370215026</v>
      </c>
      <c r="AV991"/>
      <c r="AW991"/>
      <c r="FY991" s="211">
        <v>986</v>
      </c>
      <c r="FZ991">
        <v>76.654148502268328</v>
      </c>
      <c r="GA991">
        <v>97.343402979413924</v>
      </c>
      <c r="GB991">
        <v>24.439153222688425</v>
      </c>
      <c r="GC991">
        <v>10.980269799997231</v>
      </c>
      <c r="GD991">
        <v>12.070168485823203</v>
      </c>
      <c r="GE991">
        <v>24.483697761669447</v>
      </c>
      <c r="GF991">
        <v>29.913783844146085</v>
      </c>
      <c r="GG991">
        <v>17.484879792052634</v>
      </c>
      <c r="GH991">
        <v>21.911233983494682</v>
      </c>
      <c r="GI991">
        <v>34.492503340281822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185.17011933305548</v>
      </c>
      <c r="AO992">
        <v>55.33216978703706</v>
      </c>
      <c r="AP992">
        <v>427.75372410288509</v>
      </c>
      <c r="AQ992">
        <v>332.36436986338344</v>
      </c>
      <c r="AR992">
        <v>55.382936744634179</v>
      </c>
      <c r="AS992">
        <v>275.24777485276144</v>
      </c>
      <c r="AT992">
        <v>27.331945797526828</v>
      </c>
      <c r="AU992">
        <v>23.473395527688218</v>
      </c>
      <c r="AV992"/>
      <c r="AW992"/>
      <c r="FY992" s="211">
        <v>987</v>
      </c>
      <c r="FZ992">
        <v>59.135539136981564</v>
      </c>
      <c r="GA992">
        <v>84.40495460585889</v>
      </c>
      <c r="GB992">
        <v>38.164674614400482</v>
      </c>
      <c r="GC992">
        <v>26.190078200644791</v>
      </c>
      <c r="GD992">
        <v>16.850458867523916</v>
      </c>
      <c r="GE992">
        <v>25.049696670338502</v>
      </c>
      <c r="GF992">
        <v>35.617877776334353</v>
      </c>
      <c r="GG992">
        <v>24.335109846569054</v>
      </c>
      <c r="GH992">
        <v>28.859936522740071</v>
      </c>
      <c r="GI992">
        <v>41.073308215321561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178.80457431553475</v>
      </c>
      <c r="AO993">
        <v>46.61576887033933</v>
      </c>
      <c r="AP993">
        <v>334.93696172018815</v>
      </c>
      <c r="AQ993">
        <v>266.42580033691672</v>
      </c>
      <c r="AR993">
        <v>45.416957798031788</v>
      </c>
      <c r="AS993">
        <v>213.96444119124479</v>
      </c>
      <c r="AT993">
        <v>20.944497403862631</v>
      </c>
      <c r="AU993">
        <v>10.179532412024219</v>
      </c>
      <c r="AV993"/>
      <c r="AW993"/>
      <c r="FY993" s="211">
        <v>988</v>
      </c>
      <c r="FZ993">
        <v>128.64335472089607</v>
      </c>
      <c r="GA993">
        <v>146.51901804456281</v>
      </c>
      <c r="GB993">
        <v>63.014279423107091</v>
      </c>
      <c r="GC993">
        <v>36.860911016411251</v>
      </c>
      <c r="GD993">
        <v>14.863090963719106</v>
      </c>
      <c r="GE993">
        <v>24.252451364993743</v>
      </c>
      <c r="GF993">
        <v>58.42334129298581</v>
      </c>
      <c r="GG993">
        <v>42.097946983959623</v>
      </c>
      <c r="GH993">
        <v>28.157560004926175</v>
      </c>
      <c r="GI993">
        <v>60.537458738222554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173.7845623519182</v>
      </c>
      <c r="AO994">
        <v>50.214778045007066</v>
      </c>
      <c r="AP994">
        <v>340.73502151355029</v>
      </c>
      <c r="AQ994">
        <v>282.75997649301348</v>
      </c>
      <c r="AR994">
        <v>49.163082736155445</v>
      </c>
      <c r="AS994">
        <v>237.3921509446381</v>
      </c>
      <c r="AT994">
        <v>23.501700643398241</v>
      </c>
      <c r="AU994">
        <v>21.25482190177943</v>
      </c>
      <c r="AV994"/>
      <c r="AW994"/>
      <c r="FY994" s="211">
        <v>989</v>
      </c>
      <c r="FZ994">
        <v>39.447165009208589</v>
      </c>
      <c r="GA994">
        <v>40.003010833407821</v>
      </c>
      <c r="GB994">
        <v>51.899674189185419</v>
      </c>
      <c r="GC994">
        <v>36.726460356015465</v>
      </c>
      <c r="GD994">
        <v>15.259652656956321</v>
      </c>
      <c r="GE994">
        <v>13.131586904813608</v>
      </c>
      <c r="GF994">
        <v>23.849327450359578</v>
      </c>
      <c r="GG994">
        <v>13.707796125905372</v>
      </c>
      <c r="GH994">
        <v>19.057278756073973</v>
      </c>
      <c r="GI994">
        <v>36.663721342327847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145.43414353105382</v>
      </c>
      <c r="AO995">
        <v>46.119580191432533</v>
      </c>
      <c r="AP995">
        <v>337.18422899584971</v>
      </c>
      <c r="AQ995">
        <v>265.51646917478365</v>
      </c>
      <c r="AR995">
        <v>44.693321588744681</v>
      </c>
      <c r="AS995">
        <v>226.53569861913869</v>
      </c>
      <c r="AT995">
        <v>21.968024131014442</v>
      </c>
      <c r="AU995">
        <v>-24.651755639931984</v>
      </c>
      <c r="AV995"/>
      <c r="AW995"/>
      <c r="FY995" s="211">
        <v>990</v>
      </c>
      <c r="FZ995">
        <v>36.48674536074617</v>
      </c>
      <c r="GA995">
        <v>35.364675449475605</v>
      </c>
      <c r="GB995">
        <v>28.572748300046459</v>
      </c>
      <c r="GC995">
        <v>18.342744611203337</v>
      </c>
      <c r="GD995">
        <v>15.584257665802271</v>
      </c>
      <c r="GE995">
        <v>25.672888110651602</v>
      </c>
      <c r="GF995">
        <v>28.125069105861527</v>
      </c>
      <c r="GG995">
        <v>22.262519693433823</v>
      </c>
      <c r="GH995">
        <v>33.795679922379769</v>
      </c>
      <c r="GI995">
        <v>33.818904408925754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182.02319091082799</v>
      </c>
      <c r="AO996">
        <v>64.076617830674152</v>
      </c>
      <c r="AP996">
        <v>519.25359786425622</v>
      </c>
      <c r="AQ996">
        <v>405.98474935860088</v>
      </c>
      <c r="AR996">
        <v>63.533597783013171</v>
      </c>
      <c r="AS996">
        <v>295.29728779316986</v>
      </c>
      <c r="AT996">
        <v>31.265448559456573</v>
      </c>
      <c r="AU996">
        <v>30.499673135331456</v>
      </c>
      <c r="AV996"/>
      <c r="AW996"/>
      <c r="FY996" s="211">
        <v>991</v>
      </c>
      <c r="FZ996">
        <v>74.726639350751441</v>
      </c>
      <c r="GA996">
        <v>76.451445149899115</v>
      </c>
      <c r="GB996">
        <v>31.500137869906851</v>
      </c>
      <c r="GC996">
        <v>21.340354399822662</v>
      </c>
      <c r="GD996">
        <v>13.298045818729076</v>
      </c>
      <c r="GE996">
        <v>24.359894406019777</v>
      </c>
      <c r="GF996">
        <v>19.916800546694191</v>
      </c>
      <c r="GG996">
        <v>4.0506764555630426</v>
      </c>
      <c r="GH996">
        <v>17.469103957787098</v>
      </c>
      <c r="GI996">
        <v>34.238270631801868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226.77343169668444</v>
      </c>
      <c r="AO997">
        <v>69.02441246984975</v>
      </c>
      <c r="AP997">
        <v>560.18402916768832</v>
      </c>
      <c r="AQ997">
        <v>437.91316349504172</v>
      </c>
      <c r="AR997">
        <v>69.041068855364117</v>
      </c>
      <c r="AS997">
        <v>322.21157439011512</v>
      </c>
      <c r="AT997">
        <v>33.896211335034458</v>
      </c>
      <c r="AU997">
        <v>-23.409133533513291</v>
      </c>
      <c r="AV997"/>
      <c r="AW997"/>
      <c r="FY997" s="211">
        <v>992</v>
      </c>
      <c r="FZ997">
        <v>72.007107476284204</v>
      </c>
      <c r="GA997">
        <v>89.3660884030771</v>
      </c>
      <c r="GB997">
        <v>43.390947467714199</v>
      </c>
      <c r="GC997">
        <v>23.550461988872321</v>
      </c>
      <c r="GD997">
        <v>19.798462985048367</v>
      </c>
      <c r="GE997">
        <v>35.925942082752655</v>
      </c>
      <c r="GF997">
        <v>35.402340960462709</v>
      </c>
      <c r="GG997">
        <v>26.848981210023855</v>
      </c>
      <c r="GH997">
        <v>21.718719658754203</v>
      </c>
      <c r="GI997">
        <v>44.794009333401327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237.32189956687006</v>
      </c>
      <c r="AO998">
        <v>73.436852408580236</v>
      </c>
      <c r="AP998">
        <v>574.33760445460871</v>
      </c>
      <c r="AQ998">
        <v>453.85000320236242</v>
      </c>
      <c r="AR998">
        <v>70.3212506142617</v>
      </c>
      <c r="AS998">
        <v>316.08902129335172</v>
      </c>
      <c r="AT998">
        <v>33.592133542632077</v>
      </c>
      <c r="AU998">
        <v>92.894838722257077</v>
      </c>
      <c r="AV998"/>
      <c r="AW998"/>
      <c r="FY998" s="211">
        <v>993</v>
      </c>
      <c r="FZ998">
        <v>74.673832117010249</v>
      </c>
      <c r="GA998">
        <v>85.536887100195585</v>
      </c>
      <c r="GB998">
        <v>55.41550044158231</v>
      </c>
      <c r="GC998">
        <v>32.319836055079108</v>
      </c>
      <c r="GD998">
        <v>16.93478893207466</v>
      </c>
      <c r="GE998">
        <v>24.145823809549643</v>
      </c>
      <c r="GF998">
        <v>31.945434613310844</v>
      </c>
      <c r="GG998">
        <v>27.399572823415863</v>
      </c>
      <c r="GH998">
        <v>24.45433849894134</v>
      </c>
      <c r="GI998">
        <v>46.32330135497525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201.60810660538331</v>
      </c>
      <c r="AO999">
        <v>67.484277334547912</v>
      </c>
      <c r="AP999">
        <v>526.93774897137985</v>
      </c>
      <c r="AQ999">
        <v>419.97983379721154</v>
      </c>
      <c r="AR999">
        <v>63.678185078143244</v>
      </c>
      <c r="AS999">
        <v>298.24236186967062</v>
      </c>
      <c r="AT999">
        <v>31.056918046819462</v>
      </c>
      <c r="AU999">
        <v>-16.043524522445377</v>
      </c>
      <c r="AV999"/>
      <c r="AW999"/>
      <c r="FY999" s="211">
        <v>994</v>
      </c>
      <c r="FZ999">
        <v>139.54651184574217</v>
      </c>
      <c r="GA999">
        <v>173.68329221305001</v>
      </c>
      <c r="GB999">
        <v>36.400931126197086</v>
      </c>
      <c r="GC999">
        <v>25.066633699163713</v>
      </c>
      <c r="GD999">
        <v>18.006456801451115</v>
      </c>
      <c r="GE999">
        <v>26.50567931083399</v>
      </c>
      <c r="GF999">
        <v>50.717702878446609</v>
      </c>
      <c r="GG999">
        <v>43.626869010697192</v>
      </c>
      <c r="GH999">
        <v>26.19093446964235</v>
      </c>
      <c r="GI999">
        <v>55.566473389450024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221.57098064134954</v>
      </c>
      <c r="AO1000">
        <v>66.682229522160426</v>
      </c>
      <c r="AP1000">
        <v>580.51418958374188</v>
      </c>
      <c r="AQ1000">
        <v>470.36399879403189</v>
      </c>
      <c r="AR1000">
        <v>64.415500887390536</v>
      </c>
      <c r="AS1000">
        <v>335.04091528714366</v>
      </c>
      <c r="AT1000">
        <v>34.131638710680825</v>
      </c>
      <c r="AU1000">
        <v>-18.552674560069931</v>
      </c>
      <c r="AV1000"/>
      <c r="AW1000"/>
      <c r="FY1000" s="211">
        <v>995</v>
      </c>
      <c r="FZ1000">
        <v>112.23700371048159</v>
      </c>
      <c r="GA1000">
        <v>145.35615847957433</v>
      </c>
      <c r="GB1000">
        <v>52.752649543915268</v>
      </c>
      <c r="GC1000">
        <v>27.887167896622266</v>
      </c>
      <c r="GD1000">
        <v>16.098119983613557</v>
      </c>
      <c r="GE1000">
        <v>27.954034280880709</v>
      </c>
      <c r="GF1000">
        <v>78.427213531963332</v>
      </c>
      <c r="GG1000">
        <v>61.938213811207611</v>
      </c>
      <c r="GH1000">
        <v>26.401606478889839</v>
      </c>
      <c r="GI1000">
        <v>59.920778784757388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216.21172394405602</v>
      </c>
      <c r="AO1001">
        <v>74.064078011662062</v>
      </c>
      <c r="AP1001">
        <v>592.21723772168605</v>
      </c>
      <c r="AQ1001">
        <v>470.71593523640826</v>
      </c>
      <c r="AR1001">
        <v>72.662227420363934</v>
      </c>
      <c r="AS1001">
        <v>335.22672111007131</v>
      </c>
      <c r="AT1001">
        <v>35.693634479892019</v>
      </c>
      <c r="AU1001">
        <v>80.348334891711417</v>
      </c>
      <c r="AV1001"/>
      <c r="AW1001"/>
      <c r="FY1001" s="211">
        <v>996</v>
      </c>
      <c r="FZ1001">
        <v>54.713315879870684</v>
      </c>
      <c r="GA1001">
        <v>58.513193032780684</v>
      </c>
      <c r="GB1001">
        <v>41.789782182753513</v>
      </c>
      <c r="GC1001">
        <v>28.291804266021195</v>
      </c>
      <c r="GD1001">
        <v>21.255433896402053</v>
      </c>
      <c r="GE1001">
        <v>27.585780241619016</v>
      </c>
      <c r="GF1001">
        <v>54.207685484119693</v>
      </c>
      <c r="GG1001">
        <v>46.368323286450334</v>
      </c>
      <c r="GH1001">
        <v>33.629908938946983</v>
      </c>
      <c r="GI1001">
        <v>48.45759087977271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155.54686676009325</v>
      </c>
      <c r="AO1002">
        <v>50.293748129976045</v>
      </c>
      <c r="AP1002">
        <v>429.37294937706116</v>
      </c>
      <c r="AQ1002">
        <v>349.77324171183579</v>
      </c>
      <c r="AR1002">
        <v>49.211974896633215</v>
      </c>
      <c r="AS1002">
        <v>234.74410460717476</v>
      </c>
      <c r="AT1002">
        <v>25.746394865204476</v>
      </c>
      <c r="AU1002">
        <v>-12.824598851734549</v>
      </c>
      <c r="AV1002"/>
      <c r="AW1002"/>
      <c r="FY1002" s="211">
        <v>997</v>
      </c>
      <c r="FZ1002">
        <v>38.50279016570456</v>
      </c>
      <c r="GA1002">
        <v>39.116519014844023</v>
      </c>
      <c r="GB1002">
        <v>29.952483007848354</v>
      </c>
      <c r="GC1002">
        <v>18.99274631450465</v>
      </c>
      <c r="GD1002">
        <v>14.895170057315381</v>
      </c>
      <c r="GE1002">
        <v>22.825074193795864</v>
      </c>
      <c r="GF1002">
        <v>48.393391585897909</v>
      </c>
      <c r="GG1002">
        <v>32.235162813726141</v>
      </c>
      <c r="GH1002">
        <v>18.882972066825314</v>
      </c>
      <c r="GI1002">
        <v>35.478594052488923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180.03205100483893</v>
      </c>
      <c r="AO1003">
        <v>62.033144466031864</v>
      </c>
      <c r="AP1003">
        <v>477.69491931970487</v>
      </c>
      <c r="AQ1003">
        <v>379.6816344567132</v>
      </c>
      <c r="AR1003">
        <v>59.119466784806214</v>
      </c>
      <c r="AS1003">
        <v>284.74462721980797</v>
      </c>
      <c r="AT1003">
        <v>28.863564457571162</v>
      </c>
      <c r="AU1003">
        <v>-3.7153560457225936</v>
      </c>
      <c r="AV1003"/>
      <c r="AW1003"/>
      <c r="FY1003" s="211">
        <v>998</v>
      </c>
      <c r="FZ1003">
        <v>29.803535584986019</v>
      </c>
      <c r="GA1003">
        <v>42.289442958868598</v>
      </c>
      <c r="GB1003">
        <v>39.35713831927896</v>
      </c>
      <c r="GC1003">
        <v>19.551819253479088</v>
      </c>
      <c r="GD1003">
        <v>13.311166652283417</v>
      </c>
      <c r="GE1003">
        <v>24.071608933205031</v>
      </c>
      <c r="GF1003">
        <v>67.399767358023837</v>
      </c>
      <c r="GG1003">
        <v>59.036391698775404</v>
      </c>
      <c r="GH1003">
        <v>25.517768808863401</v>
      </c>
      <c r="GI1003">
        <v>40.817409451520795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263.47747940550562</v>
      </c>
      <c r="AO1004">
        <v>90.109877395086116</v>
      </c>
      <c r="AP1004">
        <v>770.18836219333468</v>
      </c>
      <c r="AQ1004">
        <v>603.36941255378429</v>
      </c>
      <c r="AR1004">
        <v>87.147811531104367</v>
      </c>
      <c r="AS1004">
        <v>415.15733428398141</v>
      </c>
      <c r="AT1004">
        <v>46.906615814735687</v>
      </c>
      <c r="AU1004">
        <v>-5.2954206769592389</v>
      </c>
      <c r="AV1004"/>
      <c r="AW1004"/>
      <c r="FY1004" s="211">
        <v>999</v>
      </c>
      <c r="FZ1004">
        <v>26.250320204018461</v>
      </c>
      <c r="GA1004">
        <v>54.069173633885526</v>
      </c>
      <c r="GB1004">
        <v>45.571956025356833</v>
      </c>
      <c r="GC1004">
        <v>22.975171168991871</v>
      </c>
      <c r="GD1004">
        <v>16.158987041560305</v>
      </c>
      <c r="GE1004">
        <v>24.425933123572733</v>
      </c>
      <c r="GF1004">
        <v>49.837126994058785</v>
      </c>
      <c r="GG1004">
        <v>41.704603454527643</v>
      </c>
      <c r="GH1004">
        <v>19.328543326257613</v>
      </c>
      <c r="GI1004">
        <v>39.160480832927227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182.98043819355746</v>
      </c>
      <c r="AO1005">
        <v>53.045848776251525</v>
      </c>
      <c r="AP1005">
        <v>371.25742878485306</v>
      </c>
      <c r="AQ1005">
        <v>289.74567362425398</v>
      </c>
      <c r="AR1005">
        <v>52.733697913856162</v>
      </c>
      <c r="AS1005">
        <v>259.78863299415934</v>
      </c>
      <c r="AT1005">
        <v>24.265031477745509</v>
      </c>
      <c r="AU1005">
        <v>-24.6073997555849</v>
      </c>
      <c r="AV1005"/>
      <c r="AW1005"/>
      <c r="FY1005" s="211">
        <v>1000</v>
      </c>
      <c r="FZ1005">
        <v>64.773403121142081</v>
      </c>
      <c r="GA1005">
        <v>103.65077804558177</v>
      </c>
      <c r="GB1005">
        <v>55.001022584267176</v>
      </c>
      <c r="GC1005">
        <v>28.338396548373428</v>
      </c>
      <c r="GD1005">
        <v>15.794409079329462</v>
      </c>
      <c r="GE1005">
        <v>26.668322652784092</v>
      </c>
      <c r="GF1005">
        <v>56.986172597168675</v>
      </c>
      <c r="GG1005">
        <v>42.735950641161132</v>
      </c>
      <c r="GH1005">
        <v>28.869118191776856</v>
      </c>
      <c r="GI1005">
        <v>49.48432117422449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147.78116278583065</v>
      </c>
      <c r="AO1006">
        <v>48.027105320294204</v>
      </c>
      <c r="AP1006">
        <v>346.21892353644785</v>
      </c>
      <c r="AQ1006">
        <v>278.02623262852637</v>
      </c>
      <c r="AR1006">
        <v>48.579080859426071</v>
      </c>
      <c r="AS1006">
        <v>241.31234640225367</v>
      </c>
      <c r="AT1006">
        <v>24.475974356068917</v>
      </c>
      <c r="AU1006">
        <v>-4.3750676168828591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134.73720848810254</v>
      </c>
      <c r="AO1007">
        <v>49.87678162187963</v>
      </c>
      <c r="AP1007">
        <v>383.27567252093968</v>
      </c>
      <c r="AQ1007">
        <v>317.35136858697518</v>
      </c>
      <c r="AR1007">
        <v>48.906583092108477</v>
      </c>
      <c r="AS1007">
        <v>225.22004139890396</v>
      </c>
      <c r="AT1007">
        <v>25.890467214236008</v>
      </c>
      <c r="AU1007">
        <v>3.4635551868957037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198.42525908606873</v>
      </c>
      <c r="AO1008">
        <v>67.177309688338596</v>
      </c>
      <c r="AP1008">
        <v>508.29614388377502</v>
      </c>
      <c r="AQ1008">
        <v>412.80306156639091</v>
      </c>
      <c r="AR1008">
        <v>64.65915445157421</v>
      </c>
      <c r="AS1008">
        <v>327.2467935443924</v>
      </c>
      <c r="AT1008">
        <v>31.749627582975467</v>
      </c>
      <c r="AU1008">
        <v>22.419289132173581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177.83832487367951</v>
      </c>
      <c r="AO1009">
        <v>68.681303405736301</v>
      </c>
      <c r="AP1009">
        <v>529.25874133730463</v>
      </c>
      <c r="AQ1009">
        <v>419.14931574613485</v>
      </c>
      <c r="AR1009">
        <v>67.066033501480547</v>
      </c>
      <c r="AS1009">
        <v>326.73022244543222</v>
      </c>
      <c r="AT1009">
        <v>34.363946514183304</v>
      </c>
      <c r="AU1009">
        <v>-13.609076359653173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237.70775096265629</v>
      </c>
      <c r="AO1010">
        <v>85.377155779271504</v>
      </c>
      <c r="AP1010">
        <v>737.44873456868459</v>
      </c>
      <c r="AQ1010">
        <v>595.31148474467432</v>
      </c>
      <c r="AR1010">
        <v>80.755185315240908</v>
      </c>
      <c r="AS1010">
        <v>378.97471862832924</v>
      </c>
      <c r="AT1010">
        <v>43.019419010703871</v>
      </c>
      <c r="AU1010">
        <v>-5.8195616026339003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268.7796143426234</v>
      </c>
      <c r="AO1011">
        <v>90.155382864880963</v>
      </c>
      <c r="AP1011">
        <v>780.18184912488982</v>
      </c>
      <c r="AQ1011">
        <v>608.97294650190588</v>
      </c>
      <c r="AR1011">
        <v>86.480006331840258</v>
      </c>
      <c r="AS1011">
        <v>430.75797721910851</v>
      </c>
      <c r="AT1011">
        <v>43.848821596092584</v>
      </c>
      <c r="AU1011">
        <v>-36.009054098574111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237.2605034836111</v>
      </c>
      <c r="AO1012">
        <v>70.119955209572964</v>
      </c>
      <c r="AP1012">
        <v>522.12982405817559</v>
      </c>
      <c r="AQ1012">
        <v>414.81281808873689</v>
      </c>
      <c r="AR1012">
        <v>69.794812399523721</v>
      </c>
      <c r="AS1012">
        <v>349.15177084194988</v>
      </c>
      <c r="AT1012">
        <v>33.53965691648888</v>
      </c>
      <c r="AU1012">
        <v>46.146048545118944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213.04278610059109</v>
      </c>
      <c r="AO1013">
        <v>50.694411424714517</v>
      </c>
      <c r="AP1013">
        <v>381.34553204406183</v>
      </c>
      <c r="AQ1013">
        <v>299.27490327295112</v>
      </c>
      <c r="AR1013">
        <v>50.765378207645881</v>
      </c>
      <c r="AS1013">
        <v>265.49931198140177</v>
      </c>
      <c r="AT1013">
        <v>23.256752318524903</v>
      </c>
      <c r="AU1013">
        <v>112.27318688400246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250.64522866313473</v>
      </c>
      <c r="AO1014">
        <v>60.76017866309337</v>
      </c>
      <c r="AP1014">
        <v>486.05742622891142</v>
      </c>
      <c r="AQ1014">
        <v>361.15604901928458</v>
      </c>
      <c r="AR1014">
        <v>59.128720167935192</v>
      </c>
      <c r="AS1014">
        <v>294.21859648298397</v>
      </c>
      <c r="AT1014">
        <v>26.158980145580358</v>
      </c>
      <c r="AU1014">
        <v>39.49149233945154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193.39031348979512</v>
      </c>
      <c r="AO1015">
        <v>59.102167745540996</v>
      </c>
      <c r="AP1015">
        <v>449.8386514676356</v>
      </c>
      <c r="AQ1015">
        <v>339.48229580515704</v>
      </c>
      <c r="AR1015">
        <v>56.75349923203477</v>
      </c>
      <c r="AS1015">
        <v>259.88042451202739</v>
      </c>
      <c r="AT1015">
        <v>25.737399971870293</v>
      </c>
      <c r="AU1015">
        <v>-17.51082718415423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231.98491243331938</v>
      </c>
      <c r="AO1016">
        <v>74.251841359172161</v>
      </c>
      <c r="AP1016">
        <v>608.62682285871676</v>
      </c>
      <c r="AQ1016">
        <v>472.30189463580916</v>
      </c>
      <c r="AR1016">
        <v>71.122394377518347</v>
      </c>
      <c r="AS1016">
        <v>365.91454543514476</v>
      </c>
      <c r="AT1016">
        <v>34.28891001824136</v>
      </c>
      <c r="AU1016">
        <v>4.152629106153924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2011-01-11T23:56:37Z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